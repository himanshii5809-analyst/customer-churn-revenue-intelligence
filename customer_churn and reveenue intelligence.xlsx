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7C548C95-9D5D-4959-AC20-38A93FD95EF1}" xr6:coauthVersionLast="47" xr6:coauthVersionMax="47" xr10:uidLastSave="{00000000-0000-0000-0000-000000000000}"/>
  <bookViews>
    <workbookView xWindow="-110" yWindow="-110" windowWidth="19420" windowHeight="10300" tabRatio="500" xr2:uid="{00000000-000D-0000-FFFF-FFFF00000000}"/>
  </bookViews>
  <sheets>
    <sheet name="Customer_churn_data" sheetId="1" r:id="rId1"/>
    <sheet name="analysis " sheetId="5" r:id="rId2"/>
    <sheet name="Pivot tables " sheetId="4" r:id="rId3"/>
    <sheet name="dashboard" sheetId="6" r:id="rId4"/>
    <sheet name="analysis of problem with sol." sheetId="8" r:id="rId5"/>
    <sheet name="calculations" sheetId="7" r:id="rId6"/>
  </sheets>
  <externalReferences>
    <externalReference r:id="rId7"/>
  </externalReferences>
  <definedNames>
    <definedName name="_xlnm._FilterDatabase" localSheetId="0" hidden="1">Customer_churn_data!$A$1:$T$2001</definedName>
  </definedNames>
  <calcPr calcId="181029" iterateDelta="1E-4"/>
  <pivotCaches>
    <pivotCache cacheId="0" r:id="rId8"/>
    <pivotCache cacheId="3" r:id="rId9"/>
    <pivotCache cacheId="13" r:id="rId10"/>
  </pivotCaches>
  <extLst>
    <ext xmlns:loext="http://schemas.libreoffice.org/" uri="{7626C862-2A13-11E5-B345-FEFF819CDC9F}">
      <loext:extCalcPr stringRefSyntax="ExcelA1"/>
    </ext>
  </extLst>
</workbook>
</file>

<file path=xl/calcChain.xml><?xml version="1.0" encoding="utf-8"?>
<calcChain xmlns="http://schemas.openxmlformats.org/spreadsheetml/2006/main">
  <c r="C54" i="7" l="1"/>
  <c r="B54" i="7"/>
  <c r="D54" i="7" s="1"/>
  <c r="C53" i="7"/>
  <c r="B53" i="7"/>
  <c r="D53" i="7" s="1"/>
  <c r="C52" i="7"/>
  <c r="B52" i="7"/>
  <c r="D52" i="7" s="1"/>
  <c r="C51" i="7"/>
  <c r="B51" i="7"/>
  <c r="D51" i="7" s="1"/>
  <c r="C50" i="7"/>
  <c r="B50" i="7"/>
  <c r="D50" i="7" s="1"/>
  <c r="C45" i="7"/>
  <c r="B45" i="7"/>
  <c r="D45" i="7" s="1"/>
  <c r="C44" i="7"/>
  <c r="B44" i="7"/>
  <c r="D44" i="7" s="1"/>
  <c r="C43" i="7"/>
  <c r="B43" i="7"/>
  <c r="D43" i="7" s="1"/>
  <c r="C42" i="7"/>
  <c r="B42" i="7"/>
  <c r="D42" i="7" s="1"/>
  <c r="C41" i="7"/>
  <c r="B41" i="7"/>
  <c r="D41" i="7" s="1"/>
  <c r="C36" i="7"/>
  <c r="B36" i="7"/>
  <c r="D36" i="7" s="1"/>
  <c r="C35" i="7"/>
  <c r="B35" i="7"/>
  <c r="D35" i="7" s="1"/>
  <c r="C34" i="7"/>
  <c r="B34" i="7"/>
  <c r="D34" i="7" s="1"/>
  <c r="C33" i="7"/>
  <c r="B33" i="7"/>
  <c r="D33" i="7" s="1"/>
  <c r="C32" i="7"/>
  <c r="B32" i="7"/>
  <c r="D32" i="7" s="1"/>
  <c r="C31" i="7"/>
  <c r="B31" i="7"/>
  <c r="D31" i="7" s="1"/>
  <c r="C30" i="7"/>
  <c r="B30" i="7"/>
  <c r="D30" i="7" s="1"/>
  <c r="C29" i="7"/>
  <c r="B29" i="7"/>
  <c r="D29" i="7" s="1"/>
  <c r="C28" i="7"/>
  <c r="B28" i="7"/>
  <c r="D28" i="7" s="1"/>
  <c r="C27" i="7"/>
  <c r="B27" i="7"/>
  <c r="D27" i="7" s="1"/>
  <c r="C26" i="7"/>
  <c r="B26" i="7"/>
  <c r="D26" i="7" s="1"/>
  <c r="C25" i="7"/>
  <c r="B25" i="7"/>
  <c r="D25" i="7" s="1"/>
  <c r="C24" i="7"/>
  <c r="B24" i="7"/>
  <c r="D24" i="7" s="1"/>
  <c r="C23" i="7"/>
  <c r="B23" i="7"/>
  <c r="D23" i="7" s="1"/>
  <c r="C18" i="7"/>
  <c r="B18" i="7"/>
  <c r="D18" i="7" s="1"/>
  <c r="C17" i="7"/>
  <c r="B17" i="7"/>
  <c r="D17" i="7" s="1"/>
  <c r="C16" i="7"/>
  <c r="B16" i="7"/>
  <c r="D16" i="7" s="1"/>
  <c r="C11" i="7"/>
  <c r="B11" i="7"/>
  <c r="D11" i="7" s="1"/>
  <c r="C10" i="7"/>
  <c r="B10" i="7"/>
  <c r="D10" i="7" s="1"/>
  <c r="C9" i="7"/>
  <c r="B9" i="7"/>
  <c r="D9" i="7" s="1"/>
  <c r="B5" i="7"/>
  <c r="B6" i="7" s="1"/>
  <c r="B3" i="7"/>
  <c r="B4" i="7" s="1"/>
  <c r="B2" i="7"/>
  <c r="Q6" i="6"/>
  <c r="L6" i="6"/>
  <c r="G6" i="6"/>
  <c r="B6" i="6"/>
  <c r="D2" i="5"/>
  <c r="K57" i="5"/>
  <c r="K58" i="5"/>
  <c r="K59" i="5"/>
  <c r="K60" i="5"/>
  <c r="K61" i="5"/>
  <c r="K62" i="5"/>
  <c r="K63" i="5"/>
  <c r="K64" i="5"/>
  <c r="K65" i="5"/>
  <c r="K66" i="5"/>
  <c r="K67" i="5"/>
  <c r="K68" i="5"/>
  <c r="K69" i="5"/>
  <c r="H60" i="5"/>
  <c r="H61" i="5"/>
  <c r="H62" i="5"/>
  <c r="H63" i="5"/>
  <c r="H64" i="5"/>
  <c r="H65" i="5"/>
  <c r="H66" i="5"/>
  <c r="H67" i="5"/>
  <c r="H68" i="5"/>
  <c r="H69" i="5"/>
  <c r="H57" i="5"/>
  <c r="H58" i="5"/>
  <c r="H59" i="5"/>
  <c r="H56" i="5"/>
  <c r="J57" i="5"/>
  <c r="J58" i="5"/>
  <c r="J59" i="5"/>
  <c r="J60" i="5"/>
  <c r="J61" i="5"/>
  <c r="J62" i="5"/>
  <c r="J63" i="5"/>
  <c r="J64" i="5"/>
  <c r="J65" i="5"/>
  <c r="J66" i="5"/>
  <c r="J67" i="5"/>
  <c r="J68" i="5"/>
  <c r="J69" i="5"/>
  <c r="I57" i="5"/>
  <c r="I58" i="5"/>
  <c r="I59" i="5"/>
  <c r="I60" i="5"/>
  <c r="I61" i="5"/>
  <c r="I62" i="5"/>
  <c r="I63" i="5"/>
  <c r="I64" i="5"/>
  <c r="I65" i="5"/>
  <c r="I66" i="5"/>
  <c r="I67" i="5"/>
  <c r="I68" i="5"/>
  <c r="I69" i="5"/>
  <c r="J56" i="5"/>
  <c r="K56" i="5" s="1"/>
  <c r="I56" i="5"/>
  <c r="H52" i="5"/>
  <c r="H51" i="5"/>
  <c r="H50" i="5"/>
  <c r="H49" i="5"/>
  <c r="F47" i="5"/>
  <c r="E51" i="5"/>
  <c r="E54" i="5"/>
  <c r="D53" i="5"/>
  <c r="C49" i="5"/>
  <c r="F49" i="5" s="1"/>
  <c r="C50" i="5"/>
  <c r="F50" i="5" s="1"/>
  <c r="C51" i="5"/>
  <c r="F51" i="5" s="1"/>
  <c r="C52" i="5"/>
  <c r="F52" i="5" s="1"/>
  <c r="C53" i="5"/>
  <c r="F53" i="5" s="1"/>
  <c r="C54" i="5"/>
  <c r="F54" i="5" s="1"/>
  <c r="C46" i="5"/>
  <c r="F46" i="5" s="1"/>
  <c r="C47" i="5"/>
  <c r="D47" i="5" s="1"/>
  <c r="C48" i="5"/>
  <c r="E48" i="5" s="1"/>
  <c r="F45" i="5"/>
  <c r="D45" i="5"/>
  <c r="C45" i="5"/>
  <c r="E45" i="5" s="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M40" i="5"/>
  <c r="M39" i="5"/>
  <c r="I42" i="5" s="1"/>
  <c r="I43" i="5" s="1"/>
  <c r="J36" i="5"/>
  <c r="J37" i="5" s="1"/>
  <c r="H35" i="5"/>
  <c r="I15" i="5"/>
  <c r="I14" i="5"/>
  <c r="I13" i="5"/>
  <c r="J12" i="5"/>
  <c r="I12" i="5"/>
  <c r="I11" i="5"/>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3" i="1"/>
  <c r="I4" i="1"/>
  <c r="I5" i="1"/>
  <c r="I6" i="1"/>
  <c r="I7" i="1"/>
  <c r="I2"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3" i="1"/>
  <c r="O4" i="1"/>
  <c r="O5" i="1"/>
  <c r="O2"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3" i="1"/>
  <c r="E4" i="1"/>
  <c r="E5" i="1"/>
  <c r="E6" i="1"/>
  <c r="E7" i="1"/>
  <c r="E2" i="1"/>
  <c r="E54" i="7" l="1"/>
  <c r="E52" i="7"/>
  <c r="E50" i="7"/>
  <c r="E44" i="7"/>
  <c r="E42" i="7"/>
  <c r="E36" i="7"/>
  <c r="E34" i="7"/>
  <c r="E32" i="7"/>
  <c r="E30" i="7"/>
  <c r="E28" i="7"/>
  <c r="E26" i="7"/>
  <c r="E24" i="7"/>
  <c r="E18" i="7"/>
  <c r="E16" i="7"/>
  <c r="E10" i="7"/>
  <c r="E53" i="7"/>
  <c r="E51" i="7"/>
  <c r="E45" i="7"/>
  <c r="E43" i="7"/>
  <c r="E41" i="7"/>
  <c r="E35" i="7"/>
  <c r="E33" i="7"/>
  <c r="E31" i="7"/>
  <c r="E29" i="7"/>
  <c r="E27" i="7"/>
  <c r="E25" i="7"/>
  <c r="E23" i="7"/>
  <c r="E17" i="7"/>
  <c r="E11" i="7"/>
  <c r="E9" i="7"/>
  <c r="D54" i="5"/>
  <c r="D46" i="5"/>
  <c r="E47" i="5"/>
  <c r="F48" i="5"/>
  <c r="E46" i="5"/>
  <c r="D52" i="5"/>
  <c r="E53" i="5"/>
  <c r="D51" i="5"/>
  <c r="E52" i="5"/>
  <c r="D50" i="5"/>
  <c r="D49" i="5"/>
  <c r="E50" i="5"/>
  <c r="D48" i="5"/>
  <c r="E49" i="5"/>
  <c r="B3" i="5"/>
  <c r="C6" i="5"/>
  <c r="B2" i="5"/>
  <c r="C5" i="5"/>
  <c r="C2" i="5"/>
  <c r="C4" i="5"/>
  <c r="C3" i="5"/>
  <c r="B6" i="5"/>
  <c r="B5" i="5"/>
  <c r="D5" i="5" s="1"/>
  <c r="B4" i="5"/>
  <c r="D4" i="5" s="1"/>
  <c r="D3" i="5" l="1"/>
  <c r="D6" i="5"/>
</calcChain>
</file>

<file path=xl/sharedStrings.xml><?xml version="1.0" encoding="utf-8"?>
<sst xmlns="http://schemas.openxmlformats.org/spreadsheetml/2006/main" count="24365" uniqueCount="3087">
  <si>
    <t>CustID</t>
  </si>
  <si>
    <t>Customer Name</t>
  </si>
  <si>
    <t>Gender</t>
  </si>
  <si>
    <t>Age</t>
  </si>
  <si>
    <t>City</t>
  </si>
  <si>
    <t>Contract Type</t>
  </si>
  <si>
    <t>Tenure (Months)</t>
  </si>
  <si>
    <t>Monthly Charges (₹)</t>
  </si>
  <si>
    <t>Total Charges (₹)</t>
  </si>
  <si>
    <t>Internet Service</t>
  </si>
  <si>
    <t>Signup Date</t>
  </si>
  <si>
    <t>Churn</t>
  </si>
  <si>
    <t>Age_Imputed</t>
  </si>
  <si>
    <t>Tenure_Imputed</t>
  </si>
  <si>
    <t>Monthly_Imputed</t>
  </si>
  <si>
    <t>Total_Imputed</t>
  </si>
  <si>
    <t>Needs_Review</t>
  </si>
  <si>
    <t>C1001</t>
  </si>
  <si>
    <t>Rahul Agarwal</t>
  </si>
  <si>
    <t>Male</t>
  </si>
  <si>
    <t>Hyderabad</t>
  </si>
  <si>
    <t>Month-to-month</t>
  </si>
  <si>
    <t>Fiber</t>
  </si>
  <si>
    <t>No</t>
  </si>
  <si>
    <t>C1002</t>
  </si>
  <si>
    <t>Vikram Mehta</t>
  </si>
  <si>
    <t>Jaipur</t>
  </si>
  <si>
    <t>One year</t>
  </si>
  <si>
    <t>C1003</t>
  </si>
  <si>
    <t>Arjun Pandey</t>
  </si>
  <si>
    <t>Pune</t>
  </si>
  <si>
    <t>DSL</t>
  </si>
  <si>
    <t>Yes</t>
  </si>
  <si>
    <t>C1004</t>
  </si>
  <si>
    <t>Riya Malhotra</t>
  </si>
  <si>
    <t>Female</t>
  </si>
  <si>
    <t>Delhi</t>
  </si>
  <si>
    <t>Unknown</t>
  </si>
  <si>
    <t>Churn unknown</t>
  </si>
  <si>
    <t>C1005</t>
  </si>
  <si>
    <t>Tanvi Mehta</t>
  </si>
  <si>
    <t>Mumbai</t>
  </si>
  <si>
    <t>C1006</t>
  </si>
  <si>
    <t>Shreya Chopra</t>
  </si>
  <si>
    <t>C1007</t>
  </si>
  <si>
    <t>Arjun Kapoor</t>
  </si>
  <si>
    <t>Chennai</t>
  </si>
  <si>
    <t>Two year</t>
  </si>
  <si>
    <t>C1008</t>
  </si>
  <si>
    <t>Manish Verma</t>
  </si>
  <si>
    <t>C1009</t>
  </si>
  <si>
    <t>Pooja Malhotra</t>
  </si>
  <si>
    <t>C1010</t>
  </si>
  <si>
    <t>Neha Verma</t>
  </si>
  <si>
    <t>Date missing</t>
  </si>
  <si>
    <t>C1011</t>
  </si>
  <si>
    <t>Payal Malhotra</t>
  </si>
  <si>
    <t>Chandigarh</t>
  </si>
  <si>
    <t>C1012</t>
  </si>
  <si>
    <t>Harsh Tiwari</t>
  </si>
  <si>
    <t>Ahmedabad</t>
  </si>
  <si>
    <t>C1013</t>
  </si>
  <si>
    <t>Payal Yadav</t>
  </si>
  <si>
    <t>Bangalore</t>
  </si>
  <si>
    <t>C1014</t>
  </si>
  <si>
    <t>Aditi Nair</t>
  </si>
  <si>
    <t>No Internet</t>
  </si>
  <si>
    <t>C1015</t>
  </si>
  <si>
    <t>Rohit Saxena</t>
  </si>
  <si>
    <t>C1016</t>
  </si>
  <si>
    <t>Harsh Rao</t>
  </si>
  <si>
    <t>Indore</t>
  </si>
  <si>
    <t>Monthly missing; Tenure missing</t>
  </si>
  <si>
    <t>C1017</t>
  </si>
  <si>
    <t>Rajesh Nair</t>
  </si>
  <si>
    <t>C1018</t>
  </si>
  <si>
    <t>Komal Mehta</t>
  </si>
  <si>
    <t>C1019</t>
  </si>
  <si>
    <t>Karan Saxena</t>
  </si>
  <si>
    <t>C1020</t>
  </si>
  <si>
    <t>Anjali Nair</t>
  </si>
  <si>
    <t>C1021</t>
  </si>
  <si>
    <t>Sonal Reddy</t>
  </si>
  <si>
    <t>C1022</t>
  </si>
  <si>
    <t>Deepika Rao</t>
  </si>
  <si>
    <t>C1023</t>
  </si>
  <si>
    <t>Pooja Mehta</t>
  </si>
  <si>
    <t>C1024</t>
  </si>
  <si>
    <t>Payal Jain</t>
  </si>
  <si>
    <t>C1025</t>
  </si>
  <si>
    <t>Anjali Bose</t>
  </si>
  <si>
    <t>Lucknow</t>
  </si>
  <si>
    <t>C1026</t>
  </si>
  <si>
    <t>Deepika Saxena</t>
  </si>
  <si>
    <t>C1027</t>
  </si>
  <si>
    <t>Rahul Kapoor</t>
  </si>
  <si>
    <t>C1028</t>
  </si>
  <si>
    <t>C1029</t>
  </si>
  <si>
    <t>Anjali Singh</t>
  </si>
  <si>
    <t>C1030</t>
  </si>
  <si>
    <t>Suresh Jain</t>
  </si>
  <si>
    <t>C1031</t>
  </si>
  <si>
    <t>Suresh Gupta</t>
  </si>
  <si>
    <t>C1032</t>
  </si>
  <si>
    <t>Tanvi Mishra</t>
  </si>
  <si>
    <t>Kolkata</t>
  </si>
  <si>
    <t>C1033</t>
  </si>
  <si>
    <t>Riya Agarwal</t>
  </si>
  <si>
    <t>C1034</t>
  </si>
  <si>
    <t>Ritu Malhotra</t>
  </si>
  <si>
    <t>Kochi</t>
  </si>
  <si>
    <t>C1035</t>
  </si>
  <si>
    <t>Isha Iyer</t>
  </si>
  <si>
    <t>C1036</t>
  </si>
  <si>
    <t>Isha Chopra</t>
  </si>
  <si>
    <t>C1037</t>
  </si>
  <si>
    <t>Karan Yadav</t>
  </si>
  <si>
    <t>C1038</t>
  </si>
  <si>
    <t>Sneha Pandey</t>
  </si>
  <si>
    <t>C1039</t>
  </si>
  <si>
    <t>Riya Joshi</t>
  </si>
  <si>
    <t>C1040</t>
  </si>
  <si>
    <t>Sonal Singh</t>
  </si>
  <si>
    <t>C1041</t>
  </si>
  <si>
    <t>Harsh Iyer</t>
  </si>
  <si>
    <t>C1042</t>
  </si>
  <si>
    <t>Meera Saxena</t>
  </si>
  <si>
    <t>C1043</t>
  </si>
  <si>
    <t>Rohit Sharma</t>
  </si>
  <si>
    <t>C1044</t>
  </si>
  <si>
    <t>Komal Rao</t>
  </si>
  <si>
    <t>C1045</t>
  </si>
  <si>
    <t>Sneha Mishra</t>
  </si>
  <si>
    <t>C1046</t>
  </si>
  <si>
    <t>C1047</t>
  </si>
  <si>
    <t>C1048</t>
  </si>
  <si>
    <t>Rohit Singh</t>
  </si>
  <si>
    <t>C1049</t>
  </si>
  <si>
    <t>Sanjay Tiwari</t>
  </si>
  <si>
    <t>C1050</t>
  </si>
  <si>
    <t>Nisha Mishra</t>
  </si>
  <si>
    <t>Bhopal</t>
  </si>
  <si>
    <t>C1051</t>
  </si>
  <si>
    <t>Swati Saxena</t>
  </si>
  <si>
    <t>C1052</t>
  </si>
  <si>
    <t>Vikram Chopra</t>
  </si>
  <si>
    <t>C1053</t>
  </si>
  <si>
    <t>Kavita Tiwari</t>
  </si>
  <si>
    <t>C1054</t>
  </si>
  <si>
    <t>Rahul Nair</t>
  </si>
  <si>
    <t>C1055</t>
  </si>
  <si>
    <t>Kavita Patel</t>
  </si>
  <si>
    <t>C1056</t>
  </si>
  <si>
    <t>Harsh Bose</t>
  </si>
  <si>
    <t>C1057</t>
  </si>
  <si>
    <t>Riya Reddy</t>
  </si>
  <si>
    <t>C1058</t>
  </si>
  <si>
    <t>Vivek Desai</t>
  </si>
  <si>
    <t>C1059</t>
  </si>
  <si>
    <t>Riya Mishra</t>
  </si>
  <si>
    <t>C1060</t>
  </si>
  <si>
    <t>Shreya Nair</t>
  </si>
  <si>
    <t>C1061</t>
  </si>
  <si>
    <t>C1062</t>
  </si>
  <si>
    <t>Sonal Nair</t>
  </si>
  <si>
    <t>C1063</t>
  </si>
  <si>
    <t>Tanvi Patel</t>
  </si>
  <si>
    <t>C1064</t>
  </si>
  <si>
    <t>Kavita Nair</t>
  </si>
  <si>
    <t>C1065</t>
  </si>
  <si>
    <t>Kavita Agarwal</t>
  </si>
  <si>
    <t>C1066</t>
  </si>
  <si>
    <t>Priya Pandey</t>
  </si>
  <si>
    <t>C1067</t>
  </si>
  <si>
    <t>Anjali Sharma</t>
  </si>
  <si>
    <t>C1068</t>
  </si>
  <si>
    <t>Komal Kumar</t>
  </si>
  <si>
    <t>C1069</t>
  </si>
  <si>
    <t>Riya Yadav</t>
  </si>
  <si>
    <t>C1070</t>
  </si>
  <si>
    <t>Pankaj Agarwal</t>
  </si>
  <si>
    <t>C1071</t>
  </si>
  <si>
    <t>Rahul Tiwari</t>
  </si>
  <si>
    <t>C1072</t>
  </si>
  <si>
    <t>Manish Malhotra</t>
  </si>
  <si>
    <t>C1073</t>
  </si>
  <si>
    <t>Pooja Kumar</t>
  </si>
  <si>
    <t>C1074</t>
  </si>
  <si>
    <t>Kavita Jain</t>
  </si>
  <si>
    <t>C1075</t>
  </si>
  <si>
    <t>Rajesh Bose</t>
  </si>
  <si>
    <t>C1076</t>
  </si>
  <si>
    <t>Kavita Gupta</t>
  </si>
  <si>
    <t>C1077</t>
  </si>
  <si>
    <t>Arjun Joshi</t>
  </si>
  <si>
    <t>C1078</t>
  </si>
  <si>
    <t>Kavita Joshi</t>
  </si>
  <si>
    <t>C1079</t>
  </si>
  <si>
    <t>Mohit Patel</t>
  </si>
  <si>
    <t>C1080</t>
  </si>
  <si>
    <t>Komal Reddy</t>
  </si>
  <si>
    <t>C1081</t>
  </si>
  <si>
    <t>Karan Kapoor</t>
  </si>
  <si>
    <t>C1082</t>
  </si>
  <si>
    <t>Ritu Kapoor</t>
  </si>
  <si>
    <t>C1083</t>
  </si>
  <si>
    <t>Swati Jain</t>
  </si>
  <si>
    <t>C1084</t>
  </si>
  <si>
    <t>Isha Joshi</t>
  </si>
  <si>
    <t>C1085</t>
  </si>
  <si>
    <t>Sneha Joshi</t>
  </si>
  <si>
    <t>C1086</t>
  </si>
  <si>
    <t>Mohit Bose</t>
  </si>
  <si>
    <t>C1087</t>
  </si>
  <si>
    <t>Total missing; Tenure missing</t>
  </si>
  <si>
    <t>C1088</t>
  </si>
  <si>
    <t>Swati Chopra</t>
  </si>
  <si>
    <t>C1089</t>
  </si>
  <si>
    <t>Vivek Reddy</t>
  </si>
  <si>
    <t>C1090</t>
  </si>
  <si>
    <t>Harsh Patel</t>
  </si>
  <si>
    <t>C1091</t>
  </si>
  <si>
    <t>C1092</t>
  </si>
  <si>
    <t>Aditi Saxena</t>
  </si>
  <si>
    <t>C1093</t>
  </si>
  <si>
    <t>C1094</t>
  </si>
  <si>
    <t>Kavita Sharma</t>
  </si>
  <si>
    <t>C1095</t>
  </si>
  <si>
    <t>Ritu Yadav</t>
  </si>
  <si>
    <t>C1096</t>
  </si>
  <si>
    <t>Harsh Kapoor</t>
  </si>
  <si>
    <t>C1097</t>
  </si>
  <si>
    <t>C1098</t>
  </si>
  <si>
    <t>Rohit Nair</t>
  </si>
  <si>
    <t>C1099</t>
  </si>
  <si>
    <t>Ankit Patel</t>
  </si>
  <si>
    <t>C1100</t>
  </si>
  <si>
    <t>Riya Nair</t>
  </si>
  <si>
    <t>C1101</t>
  </si>
  <si>
    <t>C1102</t>
  </si>
  <si>
    <t>Vivek Chopra</t>
  </si>
  <si>
    <t>C1103</t>
  </si>
  <si>
    <t>Aman Reddy</t>
  </si>
  <si>
    <t>C1104</t>
  </si>
  <si>
    <t>Neha Saxena</t>
  </si>
  <si>
    <t>C1105</t>
  </si>
  <si>
    <t>Vikram Mishra</t>
  </si>
  <si>
    <t>C1106</t>
  </si>
  <si>
    <t>Rohit Mishra</t>
  </si>
  <si>
    <t>C1107</t>
  </si>
  <si>
    <t>Priya Gupta</t>
  </si>
  <si>
    <t>C1108</t>
  </si>
  <si>
    <t>Ankit Jain</t>
  </si>
  <si>
    <t>C1109</t>
  </si>
  <si>
    <t>Gaurav Rao</t>
  </si>
  <si>
    <t>C1110</t>
  </si>
  <si>
    <t>Suresh Yadav</t>
  </si>
  <si>
    <t>C1111</t>
  </si>
  <si>
    <t>Karan Chopra</t>
  </si>
  <si>
    <t>C1112</t>
  </si>
  <si>
    <t>Nisha Agarwal</t>
  </si>
  <si>
    <t>C1113</t>
  </si>
  <si>
    <t>Vikram Tiwari</t>
  </si>
  <si>
    <t>C1114</t>
  </si>
  <si>
    <t>Vivek Patel</t>
  </si>
  <si>
    <t>C1115</t>
  </si>
  <si>
    <t>C1116</t>
  </si>
  <si>
    <t>Sonal Yadav</t>
  </si>
  <si>
    <t>C1117</t>
  </si>
  <si>
    <t>Isha Sharma</t>
  </si>
  <si>
    <t>C1118</t>
  </si>
  <si>
    <t>Deepak Tiwari</t>
  </si>
  <si>
    <t>C1119</t>
  </si>
  <si>
    <t>Arjun Yadav</t>
  </si>
  <si>
    <t>C1120</t>
  </si>
  <si>
    <t>Aman Tiwari</t>
  </si>
  <si>
    <t>C1121</t>
  </si>
  <si>
    <t>Rahul Mehta</t>
  </si>
  <si>
    <t>C1122</t>
  </si>
  <si>
    <t>Rohit Rao</t>
  </si>
  <si>
    <t>C1123</t>
  </si>
  <si>
    <t>Vivek Sharma</t>
  </si>
  <si>
    <t>C1124</t>
  </si>
  <si>
    <t>Nikhil Gupta</t>
  </si>
  <si>
    <t>C1125</t>
  </si>
  <si>
    <t>Payal Kumar</t>
  </si>
  <si>
    <t>C1126</t>
  </si>
  <si>
    <t>Aman Patel</t>
  </si>
  <si>
    <t>C1127</t>
  </si>
  <si>
    <t>Arjun Chopra</t>
  </si>
  <si>
    <t>C1128</t>
  </si>
  <si>
    <t>Pooja Kapoor</t>
  </si>
  <si>
    <t>C1129</t>
  </si>
  <si>
    <t>Shreya Verma</t>
  </si>
  <si>
    <t>C1130</t>
  </si>
  <si>
    <t>Ankit Bose</t>
  </si>
  <si>
    <t>C1131</t>
  </si>
  <si>
    <t>Neha Jain</t>
  </si>
  <si>
    <t>C1132</t>
  </si>
  <si>
    <t>Divya Tiwari</t>
  </si>
  <si>
    <t>C1133</t>
  </si>
  <si>
    <t>C1134</t>
  </si>
  <si>
    <t>Aditi Chopra</t>
  </si>
  <si>
    <t>C1135</t>
  </si>
  <si>
    <t>Mohit Kumar</t>
  </si>
  <si>
    <t>C1136</t>
  </si>
  <si>
    <t>Deepika Nair</t>
  </si>
  <si>
    <t>C1137</t>
  </si>
  <si>
    <t>Nikhil Yadav</t>
  </si>
  <si>
    <t>C1138</t>
  </si>
  <si>
    <t>Isha Saxena</t>
  </si>
  <si>
    <t>C1139</t>
  </si>
  <si>
    <t>Deepika Patel</t>
  </si>
  <si>
    <t>C1140</t>
  </si>
  <si>
    <t>Pankaj Singh</t>
  </si>
  <si>
    <t>C1141</t>
  </si>
  <si>
    <t>Arjun Malhotra</t>
  </si>
  <si>
    <t>C1142</t>
  </si>
  <si>
    <t>Deepak Jain</t>
  </si>
  <si>
    <t>C1143</t>
  </si>
  <si>
    <t>Pooja Singh</t>
  </si>
  <si>
    <t>C1144</t>
  </si>
  <si>
    <t>Rahul Malhotra</t>
  </si>
  <si>
    <t>C1145</t>
  </si>
  <si>
    <t>Anjali Verma</t>
  </si>
  <si>
    <t>C1146</t>
  </si>
  <si>
    <t>Rohit Iyer</t>
  </si>
  <si>
    <t>C1147</t>
  </si>
  <si>
    <t>Mohit Mishra</t>
  </si>
  <si>
    <t>C1148</t>
  </si>
  <si>
    <t>Priya Patel</t>
  </si>
  <si>
    <t>C1149</t>
  </si>
  <si>
    <t>Amit Patel</t>
  </si>
  <si>
    <t>C1150</t>
  </si>
  <si>
    <t>Sneha Iyer</t>
  </si>
  <si>
    <t>C1151</t>
  </si>
  <si>
    <t>Kavita Verma</t>
  </si>
  <si>
    <t>C1152</t>
  </si>
  <si>
    <t>Nisha Rao</t>
  </si>
  <si>
    <t>C1153</t>
  </si>
  <si>
    <t>Neha Agarwal</t>
  </si>
  <si>
    <t>C1154</t>
  </si>
  <si>
    <t>Aditi Kapoor</t>
  </si>
  <si>
    <t>C1155</t>
  </si>
  <si>
    <t>Sneha Kumar</t>
  </si>
  <si>
    <t>C1156</t>
  </si>
  <si>
    <t>Sneha Singh</t>
  </si>
  <si>
    <t>C1157</t>
  </si>
  <si>
    <t>Isha Kapoor</t>
  </si>
  <si>
    <t>C1158</t>
  </si>
  <si>
    <t>Arjun Desai</t>
  </si>
  <si>
    <t>C1159</t>
  </si>
  <si>
    <t>Deepika Reddy</t>
  </si>
  <si>
    <t>C1160</t>
  </si>
  <si>
    <t>Sachin Mishra</t>
  </si>
  <si>
    <t>C1161</t>
  </si>
  <si>
    <t>Manish Desai</t>
  </si>
  <si>
    <t>C1162</t>
  </si>
  <si>
    <t>Payal Tiwari</t>
  </si>
  <si>
    <t>C1163</t>
  </si>
  <si>
    <t>Pooja Mishra</t>
  </si>
  <si>
    <t>C1164</t>
  </si>
  <si>
    <t>Harsh Gupta</t>
  </si>
  <si>
    <t>C1165</t>
  </si>
  <si>
    <t>Pooja Chopra</t>
  </si>
  <si>
    <t>C1166</t>
  </si>
  <si>
    <t>Tanvi Verma</t>
  </si>
  <si>
    <t>C1167</t>
  </si>
  <si>
    <t>Riya Chopra</t>
  </si>
  <si>
    <t>C1168</t>
  </si>
  <si>
    <t>C1169</t>
  </si>
  <si>
    <t>Divya Singh</t>
  </si>
  <si>
    <t>C1170</t>
  </si>
  <si>
    <t>Amit Iyer</t>
  </si>
  <si>
    <t>C1171</t>
  </si>
  <si>
    <t>Gaurav Jain</t>
  </si>
  <si>
    <t>C1172</t>
  </si>
  <si>
    <t>Sneha Verma</t>
  </si>
  <si>
    <t>C1173</t>
  </si>
  <si>
    <t>Suresh Agarwal</t>
  </si>
  <si>
    <t>C1174</t>
  </si>
  <si>
    <t>C1175</t>
  </si>
  <si>
    <t>C1176</t>
  </si>
  <si>
    <t>Komal Jain</t>
  </si>
  <si>
    <t>C1177</t>
  </si>
  <si>
    <t>Tanvi Joshi</t>
  </si>
  <si>
    <t>C1178</t>
  </si>
  <si>
    <t>Vivek Bose</t>
  </si>
  <si>
    <t>C1179</t>
  </si>
  <si>
    <t>Amit Bose</t>
  </si>
  <si>
    <t>C1180</t>
  </si>
  <si>
    <t>Sanjay Sharma</t>
  </si>
  <si>
    <t>C1181</t>
  </si>
  <si>
    <t>Rohit Jain</t>
  </si>
  <si>
    <t>C1182</t>
  </si>
  <si>
    <t>Sonal Patel</t>
  </si>
  <si>
    <t>C1183</t>
  </si>
  <si>
    <t>Ritu Iyer</t>
  </si>
  <si>
    <t>C1184</t>
  </si>
  <si>
    <t>Aditi Reddy</t>
  </si>
  <si>
    <t>C1185</t>
  </si>
  <si>
    <t>Aman Kapoor</t>
  </si>
  <si>
    <t>C1186</t>
  </si>
  <si>
    <t>C1187</t>
  </si>
  <si>
    <t>Rahul Mishra</t>
  </si>
  <si>
    <t>C1188</t>
  </si>
  <si>
    <t>C1189</t>
  </si>
  <si>
    <t>Meera Verma</t>
  </si>
  <si>
    <t>C1190</t>
  </si>
  <si>
    <t>C1191</t>
  </si>
  <si>
    <t>C1192</t>
  </si>
  <si>
    <t>C1193</t>
  </si>
  <si>
    <t>Gaurav Joshi</t>
  </si>
  <si>
    <t>C1194</t>
  </si>
  <si>
    <t>Isha Pandey</t>
  </si>
  <si>
    <t>C1195</t>
  </si>
  <si>
    <t>Anjali Chopra</t>
  </si>
  <si>
    <t>C1196</t>
  </si>
  <si>
    <t>Nisha Pandey</t>
  </si>
  <si>
    <t>C1197</t>
  </si>
  <si>
    <t>Payal Pandey</t>
  </si>
  <si>
    <t>C1198</t>
  </si>
  <si>
    <t>Payal Kapoor</t>
  </si>
  <si>
    <t>C1199</t>
  </si>
  <si>
    <t>Shreya Bose</t>
  </si>
  <si>
    <t>C1200</t>
  </si>
  <si>
    <t>Rajesh Kumar</t>
  </si>
  <si>
    <t>C1201</t>
  </si>
  <si>
    <t>C1202</t>
  </si>
  <si>
    <t>Anjali Gupta</t>
  </si>
  <si>
    <t>C1203</t>
  </si>
  <si>
    <t>Sonal Rao</t>
  </si>
  <si>
    <t>C1204</t>
  </si>
  <si>
    <t>Riya Sharma</t>
  </si>
  <si>
    <t>C1205</t>
  </si>
  <si>
    <t>C1206</t>
  </si>
  <si>
    <t>Tanvi Yadav</t>
  </si>
  <si>
    <t>C1207</t>
  </si>
  <si>
    <t>Sachin Bose</t>
  </si>
  <si>
    <t>C1208</t>
  </si>
  <si>
    <t>Payal Joshi</t>
  </si>
  <si>
    <t>C1209</t>
  </si>
  <si>
    <t>C1210</t>
  </si>
  <si>
    <t>C1211</t>
  </si>
  <si>
    <t>Sanjay Bose</t>
  </si>
  <si>
    <t>C1212</t>
  </si>
  <si>
    <t>Gaurav Nair</t>
  </si>
  <si>
    <t>C1213</t>
  </si>
  <si>
    <t>Aditi Malhotra</t>
  </si>
  <si>
    <t>C1214</t>
  </si>
  <si>
    <t>Nisha Verma</t>
  </si>
  <si>
    <t>C1215</t>
  </si>
  <si>
    <t>Sanjay Joshi</t>
  </si>
  <si>
    <t>C1216</t>
  </si>
  <si>
    <t>Komal Kapoor</t>
  </si>
  <si>
    <t>C1217</t>
  </si>
  <si>
    <t>Vikram Saxena</t>
  </si>
  <si>
    <t>C1218</t>
  </si>
  <si>
    <t>Isha Verma</t>
  </si>
  <si>
    <t>C1219</t>
  </si>
  <si>
    <t>Priya Sharma</t>
  </si>
  <si>
    <t>C1220</t>
  </si>
  <si>
    <t>Karan Reddy</t>
  </si>
  <si>
    <t>C1221</t>
  </si>
  <si>
    <t>Divya Kapoor</t>
  </si>
  <si>
    <t>C1222</t>
  </si>
  <si>
    <t>Sonal Desai</t>
  </si>
  <si>
    <t>C1223</t>
  </si>
  <si>
    <t>Mohit Verma</t>
  </si>
  <si>
    <t>C1224</t>
  </si>
  <si>
    <t>C1225</t>
  </si>
  <si>
    <t>Sonal Joshi</t>
  </si>
  <si>
    <t>C1226</t>
  </si>
  <si>
    <t>Vikram Joshi</t>
  </si>
  <si>
    <t>C1227</t>
  </si>
  <si>
    <t>Ritu Patel</t>
  </si>
  <si>
    <t>C1228</t>
  </si>
  <si>
    <t>Vikram Malhotra</t>
  </si>
  <si>
    <t>C1229</t>
  </si>
  <si>
    <t>Isha Malhotra</t>
  </si>
  <si>
    <t>C1230</t>
  </si>
  <si>
    <t>Sonal Kumar</t>
  </si>
  <si>
    <t>C1231</t>
  </si>
  <si>
    <t>Rajesh Jain</t>
  </si>
  <si>
    <t>C1232</t>
  </si>
  <si>
    <t>Nisha Iyer</t>
  </si>
  <si>
    <t>C1233</t>
  </si>
  <si>
    <t>C1234</t>
  </si>
  <si>
    <t>Harsh Joshi</t>
  </si>
  <si>
    <t>C1235</t>
  </si>
  <si>
    <t>Nikhil Rao</t>
  </si>
  <si>
    <t>C1236</t>
  </si>
  <si>
    <t>Ankit Pandey</t>
  </si>
  <si>
    <t>C1237</t>
  </si>
  <si>
    <t>C1238</t>
  </si>
  <si>
    <t>Sonal Verma</t>
  </si>
  <si>
    <t>C1239</t>
  </si>
  <si>
    <t>Meera Chopra</t>
  </si>
  <si>
    <t>C1240</t>
  </si>
  <si>
    <t>Ritu Jain</t>
  </si>
  <si>
    <t>C1241</t>
  </si>
  <si>
    <t>Aman Sharma</t>
  </si>
  <si>
    <t>C1242</t>
  </si>
  <si>
    <t>Deepika Jain</t>
  </si>
  <si>
    <t>C1243</t>
  </si>
  <si>
    <t>Rahul Joshi</t>
  </si>
  <si>
    <t>C1244</t>
  </si>
  <si>
    <t>C1245</t>
  </si>
  <si>
    <t>Divya Sharma</t>
  </si>
  <si>
    <t>C1246</t>
  </si>
  <si>
    <t>C1247</t>
  </si>
  <si>
    <t>C1248</t>
  </si>
  <si>
    <t>Manish Iyer</t>
  </si>
  <si>
    <t>C1249</t>
  </si>
  <si>
    <t>Gaurav Chopra</t>
  </si>
  <si>
    <t>C1250</t>
  </si>
  <si>
    <t>Shreya Yadav</t>
  </si>
  <si>
    <t>C1251</t>
  </si>
  <si>
    <t>Nisha Saxena</t>
  </si>
  <si>
    <t>C1252</t>
  </si>
  <si>
    <t>Sneha Malhotra</t>
  </si>
  <si>
    <t>C1253</t>
  </si>
  <si>
    <t>Suresh Mishra</t>
  </si>
  <si>
    <t>C1254</t>
  </si>
  <si>
    <t>Harsh Verma</t>
  </si>
  <si>
    <t>C1255</t>
  </si>
  <si>
    <t>C1256</t>
  </si>
  <si>
    <t>Nikhil Pandey</t>
  </si>
  <si>
    <t>C1257</t>
  </si>
  <si>
    <t>C1258</t>
  </si>
  <si>
    <t>Komal Singh</t>
  </si>
  <si>
    <t>C1259</t>
  </si>
  <si>
    <t>C1260</t>
  </si>
  <si>
    <t>Deepika Tiwari</t>
  </si>
  <si>
    <t>C1261</t>
  </si>
  <si>
    <t>C1262</t>
  </si>
  <si>
    <t>Deepika Pandey</t>
  </si>
  <si>
    <t>C1263</t>
  </si>
  <si>
    <t>Amit Rao</t>
  </si>
  <si>
    <t>C1264</t>
  </si>
  <si>
    <t>Rohit Bose</t>
  </si>
  <si>
    <t>C1265</t>
  </si>
  <si>
    <t>Manish Rao</t>
  </si>
  <si>
    <t>C1266</t>
  </si>
  <si>
    <t>Rohit Kumar</t>
  </si>
  <si>
    <t>C1267</t>
  </si>
  <si>
    <t>Riya Saxena</t>
  </si>
  <si>
    <t>C1268</t>
  </si>
  <si>
    <t>Swati Singh</t>
  </si>
  <si>
    <t>C1269</t>
  </si>
  <si>
    <t>Harsh Mehta</t>
  </si>
  <si>
    <t>C1270</t>
  </si>
  <si>
    <t>C1271</t>
  </si>
  <si>
    <t>Monthly missing; Total missing</t>
  </si>
  <si>
    <t>C1272</t>
  </si>
  <si>
    <t>C1273</t>
  </si>
  <si>
    <t>Suresh Kumar</t>
  </si>
  <si>
    <t>C1274</t>
  </si>
  <si>
    <t>Harsh Pandey</t>
  </si>
  <si>
    <t>C1275</t>
  </si>
  <si>
    <t>Harsh Saxena</t>
  </si>
  <si>
    <t>C1276</t>
  </si>
  <si>
    <t>Meera Patel</t>
  </si>
  <si>
    <t>C1277</t>
  </si>
  <si>
    <t>Suresh Pandey</t>
  </si>
  <si>
    <t>C1278</t>
  </si>
  <si>
    <t>C1279</t>
  </si>
  <si>
    <t>C1280</t>
  </si>
  <si>
    <t>Swati Malhotra</t>
  </si>
  <si>
    <t>C1281</t>
  </si>
  <si>
    <t>Ankit Iyer</t>
  </si>
  <si>
    <t>C1282</t>
  </si>
  <si>
    <t>C1283</t>
  </si>
  <si>
    <t>Priya Nair</t>
  </si>
  <si>
    <t>C1284</t>
  </si>
  <si>
    <t>C1285</t>
  </si>
  <si>
    <t>C1286</t>
  </si>
  <si>
    <t>C1287</t>
  </si>
  <si>
    <t>C1288</t>
  </si>
  <si>
    <t>Deepika Kapoor</t>
  </si>
  <si>
    <t>C1289</t>
  </si>
  <si>
    <t>C1290</t>
  </si>
  <si>
    <t>Deepak Kapoor</t>
  </si>
  <si>
    <t>C1291</t>
  </si>
  <si>
    <t>Rohit Mehta</t>
  </si>
  <si>
    <t>C1292</t>
  </si>
  <si>
    <t>Rahul Kumar</t>
  </si>
  <si>
    <t>C1293</t>
  </si>
  <si>
    <t>Divya Desai</t>
  </si>
  <si>
    <t>C1294</t>
  </si>
  <si>
    <t>Pankaj Yadav</t>
  </si>
  <si>
    <t>C1295</t>
  </si>
  <si>
    <t>Deepika Chopra</t>
  </si>
  <si>
    <t>C1296</t>
  </si>
  <si>
    <t>C1297</t>
  </si>
  <si>
    <t>Sneha Desai</t>
  </si>
  <si>
    <t>C1298</t>
  </si>
  <si>
    <t>Manish Bose</t>
  </si>
  <si>
    <t>C1299</t>
  </si>
  <si>
    <t>Tanvi Sharma</t>
  </si>
  <si>
    <t>C1300</t>
  </si>
  <si>
    <t>C1301</t>
  </si>
  <si>
    <t>Meera Joshi</t>
  </si>
  <si>
    <t>C1302</t>
  </si>
  <si>
    <t>Divya Bose</t>
  </si>
  <si>
    <t>C1303</t>
  </si>
  <si>
    <t>Ritu Saxena</t>
  </si>
  <si>
    <t>C1304</t>
  </si>
  <si>
    <t>Monthly missing; Total missing; Date missing</t>
  </si>
  <si>
    <t>C1305</t>
  </si>
  <si>
    <t>Nikhil Agarwal</t>
  </si>
  <si>
    <t>C1306</t>
  </si>
  <si>
    <t>Manish Pandey</t>
  </si>
  <si>
    <t>C1307</t>
  </si>
  <si>
    <t>C1308</t>
  </si>
  <si>
    <t>Harsh Sharma</t>
  </si>
  <si>
    <t>C1309</t>
  </si>
  <si>
    <t>C1310</t>
  </si>
  <si>
    <t>C1311</t>
  </si>
  <si>
    <t>C1312</t>
  </si>
  <si>
    <t>Sanjay Gupta</t>
  </si>
  <si>
    <t>C1313</t>
  </si>
  <si>
    <t>Neha Chopra</t>
  </si>
  <si>
    <t>C1314</t>
  </si>
  <si>
    <t>C1315</t>
  </si>
  <si>
    <t>Sachin Verma</t>
  </si>
  <si>
    <t>C1316</t>
  </si>
  <si>
    <t>Aditi Kumar</t>
  </si>
  <si>
    <t>C1317</t>
  </si>
  <si>
    <t>Meera Gupta</t>
  </si>
  <si>
    <t>C1318</t>
  </si>
  <si>
    <t>Pankaj Malhotra</t>
  </si>
  <si>
    <t>C1319</t>
  </si>
  <si>
    <t>C1320</t>
  </si>
  <si>
    <t>Karan Bose</t>
  </si>
  <si>
    <t>C1321</t>
  </si>
  <si>
    <t>Sneha Gupta</t>
  </si>
  <si>
    <t>C1322</t>
  </si>
  <si>
    <t>Amit Agarwal</t>
  </si>
  <si>
    <t>C1323</t>
  </si>
  <si>
    <t>Manish Singh</t>
  </si>
  <si>
    <t>C1324</t>
  </si>
  <si>
    <t>C1325</t>
  </si>
  <si>
    <t>C1326</t>
  </si>
  <si>
    <t>Deepika Malhotra</t>
  </si>
  <si>
    <t>C1327</t>
  </si>
  <si>
    <t>Meera Desai</t>
  </si>
  <si>
    <t>C1328</t>
  </si>
  <si>
    <t>Arjun Bose</t>
  </si>
  <si>
    <t>C1329</t>
  </si>
  <si>
    <t>Gaurav Singh</t>
  </si>
  <si>
    <t>C1330</t>
  </si>
  <si>
    <t>C1331</t>
  </si>
  <si>
    <t>Mohit Saxena</t>
  </si>
  <si>
    <t>C1332</t>
  </si>
  <si>
    <t>C1333</t>
  </si>
  <si>
    <t>Pankaj Rao</t>
  </si>
  <si>
    <t>C1334</t>
  </si>
  <si>
    <t>Rajesh Pandey</t>
  </si>
  <si>
    <t>C1335</t>
  </si>
  <si>
    <t>C1336</t>
  </si>
  <si>
    <t>Nikhil Chopra</t>
  </si>
  <si>
    <t>C1337</t>
  </si>
  <si>
    <t>Shreya Reddy</t>
  </si>
  <si>
    <t>C1338</t>
  </si>
  <si>
    <t>Payal Iyer</t>
  </si>
  <si>
    <t>C1339</t>
  </si>
  <si>
    <t>C1340</t>
  </si>
  <si>
    <t>C1341</t>
  </si>
  <si>
    <t>C1342</t>
  </si>
  <si>
    <t>Manish Nair</t>
  </si>
  <si>
    <t>C1343</t>
  </si>
  <si>
    <t>C1344</t>
  </si>
  <si>
    <t>C1345</t>
  </si>
  <si>
    <t>Deepak Chopra</t>
  </si>
  <si>
    <t>C1346</t>
  </si>
  <si>
    <t>Shreya Rao</t>
  </si>
  <si>
    <t>C1347</t>
  </si>
  <si>
    <t>Mohit Malhotra</t>
  </si>
  <si>
    <t>C1348</t>
  </si>
  <si>
    <t>Gaurav Mehta</t>
  </si>
  <si>
    <t>C1349</t>
  </si>
  <si>
    <t>C1350</t>
  </si>
  <si>
    <t>C1351</t>
  </si>
  <si>
    <t>C1352</t>
  </si>
  <si>
    <t>Nikhil Patel</t>
  </si>
  <si>
    <t>C1353</t>
  </si>
  <si>
    <t>Shreya Malhotra</t>
  </si>
  <si>
    <t>C1354</t>
  </si>
  <si>
    <t>Arjun Reddy</t>
  </si>
  <si>
    <t>C1355</t>
  </si>
  <si>
    <t>Rohit Desai</t>
  </si>
  <si>
    <t>C1356</t>
  </si>
  <si>
    <t>Nikhil Jain</t>
  </si>
  <si>
    <t>C1357</t>
  </si>
  <si>
    <t>Rahul Chopra</t>
  </si>
  <si>
    <t>C1358</t>
  </si>
  <si>
    <t>Sneha Jain</t>
  </si>
  <si>
    <t>C1359</t>
  </si>
  <si>
    <t>Gaurav Kapoor</t>
  </si>
  <si>
    <t>C1360</t>
  </si>
  <si>
    <t>Vikram Yadav</t>
  </si>
  <si>
    <t>C1361</t>
  </si>
  <si>
    <t>Manish Kapoor</t>
  </si>
  <si>
    <t>C1362</t>
  </si>
  <si>
    <t>C1363</t>
  </si>
  <si>
    <t>Pooja Pandey</t>
  </si>
  <si>
    <t>C1364</t>
  </si>
  <si>
    <t>Nikhil Reddy</t>
  </si>
  <si>
    <t>C1365</t>
  </si>
  <si>
    <t>Gaurav Sharma</t>
  </si>
  <si>
    <t>C1366</t>
  </si>
  <si>
    <t>Karan Rao</t>
  </si>
  <si>
    <t>C1367</t>
  </si>
  <si>
    <t>Shreya Singh</t>
  </si>
  <si>
    <t>C1368</t>
  </si>
  <si>
    <t>Sanjay Mehta</t>
  </si>
  <si>
    <t>C1369</t>
  </si>
  <si>
    <t>Anjali Patel</t>
  </si>
  <si>
    <t>C1370</t>
  </si>
  <si>
    <t>Priya Jain</t>
  </si>
  <si>
    <t>C1371</t>
  </si>
  <si>
    <t>Pooja Verma</t>
  </si>
  <si>
    <t>C1372</t>
  </si>
  <si>
    <t>Sachin Rao</t>
  </si>
  <si>
    <t>C1373</t>
  </si>
  <si>
    <t>Swati Mishra</t>
  </si>
  <si>
    <t>C1374</t>
  </si>
  <si>
    <t>Sanjay Iyer</t>
  </si>
  <si>
    <t>C1375</t>
  </si>
  <si>
    <t>Sonal Malhotra</t>
  </si>
  <si>
    <t>C1376</t>
  </si>
  <si>
    <t>Riya Verma</t>
  </si>
  <si>
    <t>C1377</t>
  </si>
  <si>
    <t>Payal Nair</t>
  </si>
  <si>
    <t>C1378</t>
  </si>
  <si>
    <t>Nikhil Joshi</t>
  </si>
  <si>
    <t>C1379</t>
  </si>
  <si>
    <t>Ritu Chopra</t>
  </si>
  <si>
    <t>C1380</t>
  </si>
  <si>
    <t>C1381</t>
  </si>
  <si>
    <t>C1382</t>
  </si>
  <si>
    <t>C1383</t>
  </si>
  <si>
    <t>C1384</t>
  </si>
  <si>
    <t>C1385</t>
  </si>
  <si>
    <t>Rajesh Verma</t>
  </si>
  <si>
    <t>C1386</t>
  </si>
  <si>
    <t>Divya Rao</t>
  </si>
  <si>
    <t>C1387</t>
  </si>
  <si>
    <t>C1388</t>
  </si>
  <si>
    <t>Rajesh Yadav</t>
  </si>
  <si>
    <t>C1389</t>
  </si>
  <si>
    <t>Arjun Gupta</t>
  </si>
  <si>
    <t>C1390</t>
  </si>
  <si>
    <t>C1391</t>
  </si>
  <si>
    <t>Karan Iyer</t>
  </si>
  <si>
    <t>C1392</t>
  </si>
  <si>
    <t>Swati Tiwari</t>
  </si>
  <si>
    <t>C1393</t>
  </si>
  <si>
    <t>Nikhil Desai</t>
  </si>
  <si>
    <t>C1394</t>
  </si>
  <si>
    <t>Sachin Mehta</t>
  </si>
  <si>
    <t>C1395</t>
  </si>
  <si>
    <t>C1396</t>
  </si>
  <si>
    <t>C1397</t>
  </si>
  <si>
    <t>Ankit Gupta</t>
  </si>
  <si>
    <t>C1398</t>
  </si>
  <si>
    <t>C1399</t>
  </si>
  <si>
    <t>C1400</t>
  </si>
  <si>
    <t>C1401</t>
  </si>
  <si>
    <t>Isha Patel</t>
  </si>
  <si>
    <t>C1402</t>
  </si>
  <si>
    <t>Deepika Singh</t>
  </si>
  <si>
    <t>C1403</t>
  </si>
  <si>
    <t>Gaurav Saxena</t>
  </si>
  <si>
    <t>C1404</t>
  </si>
  <si>
    <t>Rohit Chopra</t>
  </si>
  <si>
    <t>C1405</t>
  </si>
  <si>
    <t>Harsh Kumar</t>
  </si>
  <si>
    <t>C1406</t>
  </si>
  <si>
    <t>Pankaj Saxena</t>
  </si>
  <si>
    <t>C1407</t>
  </si>
  <si>
    <t>Karan Sharma</t>
  </si>
  <si>
    <t>C1408</t>
  </si>
  <si>
    <t>Sachin Jain</t>
  </si>
  <si>
    <t>C1409</t>
  </si>
  <si>
    <t>C1410</t>
  </si>
  <si>
    <t>Vivek Singh</t>
  </si>
  <si>
    <t>C1411</t>
  </si>
  <si>
    <t>Rahul Bose</t>
  </si>
  <si>
    <t>C1412</t>
  </si>
  <si>
    <t>C1413</t>
  </si>
  <si>
    <t>Vivek Mishra</t>
  </si>
  <si>
    <t>C1414</t>
  </si>
  <si>
    <t>Pooja Saxena</t>
  </si>
  <si>
    <t>C1415</t>
  </si>
  <si>
    <t>Arjun Rao</t>
  </si>
  <si>
    <t>C1416</t>
  </si>
  <si>
    <t>Neha Yadav</t>
  </si>
  <si>
    <t>C1417</t>
  </si>
  <si>
    <t>Total missing; Tenure missing; Date missing</t>
  </si>
  <si>
    <t>C1418</t>
  </si>
  <si>
    <t>Pankaj Gupta</t>
  </si>
  <si>
    <t>C1419</t>
  </si>
  <si>
    <t>C1420</t>
  </si>
  <si>
    <t>C1421</t>
  </si>
  <si>
    <t>C1422</t>
  </si>
  <si>
    <t>Tanvi Desai</t>
  </si>
  <si>
    <t>C1423</t>
  </si>
  <si>
    <t>C1424</t>
  </si>
  <si>
    <t>Suresh Nair</t>
  </si>
  <si>
    <t>C1425</t>
  </si>
  <si>
    <t>Rajesh Malhotra</t>
  </si>
  <si>
    <t>C1426</t>
  </si>
  <si>
    <t>C1427</t>
  </si>
  <si>
    <t>C1428</t>
  </si>
  <si>
    <t>Komal Gupta</t>
  </si>
  <si>
    <t>C1429</t>
  </si>
  <si>
    <t>C1430</t>
  </si>
  <si>
    <t>Sanjay Rao</t>
  </si>
  <si>
    <t>C1431</t>
  </si>
  <si>
    <t>Isha Gupta</t>
  </si>
  <si>
    <t>C1432</t>
  </si>
  <si>
    <t>Rajesh Saxena</t>
  </si>
  <si>
    <t>C1433</t>
  </si>
  <si>
    <t>C1434</t>
  </si>
  <si>
    <t>Sonal Bose</t>
  </si>
  <si>
    <t>C1435</t>
  </si>
  <si>
    <t>C1436</t>
  </si>
  <si>
    <t>C1437</t>
  </si>
  <si>
    <t>Neha Rao</t>
  </si>
  <si>
    <t>C1438</t>
  </si>
  <si>
    <t>Neha Kumar</t>
  </si>
  <si>
    <t>C1439</t>
  </si>
  <si>
    <t>Isha Agarwal</t>
  </si>
  <si>
    <t>C1440</t>
  </si>
  <si>
    <t>Neha Mehta</t>
  </si>
  <si>
    <t>C1441</t>
  </si>
  <si>
    <t>Karan Malhotra</t>
  </si>
  <si>
    <t>C1442</t>
  </si>
  <si>
    <t>C1443</t>
  </si>
  <si>
    <t>Sonal Kapoor</t>
  </si>
  <si>
    <t>C1444</t>
  </si>
  <si>
    <t>Isha Desai</t>
  </si>
  <si>
    <t>C1445</t>
  </si>
  <si>
    <t>Aman Iyer</t>
  </si>
  <si>
    <t>C1446</t>
  </si>
  <si>
    <t>C1447</t>
  </si>
  <si>
    <t>Neha Tiwari</t>
  </si>
  <si>
    <t>C1448</t>
  </si>
  <si>
    <t>Nisha Mehta</t>
  </si>
  <si>
    <t>C1449</t>
  </si>
  <si>
    <t>Deepika Joshi</t>
  </si>
  <si>
    <t>C1450</t>
  </si>
  <si>
    <t>Manish Kumar</t>
  </si>
  <si>
    <t>C1451</t>
  </si>
  <si>
    <t>Nikhil Kumar</t>
  </si>
  <si>
    <t>C1452</t>
  </si>
  <si>
    <t>C1453</t>
  </si>
  <si>
    <t>C1454</t>
  </si>
  <si>
    <t>Suresh Desai</t>
  </si>
  <si>
    <t>C1455</t>
  </si>
  <si>
    <t>C1456</t>
  </si>
  <si>
    <t>Neha Nair</t>
  </si>
  <si>
    <t>C1457</t>
  </si>
  <si>
    <t>C1458</t>
  </si>
  <si>
    <t>C1459</t>
  </si>
  <si>
    <t>Swati Agarwal</t>
  </si>
  <si>
    <t>C1460</t>
  </si>
  <si>
    <t>C1461</t>
  </si>
  <si>
    <t>C1462</t>
  </si>
  <si>
    <t>Swati Reddy</t>
  </si>
  <si>
    <t>C1463</t>
  </si>
  <si>
    <t>Karan Verma</t>
  </si>
  <si>
    <t>C1464</t>
  </si>
  <si>
    <t>Pankaj Pandey</t>
  </si>
  <si>
    <t>C1465</t>
  </si>
  <si>
    <t>Sonal Agarwal</t>
  </si>
  <si>
    <t>C1466</t>
  </si>
  <si>
    <t>C1467</t>
  </si>
  <si>
    <t>Sachin Agarwal</t>
  </si>
  <si>
    <t>C1468</t>
  </si>
  <si>
    <t>C1469</t>
  </si>
  <si>
    <t>Isha Tiwari</t>
  </si>
  <si>
    <t>C1470</t>
  </si>
  <si>
    <t>C1471</t>
  </si>
  <si>
    <t>Priya Iyer</t>
  </si>
  <si>
    <t>C1472</t>
  </si>
  <si>
    <t>C1473</t>
  </si>
  <si>
    <t>C1474</t>
  </si>
  <si>
    <t>Sneha Agarwal</t>
  </si>
  <si>
    <t>C1475</t>
  </si>
  <si>
    <t>Manish Agarwal</t>
  </si>
  <si>
    <t>C1476</t>
  </si>
  <si>
    <t>C1477</t>
  </si>
  <si>
    <t>Vivek Iyer</t>
  </si>
  <si>
    <t>C1478</t>
  </si>
  <si>
    <t>C1479</t>
  </si>
  <si>
    <t>Sachin Yadav</t>
  </si>
  <si>
    <t>C1480</t>
  </si>
  <si>
    <t>Nisha Patel</t>
  </si>
  <si>
    <t>C1481</t>
  </si>
  <si>
    <t>Riya Singh</t>
  </si>
  <si>
    <t>C1482</t>
  </si>
  <si>
    <t>C1483</t>
  </si>
  <si>
    <t>Sanjay Mishra</t>
  </si>
  <si>
    <t>C1484</t>
  </si>
  <si>
    <t>C1485</t>
  </si>
  <si>
    <t>Isha Reddy</t>
  </si>
  <si>
    <t>C1486</t>
  </si>
  <si>
    <t>Arjun Mehta</t>
  </si>
  <si>
    <t>C1487</t>
  </si>
  <si>
    <t>Rahul Patel</t>
  </si>
  <si>
    <t>C1488</t>
  </si>
  <si>
    <t>Priya Mishra</t>
  </si>
  <si>
    <t>C1489</t>
  </si>
  <si>
    <t>Vivek Nair</t>
  </si>
  <si>
    <t>C1490</t>
  </si>
  <si>
    <t>Rajesh Mishra</t>
  </si>
  <si>
    <t>C1491</t>
  </si>
  <si>
    <t>Rajesh Gupta</t>
  </si>
  <si>
    <t>C1492</t>
  </si>
  <si>
    <t>Nisha Tiwari</t>
  </si>
  <si>
    <t>C1493</t>
  </si>
  <si>
    <t>C1494</t>
  </si>
  <si>
    <t>Pooja Jain</t>
  </si>
  <si>
    <t>C1495</t>
  </si>
  <si>
    <t>C1496</t>
  </si>
  <si>
    <t>Ankit Yadav</t>
  </si>
  <si>
    <t>C1497</t>
  </si>
  <si>
    <t>Swati Rao</t>
  </si>
  <si>
    <t>C1498</t>
  </si>
  <si>
    <t>Manish Jain</t>
  </si>
  <si>
    <t>C1499</t>
  </si>
  <si>
    <t>Aditi Iyer</t>
  </si>
  <si>
    <t>C1500</t>
  </si>
  <si>
    <t>C1501</t>
  </si>
  <si>
    <t>C1502</t>
  </si>
  <si>
    <t>Karan Pandey</t>
  </si>
  <si>
    <t>C1503</t>
  </si>
  <si>
    <t>C1504</t>
  </si>
  <si>
    <t>C1505</t>
  </si>
  <si>
    <t>Priya Kapoor</t>
  </si>
  <si>
    <t>C1506</t>
  </si>
  <si>
    <t>Nisha Kapoor</t>
  </si>
  <si>
    <t>C1507</t>
  </si>
  <si>
    <t>Arjun Singh</t>
  </si>
  <si>
    <t>C1508</t>
  </si>
  <si>
    <t>Amit Reddy</t>
  </si>
  <si>
    <t>C1509</t>
  </si>
  <si>
    <t>Ankit Agarwal</t>
  </si>
  <si>
    <t>C1510</t>
  </si>
  <si>
    <t>C1511</t>
  </si>
  <si>
    <t>Pankaj Verma</t>
  </si>
  <si>
    <t>C1512</t>
  </si>
  <si>
    <t>Nisha Yadav</t>
  </si>
  <si>
    <t>C1513</t>
  </si>
  <si>
    <t>C1514</t>
  </si>
  <si>
    <t>Sanjay Yadav</t>
  </si>
  <si>
    <t>C1515</t>
  </si>
  <si>
    <t>C1516</t>
  </si>
  <si>
    <t>C1517</t>
  </si>
  <si>
    <t>C1518</t>
  </si>
  <si>
    <t>Sonal Mishra</t>
  </si>
  <si>
    <t>C1519</t>
  </si>
  <si>
    <t>Sonal Gupta</t>
  </si>
  <si>
    <t>C1520</t>
  </si>
  <si>
    <t>Neha Desai</t>
  </si>
  <si>
    <t>C1521</t>
  </si>
  <si>
    <t>Sanjay Kumar</t>
  </si>
  <si>
    <t>C1522</t>
  </si>
  <si>
    <t>C1523</t>
  </si>
  <si>
    <t>Payal Reddy</t>
  </si>
  <si>
    <t>C1524</t>
  </si>
  <si>
    <t>Priya Bose</t>
  </si>
  <si>
    <t>C1525</t>
  </si>
  <si>
    <t>Anjali Malhotra</t>
  </si>
  <si>
    <t>C1526</t>
  </si>
  <si>
    <t>Kavita Singh</t>
  </si>
  <si>
    <t>C1527</t>
  </si>
  <si>
    <t>Rahul Desai</t>
  </si>
  <si>
    <t>C1528</t>
  </si>
  <si>
    <t>Riya Patel</t>
  </si>
  <si>
    <t>C1529</t>
  </si>
  <si>
    <t>Anjali Kapoor</t>
  </si>
  <si>
    <t>C1530</t>
  </si>
  <si>
    <t>Isha Rao</t>
  </si>
  <si>
    <t>C1531</t>
  </si>
  <si>
    <t>C1532</t>
  </si>
  <si>
    <t>Nikhil Mishra</t>
  </si>
  <si>
    <t>C1533</t>
  </si>
  <si>
    <t>C1534</t>
  </si>
  <si>
    <t>Arjun Saxena</t>
  </si>
  <si>
    <t>C1535</t>
  </si>
  <si>
    <t>C1536</t>
  </si>
  <si>
    <t>C1537</t>
  </si>
  <si>
    <t>Riya Bose</t>
  </si>
  <si>
    <t>C1538</t>
  </si>
  <si>
    <t>Isha Kumar</t>
  </si>
  <si>
    <t>C1539</t>
  </si>
  <si>
    <t>Rahul Pandey</t>
  </si>
  <si>
    <t>C1540</t>
  </si>
  <si>
    <t>Swati Pandey</t>
  </si>
  <si>
    <t>C1541</t>
  </si>
  <si>
    <t>Nisha Singh</t>
  </si>
  <si>
    <t>C1542</t>
  </si>
  <si>
    <t>C1543</t>
  </si>
  <si>
    <t>Divya Patel</t>
  </si>
  <si>
    <t>C1544</t>
  </si>
  <si>
    <t>C1545</t>
  </si>
  <si>
    <t>C1546</t>
  </si>
  <si>
    <t>C1547</t>
  </si>
  <si>
    <t>C1548</t>
  </si>
  <si>
    <t>Tanvi Gupta</t>
  </si>
  <si>
    <t>C1549</t>
  </si>
  <si>
    <t>Suresh Malhotra</t>
  </si>
  <si>
    <t>C1550</t>
  </si>
  <si>
    <t>C1551</t>
  </si>
  <si>
    <t>Rohit Yadav</t>
  </si>
  <si>
    <t>C1552</t>
  </si>
  <si>
    <t>C1553</t>
  </si>
  <si>
    <t>C1554</t>
  </si>
  <si>
    <t>Divya Saxena</t>
  </si>
  <si>
    <t>C1555</t>
  </si>
  <si>
    <t>C1556</t>
  </si>
  <si>
    <t>Mohit Joshi</t>
  </si>
  <si>
    <t>C1557</t>
  </si>
  <si>
    <t>C1558</t>
  </si>
  <si>
    <t>Pankaj Chopra</t>
  </si>
  <si>
    <t>C1559</t>
  </si>
  <si>
    <t>C1560</t>
  </si>
  <si>
    <t>C1561</t>
  </si>
  <si>
    <t>Ankit Kumar</t>
  </si>
  <si>
    <t>C1562</t>
  </si>
  <si>
    <t>C1563</t>
  </si>
  <si>
    <t>Rahul Verma</t>
  </si>
  <si>
    <t>C1564</t>
  </si>
  <si>
    <t>Komal Tiwari</t>
  </si>
  <si>
    <t>C1565</t>
  </si>
  <si>
    <t>C1566</t>
  </si>
  <si>
    <t>Neha Kapoor</t>
  </si>
  <si>
    <t>C1567</t>
  </si>
  <si>
    <t>Aman Desai</t>
  </si>
  <si>
    <t>C1568</t>
  </si>
  <si>
    <t>Sachin Chopra</t>
  </si>
  <si>
    <t>C1569</t>
  </si>
  <si>
    <t>Deepak Reddy</t>
  </si>
  <si>
    <t>C1570</t>
  </si>
  <si>
    <t>C1571</t>
  </si>
  <si>
    <t>Harsh Reddy</t>
  </si>
  <si>
    <t>C1572</t>
  </si>
  <si>
    <t>C1573</t>
  </si>
  <si>
    <t>C1574</t>
  </si>
  <si>
    <t>C1575</t>
  </si>
  <si>
    <t>Rahul Gupta</t>
  </si>
  <si>
    <t>C1576</t>
  </si>
  <si>
    <t>C1577</t>
  </si>
  <si>
    <t>C1578</t>
  </si>
  <si>
    <t>Ankit Chopra</t>
  </si>
  <si>
    <t>C1579</t>
  </si>
  <si>
    <t>Amit Chopra</t>
  </si>
  <si>
    <t>C1580</t>
  </si>
  <si>
    <t>Sachin Gupta</t>
  </si>
  <si>
    <t>C1581</t>
  </si>
  <si>
    <t>Deepika Agarwal</t>
  </si>
  <si>
    <t>C1582</t>
  </si>
  <si>
    <t>Vikram Desai</t>
  </si>
  <si>
    <t>C1583</t>
  </si>
  <si>
    <t>C1584</t>
  </si>
  <si>
    <t>Shreya Tiwari</t>
  </si>
  <si>
    <t>C1585</t>
  </si>
  <si>
    <t>C1586</t>
  </si>
  <si>
    <t>Ritu Nair</t>
  </si>
  <si>
    <t>C1587</t>
  </si>
  <si>
    <t>Gaurav Agarwal</t>
  </si>
  <si>
    <t>C1588</t>
  </si>
  <si>
    <t>Sachin Sharma</t>
  </si>
  <si>
    <t>C1589</t>
  </si>
  <si>
    <t>Meera Pandey</t>
  </si>
  <si>
    <t>C1590</t>
  </si>
  <si>
    <t>Aman Chopra</t>
  </si>
  <si>
    <t>C1591</t>
  </si>
  <si>
    <t>Kavita Pandey</t>
  </si>
  <si>
    <t>C1592</t>
  </si>
  <si>
    <t>Sneha Reddy</t>
  </si>
  <si>
    <t>C1593</t>
  </si>
  <si>
    <t>Rohit Joshi</t>
  </si>
  <si>
    <t>C1594</t>
  </si>
  <si>
    <t>C1595</t>
  </si>
  <si>
    <t>Gaurav Pandey</t>
  </si>
  <si>
    <t>C1596</t>
  </si>
  <si>
    <t>C1597</t>
  </si>
  <si>
    <t>Sanjay Jain</t>
  </si>
  <si>
    <t>C1598</t>
  </si>
  <si>
    <t>C1599</t>
  </si>
  <si>
    <t>Komal Bose</t>
  </si>
  <si>
    <t>C1600</t>
  </si>
  <si>
    <t>C1601</t>
  </si>
  <si>
    <t>Sachin Iyer</t>
  </si>
  <si>
    <t>C1602</t>
  </si>
  <si>
    <t>Ankit Malhotra</t>
  </si>
  <si>
    <t>C1603</t>
  </si>
  <si>
    <t>C1604</t>
  </si>
  <si>
    <t>Aditi Desai</t>
  </si>
  <si>
    <t>C1605</t>
  </si>
  <si>
    <t>C1606</t>
  </si>
  <si>
    <t>C1607</t>
  </si>
  <si>
    <t>Mohit Rao</t>
  </si>
  <si>
    <t>C1608</t>
  </si>
  <si>
    <t>C1609</t>
  </si>
  <si>
    <t>C1610</t>
  </si>
  <si>
    <t>C1611</t>
  </si>
  <si>
    <t>Nisha Gupta</t>
  </si>
  <si>
    <t>C1612</t>
  </si>
  <si>
    <t>C1613</t>
  </si>
  <si>
    <t>C1614</t>
  </si>
  <si>
    <t>C1615</t>
  </si>
  <si>
    <t>Aman Jain</t>
  </si>
  <si>
    <t>C1616</t>
  </si>
  <si>
    <t>Aman Gupta</t>
  </si>
  <si>
    <t>C1617</t>
  </si>
  <si>
    <t>Mohit Mehta</t>
  </si>
  <si>
    <t>C1618</t>
  </si>
  <si>
    <t>Kavita Saxena</t>
  </si>
  <si>
    <t>C1619</t>
  </si>
  <si>
    <t>C1620</t>
  </si>
  <si>
    <t>Vivek Kapoor</t>
  </si>
  <si>
    <t>C1621</t>
  </si>
  <si>
    <t>C1622</t>
  </si>
  <si>
    <t>Sanjay Singh</t>
  </si>
  <si>
    <t>C1623</t>
  </si>
  <si>
    <t>C1624</t>
  </si>
  <si>
    <t>C1625</t>
  </si>
  <si>
    <t>C1626</t>
  </si>
  <si>
    <t>C1627</t>
  </si>
  <si>
    <t>C1628</t>
  </si>
  <si>
    <t>C1629</t>
  </si>
  <si>
    <t>C1630</t>
  </si>
  <si>
    <t>C1631</t>
  </si>
  <si>
    <t>Payal Saxena</t>
  </si>
  <si>
    <t>C1632</t>
  </si>
  <si>
    <t>Deepika Yadav</t>
  </si>
  <si>
    <t>C1633</t>
  </si>
  <si>
    <t>C1634</t>
  </si>
  <si>
    <t>Komal Nair</t>
  </si>
  <si>
    <t>C1635</t>
  </si>
  <si>
    <t>Pooja Iyer</t>
  </si>
  <si>
    <t>C1636</t>
  </si>
  <si>
    <t>C1637</t>
  </si>
  <si>
    <t>C1638</t>
  </si>
  <si>
    <t>C1639</t>
  </si>
  <si>
    <t>Komal Mishra</t>
  </si>
  <si>
    <t>C1640</t>
  </si>
  <si>
    <t>Swati Verma</t>
  </si>
  <si>
    <t>C1641</t>
  </si>
  <si>
    <t>Divya Reddy</t>
  </si>
  <si>
    <t>C1642</t>
  </si>
  <si>
    <t>Vikram Iyer</t>
  </si>
  <si>
    <t>C1643</t>
  </si>
  <si>
    <t>C1644</t>
  </si>
  <si>
    <t>Anjali Pandey</t>
  </si>
  <si>
    <t>C1645</t>
  </si>
  <si>
    <t>C1646</t>
  </si>
  <si>
    <t>C1647</t>
  </si>
  <si>
    <t>C1648</t>
  </si>
  <si>
    <t>Vivek Rao</t>
  </si>
  <si>
    <t>C1649</t>
  </si>
  <si>
    <t>C1650</t>
  </si>
  <si>
    <t>C1651</t>
  </si>
  <si>
    <t>C1652</t>
  </si>
  <si>
    <t>C1653</t>
  </si>
  <si>
    <t>C1654</t>
  </si>
  <si>
    <t>C1655</t>
  </si>
  <si>
    <t>Manish Reddy</t>
  </si>
  <si>
    <t>C1656</t>
  </si>
  <si>
    <t>Manish Yadav</t>
  </si>
  <si>
    <t>C1657</t>
  </si>
  <si>
    <t>C1658</t>
  </si>
  <si>
    <t>Sonal Tiwari</t>
  </si>
  <si>
    <t>C1659</t>
  </si>
  <si>
    <t>Amit Pandey</t>
  </si>
  <si>
    <t>C1660</t>
  </si>
  <si>
    <t>Sachin Nair</t>
  </si>
  <si>
    <t>C1661</t>
  </si>
  <si>
    <t>C1662</t>
  </si>
  <si>
    <t>Komal Agarwal</t>
  </si>
  <si>
    <t>C1663</t>
  </si>
  <si>
    <t>C1664</t>
  </si>
  <si>
    <t>Rahul Rao</t>
  </si>
  <si>
    <t>C1665</t>
  </si>
  <si>
    <t>C1666</t>
  </si>
  <si>
    <t>Deepika Kumar</t>
  </si>
  <si>
    <t>C1667</t>
  </si>
  <si>
    <t>Vikram Kapoor</t>
  </si>
  <si>
    <t>C1668</t>
  </si>
  <si>
    <t>Meera Bose</t>
  </si>
  <si>
    <t>C1669</t>
  </si>
  <si>
    <t>Sanjay Malhotra</t>
  </si>
  <si>
    <t>C1670</t>
  </si>
  <si>
    <t>Meera Tiwari</t>
  </si>
  <si>
    <t>C1671</t>
  </si>
  <si>
    <t>Neha Sharma</t>
  </si>
  <si>
    <t>C1672</t>
  </si>
  <si>
    <t>Neha Reddy</t>
  </si>
  <si>
    <t>C1673</t>
  </si>
  <si>
    <t>C1674</t>
  </si>
  <si>
    <t>Meera Jain</t>
  </si>
  <si>
    <t>C1675</t>
  </si>
  <si>
    <t>C1676</t>
  </si>
  <si>
    <t>C1677</t>
  </si>
  <si>
    <t>Manish Gupta</t>
  </si>
  <si>
    <t>C1678</t>
  </si>
  <si>
    <t>Shreya Desai</t>
  </si>
  <si>
    <t>C1679</t>
  </si>
  <si>
    <t>Tanvi Saxena</t>
  </si>
  <si>
    <t>C1680</t>
  </si>
  <si>
    <t>C1681</t>
  </si>
  <si>
    <t>Pooja Sharma</t>
  </si>
  <si>
    <t>C1682</t>
  </si>
  <si>
    <t>Pankaj Kapoor</t>
  </si>
  <si>
    <t>C1683</t>
  </si>
  <si>
    <t>C1684</t>
  </si>
  <si>
    <t>C1685</t>
  </si>
  <si>
    <t>C1686</t>
  </si>
  <si>
    <t>Kavita Bose</t>
  </si>
  <si>
    <t>C1687</t>
  </si>
  <si>
    <t>C1688</t>
  </si>
  <si>
    <t>C1689</t>
  </si>
  <si>
    <t>Sachin Kumar</t>
  </si>
  <si>
    <t>C1690</t>
  </si>
  <si>
    <t>Tanvi Kumar</t>
  </si>
  <si>
    <t>C1691</t>
  </si>
  <si>
    <t>C1692</t>
  </si>
  <si>
    <t>C1693</t>
  </si>
  <si>
    <t>C1694</t>
  </si>
  <si>
    <t>Divya Iyer</t>
  </si>
  <si>
    <t>C1695</t>
  </si>
  <si>
    <t>Manish Tiwari</t>
  </si>
  <si>
    <t>C1696</t>
  </si>
  <si>
    <t>Karan Gupta</t>
  </si>
  <si>
    <t>C1697</t>
  </si>
  <si>
    <t>Tanvi Rao</t>
  </si>
  <si>
    <t>C1698</t>
  </si>
  <si>
    <t>C1699</t>
  </si>
  <si>
    <t>C1700</t>
  </si>
  <si>
    <t>Shreya Pandey</t>
  </si>
  <si>
    <t>C1701</t>
  </si>
  <si>
    <t>Riya Pandey</t>
  </si>
  <si>
    <t>C1702</t>
  </si>
  <si>
    <t>Pankaj Mehta</t>
  </si>
  <si>
    <t>C1703</t>
  </si>
  <si>
    <t>Komal Iyer</t>
  </si>
  <si>
    <t>C1704</t>
  </si>
  <si>
    <t>C1705</t>
  </si>
  <si>
    <t>Sachin Malhotra</t>
  </si>
  <si>
    <t>C1706</t>
  </si>
  <si>
    <t>C1707</t>
  </si>
  <si>
    <t>C1708</t>
  </si>
  <si>
    <t>Pooja Reddy</t>
  </si>
  <si>
    <t>C1709</t>
  </si>
  <si>
    <t>C1710</t>
  </si>
  <si>
    <t>Vivek Tiwari</t>
  </si>
  <si>
    <t>C1711</t>
  </si>
  <si>
    <t>C1712</t>
  </si>
  <si>
    <t>C1713</t>
  </si>
  <si>
    <t>C1714</t>
  </si>
  <si>
    <t>C1715</t>
  </si>
  <si>
    <t>C1716</t>
  </si>
  <si>
    <t>C1717</t>
  </si>
  <si>
    <t>C1718</t>
  </si>
  <si>
    <t>C1719</t>
  </si>
  <si>
    <t>Payal Bose</t>
  </si>
  <si>
    <t>C1720</t>
  </si>
  <si>
    <t>Pooja Desai</t>
  </si>
  <si>
    <t>C1721</t>
  </si>
  <si>
    <t>C1722</t>
  </si>
  <si>
    <t>C1723</t>
  </si>
  <si>
    <t>Anjali Yadav</t>
  </si>
  <si>
    <t>C1724</t>
  </si>
  <si>
    <t>C1725</t>
  </si>
  <si>
    <t>C1726</t>
  </si>
  <si>
    <t>C1727</t>
  </si>
  <si>
    <t>Pooja Agarwal</t>
  </si>
  <si>
    <t>C1728</t>
  </si>
  <si>
    <t>Kavita Chopra</t>
  </si>
  <si>
    <t>C1729</t>
  </si>
  <si>
    <t>C1730</t>
  </si>
  <si>
    <t>C1731</t>
  </si>
  <si>
    <t>C1732</t>
  </si>
  <si>
    <t>Harsh Singh</t>
  </si>
  <si>
    <t>C1733</t>
  </si>
  <si>
    <t>C1734</t>
  </si>
  <si>
    <t>Amit Mehta</t>
  </si>
  <si>
    <t>C1735</t>
  </si>
  <si>
    <t>Nikhil Kapoor</t>
  </si>
  <si>
    <t>C1736</t>
  </si>
  <si>
    <t>Manish Mishra</t>
  </si>
  <si>
    <t>C1737</t>
  </si>
  <si>
    <t>C1738</t>
  </si>
  <si>
    <t>Meera Sharma</t>
  </si>
  <si>
    <t>C1739</t>
  </si>
  <si>
    <t>C1740</t>
  </si>
  <si>
    <t>C1741</t>
  </si>
  <si>
    <t>Swati Mehta</t>
  </si>
  <si>
    <t>C1742</t>
  </si>
  <si>
    <t>Arjun Tiwari</t>
  </si>
  <si>
    <t>C1743</t>
  </si>
  <si>
    <t>C1744</t>
  </si>
  <si>
    <t>Ankit Sharma</t>
  </si>
  <si>
    <t>C1745</t>
  </si>
  <si>
    <t>C1746</t>
  </si>
  <si>
    <t>C1747</t>
  </si>
  <si>
    <t>Vikram Singh</t>
  </si>
  <si>
    <t>C1748</t>
  </si>
  <si>
    <t>C1749</t>
  </si>
  <si>
    <t>Anjali Saxena</t>
  </si>
  <si>
    <t>C1750</t>
  </si>
  <si>
    <t>Swati Sharma</t>
  </si>
  <si>
    <t>C1751</t>
  </si>
  <si>
    <t>C1752</t>
  </si>
  <si>
    <t>C1753</t>
  </si>
  <si>
    <t>C1754</t>
  </si>
  <si>
    <t>C1755</t>
  </si>
  <si>
    <t>Pankaj Tiwari</t>
  </si>
  <si>
    <t>C1756</t>
  </si>
  <si>
    <t>C1757</t>
  </si>
  <si>
    <t>Rajesh Mehta</t>
  </si>
  <si>
    <t>C1758</t>
  </si>
  <si>
    <t>Amit Verma</t>
  </si>
  <si>
    <t>C1759</t>
  </si>
  <si>
    <t>Aditi Yadav</t>
  </si>
  <si>
    <t>C1760</t>
  </si>
  <si>
    <t>C1761</t>
  </si>
  <si>
    <t>Tanvi Bose</t>
  </si>
  <si>
    <t>C1762</t>
  </si>
  <si>
    <t>C1763</t>
  </si>
  <si>
    <t>C1764</t>
  </si>
  <si>
    <t>C1765</t>
  </si>
  <si>
    <t>C1766</t>
  </si>
  <si>
    <t>C1767</t>
  </si>
  <si>
    <t>C1768</t>
  </si>
  <si>
    <t>Pooja Joshi</t>
  </si>
  <si>
    <t>C1769</t>
  </si>
  <si>
    <t>C1770</t>
  </si>
  <si>
    <t>C1771</t>
  </si>
  <si>
    <t>Sanjay Nair</t>
  </si>
  <si>
    <t>C1772</t>
  </si>
  <si>
    <t>Kavita Mishra</t>
  </si>
  <si>
    <t>C1773</t>
  </si>
  <si>
    <t>C1774</t>
  </si>
  <si>
    <t>Neha Patel</t>
  </si>
  <si>
    <t>C1775</t>
  </si>
  <si>
    <t>Vikram Patel</t>
  </si>
  <si>
    <t>C1776</t>
  </si>
  <si>
    <t>C1777</t>
  </si>
  <si>
    <t>Payal Singh</t>
  </si>
  <si>
    <t>C1778</t>
  </si>
  <si>
    <t>Shreya Joshi</t>
  </si>
  <si>
    <t>C1779</t>
  </si>
  <si>
    <t>Aman Singh</t>
  </si>
  <si>
    <t>C1780</t>
  </si>
  <si>
    <t>Divya Pandey</t>
  </si>
  <si>
    <t>C1781</t>
  </si>
  <si>
    <t>Divya Mehta</t>
  </si>
  <si>
    <t>C1782</t>
  </si>
  <si>
    <t>C1783</t>
  </si>
  <si>
    <t>Aditi Mehta</t>
  </si>
  <si>
    <t>C1784</t>
  </si>
  <si>
    <t>Divya Gupta</t>
  </si>
  <si>
    <t>C1785</t>
  </si>
  <si>
    <t>C1786</t>
  </si>
  <si>
    <t>Deepika Sharma</t>
  </si>
  <si>
    <t>C1787</t>
  </si>
  <si>
    <t>C1788</t>
  </si>
  <si>
    <t>C1789</t>
  </si>
  <si>
    <t>C1790</t>
  </si>
  <si>
    <t>Aman Kumar</t>
  </si>
  <si>
    <t>C1791</t>
  </si>
  <si>
    <t>Priya Kumar</t>
  </si>
  <si>
    <t>C1792</t>
  </si>
  <si>
    <t>C1793</t>
  </si>
  <si>
    <t>C1794</t>
  </si>
  <si>
    <t>Meera Kumar</t>
  </si>
  <si>
    <t>C1795</t>
  </si>
  <si>
    <t>C1796</t>
  </si>
  <si>
    <t>C1797</t>
  </si>
  <si>
    <t>C1798</t>
  </si>
  <si>
    <t>C1799</t>
  </si>
  <si>
    <t>Swati Gupta</t>
  </si>
  <si>
    <t>C1800</t>
  </si>
  <si>
    <t>C1801</t>
  </si>
  <si>
    <t>Suresh Reddy</t>
  </si>
  <si>
    <t>C1802</t>
  </si>
  <si>
    <t>Neha Joshi</t>
  </si>
  <si>
    <t>C1803</t>
  </si>
  <si>
    <t>Manish Sharma</t>
  </si>
  <si>
    <t>C1804</t>
  </si>
  <si>
    <t>C1805</t>
  </si>
  <si>
    <t>Suresh Joshi</t>
  </si>
  <si>
    <t>C1806</t>
  </si>
  <si>
    <t>Swati Nair</t>
  </si>
  <si>
    <t>C1807</t>
  </si>
  <si>
    <t>Meera Kapoor</t>
  </si>
  <si>
    <t>C1808</t>
  </si>
  <si>
    <t>C1809</t>
  </si>
  <si>
    <t>C1810</t>
  </si>
  <si>
    <t>Aman Rao</t>
  </si>
  <si>
    <t>C1811</t>
  </si>
  <si>
    <t>Priya Rao</t>
  </si>
  <si>
    <t>C1812</t>
  </si>
  <si>
    <t>C1813</t>
  </si>
  <si>
    <t>C1814</t>
  </si>
  <si>
    <t>C1815</t>
  </si>
  <si>
    <t>Isha Jain</t>
  </si>
  <si>
    <t>C1816</t>
  </si>
  <si>
    <t>Sneha Patel</t>
  </si>
  <si>
    <t>C1817</t>
  </si>
  <si>
    <t>C1818</t>
  </si>
  <si>
    <t>C1819</t>
  </si>
  <si>
    <t>C1820</t>
  </si>
  <si>
    <t>Aditi Sharma</t>
  </si>
  <si>
    <t>C1821</t>
  </si>
  <si>
    <t>C1822</t>
  </si>
  <si>
    <t>Sanjay Verma</t>
  </si>
  <si>
    <t>C1823</t>
  </si>
  <si>
    <t>C1824</t>
  </si>
  <si>
    <t>C1825</t>
  </si>
  <si>
    <t>Komal Desai</t>
  </si>
  <si>
    <t>C1826</t>
  </si>
  <si>
    <t>Divya Yadav</t>
  </si>
  <si>
    <t>C1827</t>
  </si>
  <si>
    <t>Rahul Yadav</t>
  </si>
  <si>
    <t>C1828</t>
  </si>
  <si>
    <t>C1829</t>
  </si>
  <si>
    <t>C1830</t>
  </si>
  <si>
    <t>Deepak Iyer</t>
  </si>
  <si>
    <t>C1831</t>
  </si>
  <si>
    <t>C1832</t>
  </si>
  <si>
    <t>Vikram Reddy</t>
  </si>
  <si>
    <t>C1833</t>
  </si>
  <si>
    <t>C1834</t>
  </si>
  <si>
    <t>C1835</t>
  </si>
  <si>
    <t>C1836</t>
  </si>
  <si>
    <t>C1837</t>
  </si>
  <si>
    <t>C1838</t>
  </si>
  <si>
    <t>C1839</t>
  </si>
  <si>
    <t>C1840</t>
  </si>
  <si>
    <t>Sanjay Agarwal</t>
  </si>
  <si>
    <t>C1841</t>
  </si>
  <si>
    <t>C1842</t>
  </si>
  <si>
    <t>Aditi Pandey</t>
  </si>
  <si>
    <t>C1843</t>
  </si>
  <si>
    <t>C1844</t>
  </si>
  <si>
    <t>Aman Agarwal</t>
  </si>
  <si>
    <t>C1845</t>
  </si>
  <si>
    <t>C1846</t>
  </si>
  <si>
    <t>Deepak Desai</t>
  </si>
  <si>
    <t>C1847</t>
  </si>
  <si>
    <t>C1848</t>
  </si>
  <si>
    <t>C1849</t>
  </si>
  <si>
    <t>C1850</t>
  </si>
  <si>
    <t>C1851</t>
  </si>
  <si>
    <t>C1852</t>
  </si>
  <si>
    <t>C1853</t>
  </si>
  <si>
    <t>C1854</t>
  </si>
  <si>
    <t>Payal Patel</t>
  </si>
  <si>
    <t>C1855</t>
  </si>
  <si>
    <t>C1856</t>
  </si>
  <si>
    <t>Divya Chopra</t>
  </si>
  <si>
    <t>C1857</t>
  </si>
  <si>
    <t>C1858</t>
  </si>
  <si>
    <t>C1859</t>
  </si>
  <si>
    <t>Aman Joshi</t>
  </si>
  <si>
    <t>C1860</t>
  </si>
  <si>
    <t>C1861</t>
  </si>
  <si>
    <t>C1862</t>
  </si>
  <si>
    <t>C1863</t>
  </si>
  <si>
    <t>C1864</t>
  </si>
  <si>
    <t>C1865</t>
  </si>
  <si>
    <t>C1866</t>
  </si>
  <si>
    <t>Priya Tiwari</t>
  </si>
  <si>
    <t>C1867</t>
  </si>
  <si>
    <t>C1868</t>
  </si>
  <si>
    <t>C1869</t>
  </si>
  <si>
    <t>Sneha Tiwari</t>
  </si>
  <si>
    <t>C1870</t>
  </si>
  <si>
    <t>C1871</t>
  </si>
  <si>
    <t>C1872</t>
  </si>
  <si>
    <t>Deepak Patel</t>
  </si>
  <si>
    <t>C1873</t>
  </si>
  <si>
    <t>C1874</t>
  </si>
  <si>
    <t>Shreya Gupta</t>
  </si>
  <si>
    <t>C1875</t>
  </si>
  <si>
    <t>C1876</t>
  </si>
  <si>
    <t>C1877</t>
  </si>
  <si>
    <t>C1878</t>
  </si>
  <si>
    <t>C1879</t>
  </si>
  <si>
    <t>C1880</t>
  </si>
  <si>
    <t>C1881</t>
  </si>
  <si>
    <t>C1882</t>
  </si>
  <si>
    <t>C1883</t>
  </si>
  <si>
    <t>Nikhil Mehta</t>
  </si>
  <si>
    <t>C1884</t>
  </si>
  <si>
    <t>C1885</t>
  </si>
  <si>
    <t>C1886</t>
  </si>
  <si>
    <t>Sanjay Pandey</t>
  </si>
  <si>
    <t>C1887</t>
  </si>
  <si>
    <t>Amit Singh</t>
  </si>
  <si>
    <t>C1888</t>
  </si>
  <si>
    <t>C1889</t>
  </si>
  <si>
    <t>Sneha Bose</t>
  </si>
  <si>
    <t>C1890</t>
  </si>
  <si>
    <t>C1891</t>
  </si>
  <si>
    <t>Mohit Kapoor</t>
  </si>
  <si>
    <t>C1892</t>
  </si>
  <si>
    <t>Amit Mishra</t>
  </si>
  <si>
    <t>C1893</t>
  </si>
  <si>
    <t>Sachin Reddy</t>
  </si>
  <si>
    <t>C1894</t>
  </si>
  <si>
    <t>Riya Iyer</t>
  </si>
  <si>
    <t>C1895</t>
  </si>
  <si>
    <t>C1896</t>
  </si>
  <si>
    <t>C1897</t>
  </si>
  <si>
    <t>C1898</t>
  </si>
  <si>
    <t>C1899</t>
  </si>
  <si>
    <t>Pankaj Reddy</t>
  </si>
  <si>
    <t>C1900</t>
  </si>
  <si>
    <t>Pankaj Sharma</t>
  </si>
  <si>
    <t>C1901</t>
  </si>
  <si>
    <t>Meera Iyer</t>
  </si>
  <si>
    <t>C1902</t>
  </si>
  <si>
    <t>Karan Mishra</t>
  </si>
  <si>
    <t>C1903</t>
  </si>
  <si>
    <t>C1904</t>
  </si>
  <si>
    <t>C1905</t>
  </si>
  <si>
    <t>Riya Gupta</t>
  </si>
  <si>
    <t>C1906</t>
  </si>
  <si>
    <t>Komal Saxena</t>
  </si>
  <si>
    <t>C1907</t>
  </si>
  <si>
    <t>Pooja Rao</t>
  </si>
  <si>
    <t>C1908</t>
  </si>
  <si>
    <t>C1909</t>
  </si>
  <si>
    <t>C1910</t>
  </si>
  <si>
    <t>C1911</t>
  </si>
  <si>
    <t>Aman Mishra</t>
  </si>
  <si>
    <t>C1912</t>
  </si>
  <si>
    <t>Ritu Mehta</t>
  </si>
  <si>
    <t>C1913</t>
  </si>
  <si>
    <t>C1914</t>
  </si>
  <si>
    <t>C1915</t>
  </si>
  <si>
    <t>C1916</t>
  </si>
  <si>
    <t>C1917</t>
  </si>
  <si>
    <t>Ritu Tiwari</t>
  </si>
  <si>
    <t>C1918</t>
  </si>
  <si>
    <t>Meera Agarwal</t>
  </si>
  <si>
    <t>C1919</t>
  </si>
  <si>
    <t>C1920</t>
  </si>
  <si>
    <t>C1921</t>
  </si>
  <si>
    <t>C1922</t>
  </si>
  <si>
    <t>C1923</t>
  </si>
  <si>
    <t>Mohit Singh</t>
  </si>
  <si>
    <t>C1924</t>
  </si>
  <si>
    <t>Manish Mehta</t>
  </si>
  <si>
    <t>C1925</t>
  </si>
  <si>
    <t>C1926</t>
  </si>
  <si>
    <t>C1927</t>
  </si>
  <si>
    <t>C1928</t>
  </si>
  <si>
    <t>C1929</t>
  </si>
  <si>
    <t>C1930</t>
  </si>
  <si>
    <t>C1931</t>
  </si>
  <si>
    <t>C1932</t>
  </si>
  <si>
    <t>Vikram Gupta</t>
  </si>
  <si>
    <t>C1933</t>
  </si>
  <si>
    <t>C1934</t>
  </si>
  <si>
    <t>C1935</t>
  </si>
  <si>
    <t>Kavita Malhotra</t>
  </si>
  <si>
    <t>C1936</t>
  </si>
  <si>
    <t>C1937</t>
  </si>
  <si>
    <t>C1938</t>
  </si>
  <si>
    <t>Vikram Agarwal</t>
  </si>
  <si>
    <t>C1939</t>
  </si>
  <si>
    <t>C1940</t>
  </si>
  <si>
    <t>C1941</t>
  </si>
  <si>
    <t>C1942</t>
  </si>
  <si>
    <t>C1943</t>
  </si>
  <si>
    <t>C1944</t>
  </si>
  <si>
    <t>C1945</t>
  </si>
  <si>
    <t>C1946</t>
  </si>
  <si>
    <t>Nisha Chopra</t>
  </si>
  <si>
    <t>C1947</t>
  </si>
  <si>
    <t>Aditi Tiwari</t>
  </si>
  <si>
    <t>C1948</t>
  </si>
  <si>
    <t>C1949</t>
  </si>
  <si>
    <t>C1950</t>
  </si>
  <si>
    <t>Mohit Reddy</t>
  </si>
  <si>
    <t>C1951</t>
  </si>
  <si>
    <t>Vikram Sharma</t>
  </si>
  <si>
    <t>C1952</t>
  </si>
  <si>
    <t>Priya Agarwal</t>
  </si>
  <si>
    <t>C1953</t>
  </si>
  <si>
    <t>Deepak Malhotra</t>
  </si>
  <si>
    <t>C1954</t>
  </si>
  <si>
    <t>C1955</t>
  </si>
  <si>
    <t>Anjali Desai</t>
  </si>
  <si>
    <t>C1956</t>
  </si>
  <si>
    <t>C1957</t>
  </si>
  <si>
    <t>Arjun Jain</t>
  </si>
  <si>
    <t>C1958</t>
  </si>
  <si>
    <t>C1959</t>
  </si>
  <si>
    <t>C1960</t>
  </si>
  <si>
    <t>Sanjay Saxena</t>
  </si>
  <si>
    <t>C1961</t>
  </si>
  <si>
    <t>Gaurav Tiwari</t>
  </si>
  <si>
    <t>C1962</t>
  </si>
  <si>
    <t>C1963</t>
  </si>
  <si>
    <t>C1964</t>
  </si>
  <si>
    <t>C1965</t>
  </si>
  <si>
    <t>C1966</t>
  </si>
  <si>
    <t>Rajesh Chopra</t>
  </si>
  <si>
    <t>C1967</t>
  </si>
  <si>
    <t>Suresh Tiwari</t>
  </si>
  <si>
    <t>C1968</t>
  </si>
  <si>
    <t>C1969</t>
  </si>
  <si>
    <t>Anjali Tiwari</t>
  </si>
  <si>
    <t>C1970</t>
  </si>
  <si>
    <t>C1971</t>
  </si>
  <si>
    <t>Rahul Singh</t>
  </si>
  <si>
    <t>C1972</t>
  </si>
  <si>
    <t>Sonal Sharma</t>
  </si>
  <si>
    <t>C1973</t>
  </si>
  <si>
    <t>C1974</t>
  </si>
  <si>
    <t>Shreya Saxena</t>
  </si>
  <si>
    <t>C1975</t>
  </si>
  <si>
    <t>C1976</t>
  </si>
  <si>
    <t>Sneha Mehta</t>
  </si>
  <si>
    <t>C1977</t>
  </si>
  <si>
    <t>C1978</t>
  </si>
  <si>
    <t>Deepak Mehta</t>
  </si>
  <si>
    <t>C1979</t>
  </si>
  <si>
    <t>C1980</t>
  </si>
  <si>
    <t>C1981</t>
  </si>
  <si>
    <t>C1982</t>
  </si>
  <si>
    <t>C1983</t>
  </si>
  <si>
    <t>C1984</t>
  </si>
  <si>
    <t>C1985</t>
  </si>
  <si>
    <t>C1986</t>
  </si>
  <si>
    <t>C1987</t>
  </si>
  <si>
    <t>C1988</t>
  </si>
  <si>
    <t>C1989</t>
  </si>
  <si>
    <t>C1990</t>
  </si>
  <si>
    <t>C1991</t>
  </si>
  <si>
    <t>C1992</t>
  </si>
  <si>
    <t>C1993</t>
  </si>
  <si>
    <t>C1994</t>
  </si>
  <si>
    <t>C1995</t>
  </si>
  <si>
    <t>Amit Desai</t>
  </si>
  <si>
    <t>C1996</t>
  </si>
  <si>
    <t>Vikram Pandey</t>
  </si>
  <si>
    <t>C1997</t>
  </si>
  <si>
    <t>C1998</t>
  </si>
  <si>
    <t>C1999</t>
  </si>
  <si>
    <t>C2000</t>
  </si>
  <si>
    <t>C2001</t>
  </si>
  <si>
    <t>Pankaj Mishra</t>
  </si>
  <si>
    <t>C2002</t>
  </si>
  <si>
    <t>C2003</t>
  </si>
  <si>
    <t>C2004</t>
  </si>
  <si>
    <t>Pooja Nair</t>
  </si>
  <si>
    <t>C2005</t>
  </si>
  <si>
    <t>C2006</t>
  </si>
  <si>
    <t>Divya Verma</t>
  </si>
  <si>
    <t>C2007</t>
  </si>
  <si>
    <t>C2008</t>
  </si>
  <si>
    <t>C2009</t>
  </si>
  <si>
    <t>C2010</t>
  </si>
  <si>
    <t>C2011</t>
  </si>
  <si>
    <t>C2012</t>
  </si>
  <si>
    <t>Divya Kumar</t>
  </si>
  <si>
    <t>C2013</t>
  </si>
  <si>
    <t>C2014</t>
  </si>
  <si>
    <t>C2015</t>
  </si>
  <si>
    <t>C2016</t>
  </si>
  <si>
    <t>C2017</t>
  </si>
  <si>
    <t>C2018</t>
  </si>
  <si>
    <t>C2019</t>
  </si>
  <si>
    <t>Deepika Mehta</t>
  </si>
  <si>
    <t>C2020</t>
  </si>
  <si>
    <t>C2021</t>
  </si>
  <si>
    <t>C2022</t>
  </si>
  <si>
    <t>Mohit Yadav</t>
  </si>
  <si>
    <t>C2023</t>
  </si>
  <si>
    <t>Amit Joshi</t>
  </si>
  <si>
    <t>C2024</t>
  </si>
  <si>
    <t>C2025</t>
  </si>
  <si>
    <t>Sachin Desai</t>
  </si>
  <si>
    <t>C2026</t>
  </si>
  <si>
    <t>C2027</t>
  </si>
  <si>
    <t>C2028</t>
  </si>
  <si>
    <t>C2029</t>
  </si>
  <si>
    <t>C2030</t>
  </si>
  <si>
    <t>Pooja Yadav</t>
  </si>
  <si>
    <t>C2031</t>
  </si>
  <si>
    <t>C2032</t>
  </si>
  <si>
    <t>Sonal Jain</t>
  </si>
  <si>
    <t>C2033</t>
  </si>
  <si>
    <t>Harsh Agarwal</t>
  </si>
  <si>
    <t>C2034</t>
  </si>
  <si>
    <t>C2035</t>
  </si>
  <si>
    <t>Komal Sharma</t>
  </si>
  <si>
    <t>C2036</t>
  </si>
  <si>
    <t>C2037</t>
  </si>
  <si>
    <t>Riya Tiwari</t>
  </si>
  <si>
    <t>C2038</t>
  </si>
  <si>
    <t>C2039</t>
  </si>
  <si>
    <t>C2040</t>
  </si>
  <si>
    <t>C2041</t>
  </si>
  <si>
    <t>C2042</t>
  </si>
  <si>
    <t>C2043</t>
  </si>
  <si>
    <t>Manish Chopra</t>
  </si>
  <si>
    <t>C2044</t>
  </si>
  <si>
    <t>C2045</t>
  </si>
  <si>
    <t>C2046</t>
  </si>
  <si>
    <t>C2047</t>
  </si>
  <si>
    <t>Arjun Patel</t>
  </si>
  <si>
    <t>C2048</t>
  </si>
  <si>
    <t>C2049</t>
  </si>
  <si>
    <t>C2050</t>
  </si>
  <si>
    <t>C2051</t>
  </si>
  <si>
    <t>Ankit Joshi</t>
  </si>
  <si>
    <t>C2052</t>
  </si>
  <si>
    <t>Komal Yadav</t>
  </si>
  <si>
    <t>C2053</t>
  </si>
  <si>
    <t>C2054</t>
  </si>
  <si>
    <t>C2055</t>
  </si>
  <si>
    <t>C2056</t>
  </si>
  <si>
    <t>C2057</t>
  </si>
  <si>
    <t>C2058</t>
  </si>
  <si>
    <t>C2059</t>
  </si>
  <si>
    <t>C2060</t>
  </si>
  <si>
    <t>C2061</t>
  </si>
  <si>
    <t>C2062</t>
  </si>
  <si>
    <t>Manish Saxena</t>
  </si>
  <si>
    <t>C2063</t>
  </si>
  <si>
    <t>C2064</t>
  </si>
  <si>
    <t>C2065</t>
  </si>
  <si>
    <t>C2066</t>
  </si>
  <si>
    <t>Nikhil Verma</t>
  </si>
  <si>
    <t>C2067</t>
  </si>
  <si>
    <t>C2068</t>
  </si>
  <si>
    <t>Gaurav Iyer</t>
  </si>
  <si>
    <t>C2069</t>
  </si>
  <si>
    <t>C2070</t>
  </si>
  <si>
    <t>C2071</t>
  </si>
  <si>
    <t>C2072</t>
  </si>
  <si>
    <t>C2073</t>
  </si>
  <si>
    <t>C2074</t>
  </si>
  <si>
    <t>C2075</t>
  </si>
  <si>
    <t>C2076</t>
  </si>
  <si>
    <t>C2077</t>
  </si>
  <si>
    <t>Amit Jain</t>
  </si>
  <si>
    <t>C2078</t>
  </si>
  <si>
    <t>C2079</t>
  </si>
  <si>
    <t>C2080</t>
  </si>
  <si>
    <t>C2081</t>
  </si>
  <si>
    <t>Karan Agarwal</t>
  </si>
  <si>
    <t>C2082</t>
  </si>
  <si>
    <t>Kavita Kapoor</t>
  </si>
  <si>
    <t>C2083</t>
  </si>
  <si>
    <t>C2084</t>
  </si>
  <si>
    <t>C2085</t>
  </si>
  <si>
    <t>C2086</t>
  </si>
  <si>
    <t>Payal Agarwal</t>
  </si>
  <si>
    <t>C2087</t>
  </si>
  <si>
    <t>C2088</t>
  </si>
  <si>
    <t>C2089</t>
  </si>
  <si>
    <t>Deepak Singh</t>
  </si>
  <si>
    <t>C2090</t>
  </si>
  <si>
    <t>C2091</t>
  </si>
  <si>
    <t>C2092</t>
  </si>
  <si>
    <t>C2093</t>
  </si>
  <si>
    <t>Priya Joshi</t>
  </si>
  <si>
    <t>C2094</t>
  </si>
  <si>
    <t>C2095</t>
  </si>
  <si>
    <t>C2096</t>
  </si>
  <si>
    <t>Vikram Bose</t>
  </si>
  <si>
    <t>C2097</t>
  </si>
  <si>
    <t>Swati Bose</t>
  </si>
  <si>
    <t>C2098</t>
  </si>
  <si>
    <t>C2099</t>
  </si>
  <si>
    <t>C2100</t>
  </si>
  <si>
    <t>C2101</t>
  </si>
  <si>
    <t>Pooja Tiwari</t>
  </si>
  <si>
    <t>C2102</t>
  </si>
  <si>
    <t>C2103</t>
  </si>
  <si>
    <t>Sanjay Kapoor</t>
  </si>
  <si>
    <t>C2104</t>
  </si>
  <si>
    <t>Sneha Chopra</t>
  </si>
  <si>
    <t>C2105</t>
  </si>
  <si>
    <t>Gaurav Yadav</t>
  </si>
  <si>
    <t>C2106</t>
  </si>
  <si>
    <t>C2107</t>
  </si>
  <si>
    <t>C2108</t>
  </si>
  <si>
    <t>C2109</t>
  </si>
  <si>
    <t>C2110</t>
  </si>
  <si>
    <t>Anjali Joshi</t>
  </si>
  <si>
    <t>C2111</t>
  </si>
  <si>
    <t>Nikhil Bose</t>
  </si>
  <si>
    <t>C2112</t>
  </si>
  <si>
    <t>C2113</t>
  </si>
  <si>
    <t>Pooja Bose</t>
  </si>
  <si>
    <t>C2114</t>
  </si>
  <si>
    <t>Gaurav Patel</t>
  </si>
  <si>
    <t>C2115</t>
  </si>
  <si>
    <t>C2116</t>
  </si>
  <si>
    <t>C2117</t>
  </si>
  <si>
    <t>Isha Bose</t>
  </si>
  <si>
    <t>C2118</t>
  </si>
  <si>
    <t>C2119</t>
  </si>
  <si>
    <t>C2120</t>
  </si>
  <si>
    <t>Aditi Verma</t>
  </si>
  <si>
    <t>C2121</t>
  </si>
  <si>
    <t>C2122</t>
  </si>
  <si>
    <t>C2123</t>
  </si>
  <si>
    <t>C2124</t>
  </si>
  <si>
    <t>C2125</t>
  </si>
  <si>
    <t>Deepika Desai</t>
  </si>
  <si>
    <t>C2126</t>
  </si>
  <si>
    <t>Swati Iyer</t>
  </si>
  <si>
    <t>C2127</t>
  </si>
  <si>
    <t>C2128</t>
  </si>
  <si>
    <t>C2129</t>
  </si>
  <si>
    <t>C2130</t>
  </si>
  <si>
    <t>C2131</t>
  </si>
  <si>
    <t>Shreya Sharma</t>
  </si>
  <si>
    <t>C2132</t>
  </si>
  <si>
    <t>C2133</t>
  </si>
  <si>
    <t>Neha Singh</t>
  </si>
  <si>
    <t>C2134</t>
  </si>
  <si>
    <t>Sneha Kapoor</t>
  </si>
  <si>
    <t>C2135</t>
  </si>
  <si>
    <t>C2136</t>
  </si>
  <si>
    <t>C2137</t>
  </si>
  <si>
    <t>C2138</t>
  </si>
  <si>
    <t>C2139</t>
  </si>
  <si>
    <t>C2140</t>
  </si>
  <si>
    <t>C2141</t>
  </si>
  <si>
    <t>C2142</t>
  </si>
  <si>
    <t>Vivek Mehta</t>
  </si>
  <si>
    <t>C2143</t>
  </si>
  <si>
    <t>Nikhil Nair</t>
  </si>
  <si>
    <t>C2144</t>
  </si>
  <si>
    <t>C2145</t>
  </si>
  <si>
    <t>C2146</t>
  </si>
  <si>
    <t>C2147</t>
  </si>
  <si>
    <t>Tanvi Tiwari</t>
  </si>
  <si>
    <t>C2148</t>
  </si>
  <si>
    <t>Deepak Yadav</t>
  </si>
  <si>
    <t>C2149</t>
  </si>
  <si>
    <t>C2150</t>
  </si>
  <si>
    <t>Payal Mishra</t>
  </si>
  <si>
    <t>C2151</t>
  </si>
  <si>
    <t>C2152</t>
  </si>
  <si>
    <t>C2153</t>
  </si>
  <si>
    <t>C2154</t>
  </si>
  <si>
    <t>C2155</t>
  </si>
  <si>
    <t>Nikhil Singh</t>
  </si>
  <si>
    <t>C2156</t>
  </si>
  <si>
    <t>C2157</t>
  </si>
  <si>
    <t>Payal Desai</t>
  </si>
  <si>
    <t>C2158</t>
  </si>
  <si>
    <t>Ankit Desai</t>
  </si>
  <si>
    <t>C2159</t>
  </si>
  <si>
    <t>Nisha Reddy</t>
  </si>
  <si>
    <t>C2160</t>
  </si>
  <si>
    <t>C2161</t>
  </si>
  <si>
    <t>C2162</t>
  </si>
  <si>
    <t>Mohit Iyer</t>
  </si>
  <si>
    <t>C2163</t>
  </si>
  <si>
    <t>C2164</t>
  </si>
  <si>
    <t>C2165</t>
  </si>
  <si>
    <t>C2166</t>
  </si>
  <si>
    <t>C2167</t>
  </si>
  <si>
    <t>Sanjay Patel</t>
  </si>
  <si>
    <t>C2168</t>
  </si>
  <si>
    <t>Aman Saxena</t>
  </si>
  <si>
    <t>C2169</t>
  </si>
  <si>
    <t>Amit Kapoor</t>
  </si>
  <si>
    <t>C2170</t>
  </si>
  <si>
    <t>C2171</t>
  </si>
  <si>
    <t>C2172</t>
  </si>
  <si>
    <t>Sanjay Desai</t>
  </si>
  <si>
    <t>C2173</t>
  </si>
  <si>
    <t>Rajesh Tiwari</t>
  </si>
  <si>
    <t>C2174</t>
  </si>
  <si>
    <t>C2175</t>
  </si>
  <si>
    <t>Nikhil Malhotra</t>
  </si>
  <si>
    <t>C2176</t>
  </si>
  <si>
    <t>C2177</t>
  </si>
  <si>
    <t>Sanjay Reddy</t>
  </si>
  <si>
    <t>C2178</t>
  </si>
  <si>
    <t>C2179</t>
  </si>
  <si>
    <t>C2180</t>
  </si>
  <si>
    <t>C2181</t>
  </si>
  <si>
    <t>C2182</t>
  </si>
  <si>
    <t>Nikhil Tiwari</t>
  </si>
  <si>
    <t>C2183</t>
  </si>
  <si>
    <t>Anjali Kumar</t>
  </si>
  <si>
    <t>C2184</t>
  </si>
  <si>
    <t>C2185</t>
  </si>
  <si>
    <t>C2186</t>
  </si>
  <si>
    <t>C2187</t>
  </si>
  <si>
    <t>Priya Singh</t>
  </si>
  <si>
    <t>C2188</t>
  </si>
  <si>
    <t>C2189</t>
  </si>
  <si>
    <t>Rohit Reddy</t>
  </si>
  <si>
    <t>C2190</t>
  </si>
  <si>
    <t>C2191</t>
  </si>
  <si>
    <t>C2192</t>
  </si>
  <si>
    <t>C2193</t>
  </si>
  <si>
    <t>Shreya Jain</t>
  </si>
  <si>
    <t>C2194</t>
  </si>
  <si>
    <t>C2195</t>
  </si>
  <si>
    <t>Rajesh Patel</t>
  </si>
  <si>
    <t>C2196</t>
  </si>
  <si>
    <t>C2197</t>
  </si>
  <si>
    <t>C2198</t>
  </si>
  <si>
    <t>Deepak Verma</t>
  </si>
  <si>
    <t>C2199</t>
  </si>
  <si>
    <t>C2200</t>
  </si>
  <si>
    <t>Komal Malhotra</t>
  </si>
  <si>
    <t>C2201</t>
  </si>
  <si>
    <t>C2202</t>
  </si>
  <si>
    <t>C2203</t>
  </si>
  <si>
    <t>Rohit Pandey</t>
  </si>
  <si>
    <t>C2204</t>
  </si>
  <si>
    <t>Vivek Gupta</t>
  </si>
  <si>
    <t>C2205</t>
  </si>
  <si>
    <t>C2206</t>
  </si>
  <si>
    <t>Vivek Verma</t>
  </si>
  <si>
    <t>C2207</t>
  </si>
  <si>
    <t>Vivek Kumar</t>
  </si>
  <si>
    <t>C2208</t>
  </si>
  <si>
    <t>C2209</t>
  </si>
  <si>
    <t>C2210</t>
  </si>
  <si>
    <t>C2211</t>
  </si>
  <si>
    <t>C2212</t>
  </si>
  <si>
    <t>Arjun Sharma</t>
  </si>
  <si>
    <t>C2213</t>
  </si>
  <si>
    <t>C2214</t>
  </si>
  <si>
    <t>C2215</t>
  </si>
  <si>
    <t>C2216</t>
  </si>
  <si>
    <t>C2217</t>
  </si>
  <si>
    <t>C2218</t>
  </si>
  <si>
    <t>C2219</t>
  </si>
  <si>
    <t>Pankaj Nair</t>
  </si>
  <si>
    <t>C2220</t>
  </si>
  <si>
    <t>Divya Jain</t>
  </si>
  <si>
    <t>C2221</t>
  </si>
  <si>
    <t>C2222</t>
  </si>
  <si>
    <t>Deepak Gupta</t>
  </si>
  <si>
    <t>C2223</t>
  </si>
  <si>
    <t>C2224</t>
  </si>
  <si>
    <t>Pankaj Desai</t>
  </si>
  <si>
    <t>C2225</t>
  </si>
  <si>
    <t>C2226</t>
  </si>
  <si>
    <t>C2227</t>
  </si>
  <si>
    <t>C2228</t>
  </si>
  <si>
    <t>C2229</t>
  </si>
  <si>
    <t>C2230</t>
  </si>
  <si>
    <t>Rajesh Reddy</t>
  </si>
  <si>
    <t>C2231</t>
  </si>
  <si>
    <t>Shreya Kapoor</t>
  </si>
  <si>
    <t>C2232</t>
  </si>
  <si>
    <t>C2233</t>
  </si>
  <si>
    <t>C2234</t>
  </si>
  <si>
    <t>C2235</t>
  </si>
  <si>
    <t>Nikhil Iyer</t>
  </si>
  <si>
    <t>C2236</t>
  </si>
  <si>
    <t>Komal Patel</t>
  </si>
  <si>
    <t>C2237</t>
  </si>
  <si>
    <t>C2238</t>
  </si>
  <si>
    <t>C2239</t>
  </si>
  <si>
    <t>C2240</t>
  </si>
  <si>
    <t>C2241</t>
  </si>
  <si>
    <t>C2242</t>
  </si>
  <si>
    <t>C2243</t>
  </si>
  <si>
    <t>C2244</t>
  </si>
  <si>
    <t>Aman Pandey</t>
  </si>
  <si>
    <t>C2245</t>
  </si>
  <si>
    <t>C2246</t>
  </si>
  <si>
    <t>C2247</t>
  </si>
  <si>
    <t>C2248</t>
  </si>
  <si>
    <t>C2249</t>
  </si>
  <si>
    <t>Pankaj Kumar</t>
  </si>
  <si>
    <t>C2250</t>
  </si>
  <si>
    <t>C2251</t>
  </si>
  <si>
    <t>Meera Reddy</t>
  </si>
  <si>
    <t>C2252</t>
  </si>
  <si>
    <t>C2253</t>
  </si>
  <si>
    <t>C2254</t>
  </si>
  <si>
    <t>Neha Gupta</t>
  </si>
  <si>
    <t>C2255</t>
  </si>
  <si>
    <t>C2256</t>
  </si>
  <si>
    <t>C2257</t>
  </si>
  <si>
    <t>C2258</t>
  </si>
  <si>
    <t>C2259</t>
  </si>
  <si>
    <t>C2260</t>
  </si>
  <si>
    <t>Harsh Chopra</t>
  </si>
  <si>
    <t>C2261</t>
  </si>
  <si>
    <t>C2262</t>
  </si>
  <si>
    <t>Tanvi Agarwal</t>
  </si>
  <si>
    <t>C2263</t>
  </si>
  <si>
    <t>C2264</t>
  </si>
  <si>
    <t>C2265</t>
  </si>
  <si>
    <t>C2266</t>
  </si>
  <si>
    <t>C2267</t>
  </si>
  <si>
    <t>C2268</t>
  </si>
  <si>
    <t>C2269</t>
  </si>
  <si>
    <t>C2270</t>
  </si>
  <si>
    <t>Tanvi Malhotra</t>
  </si>
  <si>
    <t>C2271</t>
  </si>
  <si>
    <t>Gaurav Desai</t>
  </si>
  <si>
    <t>C2272</t>
  </si>
  <si>
    <t>Shreya Agarwal</t>
  </si>
  <si>
    <t>C2273</t>
  </si>
  <si>
    <t>C2274</t>
  </si>
  <si>
    <t>C2275</t>
  </si>
  <si>
    <t>C2276</t>
  </si>
  <si>
    <t>C2277</t>
  </si>
  <si>
    <t>C2278</t>
  </si>
  <si>
    <t>C2279</t>
  </si>
  <si>
    <t>Ritu Singh</t>
  </si>
  <si>
    <t>C2280</t>
  </si>
  <si>
    <t>C2281</t>
  </si>
  <si>
    <t>C2282</t>
  </si>
  <si>
    <t>C2283</t>
  </si>
  <si>
    <t>C2284</t>
  </si>
  <si>
    <t>C2285</t>
  </si>
  <si>
    <t>Deepak Bose</t>
  </si>
  <si>
    <t>C2286</t>
  </si>
  <si>
    <t>C2287</t>
  </si>
  <si>
    <t>Karan Kumar</t>
  </si>
  <si>
    <t>C2288</t>
  </si>
  <si>
    <t>C2289</t>
  </si>
  <si>
    <t>C2290</t>
  </si>
  <si>
    <t>Meera Mishra</t>
  </si>
  <si>
    <t>C2291</t>
  </si>
  <si>
    <t>C2292</t>
  </si>
  <si>
    <t>C2293</t>
  </si>
  <si>
    <t>C2294</t>
  </si>
  <si>
    <t>Priya Yadav</t>
  </si>
  <si>
    <t>C2295</t>
  </si>
  <si>
    <t>C2296</t>
  </si>
  <si>
    <t>C2297</t>
  </si>
  <si>
    <t>C2298</t>
  </si>
  <si>
    <t>C2299</t>
  </si>
  <si>
    <t>C2300</t>
  </si>
  <si>
    <t>C2301</t>
  </si>
  <si>
    <t>C2302</t>
  </si>
  <si>
    <t>C2303</t>
  </si>
  <si>
    <t>Deepak Joshi</t>
  </si>
  <si>
    <t>C2304</t>
  </si>
  <si>
    <t>C2305</t>
  </si>
  <si>
    <t>C2306</t>
  </si>
  <si>
    <t>C2307</t>
  </si>
  <si>
    <t>Amit Kumar</t>
  </si>
  <si>
    <t>C2308</t>
  </si>
  <si>
    <t>C2309</t>
  </si>
  <si>
    <t>C2310</t>
  </si>
  <si>
    <t>C2311</t>
  </si>
  <si>
    <t>Nisha Sharma</t>
  </si>
  <si>
    <t>C2312</t>
  </si>
  <si>
    <t>C2313</t>
  </si>
  <si>
    <t>Harsh Mishra</t>
  </si>
  <si>
    <t>C2314</t>
  </si>
  <si>
    <t>C2315</t>
  </si>
  <si>
    <t>C2316</t>
  </si>
  <si>
    <t>C2317</t>
  </si>
  <si>
    <t>C2318</t>
  </si>
  <si>
    <t>C2319</t>
  </si>
  <si>
    <t>C2320</t>
  </si>
  <si>
    <t>C2321</t>
  </si>
  <si>
    <t>C2322</t>
  </si>
  <si>
    <t>Swati Yadav</t>
  </si>
  <si>
    <t>C2323</t>
  </si>
  <si>
    <t>Mohit Jain</t>
  </si>
  <si>
    <t>C2324</t>
  </si>
  <si>
    <t>C2325</t>
  </si>
  <si>
    <t>C2326</t>
  </si>
  <si>
    <t>C2327</t>
  </si>
  <si>
    <t>C2328</t>
  </si>
  <si>
    <t>C2329</t>
  </si>
  <si>
    <t>C2330</t>
  </si>
  <si>
    <t>C2331</t>
  </si>
  <si>
    <t>Gaurav Verma</t>
  </si>
  <si>
    <t>C2332</t>
  </si>
  <si>
    <t>C2333</t>
  </si>
  <si>
    <t>C2334</t>
  </si>
  <si>
    <t>Pankaj Iyer</t>
  </si>
  <si>
    <t>C2335</t>
  </si>
  <si>
    <t>C2336</t>
  </si>
  <si>
    <t>C2337</t>
  </si>
  <si>
    <t>C2338</t>
  </si>
  <si>
    <t>C2339</t>
  </si>
  <si>
    <t>Ritu Kumar</t>
  </si>
  <si>
    <t>C2340</t>
  </si>
  <si>
    <t>Divya Agarwal</t>
  </si>
  <si>
    <t>C2341</t>
  </si>
  <si>
    <t>C2342</t>
  </si>
  <si>
    <t>C2343</t>
  </si>
  <si>
    <t>C2344</t>
  </si>
  <si>
    <t>C2345</t>
  </si>
  <si>
    <t>Suresh Mehta</t>
  </si>
  <si>
    <t>C2346</t>
  </si>
  <si>
    <t>Ritu Pandey</t>
  </si>
  <si>
    <t>C2347</t>
  </si>
  <si>
    <t>C2348</t>
  </si>
  <si>
    <t>C2349</t>
  </si>
  <si>
    <t>C2350</t>
  </si>
  <si>
    <t>Rajesh Singh</t>
  </si>
  <si>
    <t>C2351</t>
  </si>
  <si>
    <t>C2352</t>
  </si>
  <si>
    <t>C2353</t>
  </si>
  <si>
    <t>C2354</t>
  </si>
  <si>
    <t>Ritu Rao</t>
  </si>
  <si>
    <t>C2355</t>
  </si>
  <si>
    <t>Vikram Kumar</t>
  </si>
  <si>
    <t>C2356</t>
  </si>
  <si>
    <t>C2357</t>
  </si>
  <si>
    <t>C2358</t>
  </si>
  <si>
    <t>C2359</t>
  </si>
  <si>
    <t>Ankit Rao</t>
  </si>
  <si>
    <t>C2360</t>
  </si>
  <si>
    <t>C2361</t>
  </si>
  <si>
    <t>C2362</t>
  </si>
  <si>
    <t>C2363</t>
  </si>
  <si>
    <t>C2364</t>
  </si>
  <si>
    <t>Nikhil Saxena</t>
  </si>
  <si>
    <t>C2365</t>
  </si>
  <si>
    <t>C2366</t>
  </si>
  <si>
    <t>C2367</t>
  </si>
  <si>
    <t>C2368</t>
  </si>
  <si>
    <t>C2369</t>
  </si>
  <si>
    <t>C2370</t>
  </si>
  <si>
    <t>C2371</t>
  </si>
  <si>
    <t>C2372</t>
  </si>
  <si>
    <t>Isha Nair</t>
  </si>
  <si>
    <t>C2373</t>
  </si>
  <si>
    <t>C2374</t>
  </si>
  <si>
    <t>C2375</t>
  </si>
  <si>
    <t>C2376</t>
  </si>
  <si>
    <t>C2377</t>
  </si>
  <si>
    <t>C2378</t>
  </si>
  <si>
    <t>C2379</t>
  </si>
  <si>
    <t>C2380</t>
  </si>
  <si>
    <t>C2381</t>
  </si>
  <si>
    <t>C2382</t>
  </si>
  <si>
    <t>C2383</t>
  </si>
  <si>
    <t>C2384</t>
  </si>
  <si>
    <t>C2385</t>
  </si>
  <si>
    <t>Anjali Mishra</t>
  </si>
  <si>
    <t>C2386</t>
  </si>
  <si>
    <t>Rahul Reddy</t>
  </si>
  <si>
    <t>C2387</t>
  </si>
  <si>
    <t>C2388</t>
  </si>
  <si>
    <t>Deepika Mishra</t>
  </si>
  <si>
    <t>C2389</t>
  </si>
  <si>
    <t>C2390</t>
  </si>
  <si>
    <t>C2391</t>
  </si>
  <si>
    <t>Riya Rao</t>
  </si>
  <si>
    <t>C2392</t>
  </si>
  <si>
    <t>C2393</t>
  </si>
  <si>
    <t>Meera Rao</t>
  </si>
  <si>
    <t>C2394</t>
  </si>
  <si>
    <t>Priya Saxena</t>
  </si>
  <si>
    <t>C2395</t>
  </si>
  <si>
    <t>C2396</t>
  </si>
  <si>
    <t>C2397</t>
  </si>
  <si>
    <t>C2398</t>
  </si>
  <si>
    <t>Meera Nair</t>
  </si>
  <si>
    <t>C2399</t>
  </si>
  <si>
    <t>C2400</t>
  </si>
  <si>
    <t>C2401</t>
  </si>
  <si>
    <t>C2402</t>
  </si>
  <si>
    <t>C2403</t>
  </si>
  <si>
    <t>C2404</t>
  </si>
  <si>
    <t>C2405</t>
  </si>
  <si>
    <t>C2406</t>
  </si>
  <si>
    <t>C2407</t>
  </si>
  <si>
    <t>C2408</t>
  </si>
  <si>
    <t>Kavita Desai</t>
  </si>
  <si>
    <t>C2409</t>
  </si>
  <si>
    <t>C2410</t>
  </si>
  <si>
    <t>C2411</t>
  </si>
  <si>
    <t>Sneha Sharma</t>
  </si>
  <si>
    <t>C2412</t>
  </si>
  <si>
    <t>Aditi Patel</t>
  </si>
  <si>
    <t>C2413</t>
  </si>
  <si>
    <t>C2414</t>
  </si>
  <si>
    <t>Divya Nair</t>
  </si>
  <si>
    <t>C2415</t>
  </si>
  <si>
    <t>C2416</t>
  </si>
  <si>
    <t>C2417</t>
  </si>
  <si>
    <t>C2418</t>
  </si>
  <si>
    <t>C2419</t>
  </si>
  <si>
    <t>Rajesh Iyer</t>
  </si>
  <si>
    <t>C2420</t>
  </si>
  <si>
    <t>C2421</t>
  </si>
  <si>
    <t>C2422</t>
  </si>
  <si>
    <t>C2423</t>
  </si>
  <si>
    <t>Harsh Nair</t>
  </si>
  <si>
    <t>C2424</t>
  </si>
  <si>
    <t>C2425</t>
  </si>
  <si>
    <t>C2426</t>
  </si>
  <si>
    <t>Amit Yadav</t>
  </si>
  <si>
    <t>C2427</t>
  </si>
  <si>
    <t>C2428</t>
  </si>
  <si>
    <t>C2429</t>
  </si>
  <si>
    <t>C2430</t>
  </si>
  <si>
    <t>Vikram Verma</t>
  </si>
  <si>
    <t>C2431</t>
  </si>
  <si>
    <t>Tanvi Nair</t>
  </si>
  <si>
    <t>C2432</t>
  </si>
  <si>
    <t>C2433</t>
  </si>
  <si>
    <t>C2434</t>
  </si>
  <si>
    <t>C2435</t>
  </si>
  <si>
    <t>Kavita Mehta</t>
  </si>
  <si>
    <t>C2436</t>
  </si>
  <si>
    <t>Priya Reddy</t>
  </si>
  <si>
    <t>C2437</t>
  </si>
  <si>
    <t>Vivek Agarwal</t>
  </si>
  <si>
    <t>C2438</t>
  </si>
  <si>
    <t>C2439</t>
  </si>
  <si>
    <t>C2440</t>
  </si>
  <si>
    <t>Ankit Nair</t>
  </si>
  <si>
    <t>C2441</t>
  </si>
  <si>
    <t>C2442</t>
  </si>
  <si>
    <t>C2443</t>
  </si>
  <si>
    <t>Karan Singh</t>
  </si>
  <si>
    <t>C2444</t>
  </si>
  <si>
    <t>C2445</t>
  </si>
  <si>
    <t>C2446</t>
  </si>
  <si>
    <t>C2447</t>
  </si>
  <si>
    <t>C2448</t>
  </si>
  <si>
    <t>C2449</t>
  </si>
  <si>
    <t>C2450</t>
  </si>
  <si>
    <t>C2451</t>
  </si>
  <si>
    <t>C2452</t>
  </si>
  <si>
    <t>C2453</t>
  </si>
  <si>
    <t>C2454</t>
  </si>
  <si>
    <t>C2455</t>
  </si>
  <si>
    <t>C2456</t>
  </si>
  <si>
    <t>C2457</t>
  </si>
  <si>
    <t>C2458</t>
  </si>
  <si>
    <t>C2459</t>
  </si>
  <si>
    <t>C2460</t>
  </si>
  <si>
    <t>C2461</t>
  </si>
  <si>
    <t>C2462</t>
  </si>
  <si>
    <t>C2463</t>
  </si>
  <si>
    <t>Vivek Malhotra</t>
  </si>
  <si>
    <t>C2464</t>
  </si>
  <si>
    <t>C2465</t>
  </si>
  <si>
    <t>C2466</t>
  </si>
  <si>
    <t>Karan Patel</t>
  </si>
  <si>
    <t>C2467</t>
  </si>
  <si>
    <t>C2468</t>
  </si>
  <si>
    <t>C2469</t>
  </si>
  <si>
    <t>C2470</t>
  </si>
  <si>
    <t>Ankit Mehta</t>
  </si>
  <si>
    <t>C2471</t>
  </si>
  <si>
    <t>C2472</t>
  </si>
  <si>
    <t>C2473</t>
  </si>
  <si>
    <t>C2474</t>
  </si>
  <si>
    <t>C2475</t>
  </si>
  <si>
    <t>C2476</t>
  </si>
  <si>
    <t>Anjali Rao</t>
  </si>
  <si>
    <t>C2477</t>
  </si>
  <si>
    <t>C2478</t>
  </si>
  <si>
    <t>C2479</t>
  </si>
  <si>
    <t>C2480</t>
  </si>
  <si>
    <t>C2481</t>
  </si>
  <si>
    <t>C2482</t>
  </si>
  <si>
    <t>C2483</t>
  </si>
  <si>
    <t>C2484</t>
  </si>
  <si>
    <t>C2485</t>
  </si>
  <si>
    <t>C2486</t>
  </si>
  <si>
    <t>Aman Verma</t>
  </si>
  <si>
    <t>C2487</t>
  </si>
  <si>
    <t>C2488</t>
  </si>
  <si>
    <t>C2489</t>
  </si>
  <si>
    <t>C2490</t>
  </si>
  <si>
    <t>Neha Bose</t>
  </si>
  <si>
    <t>C2491</t>
  </si>
  <si>
    <t>C2492</t>
  </si>
  <si>
    <t>C2493</t>
  </si>
  <si>
    <t>Arjun Verma</t>
  </si>
  <si>
    <t>C2494</t>
  </si>
  <si>
    <t>C2495</t>
  </si>
  <si>
    <t>Amit Sharma</t>
  </si>
  <si>
    <t>C2496</t>
  </si>
  <si>
    <t>C2497</t>
  </si>
  <si>
    <t>Rohit Patel</t>
  </si>
  <si>
    <t>C2498</t>
  </si>
  <si>
    <t>C2499</t>
  </si>
  <si>
    <t>C2500</t>
  </si>
  <si>
    <t>C2501</t>
  </si>
  <si>
    <t>C2502</t>
  </si>
  <si>
    <t>C2503</t>
  </si>
  <si>
    <t>C2504</t>
  </si>
  <si>
    <t>C2505</t>
  </si>
  <si>
    <t>C2506</t>
  </si>
  <si>
    <t>C2507</t>
  </si>
  <si>
    <t>C2508</t>
  </si>
  <si>
    <t>C2509</t>
  </si>
  <si>
    <t>C2510</t>
  </si>
  <si>
    <t>C2511</t>
  </si>
  <si>
    <t>C2512</t>
  </si>
  <si>
    <t>C2513</t>
  </si>
  <si>
    <t>Aman Mehta</t>
  </si>
  <si>
    <t>C2514</t>
  </si>
  <si>
    <t>C2515</t>
  </si>
  <si>
    <t>C2516</t>
  </si>
  <si>
    <t>C2517</t>
  </si>
  <si>
    <t>C2518</t>
  </si>
  <si>
    <t>C2519</t>
  </si>
  <si>
    <t>C2520</t>
  </si>
  <si>
    <t>Mohit Chopra</t>
  </si>
  <si>
    <t>C2521</t>
  </si>
  <si>
    <t>C2522</t>
  </si>
  <si>
    <t>C2523</t>
  </si>
  <si>
    <t>C2524</t>
  </si>
  <si>
    <t>Mohit Pandey</t>
  </si>
  <si>
    <t>C2525</t>
  </si>
  <si>
    <t>C2526</t>
  </si>
  <si>
    <t>C2527</t>
  </si>
  <si>
    <t>C2528</t>
  </si>
  <si>
    <t>Karan Nair</t>
  </si>
  <si>
    <t>C2529</t>
  </si>
  <si>
    <t>C2530</t>
  </si>
  <si>
    <t>C2531</t>
  </si>
  <si>
    <t>C2532</t>
  </si>
  <si>
    <t>Aditi Mishra</t>
  </si>
  <si>
    <t>C2533</t>
  </si>
  <si>
    <t>C2534</t>
  </si>
  <si>
    <t>C2535</t>
  </si>
  <si>
    <t>C2536</t>
  </si>
  <si>
    <t>Priya Chopra</t>
  </si>
  <si>
    <t>C2537</t>
  </si>
  <si>
    <t>C2538</t>
  </si>
  <si>
    <t>C2539</t>
  </si>
  <si>
    <t>Kavita Kumar</t>
  </si>
  <si>
    <t>C2540</t>
  </si>
  <si>
    <t>C2541</t>
  </si>
  <si>
    <t>C2542</t>
  </si>
  <si>
    <t>C2543</t>
  </si>
  <si>
    <t>C2544</t>
  </si>
  <si>
    <t>C2545</t>
  </si>
  <si>
    <t>C2546</t>
  </si>
  <si>
    <t>C2547</t>
  </si>
  <si>
    <t>Ankit Singh</t>
  </si>
  <si>
    <t>C2548</t>
  </si>
  <si>
    <t>C2549</t>
  </si>
  <si>
    <t>C2550</t>
  </si>
  <si>
    <t>C2551</t>
  </si>
  <si>
    <t>C2552</t>
  </si>
  <si>
    <t>C2553</t>
  </si>
  <si>
    <t>C2554</t>
  </si>
  <si>
    <t>Karan Tiwari</t>
  </si>
  <si>
    <t>C2555</t>
  </si>
  <si>
    <t>Rohit Kapoor</t>
  </si>
  <si>
    <t>C2556</t>
  </si>
  <si>
    <t>C2557</t>
  </si>
  <si>
    <t>Riya Kapoor</t>
  </si>
  <si>
    <t>C2558</t>
  </si>
  <si>
    <t>C2559</t>
  </si>
  <si>
    <t>C2560</t>
  </si>
  <si>
    <t>C2561</t>
  </si>
  <si>
    <t>Deepak Saxena</t>
  </si>
  <si>
    <t>C2562</t>
  </si>
  <si>
    <t>C2563</t>
  </si>
  <si>
    <t>C2564</t>
  </si>
  <si>
    <t>C2565</t>
  </si>
  <si>
    <t>Harsh Yadav</t>
  </si>
  <si>
    <t>C2566</t>
  </si>
  <si>
    <t>C2567</t>
  </si>
  <si>
    <t>C2568</t>
  </si>
  <si>
    <t>Divya Mishra</t>
  </si>
  <si>
    <t>C2569</t>
  </si>
  <si>
    <t>C2570</t>
  </si>
  <si>
    <t>Manish Patel</t>
  </si>
  <si>
    <t>C2571</t>
  </si>
  <si>
    <t>C2572</t>
  </si>
  <si>
    <t>C2573</t>
  </si>
  <si>
    <t>C2574</t>
  </si>
  <si>
    <t>C2575</t>
  </si>
  <si>
    <t>C2576</t>
  </si>
  <si>
    <t>C2577</t>
  </si>
  <si>
    <t>C2578</t>
  </si>
  <si>
    <t>C2579</t>
  </si>
  <si>
    <t>C2580</t>
  </si>
  <si>
    <t>C2581</t>
  </si>
  <si>
    <t>C2582</t>
  </si>
  <si>
    <t>C2583</t>
  </si>
  <si>
    <t>C2584</t>
  </si>
  <si>
    <t>C2585</t>
  </si>
  <si>
    <t>Shreya Mishra</t>
  </si>
  <si>
    <t>C2586</t>
  </si>
  <si>
    <t>Sonal Chopra</t>
  </si>
  <si>
    <t>C2587</t>
  </si>
  <si>
    <t>C2588</t>
  </si>
  <si>
    <t>C2589</t>
  </si>
  <si>
    <t>C2590</t>
  </si>
  <si>
    <t>C2591</t>
  </si>
  <si>
    <t>C2592</t>
  </si>
  <si>
    <t>C2593</t>
  </si>
  <si>
    <t>C2594</t>
  </si>
  <si>
    <t>C2595</t>
  </si>
  <si>
    <t>C2596</t>
  </si>
  <si>
    <t>C2597</t>
  </si>
  <si>
    <t>C2598</t>
  </si>
  <si>
    <t>C2599</t>
  </si>
  <si>
    <t>C2600</t>
  </si>
  <si>
    <t>C2601</t>
  </si>
  <si>
    <t>Ritu Bose</t>
  </si>
  <si>
    <t>C2602</t>
  </si>
  <si>
    <t>C2603</t>
  </si>
  <si>
    <t>C2604</t>
  </si>
  <si>
    <t>C2605</t>
  </si>
  <si>
    <t>C2606</t>
  </si>
  <si>
    <t>C2607</t>
  </si>
  <si>
    <t>C2608</t>
  </si>
  <si>
    <t>C2609</t>
  </si>
  <si>
    <t>C2610</t>
  </si>
  <si>
    <t>C2611</t>
  </si>
  <si>
    <t>C2612</t>
  </si>
  <si>
    <t>Rajesh Desai</t>
  </si>
  <si>
    <t>C2613</t>
  </si>
  <si>
    <t>Ankit Tiwari</t>
  </si>
  <si>
    <t>C2614</t>
  </si>
  <si>
    <t>C2615</t>
  </si>
  <si>
    <t>C2616</t>
  </si>
  <si>
    <t>C2617</t>
  </si>
  <si>
    <t>C2618</t>
  </si>
  <si>
    <t>C2619</t>
  </si>
  <si>
    <t>C2620</t>
  </si>
  <si>
    <t>C2621</t>
  </si>
  <si>
    <t>C2622</t>
  </si>
  <si>
    <t>C2623</t>
  </si>
  <si>
    <t>C2624</t>
  </si>
  <si>
    <t>C2625</t>
  </si>
  <si>
    <t>Sneha Nair</t>
  </si>
  <si>
    <t>C2626</t>
  </si>
  <si>
    <t>Riya Kumar</t>
  </si>
  <si>
    <t>C2627</t>
  </si>
  <si>
    <t>C2628</t>
  </si>
  <si>
    <t>C2629</t>
  </si>
  <si>
    <t>Gaurav Gupta</t>
  </si>
  <si>
    <t>C2630</t>
  </si>
  <si>
    <t>Karan Joshi</t>
  </si>
  <si>
    <t>C2631</t>
  </si>
  <si>
    <t>C2632</t>
  </si>
  <si>
    <t>C2633</t>
  </si>
  <si>
    <t>C2634</t>
  </si>
  <si>
    <t>C2635</t>
  </si>
  <si>
    <t>Priya Verma</t>
  </si>
  <si>
    <t>C2636</t>
  </si>
  <si>
    <t>C2637</t>
  </si>
  <si>
    <t>C2638</t>
  </si>
  <si>
    <t>C2639</t>
  </si>
  <si>
    <t>C2640</t>
  </si>
  <si>
    <t>C2641</t>
  </si>
  <si>
    <t>C2642</t>
  </si>
  <si>
    <t>C2643</t>
  </si>
  <si>
    <t>C2644</t>
  </si>
  <si>
    <t>C2645</t>
  </si>
  <si>
    <t>C2646</t>
  </si>
  <si>
    <t>C2647</t>
  </si>
  <si>
    <t>Rajesh Kapoor</t>
  </si>
  <si>
    <t>C2648</t>
  </si>
  <si>
    <t>Komal Joshi</t>
  </si>
  <si>
    <t>C2649</t>
  </si>
  <si>
    <t>C2650</t>
  </si>
  <si>
    <t>C2651</t>
  </si>
  <si>
    <t>C2652</t>
  </si>
  <si>
    <t>C2653</t>
  </si>
  <si>
    <t>C2654</t>
  </si>
  <si>
    <t>C2655</t>
  </si>
  <si>
    <t>C2656</t>
  </si>
  <si>
    <t>C2657</t>
  </si>
  <si>
    <t>C2658</t>
  </si>
  <si>
    <t>C2659</t>
  </si>
  <si>
    <t>C2660</t>
  </si>
  <si>
    <t>C2661</t>
  </si>
  <si>
    <t>C2662</t>
  </si>
  <si>
    <t>Harsh Malhotra</t>
  </si>
  <si>
    <t>C2663</t>
  </si>
  <si>
    <t>C2664</t>
  </si>
  <si>
    <t>C2665</t>
  </si>
  <si>
    <t>C2666</t>
  </si>
  <si>
    <t>Rajesh Rao</t>
  </si>
  <si>
    <t>C2667</t>
  </si>
  <si>
    <t>C2668</t>
  </si>
  <si>
    <t>Amit Saxena</t>
  </si>
  <si>
    <t>C2669</t>
  </si>
  <si>
    <t>Vivek Saxena</t>
  </si>
  <si>
    <t>C2670</t>
  </si>
  <si>
    <t>C2671</t>
  </si>
  <si>
    <t>C2672</t>
  </si>
  <si>
    <t>Nisha Desai</t>
  </si>
  <si>
    <t>C2673</t>
  </si>
  <si>
    <t>C2674</t>
  </si>
  <si>
    <t>C2675</t>
  </si>
  <si>
    <t>C2676</t>
  </si>
  <si>
    <t>C2677</t>
  </si>
  <si>
    <t>C2678</t>
  </si>
  <si>
    <t>C2679</t>
  </si>
  <si>
    <t>C2680</t>
  </si>
  <si>
    <t>C2681</t>
  </si>
  <si>
    <t>C2682</t>
  </si>
  <si>
    <t>Ankit Mishra</t>
  </si>
  <si>
    <t>C2683</t>
  </si>
  <si>
    <t>C2684</t>
  </si>
  <si>
    <t>C2685</t>
  </si>
  <si>
    <t>C2686</t>
  </si>
  <si>
    <t>C2687</t>
  </si>
  <si>
    <t>C2688</t>
  </si>
  <si>
    <t>Amit Malhotra</t>
  </si>
  <si>
    <t>C2689</t>
  </si>
  <si>
    <t>C2690</t>
  </si>
  <si>
    <t>C2691</t>
  </si>
  <si>
    <t>C2692</t>
  </si>
  <si>
    <t>C2693</t>
  </si>
  <si>
    <t>C2694</t>
  </si>
  <si>
    <t>C2695</t>
  </si>
  <si>
    <t>Ritu Verma</t>
  </si>
  <si>
    <t>C2696</t>
  </si>
  <si>
    <t>C2697</t>
  </si>
  <si>
    <t>C2698</t>
  </si>
  <si>
    <t>C2699</t>
  </si>
  <si>
    <t>C2700</t>
  </si>
  <si>
    <t>C2701</t>
  </si>
  <si>
    <t>C2702</t>
  </si>
  <si>
    <t>C2703</t>
  </si>
  <si>
    <t>C2704</t>
  </si>
  <si>
    <t>C2705</t>
  </si>
  <si>
    <t>C2706</t>
  </si>
  <si>
    <t>C2707</t>
  </si>
  <si>
    <t>Sonal Mehta</t>
  </si>
  <si>
    <t>C2708</t>
  </si>
  <si>
    <t>C2709</t>
  </si>
  <si>
    <t>C2710</t>
  </si>
  <si>
    <t>C2711</t>
  </si>
  <si>
    <t>Deepak Sharma</t>
  </si>
  <si>
    <t>C2712</t>
  </si>
  <si>
    <t>C2713</t>
  </si>
  <si>
    <t>C2714</t>
  </si>
  <si>
    <t>C2715</t>
  </si>
  <si>
    <t>C2716</t>
  </si>
  <si>
    <t>C2717</t>
  </si>
  <si>
    <t>Deepak Nair</t>
  </si>
  <si>
    <t>C2718</t>
  </si>
  <si>
    <t>C2719</t>
  </si>
  <si>
    <t>C2720</t>
  </si>
  <si>
    <t>Priya Desai</t>
  </si>
  <si>
    <t>C2721</t>
  </si>
  <si>
    <t>Ankit Reddy</t>
  </si>
  <si>
    <t>C2722</t>
  </si>
  <si>
    <t>C2723</t>
  </si>
  <si>
    <t>C2724</t>
  </si>
  <si>
    <t>Nisha Bose</t>
  </si>
  <si>
    <t>C2725</t>
  </si>
  <si>
    <t>C2726</t>
  </si>
  <si>
    <t>C2727</t>
  </si>
  <si>
    <t>C2728</t>
  </si>
  <si>
    <t>Vivek Jain</t>
  </si>
  <si>
    <t>C2729</t>
  </si>
  <si>
    <t>Suresh Iyer</t>
  </si>
  <si>
    <t>C2730</t>
  </si>
  <si>
    <t>C2731</t>
  </si>
  <si>
    <t>C2732</t>
  </si>
  <si>
    <t>C2733</t>
  </si>
  <si>
    <t>C2734</t>
  </si>
  <si>
    <t>Sneha Saxena</t>
  </si>
  <si>
    <t>C2735</t>
  </si>
  <si>
    <t>C2736</t>
  </si>
  <si>
    <t>C2737</t>
  </si>
  <si>
    <t>C2738</t>
  </si>
  <si>
    <t>C2739</t>
  </si>
  <si>
    <t>C2740</t>
  </si>
  <si>
    <t>C2741</t>
  </si>
  <si>
    <t>C2742</t>
  </si>
  <si>
    <t>C2743</t>
  </si>
  <si>
    <t>C2744</t>
  </si>
  <si>
    <t>C2745</t>
  </si>
  <si>
    <t>C2746</t>
  </si>
  <si>
    <t>C2747</t>
  </si>
  <si>
    <t>C2748</t>
  </si>
  <si>
    <t>C2749</t>
  </si>
  <si>
    <t>Ritu Sharma</t>
  </si>
  <si>
    <t>C2750</t>
  </si>
  <si>
    <t>Vikram Rao</t>
  </si>
  <si>
    <t>C2751</t>
  </si>
  <si>
    <t>C2752</t>
  </si>
  <si>
    <t>Aditi Gupta</t>
  </si>
  <si>
    <t>C2753</t>
  </si>
  <si>
    <t>C2754</t>
  </si>
  <si>
    <t>C2755</t>
  </si>
  <si>
    <t>C2756</t>
  </si>
  <si>
    <t>Aman Bose</t>
  </si>
  <si>
    <t>C2757</t>
  </si>
  <si>
    <t>Rajesh Joshi</t>
  </si>
  <si>
    <t>C2758</t>
  </si>
  <si>
    <t>C2759</t>
  </si>
  <si>
    <t>C2760</t>
  </si>
  <si>
    <t>C2761</t>
  </si>
  <si>
    <t>C2762</t>
  </si>
  <si>
    <t>C2763</t>
  </si>
  <si>
    <t>C2764</t>
  </si>
  <si>
    <t>C2765</t>
  </si>
  <si>
    <t>Kavita Rao</t>
  </si>
  <si>
    <t>C2766</t>
  </si>
  <si>
    <t>C2767</t>
  </si>
  <si>
    <t>C2768</t>
  </si>
  <si>
    <t>Rajesh Agarwal</t>
  </si>
  <si>
    <t>C2769</t>
  </si>
  <si>
    <t>C2770</t>
  </si>
  <si>
    <t>C2771</t>
  </si>
  <si>
    <t>C2772</t>
  </si>
  <si>
    <t>C2773</t>
  </si>
  <si>
    <t>C2774</t>
  </si>
  <si>
    <t>C2775</t>
  </si>
  <si>
    <t>C2776</t>
  </si>
  <si>
    <t>Pankaj Bose</t>
  </si>
  <si>
    <t>C2777</t>
  </si>
  <si>
    <t>C2778</t>
  </si>
  <si>
    <t>C2779</t>
  </si>
  <si>
    <t>C2780</t>
  </si>
  <si>
    <t>C2781</t>
  </si>
  <si>
    <t>C2782</t>
  </si>
  <si>
    <t>C2783</t>
  </si>
  <si>
    <t>C2784</t>
  </si>
  <si>
    <t>C2785</t>
  </si>
  <si>
    <t>Date missing; Churn unknown</t>
  </si>
  <si>
    <t>C2786</t>
  </si>
  <si>
    <t>Ritu Reddy</t>
  </si>
  <si>
    <t>C2787</t>
  </si>
  <si>
    <t>C2788</t>
  </si>
  <si>
    <t>C2789</t>
  </si>
  <si>
    <t>Mohit Tiwari</t>
  </si>
  <si>
    <t>C2790</t>
  </si>
  <si>
    <t>C2791</t>
  </si>
  <si>
    <t>C2792</t>
  </si>
  <si>
    <t>C2793</t>
  </si>
  <si>
    <t>C2794</t>
  </si>
  <si>
    <t>C2795</t>
  </si>
  <si>
    <t>C2796</t>
  </si>
  <si>
    <t>C2797</t>
  </si>
  <si>
    <t>Rahul Iyer</t>
  </si>
  <si>
    <t>C2798</t>
  </si>
  <si>
    <t>C2799</t>
  </si>
  <si>
    <t>Anjali Jain</t>
  </si>
  <si>
    <t>C2800</t>
  </si>
  <si>
    <t>C2801</t>
  </si>
  <si>
    <t>C2802</t>
  </si>
  <si>
    <t>C2803</t>
  </si>
  <si>
    <t>C2804</t>
  </si>
  <si>
    <t>Sneha Rao</t>
  </si>
  <si>
    <t>C2805</t>
  </si>
  <si>
    <t>C2806</t>
  </si>
  <si>
    <t>C2807</t>
  </si>
  <si>
    <t>C2808</t>
  </si>
  <si>
    <t>C2809</t>
  </si>
  <si>
    <t>C2810</t>
  </si>
  <si>
    <t>C2811</t>
  </si>
  <si>
    <t>C2812</t>
  </si>
  <si>
    <t>C2813</t>
  </si>
  <si>
    <t>C2814</t>
  </si>
  <si>
    <t>C2815</t>
  </si>
  <si>
    <t>C2816</t>
  </si>
  <si>
    <t>C2817</t>
  </si>
  <si>
    <t>C2818</t>
  </si>
  <si>
    <t>C2819</t>
  </si>
  <si>
    <t>C2820</t>
  </si>
  <si>
    <t>C2821</t>
  </si>
  <si>
    <t>C2822</t>
  </si>
  <si>
    <t>Ritu Joshi</t>
  </si>
  <si>
    <t>C2823</t>
  </si>
  <si>
    <t>C2824</t>
  </si>
  <si>
    <t>C2825</t>
  </si>
  <si>
    <t>C2826</t>
  </si>
  <si>
    <t>C2827</t>
  </si>
  <si>
    <t>C2828</t>
  </si>
  <si>
    <t>C2829</t>
  </si>
  <si>
    <t>C2830</t>
  </si>
  <si>
    <t>C2831</t>
  </si>
  <si>
    <t>Rohit Verma</t>
  </si>
  <si>
    <t>C2832</t>
  </si>
  <si>
    <t>C2833</t>
  </si>
  <si>
    <t>C2834</t>
  </si>
  <si>
    <t>C2835</t>
  </si>
  <si>
    <t>C2836</t>
  </si>
  <si>
    <t>C2837</t>
  </si>
  <si>
    <t>C2838</t>
  </si>
  <si>
    <t>C2839</t>
  </si>
  <si>
    <t>C2840</t>
  </si>
  <si>
    <t>C2841</t>
  </si>
  <si>
    <t>C2842</t>
  </si>
  <si>
    <t>C2843</t>
  </si>
  <si>
    <t>C2844</t>
  </si>
  <si>
    <t>C2845</t>
  </si>
  <si>
    <t>C2846</t>
  </si>
  <si>
    <t>C2847</t>
  </si>
  <si>
    <t>C2848</t>
  </si>
  <si>
    <t>C2849</t>
  </si>
  <si>
    <t>C2850</t>
  </si>
  <si>
    <t>C2851</t>
  </si>
  <si>
    <t>C2852</t>
  </si>
  <si>
    <t>C2853</t>
  </si>
  <si>
    <t>Payal Verma</t>
  </si>
  <si>
    <t>C2854</t>
  </si>
  <si>
    <t>Ankit Verma</t>
  </si>
  <si>
    <t>C2855</t>
  </si>
  <si>
    <t>C2856</t>
  </si>
  <si>
    <t>C2857</t>
  </si>
  <si>
    <t>C2858</t>
  </si>
  <si>
    <t>C2859</t>
  </si>
  <si>
    <t>Priya Malhotra</t>
  </si>
  <si>
    <t>C2860</t>
  </si>
  <si>
    <t>C2861</t>
  </si>
  <si>
    <t>C2862</t>
  </si>
  <si>
    <t>C2863</t>
  </si>
  <si>
    <t>C2864</t>
  </si>
  <si>
    <t>Deepika Verma</t>
  </si>
  <si>
    <t>C2865</t>
  </si>
  <si>
    <t>C2866</t>
  </si>
  <si>
    <t>Riya Jain</t>
  </si>
  <si>
    <t>C2867</t>
  </si>
  <si>
    <t>C2868</t>
  </si>
  <si>
    <t>Arjun Kumar</t>
  </si>
  <si>
    <t>C2869</t>
  </si>
  <si>
    <t>C2870</t>
  </si>
  <si>
    <t>C2871</t>
  </si>
  <si>
    <t>C2872</t>
  </si>
  <si>
    <t>Aditi Agarwal</t>
  </si>
  <si>
    <t>C2873</t>
  </si>
  <si>
    <t>Pooja Gupta</t>
  </si>
  <si>
    <t>C2874</t>
  </si>
  <si>
    <t>C2875</t>
  </si>
  <si>
    <t>C2876</t>
  </si>
  <si>
    <t>Amit Nair</t>
  </si>
  <si>
    <t>C2877</t>
  </si>
  <si>
    <t>Arjun Mishra</t>
  </si>
  <si>
    <t>C2878</t>
  </si>
  <si>
    <t>C2879</t>
  </si>
  <si>
    <t>C2880</t>
  </si>
  <si>
    <t>C2881</t>
  </si>
  <si>
    <t>C2882</t>
  </si>
  <si>
    <t>C2883</t>
  </si>
  <si>
    <t>C2884</t>
  </si>
  <si>
    <t>Mohit Desai</t>
  </si>
  <si>
    <t>C2885</t>
  </si>
  <si>
    <t>C2886</t>
  </si>
  <si>
    <t>C2887</t>
  </si>
  <si>
    <t>Sachin Pandey</t>
  </si>
  <si>
    <t>C2888</t>
  </si>
  <si>
    <t>C2889</t>
  </si>
  <si>
    <t>C2890</t>
  </si>
  <si>
    <t>C2891</t>
  </si>
  <si>
    <t>C2892</t>
  </si>
  <si>
    <t>C2893</t>
  </si>
  <si>
    <t>Pankaj Jain</t>
  </si>
  <si>
    <t>C2894</t>
  </si>
  <si>
    <t>Deepak Agarwal</t>
  </si>
  <si>
    <t>C2895</t>
  </si>
  <si>
    <t>C2896</t>
  </si>
  <si>
    <t>C2897</t>
  </si>
  <si>
    <t>C2898</t>
  </si>
  <si>
    <t>C2899</t>
  </si>
  <si>
    <t>C2900</t>
  </si>
  <si>
    <t>C2901</t>
  </si>
  <si>
    <t>C2902</t>
  </si>
  <si>
    <t>C2903</t>
  </si>
  <si>
    <t>C2904</t>
  </si>
  <si>
    <t>C2905</t>
  </si>
  <si>
    <t>C2906</t>
  </si>
  <si>
    <t>C2907</t>
  </si>
  <si>
    <t>C2908</t>
  </si>
  <si>
    <t>C2909</t>
  </si>
  <si>
    <t>C2910</t>
  </si>
  <si>
    <t>C2911</t>
  </si>
  <si>
    <t>Pankaj Patel</t>
  </si>
  <si>
    <t>C2912</t>
  </si>
  <si>
    <t>C2913</t>
  </si>
  <si>
    <t>C2914</t>
  </si>
  <si>
    <t>C2915</t>
  </si>
  <si>
    <t>C2916</t>
  </si>
  <si>
    <t>C2917</t>
  </si>
  <si>
    <t>C2918</t>
  </si>
  <si>
    <t>C2919</t>
  </si>
  <si>
    <t>C2920</t>
  </si>
  <si>
    <t>Karan Jain</t>
  </si>
  <si>
    <t>C2921</t>
  </si>
  <si>
    <t>C2922</t>
  </si>
  <si>
    <t>C2923</t>
  </si>
  <si>
    <t>C2924</t>
  </si>
  <si>
    <t>C2925</t>
  </si>
  <si>
    <t>C2926</t>
  </si>
  <si>
    <t>C2927</t>
  </si>
  <si>
    <t>C2928</t>
  </si>
  <si>
    <t>C2929</t>
  </si>
  <si>
    <t>C2930</t>
  </si>
  <si>
    <t>C2931</t>
  </si>
  <si>
    <t>C2932</t>
  </si>
  <si>
    <t>C2933</t>
  </si>
  <si>
    <t>C2934</t>
  </si>
  <si>
    <t>C2935</t>
  </si>
  <si>
    <t>C2936</t>
  </si>
  <si>
    <t>C2937</t>
  </si>
  <si>
    <t>Deepak Kumar</t>
  </si>
  <si>
    <t>C2938</t>
  </si>
  <si>
    <t>C2939</t>
  </si>
  <si>
    <t>C2940</t>
  </si>
  <si>
    <t>C2941</t>
  </si>
  <si>
    <t>C2942</t>
  </si>
  <si>
    <t>C2943</t>
  </si>
  <si>
    <t>C2944</t>
  </si>
  <si>
    <t>C2945</t>
  </si>
  <si>
    <t>C2946</t>
  </si>
  <si>
    <t>C2947</t>
  </si>
  <si>
    <t>C2948</t>
  </si>
  <si>
    <t>C2949</t>
  </si>
  <si>
    <t>C2950</t>
  </si>
  <si>
    <t>C2951</t>
  </si>
  <si>
    <t>C2952</t>
  </si>
  <si>
    <t>C2953</t>
  </si>
  <si>
    <t>C2954</t>
  </si>
  <si>
    <t>C2955</t>
  </si>
  <si>
    <t>C2956</t>
  </si>
  <si>
    <t>Suresh Patel</t>
  </si>
  <si>
    <t>C2957</t>
  </si>
  <si>
    <t>Rohit Malhotra</t>
  </si>
  <si>
    <t>C2958</t>
  </si>
  <si>
    <t>Deepika Gupta</t>
  </si>
  <si>
    <t>C2959</t>
  </si>
  <si>
    <t>C2960</t>
  </si>
  <si>
    <t>C2961</t>
  </si>
  <si>
    <t>C2962</t>
  </si>
  <si>
    <t>C2963</t>
  </si>
  <si>
    <t>C2964</t>
  </si>
  <si>
    <t>C2965</t>
  </si>
  <si>
    <t>C2966</t>
  </si>
  <si>
    <t>C2967</t>
  </si>
  <si>
    <t>C2968</t>
  </si>
  <si>
    <t>C2969</t>
  </si>
  <si>
    <t>C2970</t>
  </si>
  <si>
    <t>C2971</t>
  </si>
  <si>
    <t>C2972</t>
  </si>
  <si>
    <t>C2973</t>
  </si>
  <si>
    <t>C2974</t>
  </si>
  <si>
    <t>C2975</t>
  </si>
  <si>
    <t>C2976</t>
  </si>
  <si>
    <t>C2977</t>
  </si>
  <si>
    <t>C2978</t>
  </si>
  <si>
    <t>C2979</t>
  </si>
  <si>
    <t>C2980</t>
  </si>
  <si>
    <t>C2981</t>
  </si>
  <si>
    <t>C2982</t>
  </si>
  <si>
    <t>C2983</t>
  </si>
  <si>
    <t>C2984</t>
  </si>
  <si>
    <t>C2985</t>
  </si>
  <si>
    <t>C2986</t>
  </si>
  <si>
    <t>C2987</t>
  </si>
  <si>
    <t>C2988</t>
  </si>
  <si>
    <t>C2989</t>
  </si>
  <si>
    <t>C2990</t>
  </si>
  <si>
    <t>C2991</t>
  </si>
  <si>
    <t>C2992</t>
  </si>
  <si>
    <t>C2993</t>
  </si>
  <si>
    <t>C2994</t>
  </si>
  <si>
    <t>C2995</t>
  </si>
  <si>
    <t>C2996</t>
  </si>
  <si>
    <t>Meera Singh</t>
  </si>
  <si>
    <t>C2997</t>
  </si>
  <si>
    <t>C2998</t>
  </si>
  <si>
    <t>C2999</t>
  </si>
  <si>
    <t>C3000</t>
  </si>
  <si>
    <t>Tenure</t>
  </si>
  <si>
    <t>Monthly Charges</t>
  </si>
  <si>
    <t>Total Charges</t>
  </si>
  <si>
    <r>
      <t>1. How many unique customers</t>
    </r>
    <r>
      <rPr>
        <sz val="11"/>
        <color theme="1"/>
        <rFont val="Calibri"/>
        <family val="2"/>
        <charset val="1"/>
      </rPr>
      <t xml:space="preserve"> are in the dataset?</t>
    </r>
  </si>
  <si>
    <r>
      <t>2. How many customers have churned, and what is the overall churn rate (%)?</t>
    </r>
    <r>
      <rPr>
        <sz val="11"/>
        <color theme="1"/>
        <rFont val="Calibri"/>
        <family val="2"/>
        <charset val="1"/>
      </rPr>
      <t xml:space="preserve"> Exclude customers whose churn status is "Unknown" from the calculation.</t>
    </r>
  </si>
  <si>
    <r>
      <t>3. What is the average Monthly Charges</t>
    </r>
    <r>
      <rPr>
        <sz val="11"/>
        <color theme="1"/>
        <rFont val="Calibri"/>
        <family val="2"/>
        <charset val="1"/>
      </rPr>
      <t xml:space="preserve"> across all customers?</t>
    </r>
  </si>
  <si>
    <r>
      <t>4. What is the total revenue</t>
    </r>
    <r>
      <rPr>
        <sz val="11"/>
        <color theme="1"/>
        <rFont val="Calibri"/>
        <family val="2"/>
        <charset val="1"/>
      </rPr>
      <t xml:space="preserve"> (sum of Total Charges) across all customers?</t>
    </r>
  </si>
  <si>
    <t>5. How many customers are on a Month-to-month contract and have churned?</t>
  </si>
  <si>
    <t xml:space="preserve">level 1: </t>
  </si>
  <si>
    <t xml:space="preserve">solutions : </t>
  </si>
  <si>
    <t>"One in three customers is leaving, which is very high. Most of the churn (78%) comes from Month-to-month contracts, so the retention effort should target them first."</t>
  </si>
  <si>
    <t>Here is an example for Q2 and Q5, in your own words:</t>
  </si>
  <si>
    <t>Row Labels</t>
  </si>
  <si>
    <t>(blank)</t>
  </si>
  <si>
    <t>Grand Total</t>
  </si>
  <si>
    <t>Count of CustID</t>
  </si>
  <si>
    <t>Column Labels</t>
  </si>
  <si>
    <r>
      <t>6. What is the churn rate for each Contract Type?</t>
    </r>
    <r>
      <rPr>
        <sz val="11"/>
        <color theme="1"/>
        <rFont val="Calibri"/>
        <family val="2"/>
        <charset val="1"/>
      </rPr>
      <t xml:space="preserve"> Which contract is the riskiest? </t>
    </r>
    <r>
      <rPr>
        <i/>
        <sz val="11"/>
        <color theme="1"/>
        <rFont val="Calibri"/>
        <family val="2"/>
        <charset val="1"/>
      </rPr>
      <t>(You've already done this one ✅)</t>
    </r>
  </si>
  <si>
    <r>
      <t>7. What is the churn rate for each Internet Service type</t>
    </r>
    <r>
      <rPr>
        <sz val="11"/>
        <color theme="1"/>
        <rFont val="Calibri"/>
        <family val="2"/>
        <charset val="1"/>
      </rPr>
      <t xml:space="preserve"> (DSL, Fiber, No Internet)? Which service has the highest churn?</t>
    </r>
  </si>
  <si>
    <r>
      <t>8. City-wise analysis:</t>
    </r>
    <r>
      <rPr>
        <sz val="11"/>
        <color theme="1"/>
        <rFont val="Calibri"/>
        <family val="2"/>
        <charset val="1"/>
      </rPr>
      <t xml:space="preserve"> For each city, show the number of customers, total revenue (Total Charges) and churn rate. Which are the </t>
    </r>
    <r>
      <rPr>
        <b/>
        <sz val="11"/>
        <color theme="1"/>
        <rFont val="Calibri"/>
        <family val="2"/>
        <charset val="1"/>
      </rPr>
      <t>top 3 and bottom 3 cities</t>
    </r>
    <r>
      <rPr>
        <sz val="11"/>
        <color theme="1"/>
        <rFont val="Calibri"/>
        <family val="2"/>
        <charset val="1"/>
      </rPr>
      <t xml:space="preserve"> by churn rate?</t>
    </r>
  </si>
  <si>
    <r>
      <t>9. Tenure buckets:</t>
    </r>
    <r>
      <rPr>
        <sz val="11"/>
        <color theme="1"/>
        <rFont val="Calibri"/>
        <family val="2"/>
        <charset val="1"/>
      </rPr>
      <t xml:space="preserve"> Create buckets (0-6, 7-12, 13-24, 25-48, 49+ months). Which bucket has the highest churn rate?</t>
    </r>
  </si>
  <si>
    <r>
      <t>10. Age groups:</t>
    </r>
    <r>
      <rPr>
        <sz val="11"/>
        <color theme="1"/>
        <rFont val="Calibri"/>
        <family val="2"/>
        <charset val="1"/>
      </rPr>
      <t xml:space="preserve"> Create groups (18-25, 26-35, 36-45, 46-60, 60+). Which age group churns the most?</t>
    </r>
  </si>
  <si>
    <t>level 2:</t>
  </si>
  <si>
    <t>pivot tables</t>
  </si>
  <si>
    <t xml:space="preserve">Tenure  Bucket </t>
  </si>
  <si>
    <r>
      <t>Action:</t>
    </r>
    <r>
      <rPr>
        <sz val="11"/>
        <color theme="1"/>
        <rFont val="Calibri"/>
        <family val="2"/>
        <charset val="1"/>
      </rPr>
      <t xml:space="preserve"> Offer discounts or perks to move month-to-month customers onto one-year plans.</t>
    </r>
  </si>
  <si>
    <r>
      <t>Action:</t>
    </r>
    <r>
      <rPr>
        <sz val="11"/>
        <color theme="1"/>
        <rFont val="Calibri"/>
        <family val="2"/>
        <charset val="1"/>
      </rPr>
      <t xml:space="preserve"> Investigate Fiber service quality and pricing. Consider bundling offers for No Internet customers.</t>
    </r>
  </si>
  <si>
    <r>
      <t>Action:</t>
    </r>
    <r>
      <rPr>
        <sz val="11"/>
        <color theme="1"/>
        <rFont val="Calibri"/>
        <family val="2"/>
        <charset val="1"/>
      </rPr>
      <t xml:space="preserve"> Don't launch city-specific campaigns based on this alone. Use contract and tenure to target customers instead, and treat city as a secondary filter. Revenue per city is fairly even (₹19 to 25 lakh), so no single city dominates.</t>
    </r>
  </si>
  <si>
    <t xml:space="preserve">age group </t>
  </si>
  <si>
    <t xml:space="preserve">Age group </t>
  </si>
  <si>
    <t>yes</t>
  </si>
  <si>
    <t>no</t>
  </si>
  <si>
    <t xml:space="preserve">churn rate </t>
  </si>
  <si>
    <t>18-25</t>
  </si>
  <si>
    <t>26-35</t>
  </si>
  <si>
    <t>36-45</t>
  </si>
  <si>
    <t>46-60</t>
  </si>
  <si>
    <t>60+</t>
  </si>
  <si>
    <t>"Fiber is the most expensive service and also loses the most customers. Service quality and pricing of Fiber should be investigated first."</t>
  </si>
  <si>
    <t>Churn_Flag</t>
  </si>
  <si>
    <t>Sum of Total Charges (₹)</t>
  </si>
  <si>
    <t>Average of Churn_Flag</t>
  </si>
  <si>
    <r>
      <t>Insight:</t>
    </r>
    <r>
      <rPr>
        <sz val="11"/>
        <color theme="1"/>
        <rFont val="Calibri"/>
        <family val="2"/>
        <charset val="1"/>
      </rPr>
      <t xml:space="preserve"> </t>
    </r>
    <r>
      <rPr>
        <i/>
        <sz val="11"/>
        <color theme="1"/>
        <rFont val="Calibri"/>
        <family val="2"/>
        <charset val="1"/>
      </rPr>
      <t>"City differences are small (about 9 points) and each city has only about 130 to 150 customers, so city is a weaker churn driver than contract type or tenure."</t>
    </r>
  </si>
  <si>
    <r>
      <t>Insight:</t>
    </r>
    <r>
      <rPr>
        <sz val="11"/>
        <color theme="1"/>
        <rFont val="Calibri"/>
        <family val="2"/>
        <charset val="1"/>
      </rPr>
      <t xml:space="preserve"> </t>
    </r>
    <r>
      <rPr>
        <i/>
        <sz val="11"/>
        <color theme="1"/>
        <rFont val="Calibri"/>
        <family val="2"/>
        <charset val="1"/>
      </rPr>
      <t>"Age has only a weak link to churn. Rates range from 30% to 37% with no clear pattern, so age-based targeting is not worth it."</t>
    </r>
  </si>
  <si>
    <t>0-6 months</t>
  </si>
  <si>
    <t>13-24 months</t>
  </si>
  <si>
    <t>25-48 months</t>
  </si>
  <si>
    <t>49+ months</t>
  </si>
  <si>
    <t>7-12 months</t>
  </si>
  <si>
    <r>
      <t>6. Insight:</t>
    </r>
    <r>
      <rPr>
        <sz val="11"/>
        <color theme="1"/>
        <rFont val="Calibri"/>
        <family val="2"/>
        <charset val="1"/>
      </rPr>
      <t xml:space="preserve"> Month-to-month customers churn more than 4x as often as two-year customers. Contract length is the strongest churn driver in this data.</t>
    </r>
  </si>
  <si>
    <r>
      <t>7. Insight:</t>
    </r>
    <r>
      <rPr>
        <sz val="11"/>
        <color theme="1"/>
        <rFont val="Calibri"/>
        <family val="2"/>
        <charset val="1"/>
      </rPr>
      <t xml:space="preserve"> Fiber customers pay the most but churn the most, about 9 points above DSL. That is the costliest kind of churn. The "No Internet" group also churns at a high rate, which suggests those customers get little value from the plan.</t>
    </r>
  </si>
  <si>
    <r>
      <t>8. Insight:</t>
    </r>
    <r>
      <rPr>
        <sz val="11"/>
        <color theme="1"/>
        <rFont val="Calibri"/>
        <family val="2"/>
        <charset val="1"/>
      </rPr>
      <t xml:space="preserve"> City matters much less than contract type. The gap between best and worst city is about 9 points, and each city has only about 125 to 150 customers, so part of that gap is likely random variation.</t>
    </r>
  </si>
  <si>
    <t xml:space="preserve">9. Buisness insight : </t>
  </si>
  <si>
    <r>
      <t>10. Insight:</t>
    </r>
    <r>
      <rPr>
        <sz val="11"/>
        <color theme="1"/>
        <rFont val="Calibri"/>
        <family val="2"/>
        <charset val="1"/>
      </rPr>
      <t xml:space="preserve"> </t>
    </r>
    <r>
      <rPr>
        <i/>
        <sz val="11"/>
        <color theme="1"/>
        <rFont val="Calibri"/>
        <family val="2"/>
        <charset val="1"/>
      </rPr>
      <t>"Nearly half of new customers leave within 6 months, and churn keeps falling as tenure increases. Onboarding and early retention are the biggest opportunity."</t>
    </r>
  </si>
  <si>
    <t>insight:</t>
  </si>
  <si>
    <r>
      <t xml:space="preserve">Insight: </t>
    </r>
    <r>
      <rPr>
        <i/>
        <sz val="11"/>
        <color theme="1"/>
        <rFont val="Calibri"/>
        <family val="2"/>
        <charset val="1"/>
      </rPr>
      <t>"The cleaned base has 2,000 unique customers, after removing 50 duplicates and 8 blank rows."</t>
    </r>
  </si>
  <si>
    <r>
      <t xml:space="preserve">Insight: </t>
    </r>
    <r>
      <rPr>
        <i/>
        <sz val="11"/>
        <color theme="1"/>
        <rFont val="Calibri"/>
        <family val="2"/>
        <charset val="1"/>
      </rPr>
      <t>"One in three customers has left. That is very high and needs urgent action."</t>
    </r>
  </si>
  <si>
    <r>
      <t xml:space="preserve">Insight: </t>
    </r>
    <r>
      <rPr>
        <i/>
        <sz val="11"/>
        <color theme="1"/>
        <rFont val="Calibri"/>
        <family val="2"/>
        <charset val="1"/>
      </rPr>
      <t>"The average customer pays about ₹847 a month. This is the baseline to price retention offers against."</t>
    </r>
  </si>
  <si>
    <r>
      <t xml:space="preserve">. Insight: </t>
    </r>
    <r>
      <rPr>
        <i/>
        <sz val="11"/>
        <color theme="1"/>
        <rFont val="Calibri"/>
        <family val="2"/>
        <charset val="1"/>
      </rPr>
      <t>"About ₹3.2 crore of lifetime billing sits in this customer base, so losing a third of customers is a serious revenue risk."</t>
    </r>
    <r>
      <rPr>
        <sz val="11"/>
        <color theme="1"/>
        <rFont val="Calibri"/>
        <family val="2"/>
        <charset val="1"/>
      </rPr>
      <t xml:space="preserve"> Note: 17 Total Charges cells are blank, so the real figure is slightly higher.</t>
    </r>
  </si>
  <si>
    <r>
      <t xml:space="preserve">Insight: </t>
    </r>
    <r>
      <rPr>
        <i/>
        <sz val="11"/>
        <color theme="1"/>
        <rFont val="Calibri"/>
        <family val="2"/>
        <charset val="1"/>
      </rPr>
      <t>"516 of 665 churned customers (78%) were on Month-to-month plans, so contract type is the main churn driver."</t>
    </r>
  </si>
  <si>
    <t>Q11. Monthly revenue lost from churned customers</t>
  </si>
  <si>
    <t>level 3:</t>
  </si>
  <si>
    <t>Q12. Annual revenue at risk</t>
  </si>
  <si>
    <t>Q13. Retention scenario (reduce Month-to-month churn by 10 points)</t>
  </si>
  <si>
    <t>Q14. Top 10 customers by Total Charges</t>
  </si>
  <si>
    <t>Q15. Customer lookup box</t>
  </si>
  <si>
    <t>Q16. City churn rate table with population</t>
  </si>
  <si>
    <t>solutions:</t>
  </si>
  <si>
    <t>Monthly revenue lost</t>
  </si>
  <si>
    <t xml:space="preserve">Formula </t>
  </si>
  <si>
    <t xml:space="preserve">monthly revenue at risk </t>
  </si>
  <si>
    <t>Annual revenue at risk</t>
  </si>
  <si>
    <t xml:space="preserve">annual revenue at risk </t>
  </si>
  <si>
    <t>Insight: About a third of the company's monthly billing is lost to churn, so even a small improvement in retention is worth lakhs.</t>
  </si>
  <si>
    <t>insights:</t>
  </si>
  <si>
    <r>
      <t xml:space="preserve">Insight: </t>
    </r>
    <r>
      <rPr>
        <i/>
        <sz val="11"/>
        <color theme="1"/>
        <rFont val="Calibri"/>
        <family val="2"/>
        <charset val="1"/>
      </rPr>
      <t>"Churned customers represented about 34% of total monthly billing. Almost a third of recurring revenue has walked out."</t>
    </r>
    <r>
      <rPr>
        <sz val="11"/>
        <color theme="1"/>
        <rFont val="Calibri"/>
        <family val="2"/>
        <charset val="1"/>
      </rPr>
      <t xml:space="preserve"> Note: 10 churned customers have a blank Monthly Charge, so this is slightly understated.</t>
    </r>
  </si>
  <si>
    <t>churn reduction (assumption)</t>
  </si>
  <si>
    <t>moth to month customers with known churn status</t>
  </si>
  <si>
    <t xml:space="preserve">avg monthly charge of churned month to month </t>
  </si>
  <si>
    <t>Monthly revenue saved</t>
  </si>
  <si>
    <t>Annual revenue saved</t>
  </si>
  <si>
    <t>Customer saved</t>
  </si>
  <si>
    <r>
      <t xml:space="preserve">Insight: </t>
    </r>
    <r>
      <rPr>
        <i/>
        <sz val="11"/>
        <color theme="1"/>
        <rFont val="Calibri"/>
        <family val="2"/>
        <charset val="1"/>
      </rPr>
      <t>"Cutting Month-to-month churn from 47.8% to 37.8% would save about 108 customers and around ₹11 lakh a year. Month-to-month customers also account for about 77% of the monthly revenue lost, so this is the best place to spend retention budget."</t>
    </r>
    <r>
      <rPr>
        <sz val="11"/>
        <color theme="1"/>
        <rFont val="Calibri"/>
        <family val="2"/>
        <charset val="1"/>
      </rPr>
      <t xml:space="preserve"> Change B1 to 5% or 15% and the answer updates automatically, which is a good thing to show in an interview.</t>
    </r>
  </si>
  <si>
    <t>Totalkey</t>
  </si>
  <si>
    <t>rank</t>
  </si>
  <si>
    <t xml:space="preserve">14. solution-&gt; </t>
  </si>
  <si>
    <r>
      <t>Insight:</t>
    </r>
    <r>
      <rPr>
        <sz val="11"/>
        <color theme="1"/>
        <rFont val="Calibri"/>
        <family val="2"/>
        <charset val="1"/>
      </rPr>
      <t xml:space="preserve"> </t>
    </r>
    <r>
      <rPr>
        <i/>
        <sz val="11"/>
        <color theme="1"/>
        <rFont val="Calibri"/>
        <family val="2"/>
        <charset val="1"/>
      </rPr>
      <t>"All top 10 customers are on Two-year contracts, and 8 of 10 are still active. The 2 who churned (C1023, C2457) are each worth over ₹80,000 and should get a personal win-back call."</t>
    </r>
  </si>
  <si>
    <t>Name</t>
  </si>
  <si>
    <t>15. solution-</t>
  </si>
  <si>
    <r>
      <t>insight:</t>
    </r>
    <r>
      <rPr>
        <sz val="11"/>
        <color theme="1"/>
        <rFont val="Calibri"/>
        <family val="2"/>
        <charset val="1"/>
      </rPr>
      <t xml:space="preserve"> </t>
    </r>
    <r>
      <rPr>
        <i/>
        <sz val="11"/>
        <color theme="1"/>
        <rFont val="Calibri"/>
        <family val="2"/>
        <charset val="1"/>
      </rPr>
      <t>"The lookup box lets a support or retention agent type any CustID and instantly see the customer's name, city, monthly bill and churn status. Instead of searching through 2,000 rows, the agent gets the answer in seconds, which makes win-back calls and complaint handling faster and less error-prone."</t>
    </r>
  </si>
  <si>
    <t>Because analysis is only useful if the business can act on it. This turns the dataset into a simple tool a non-technical team can use without touching formulas."</t>
  </si>
  <si>
    <t xml:space="preserve">16. solution- </t>
  </si>
  <si>
    <t>city</t>
  </si>
  <si>
    <t>customers</t>
  </si>
  <si>
    <t>churn rate</t>
  </si>
  <si>
    <t>"I used the lookup box to turn the table into a quick tool: type any city, get its customer count and churn rate instantly."</t>
  </si>
  <si>
    <t>"Churn ranges from 28.8% in Kolkata to 38.1% in Chennai, a gap of about 9 points. The three highest-churn cities are Chennai (38.1%), Indore (37.2%) and Chandigarh (36.5%), while Kolkata, Bangalore and Ahmedabad retain best. However, every city has only about 120 to 155 customers, so part of this gap may be random variation rather than a real local problem. City is a weaker churn driver than contract type (47.8% vs 10.9%) or tenure (49.7% for the first 6 months vs 8.6% after 4 years). The business should first fix contract and tenure issues everywhere, and only then investigate Chennai, Indore and Chandigarh for local causes such as network quality or competitor offers."</t>
  </si>
  <si>
    <t>Customer Churn Dashboard</t>
  </si>
  <si>
    <t>Telecom subscription base · 2,000 unique customers · churn rate = Yes ÷ (Yes + No), unknown status excluded</t>
  </si>
  <si>
    <t>TOTAL CUSTOMERS</t>
  </si>
  <si>
    <t>CHURN RATE</t>
  </si>
  <si>
    <t>MONTHLY REVENUE LOST</t>
  </si>
  <si>
    <t>ANNUAL REVENUE AT RISK</t>
  </si>
  <si>
    <t>KEY INSIGHTS</t>
  </si>
  <si>
    <t>1. Contract type is the strongest driver: Month-to-month churn is 47.8% vs 10.9% for Two-year customers.</t>
  </si>
  <si>
    <t>2. The first 6 months are critical: 49.7% churn, falling to 8.6% after 4 years. Focus on onboarding and early retention.</t>
  </si>
  <si>
    <t>3. Fiber (37.7%) churns more than DSL (28.7%). Review Fiber service quality and pricing.</t>
  </si>
  <si>
    <t>4. City and age matter far less (about 29% to 38% across cities, 30% to 37% across ages). Do not target by them.</t>
  </si>
  <si>
    <t>5. About ₹68 lakh a year is at risk. Cutting Month-to-month churn by 10 points could save about ₹11 lakh a year.</t>
  </si>
  <si>
    <t>KPIs</t>
  </si>
  <si>
    <t>Total customers</t>
  </si>
  <si>
    <t>Churned customers</t>
  </si>
  <si>
    <t>Churn rate</t>
  </si>
  <si>
    <t>Group</t>
  </si>
  <si>
    <t>Overall avg</t>
  </si>
  <si>
    <t>0-6 mo</t>
  </si>
  <si>
    <t>7-12 mo</t>
  </si>
  <si>
    <t>13-24 mo</t>
  </si>
  <si>
    <t>25-48 mo</t>
  </si>
  <si>
    <t>49+ mo</t>
  </si>
  <si>
    <t>Age Group</t>
  </si>
  <si>
    <t>18-25 yrs</t>
  </si>
  <si>
    <t>26-35 yrs</t>
  </si>
  <si>
    <t>36-45 yrs</t>
  </si>
  <si>
    <t>46-60 yrs</t>
  </si>
  <si>
    <t>60+ yrs</t>
  </si>
  <si>
    <t>i want all detail about this file through buisness insights explain the main points of this data and how can i explain my data tell me every thing mujh proffes</t>
  </si>
  <si>
    <t>problem :</t>
  </si>
  <si>
    <t>solution:</t>
  </si>
  <si>
    <t>Additional Business Problems and Recommended Solutions</t>
  </si>
  <si>
    <r>
      <t>High churn among early-tenure customers:</t>
    </r>
    <r>
      <rPr>
        <sz val="11"/>
        <color theme="1"/>
        <rFont val="Calibri"/>
        <family val="2"/>
        <charset val="1"/>
      </rPr>
      <t xml:space="preserve"> Customers in their first six months have a </t>
    </r>
    <r>
      <rPr>
        <b/>
        <sz val="11"/>
        <color theme="1"/>
        <rFont val="Calibri"/>
        <family val="2"/>
        <charset val="1"/>
      </rPr>
      <t>49.7% churn rate</t>
    </r>
    <r>
      <rPr>
        <sz val="11"/>
        <color theme="1"/>
        <rFont val="Calibri"/>
        <family val="2"/>
        <charset val="1"/>
      </rPr>
      <t>.</t>
    </r>
  </si>
  <si>
    <r>
      <t>Solution:</t>
    </r>
    <r>
      <rPr>
        <sz val="11"/>
        <color theme="1"/>
        <rFont val="Calibri"/>
        <family val="2"/>
        <charset val="1"/>
      </rPr>
      <t xml:space="preserve"> Strengthen onboarding, check in with customers during the first few months, and resolve setup or service issues quickly.</t>
    </r>
  </si>
  <si>
    <r>
      <t>Higher churn among fiber customers:</t>
    </r>
    <r>
      <rPr>
        <sz val="11"/>
        <color theme="1"/>
        <rFont val="Calibri"/>
        <family val="2"/>
        <charset val="1"/>
      </rPr>
      <t xml:space="preserve"> Fiber customers have a </t>
    </r>
    <r>
      <rPr>
        <b/>
        <sz val="11"/>
        <color theme="1"/>
        <rFont val="Calibri"/>
        <family val="2"/>
        <charset val="1"/>
      </rPr>
      <t>37.7% churn rate</t>
    </r>
    <r>
      <rPr>
        <sz val="11"/>
        <color theme="1"/>
        <rFont val="Calibri"/>
        <family val="2"/>
        <charset val="1"/>
      </rPr>
      <t xml:space="preserve">, compared with </t>
    </r>
    <r>
      <rPr>
        <b/>
        <sz val="11"/>
        <color theme="1"/>
        <rFont val="Calibri"/>
        <family val="2"/>
        <charset val="1"/>
      </rPr>
      <t>28.7% for DSL customers</t>
    </r>
    <r>
      <rPr>
        <sz val="11"/>
        <color theme="1"/>
        <rFont val="Calibri"/>
        <family val="2"/>
        <charset val="1"/>
      </rPr>
      <t>.</t>
    </r>
  </si>
  <si>
    <r>
      <t>Solution:</t>
    </r>
    <r>
      <rPr>
        <sz val="11"/>
        <color theme="1"/>
        <rFont val="Calibri"/>
        <family val="2"/>
        <charset val="1"/>
      </rPr>
      <t xml:space="preserve"> Review fiber customers’ service quality, pricing, and complaint history to identify possible issues before choosing a retention action.</t>
    </r>
  </si>
  <si>
    <r>
      <t>Churn is concentrated in month-to-month plans:</t>
    </r>
    <r>
      <rPr>
        <sz val="11"/>
        <color theme="1"/>
        <rFont val="Calibri"/>
        <family val="2"/>
        <charset val="1"/>
      </rPr>
      <t xml:space="preserve"> These customers make up </t>
    </r>
    <r>
      <rPr>
        <b/>
        <sz val="11"/>
        <color theme="1"/>
        <rFont val="Calibri"/>
        <family val="2"/>
        <charset val="1"/>
      </rPr>
      <t>77.6% of known churned customers</t>
    </r>
    <r>
      <rPr>
        <sz val="11"/>
        <color theme="1"/>
        <rFont val="Calibri"/>
        <family val="2"/>
        <charset val="1"/>
      </rPr>
      <t xml:space="preserve"> and account for about </t>
    </r>
    <r>
      <rPr>
        <b/>
        <sz val="11"/>
        <color theme="1"/>
        <rFont val="Calibri"/>
        <family val="2"/>
        <charset val="1"/>
      </rPr>
      <t>76.8% of the monthly charges linked to churned accounts</t>
    </r>
    <r>
      <rPr>
        <sz val="11"/>
        <color theme="1"/>
        <rFont val="Calibri"/>
        <family val="2"/>
        <charset val="1"/>
      </rPr>
      <t>.</t>
    </r>
  </si>
  <si>
    <r>
      <t>Solution:</t>
    </r>
    <r>
      <rPr>
        <sz val="11"/>
        <color theme="1"/>
        <rFont val="Calibri"/>
        <family val="2"/>
        <charset val="1"/>
      </rPr>
      <t xml:space="preserve"> Offer suitable plan options or benefits to encourage customers to stay, and track whether the offers are cost-effective.</t>
    </r>
  </si>
  <si>
    <r>
      <t>Some customer information is missing or estimated:</t>
    </r>
    <r>
      <rPr>
        <sz val="11"/>
        <color theme="1"/>
        <rFont val="Calibri"/>
        <family val="2"/>
        <charset val="1"/>
      </rPr>
      <t xml:space="preserve"> The file contains unknown churn statuses and values marked as imputed.</t>
    </r>
  </si>
  <si>
    <r>
      <t>Solution:</t>
    </r>
    <r>
      <rPr>
        <sz val="11"/>
        <color theme="1"/>
        <rFont val="Calibri"/>
        <family val="2"/>
        <charset val="1"/>
      </rPr>
      <t xml:space="preserve"> Improve data collection and validation, and clearly flag estimated values when reporting results.</t>
    </r>
  </si>
  <si>
    <r>
      <t>The reasons and timing of churn are not recorded:</t>
    </r>
    <r>
      <rPr>
        <sz val="11"/>
        <color theme="1"/>
        <rFont val="Calibri"/>
        <family val="2"/>
        <charset val="1"/>
      </rPr>
      <t xml:space="preserve"> The workbook shows which customers left, but not when they left or why.</t>
    </r>
  </si>
  <si>
    <r>
      <t>Solution:</t>
    </r>
    <r>
      <rPr>
        <sz val="11"/>
        <color theme="1"/>
        <rFont val="Calibri"/>
        <family val="2"/>
        <charset val="1"/>
      </rPr>
      <t xml:space="preserve"> Record cancellation dates and reasons, then review churn by month and customer group.</t>
    </r>
  </si>
  <si>
    <r>
      <t>Churn rates differ across cities:</t>
    </r>
    <r>
      <rPr>
        <sz val="11"/>
        <color theme="1"/>
        <rFont val="Calibri"/>
        <family val="2"/>
        <charset val="1"/>
      </rPr>
      <t xml:space="preserve"> For example, Chennai’s rate is </t>
    </r>
    <r>
      <rPr>
        <b/>
        <sz val="11"/>
        <color theme="1"/>
        <rFont val="Calibri"/>
        <family val="2"/>
        <charset val="1"/>
      </rPr>
      <t>38.1%</t>
    </r>
    <r>
      <rPr>
        <sz val="11"/>
        <color theme="1"/>
        <rFont val="Calibri"/>
        <family val="2"/>
        <charset val="1"/>
      </rPr>
      <t xml:space="preserve">, while Kolkata’s is </t>
    </r>
    <r>
      <rPr>
        <b/>
        <sz val="11"/>
        <color theme="1"/>
        <rFont val="Calibri"/>
        <family val="2"/>
        <charset val="1"/>
      </rPr>
      <t>28.8%</t>
    </r>
    <r>
      <rPr>
        <sz val="11"/>
        <color theme="1"/>
        <rFont val="Calibri"/>
        <family val="2"/>
        <charset val="1"/>
      </rPr>
      <t>.</t>
    </r>
  </si>
  <si>
    <r>
      <t>Solution:</t>
    </r>
    <r>
      <rPr>
        <sz val="11"/>
        <color theme="1"/>
        <rFont val="Calibri"/>
        <family val="2"/>
        <charset val="1"/>
      </rPr>
      <t xml:space="preserve"> Investigate local service or customer-support issues, while treating these figures as signals to explore rather than confirmed causes.</t>
    </r>
  </si>
  <si>
    <r>
      <t>Price may be worth investigating:</t>
    </r>
    <r>
      <rPr>
        <sz val="11"/>
        <color theme="1"/>
        <rFont val="Calibri"/>
        <family val="2"/>
        <charset val="1"/>
      </rPr>
      <t xml:space="preserve"> Churned customers’ average monthly charge is slightly higher than retained customers’. This does not prove that price caused churn.</t>
    </r>
  </si>
  <si>
    <r>
      <t>Solution:</t>
    </r>
    <r>
      <rPr>
        <sz val="11"/>
        <color theme="1"/>
        <rFont val="Calibri"/>
        <family val="2"/>
        <charset val="1"/>
      </rPr>
      <t xml:space="preserve"> Ask customers about price and perceived value, then test any pricing changes with a small customer group.</t>
    </r>
  </si>
  <si>
    <r>
      <t>Note:</t>
    </r>
    <r>
      <rPr>
        <sz val="11"/>
        <color theme="1"/>
        <rFont val="Calibri"/>
        <family val="2"/>
        <charset val="1"/>
      </rPr>
      <t xml:space="preserve"> These findings highlight areas for investigation. The workbook does not establish the causes of churn, so customer feedback and service data are needed before deciding on specific changes.</t>
    </r>
  </si>
  <si>
    <t>ABOUT THIS PROJECT:</t>
  </si>
  <si>
    <t>"I analysed a telecom subscription business that was losing one in three customers, which put about ₹68 lakh a year in revenue at risk.</t>
  </si>
  <si>
    <t>I cleaned a messy dataset of 2,000 customers, analysed it in Excel using formulas and pivot tables, and built a dashboard</t>
  </si>
  <si>
    <t>I found that churn is driven mainly by contract type and early tenure: Month-to-month customers churn at 47.8% compared with 10.9% for two-year customers, and nearly half of new customers leave within six months.</t>
  </si>
  <si>
    <t>My recommendation is to move customers onto longer contracts and strengthen onboarding, which could save roughly ₹11 lakh a year."</t>
  </si>
  <si>
    <t>1. Business problem</t>
  </si>
  <si>
    <t>"The company's churn rate is 33.8%.Put differently, it loses about ₹5.7 lakh in monthly billing, or roughly₹68 lakh a year, to customers who leave.</t>
  </si>
  <si>
    <t>The question I set out to answer was: who is leaving, why, and what can the business do about it?"</t>
  </si>
  <si>
    <t>2. Data and approach</t>
  </si>
  <si>
    <t>"The raw file had 2,058 rows with serious quality issues: 50 duplicate customers, blank rows, mixed date formats, prices stored as text, impossible ages and tenures, and inconsistent labels like 'Dehli' and 'Bengaluru'.</t>
  </si>
  <si>
    <t>I cleaned it down to 2,000 unique customers and documented every fix in an issues log. Where values were missing,</t>
  </si>
  <si>
    <t>I rebuilt them from related fields when possible, for example Total Charges equals Monthly Charges times Tenure, and I did not guess the churn status itself."</t>
  </si>
  <si>
    <t>3. Key findings</t>
  </si>
  <si>
    <t>"First, contract type is the strongest driver. Month-to-month customers churn at 47.8%, versus 20.2% for one-year and 10.9% for two-year contracts.</t>
  </si>
  <si>
    <t>They also make up 78% of all churned customers.</t>
  </si>
  <si>
    <t>Second, the first six months are critical. Churn is 49.7% in months 0 to 6, and it falls steadily to 8.6% for customers beyond four years.</t>
  </si>
  <si>
    <t>Third, Fiber has the highest churn among services at 37.7%, compared with 28.7% for DSL. That matters because Fiber is the premium product.</t>
  </si>
  <si>
    <t>Finally, city and age have a much weaker effect. Churn ranges from about 29% to 38% across cities and 30% to 37% across age groups, with no clear pattern."</t>
  </si>
  <si>
    <t>4. Recommendations</t>
  </si>
  <si>
    <t>"I would recommend three actions. One, offer incentives to move Month-to-month customers onto one- or two-year plans.</t>
  </si>
  <si>
    <t>Two, build an onboarding and early-check-in programme for the first six months. Three, review Fiber service quality and pricing. I would not run campaigns based on age or city."</t>
  </si>
  <si>
    <t>5. Impact</t>
  </si>
  <si>
    <t>"As a scenario, if the business cut Month-to-month churn by 10 percentage points, it would retain about 108 customers and save roughly ₹11 lakh a year. The assumption is adjustable in my model."</t>
  </si>
  <si>
    <t>6. Limitations and next steps</t>
  </si>
  <si>
    <t>"This analysis shows association, not proof of cause. Some cities have only about 130 customers, so small differences may be noise.</t>
  </si>
  <si>
    <t>A natural next step is a predictive model that scores each customer's churn risk, so the retention team can contact the highest-risk customers first."</t>
  </si>
  <si>
    <t>Finding</t>
  </si>
  <si>
    <t>Recommendation</t>
  </si>
  <si>
    <t>Month-to-month churn is 47.8%</t>
  </si>
  <si>
    <t>Offer discounts or perks for 12-month plans</t>
  </si>
  <si>
    <t>49.7% churn in the first 6 months</t>
  </si>
  <si>
    <t>Welcome offer, onboarding call at day 30, early-warning check</t>
  </si>
  <si>
    <t>Fiber churn is 37.7%</t>
  </si>
  <si>
    <t>Investigate network quality and pricing</t>
  </si>
  <si>
    <t>2 of the top 10 customers churned (₹80,000+ each)</t>
  </si>
  <si>
    <t>Personal win-back calls for high-value churners</t>
  </si>
  <si>
    <t>City and age effects are weak</t>
  </si>
  <si>
    <t>Don't target by them; reduce wasted effort</t>
  </si>
  <si>
    <r>
      <rPr>
        <sz val="16"/>
        <color theme="1"/>
        <rFont val="Calibri"/>
        <family val="2"/>
      </rPr>
      <t>"</t>
    </r>
    <r>
      <rPr>
        <b/>
        <sz val="16"/>
        <color theme="1"/>
        <rFont val="Calibri"/>
        <family val="2"/>
      </rPr>
      <t>W</t>
    </r>
    <r>
      <rPr>
        <b/>
        <sz val="18"/>
        <color theme="1"/>
        <rFont val="Calibri"/>
        <family val="2"/>
      </rPr>
      <t>hat was the hardest part?"</t>
    </r>
  </si>
  <si>
    <t>"Data cleaning. Deciding how to treat missing values was a judgement call.I rebuilt values where the relationship was exact, filled age with the median and flagged it</t>
  </si>
  <si>
    <t>and left churn status as 'Unknown' instead of guessing it, because it is the target I'm analysing."</t>
  </si>
  <si>
    <t>"Why did you exclude Unknown churn from the rate?"</t>
  </si>
  <si>
    <t>"Because we don't know whether those 35 customers left. Including them would understate the churn rate, 33.25% instead of 33.84%."</t>
  </si>
  <si>
    <t>"How do you know contract type causes churn?"</t>
  </si>
  <si>
    <t>"I don't. It's a strong association. Customers who are unhappy may avoid long contracts in the first place. To test cause, the business could run an A/B test with a discount for longer contracts."</t>
  </si>
  <si>
    <t>"What would you do next?"</t>
  </si>
  <si>
    <t>"Build a churn prediction model, using tenure, contract, service type and charges, and then rank customers by risk and revenue at risk."</t>
  </si>
  <si>
    <t>"What would you do differently?"</t>
  </si>
  <si>
    <t>"Get more history (monthly usage, support tickets, complaints), because behaviour before leaving is often a stronger predictor than demographics."</t>
  </si>
  <si>
    <t>"This was a practice project on a simulated telecom dataset, designed to mirror real-world data problems."</t>
  </si>
  <si>
    <r>
      <t>Check in with new customers:</t>
    </r>
    <r>
      <rPr>
        <sz val="12"/>
        <color theme="1"/>
        <rFont val="Calibri"/>
        <family val="2"/>
        <charset val="1"/>
      </rPr>
      <t xml:space="preserve"> Contact them during their first few months to make sure setup and service are working well.</t>
    </r>
  </si>
  <si>
    <r>
      <t>Resolve problems quickly:</t>
    </r>
    <r>
      <rPr>
        <sz val="12"/>
        <color theme="1"/>
        <rFont val="Calibri"/>
        <family val="2"/>
        <charset val="1"/>
      </rPr>
      <t xml:space="preserve"> Give prompt, proactive support to customers who report service issues or make repeated complaints.</t>
    </r>
  </si>
  <si>
    <r>
      <t>Offer a reason to stay:</t>
    </r>
    <r>
      <rPr>
        <sz val="12"/>
        <color theme="1"/>
        <rFont val="Calibri"/>
        <family val="2"/>
        <charset val="1"/>
      </rPr>
      <t xml:space="preserve"> Provide a reasonable discount or an extra benefit to month-to-month customers who choose an annual plan.</t>
    </r>
  </si>
  <si>
    <r>
      <t>Ask customers for feedback:</t>
    </r>
    <r>
      <rPr>
        <sz val="12"/>
        <color theme="1"/>
        <rFont val="Calibri"/>
        <family val="2"/>
        <charset val="1"/>
      </rPr>
      <t xml:space="preserve"> Find out whether price, service quality, or customer support influenced their decision to leave.</t>
    </r>
  </si>
  <si>
    <r>
      <t>Track churn each month:</t>
    </r>
    <r>
      <rPr>
        <sz val="12"/>
        <color theme="1"/>
        <rFont val="Calibri"/>
        <family val="2"/>
        <charset val="1"/>
      </rPr>
      <t xml:space="preserve"> Measure whether these steps help more customers stay.</t>
    </r>
  </si>
  <si>
    <r>
      <t>Collect more information:</t>
    </r>
    <r>
      <rPr>
        <sz val="12"/>
        <color theme="1"/>
        <rFont val="Calibri"/>
        <family val="2"/>
        <charset val="1"/>
      </rPr>
      <t xml:space="preserve"> The current data shows which customers are more likely to leave, but not why. Customer feedback can help identify the causes.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</si>
</sst>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dd\-mmm\-yyyy"/>
    <numFmt numFmtId="169" formatCode="0.0%"/>
    <numFmt numFmtId="172" formatCode="\₹#,##0"/>
  </numFmts>
  <fonts count="26">
    <font>
      <sz val="11"/>
      <color theme="1"/>
      <name val="Calibri"/>
      <family val="2"/>
      <charset val="1"/>
    </font>
    <font>
      <sz val="10"/>
      <name val="Arial"/>
    </font>
    <font>
      <b/>
      <sz val="11"/>
      <color rgb="FFFFFFFF"/>
      <name val="Arial"/>
      <charset val="1"/>
    </font>
    <font>
      <sz val="11"/>
      <name val="Arial"/>
      <charset val="1"/>
    </font>
    <font>
      <b/>
      <sz val="11"/>
      <color theme="1"/>
      <name val="Calibri"/>
      <family val="2"/>
      <charset val="1"/>
    </font>
    <font>
      <i/>
      <sz val="11"/>
      <color theme="1"/>
      <name val="Calibri"/>
      <family val="2"/>
      <charset val="1"/>
    </font>
    <font>
      <sz val="10"/>
      <color theme="1"/>
      <name val="Arial Unicode MS"/>
    </font>
    <font>
      <b/>
      <sz val="11"/>
      <color rgb="FFFFFFFF"/>
      <name val="Arial"/>
      <family val="2"/>
    </font>
    <font>
      <sz val="11"/>
      <name val="Arial"/>
      <family val="2"/>
    </font>
    <font>
      <b/>
      <sz val="11"/>
      <color theme="1"/>
      <name val="Calibri"/>
      <family val="2"/>
    </font>
    <font>
      <sz val="11"/>
      <color theme="1"/>
      <name val="Calibri"/>
      <family val="2"/>
    </font>
    <font>
      <sz val="10"/>
      <name val="Arial"/>
      <family val="2"/>
    </font>
    <font>
      <b/>
      <sz val="10"/>
      <name val="Arial"/>
      <family val="2"/>
    </font>
    <font>
      <b/>
      <sz val="18"/>
      <color theme="1"/>
      <name val="Calibri"/>
      <family val="2"/>
      <charset val="1"/>
    </font>
    <font>
      <b/>
      <sz val="13.5"/>
      <color theme="1"/>
      <name val="Calibri"/>
      <family val="2"/>
      <charset val="1"/>
    </font>
    <font>
      <b/>
      <sz val="22"/>
      <color rgb="FFFFFFFF"/>
      <name val="Arial"/>
      <family val="2"/>
    </font>
    <font>
      <i/>
      <sz val="9"/>
      <color rgb="FF595959"/>
      <name val="Arial"/>
      <family val="2"/>
    </font>
    <font>
      <b/>
      <sz val="9"/>
      <color rgb="FFFFFFFF"/>
      <name val="Arial"/>
      <family val="2"/>
    </font>
    <font>
      <b/>
      <sz val="24"/>
      <color rgb="FFFFFFFF"/>
      <name val="Arial"/>
      <family val="2"/>
    </font>
    <font>
      <b/>
      <sz val="14"/>
      <color theme="1"/>
      <name val="Bookman Old Style"/>
      <family val="1"/>
    </font>
    <font>
      <b/>
      <sz val="16"/>
      <color theme="1"/>
      <name val="Calibri"/>
      <family val="2"/>
    </font>
    <font>
      <b/>
      <sz val="18"/>
      <color theme="1"/>
      <name val="Calibri"/>
      <family val="2"/>
    </font>
    <font>
      <b/>
      <sz val="20"/>
      <color theme="1"/>
      <name val="Calibri"/>
      <family val="2"/>
    </font>
    <font>
      <sz val="16"/>
      <color theme="1"/>
      <name val="Calibri"/>
      <family val="2"/>
    </font>
    <font>
      <b/>
      <sz val="12"/>
      <color theme="1"/>
      <name val="Calibri"/>
      <family val="2"/>
      <charset val="1"/>
    </font>
    <font>
      <sz val="12"/>
      <color theme="1"/>
      <name val="Calibri"/>
      <family val="2"/>
      <charset val="1"/>
    </font>
  </fonts>
  <fills count="9">
    <fill>
      <patternFill patternType="none"/>
    </fill>
    <fill>
      <patternFill patternType="gray125"/>
    </fill>
    <fill>
      <patternFill patternType="solid">
        <fgColor rgb="FF1F4E78"/>
        <bgColor rgb="FF003366"/>
      </patternFill>
    </fill>
    <fill>
      <patternFill patternType="solid">
        <fgColor rgb="FF1F3A5F"/>
        <bgColor rgb="FF333333"/>
      </patternFill>
    </fill>
    <fill>
      <patternFill patternType="solid">
        <fgColor rgb="FF2E75B6"/>
        <bgColor rgb="FF0066CC"/>
      </patternFill>
    </fill>
    <fill>
      <patternFill patternType="solid">
        <fgColor rgb="FFC0392B"/>
        <bgColor rgb="FF993366"/>
      </patternFill>
    </fill>
    <fill>
      <patternFill patternType="solid">
        <fgColor rgb="FFD68910"/>
        <bgColor rgb="FFFF6600"/>
      </patternFill>
    </fill>
    <fill>
      <patternFill patternType="solid">
        <fgColor rgb="FF7D3C98"/>
        <bgColor rgb="FF993366"/>
      </patternFill>
    </fill>
    <fill>
      <patternFill patternType="solid">
        <fgColor rgb="FFF2F5FA"/>
        <bgColor rgb="FFFFFFFF"/>
      </patternFill>
    </fill>
  </fills>
  <borders count="1">
    <border>
      <left/>
      <right/>
      <top/>
      <bottom/>
      <diagonal/>
    </border>
  </borders>
  <cellStyleXfs count="3">
    <xf numFmtId="0" fontId="0" fillId="0" borderId="0"/>
    <xf numFmtId="44" fontId="1" fillId="0" borderId="0" applyBorder="0" applyAlignment="0" applyProtection="0"/>
    <xf numFmtId="9" fontId="1" fillId="0" borderId="0" applyBorder="0" applyAlignment="0" applyProtection="0"/>
  </cellStyleXfs>
  <cellXfs count="62">
    <xf numFmtId="0" fontId="0" fillId="0" borderId="0" xfId="0"/>
    <xf numFmtId="0" fontId="2" fillId="2" borderId="0" xfId="0" applyFont="1" applyFill="1" applyAlignment="1">
      <alignment horizontal="center" vertical="center" wrapText="1"/>
    </xf>
    <xf numFmtId="0" fontId="3" fillId="0" borderId="0" xfId="0" applyFont="1"/>
    <xf numFmtId="3" fontId="3" fillId="0" borderId="0" xfId="0" applyNumberFormat="1" applyFont="1"/>
    <xf numFmtId="164" fontId="3" fillId="0" borderId="0" xfId="0" applyNumberFormat="1" applyFont="1"/>
    <xf numFmtId="0" fontId="4" fillId="0" borderId="0" xfId="0" applyFont="1" applyAlignment="1">
      <alignment horizontal="left" vertical="center" indent="1"/>
    </xf>
    <xf numFmtId="44" fontId="1" fillId="0" borderId="0" xfId="1"/>
    <xf numFmtId="4" fontId="0" fillId="0" borderId="0" xfId="0" applyNumberFormat="1"/>
    <xf numFmtId="10" fontId="1" fillId="0" borderId="0" xfId="2" applyNumberFormat="1"/>
    <xf numFmtId="0" fontId="0" fillId="0" borderId="0" xfId="0" pivotButton="1"/>
    <xf numFmtId="0" fontId="0" fillId="0" borderId="0" xfId="0" applyAlignment="1">
      <alignment horizontal="left"/>
    </xf>
    <xf numFmtId="0" fontId="4" fillId="0" borderId="0" xfId="0" applyFont="1"/>
    <xf numFmtId="0" fontId="0" fillId="0" borderId="0" xfId="0" quotePrefix="1"/>
    <xf numFmtId="0" fontId="0" fillId="0" borderId="0" xfId="0" applyNumberFormat="1"/>
    <xf numFmtId="10" fontId="0" fillId="0" borderId="0" xfId="0" applyNumberFormat="1"/>
    <xf numFmtId="169" fontId="1" fillId="0" borderId="0" xfId="0" applyNumberFormat="1" applyFont="1" applyFill="1"/>
    <xf numFmtId="169" fontId="0" fillId="0" borderId="0" xfId="0" applyNumberFormat="1"/>
    <xf numFmtId="1" fontId="1" fillId="0" borderId="0" xfId="2" applyNumberFormat="1"/>
    <xf numFmtId="3" fontId="0" fillId="0" borderId="0" xfId="0" applyNumberFormat="1"/>
    <xf numFmtId="0" fontId="0" fillId="0" borderId="0" xfId="0" applyAlignment="1">
      <alignment vertical="center" wrapText="1"/>
    </xf>
    <xf numFmtId="0" fontId="6" fillId="0" borderId="0" xfId="0" applyFont="1" applyAlignment="1">
      <alignment vertical="center" wrapText="1"/>
    </xf>
    <xf numFmtId="9" fontId="0" fillId="0" borderId="0" xfId="0" applyNumberFormat="1" applyAlignment="1">
      <alignment vertical="center" wrapText="1"/>
    </xf>
    <xf numFmtId="44" fontId="1" fillId="0" borderId="0" xfId="1" applyAlignment="1">
      <alignment vertical="center" wrapText="1"/>
    </xf>
    <xf numFmtId="44" fontId="0" fillId="0" borderId="0" xfId="0" applyNumberFormat="1"/>
    <xf numFmtId="1" fontId="0" fillId="0" borderId="0" xfId="0" applyNumberFormat="1"/>
    <xf numFmtId="0" fontId="8" fillId="0" borderId="0" xfId="0" applyFont="1"/>
    <xf numFmtId="0" fontId="7" fillId="2" borderId="0" xfId="0" applyFont="1" applyFill="1" applyAlignment="1">
      <alignment horizontal="center" vertical="center" wrapText="1"/>
    </xf>
    <xf numFmtId="0" fontId="0" fillId="0" borderId="0" xfId="0" applyAlignment="1">
      <alignment horizontal="center" vertical="center"/>
    </xf>
    <xf numFmtId="0" fontId="6"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xf>
    <xf numFmtId="0" fontId="9" fillId="0" borderId="0" xfId="0" applyFont="1"/>
    <xf numFmtId="10" fontId="11" fillId="0" borderId="0" xfId="0" applyNumberFormat="1" applyFont="1" applyFill="1"/>
    <xf numFmtId="0" fontId="13" fillId="0" borderId="0" xfId="0" applyFont="1" applyAlignment="1">
      <alignment vertical="center"/>
    </xf>
    <xf numFmtId="0" fontId="14" fillId="0" borderId="0" xfId="0" applyFont="1" applyAlignment="1">
      <alignment vertical="center"/>
    </xf>
    <xf numFmtId="169" fontId="1" fillId="0" borderId="0" xfId="2" applyNumberFormat="1"/>
    <xf numFmtId="0" fontId="15" fillId="3" borderId="0" xfId="0" applyFont="1" applyFill="1" applyAlignment="1">
      <alignment vertical="center" indent="1"/>
    </xf>
    <xf numFmtId="0" fontId="16" fillId="0" borderId="0" xfId="0" applyFont="1"/>
    <xf numFmtId="0" fontId="17" fillId="4" borderId="0" xfId="0" applyFont="1" applyFill="1" applyAlignment="1">
      <alignment horizontal="center"/>
    </xf>
    <xf numFmtId="0" fontId="17" fillId="5" borderId="0" xfId="0" applyFont="1" applyFill="1" applyAlignment="1">
      <alignment horizontal="center"/>
    </xf>
    <xf numFmtId="0" fontId="17" fillId="6" borderId="0" xfId="0" applyFont="1" applyFill="1" applyAlignment="1">
      <alignment horizontal="center"/>
    </xf>
    <xf numFmtId="0" fontId="17" fillId="7" borderId="0" xfId="0" applyFont="1" applyFill="1" applyAlignment="1">
      <alignment horizontal="center"/>
    </xf>
    <xf numFmtId="3" fontId="18" fillId="4" borderId="0" xfId="0" applyNumberFormat="1" applyFont="1" applyFill="1" applyAlignment="1">
      <alignment horizontal="center" vertical="center"/>
    </xf>
    <xf numFmtId="169" fontId="18" fillId="5" borderId="0" xfId="0" applyNumberFormat="1" applyFont="1" applyFill="1" applyAlignment="1">
      <alignment horizontal="center" vertical="center"/>
    </xf>
    <xf numFmtId="172" fontId="18" fillId="6" borderId="0" xfId="0" applyNumberFormat="1" applyFont="1" applyFill="1" applyAlignment="1">
      <alignment horizontal="center" vertical="center"/>
    </xf>
    <xf numFmtId="172" fontId="18" fillId="7" borderId="0" xfId="0" applyNumberFormat="1" applyFont="1" applyFill="1" applyAlignment="1">
      <alignment horizontal="center" vertical="center"/>
    </xf>
    <xf numFmtId="0" fontId="7" fillId="3" borderId="0" xfId="0" applyFont="1" applyFill="1"/>
    <xf numFmtId="0" fontId="11" fillId="8" borderId="0" xfId="0" applyFont="1" applyFill="1" applyAlignment="1">
      <alignment indent="1"/>
    </xf>
    <xf numFmtId="0" fontId="12" fillId="0" borderId="0" xfId="0" applyFont="1"/>
    <xf numFmtId="0" fontId="11" fillId="0" borderId="0" xfId="0" applyFont="1"/>
    <xf numFmtId="10" fontId="11" fillId="0" borderId="0" xfId="0" applyNumberFormat="1" applyFont="1"/>
    <xf numFmtId="3" fontId="11" fillId="0" borderId="0" xfId="0" applyNumberFormat="1" applyFont="1"/>
    <xf numFmtId="169" fontId="11" fillId="0" borderId="0" xfId="0" applyNumberFormat="1" applyFont="1"/>
    <xf numFmtId="0" fontId="19" fillId="0" borderId="0" xfId="0" applyFont="1"/>
    <xf numFmtId="0" fontId="21" fillId="0" borderId="0" xfId="0" applyFont="1"/>
    <xf numFmtId="0" fontId="0" fillId="0" borderId="0" xfId="0" applyAlignment="1">
      <alignment horizontal="left" vertical="center" indent="1"/>
    </xf>
    <xf numFmtId="0" fontId="4" fillId="0" borderId="0" xfId="0" applyFont="1" applyAlignment="1">
      <alignment horizontal="center" vertical="center" wrapText="1"/>
    </xf>
    <xf numFmtId="0" fontId="10" fillId="0" borderId="0" xfId="0" applyFont="1"/>
    <xf numFmtId="0" fontId="22" fillId="0" borderId="0" xfId="0" applyFont="1"/>
    <xf numFmtId="0" fontId="20" fillId="0" borderId="0" xfId="0" applyFont="1"/>
    <xf numFmtId="0" fontId="4" fillId="0" borderId="0" xfId="0" applyFont="1" applyAlignment="1">
      <alignment vertical="center" wrapText="1"/>
    </xf>
    <xf numFmtId="0" fontId="24" fillId="0" borderId="0" xfId="0" applyFont="1" applyAlignment="1">
      <alignment horizontal="left" vertical="center" indent="1"/>
    </xf>
  </cellXfs>
  <cellStyles count="3">
    <cellStyle name="Currency" xfId="1" builtinId="4"/>
    <cellStyle name="Normal" xfId="0" builtinId="0"/>
    <cellStyle name="Percent" xfId="2" builtinId="5"/>
  </cellStyles>
  <dxfs count="30">
    <dxf>
      <numFmt numFmtId="169" formatCode="0.0%"/>
    </dxf>
    <dxf>
      <numFmt numFmtId="14" formatCode="0.00%"/>
    </dxf>
    <dxf>
      <font>
        <b val="0"/>
        <i val="0"/>
        <strike val="0"/>
        <condense val="0"/>
        <extend val="0"/>
        <outline val="0"/>
        <shadow val="0"/>
        <u val="none"/>
        <vertAlign val="baseline"/>
        <sz val="10"/>
        <color auto="1"/>
        <name val="Arial"/>
        <scheme val="none"/>
      </font>
      <numFmt numFmtId="13" formatCode="0%"/>
      <fill>
        <patternFill patternType="none">
          <fgColor indexed="64"/>
          <bgColor indexed="65"/>
        </patternFill>
      </fill>
    </dxf>
    <dxf>
      <font>
        <b val="0"/>
        <i val="0"/>
        <strike val="0"/>
        <condense val="0"/>
        <extend val="0"/>
        <outline val="0"/>
        <shadow val="0"/>
        <u val="none"/>
        <vertAlign val="baseline"/>
        <sz val="11"/>
        <color auto="1"/>
        <name val="Arial"/>
        <charset val="1"/>
        <scheme val="none"/>
      </font>
      <numFmt numFmtId="0" formatCode="General"/>
    </dxf>
    <dxf>
      <font>
        <b val="0"/>
        <i val="0"/>
        <strike val="0"/>
        <condense val="0"/>
        <extend val="0"/>
        <outline val="0"/>
        <shadow val="0"/>
        <u val="none"/>
        <vertAlign val="baseline"/>
        <sz val="10"/>
        <color auto="1"/>
        <name val="Arial"/>
        <scheme val="none"/>
      </font>
      <numFmt numFmtId="13" formatCode="0%"/>
      <fill>
        <patternFill patternType="none">
          <fgColor indexed="64"/>
          <bgColor indexed="65"/>
        </patternFill>
      </fill>
    </dxf>
    <dxf>
      <numFmt numFmtId="169" formatCode="0.0%"/>
    </dxf>
    <dxf>
      <numFmt numFmtId="169" formatCode="0.0%"/>
    </dxf>
    <dxf>
      <font>
        <b val="0"/>
        <i val="0"/>
        <strike val="0"/>
        <condense val="0"/>
        <extend val="0"/>
        <outline val="0"/>
        <shadow val="0"/>
        <u val="none"/>
        <vertAlign val="baseline"/>
        <sz val="10"/>
        <color auto="1"/>
        <name val="Arial"/>
        <scheme val="none"/>
      </font>
      <numFmt numFmtId="13" formatCode="0%"/>
      <fill>
        <patternFill patternType="none">
          <fgColor indexed="64"/>
          <bgColor indexed="65"/>
        </patternFill>
      </fill>
    </dxf>
    <dxf>
      <font>
        <b val="0"/>
        <i val="0"/>
        <strike val="0"/>
        <condense val="0"/>
        <extend val="0"/>
        <outline val="0"/>
        <shadow val="0"/>
        <u val="none"/>
        <vertAlign val="baseline"/>
        <sz val="11"/>
        <color auto="1"/>
        <name val="Arial"/>
        <charset val="1"/>
        <scheme val="none"/>
      </font>
      <numFmt numFmtId="0" formatCode="General"/>
    </dxf>
    <dxf>
      <font>
        <b/>
        <i val="0"/>
        <strike val="0"/>
        <condense val="0"/>
        <extend val="0"/>
        <outline val="0"/>
        <shadow val="0"/>
        <u val="none"/>
        <vertAlign val="baseline"/>
        <sz val="11"/>
        <color rgb="FFFFFFFF"/>
        <name val="Arial"/>
        <charset val="1"/>
        <scheme val="none"/>
      </font>
      <fill>
        <patternFill patternType="solid">
          <fgColor rgb="FF003366"/>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numFmt numFmtId="164" formatCode="dd\-mmm\-yyyy"/>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numFmt numFmtId="3" formatCode="#,##0"/>
    </dxf>
    <dxf>
      <font>
        <b val="0"/>
        <i val="0"/>
        <strike val="0"/>
        <condense val="0"/>
        <extend val="0"/>
        <outline val="0"/>
        <shadow val="0"/>
        <u val="none"/>
        <vertAlign val="baseline"/>
        <sz val="11"/>
        <color auto="1"/>
        <name val="Arial"/>
        <charset val="1"/>
        <scheme val="none"/>
      </font>
      <numFmt numFmtId="3" formatCode="#,##0"/>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
      <font>
        <b val="0"/>
        <i val="0"/>
        <strike val="0"/>
        <condense val="0"/>
        <extend val="0"/>
        <outline val="0"/>
        <shadow val="0"/>
        <u val="none"/>
        <vertAlign val="baseline"/>
        <sz val="11"/>
        <color auto="1"/>
        <name val="Arial"/>
        <charset val="1"/>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 and reveenue intelligence.xlsx]Pivot tables !PivotTable4</c:name>
    <c:fmtId val="0"/>
  </c:pivotSource>
  <c:chart>
    <c:title>
      <c:tx>
        <c:rich>
          <a:bodyPr rot="0"/>
          <a:lstStyle/>
          <a:p>
            <a:pPr>
              <a:defRPr sz="1100" b="1" strike="noStrike" spc="-1">
                <a:solidFill>
                  <a:srgbClr val="1F3A5F"/>
                </a:solidFill>
                <a:latin typeface="Arial"/>
              </a:defRPr>
            </a:pPr>
            <a:r>
              <a:rPr lang="en-IN" sz="1100" b="1" strike="noStrike" spc="-1">
                <a:solidFill>
                  <a:srgbClr val="1F3A5F"/>
                </a:solidFill>
                <a:latin typeface="Arial"/>
              </a:rPr>
              <a:t>Total</a:t>
            </a:r>
          </a:p>
        </c:rich>
      </c:tx>
      <c:overlay val="0"/>
      <c:spPr>
        <a:noFill/>
        <a:ln w="0">
          <a:noFill/>
        </a:ln>
      </c:spPr>
    </c:title>
    <c:autoTitleDeleted val="0"/>
    <c:pivotFmts>
      <c:pivotFmt>
        <c:idx val="0"/>
        <c:spPr>
          <a:solidFill>
            <a:srgbClr val="A6A6A6"/>
          </a:solidFill>
          <a:ln w="0">
            <a:noFill/>
          </a:ln>
        </c:spPr>
        <c:marker>
          <c:symbol val="none"/>
        </c:marker>
        <c:dLbl>
          <c:idx val="0"/>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extLst>
            <c:ext xmlns:c15="http://schemas.microsoft.com/office/drawing/2012/chart" uri="{CE6537A1-D6FC-4f65-9D91-7224C49458BB}"/>
          </c:extLst>
        </c:dLbl>
      </c:pivotFmt>
      <c:pivotFmt>
        <c:idx val="1"/>
        <c:spPr>
          <a:solidFill>
            <a:srgbClr val="C0392B"/>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2"/>
        <c:spPr>
          <a:solidFill>
            <a:srgbClr val="C0392B"/>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3"/>
        <c:spPr>
          <a:solidFill>
            <a:srgbClr val="C0392B"/>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4"/>
        <c:spPr>
          <a:solidFill>
            <a:srgbClr val="2E8B57"/>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5"/>
        <c:spPr>
          <a:solidFill>
            <a:srgbClr val="2E8B57"/>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6"/>
        <c:spPr>
          <a:solidFill>
            <a:srgbClr val="2E8B57"/>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s>
    <c:plotArea>
      <c:layout>
        <c:manualLayout>
          <c:layoutTarget val="inner"/>
          <c:xMode val="edge"/>
          <c:yMode val="edge"/>
          <c:x val="0.11107578652041818"/>
          <c:y val="0.22082945150497754"/>
          <c:w val="0.84837817833200568"/>
          <c:h val="0.73824289405684751"/>
        </c:manualLayout>
      </c:layout>
      <c:barChart>
        <c:barDir val="bar"/>
        <c:grouping val="clustered"/>
        <c:varyColors val="0"/>
        <c:ser>
          <c:idx val="0"/>
          <c:order val="0"/>
          <c:tx>
            <c:strRef>
              <c:f>'Pivot tables '!$B$31</c:f>
              <c:strCache>
                <c:ptCount val="1"/>
                <c:pt idx="0">
                  <c:v>Total</c:v>
                </c:pt>
              </c:strCache>
            </c:strRef>
          </c:tx>
          <c:spPr>
            <a:solidFill>
              <a:srgbClr val="A6A6A6"/>
            </a:solidFill>
            <a:ln w="0">
              <a:noFill/>
            </a:ln>
          </c:spPr>
          <c:invertIfNegative val="0"/>
          <c:dPt>
            <c:idx val="0"/>
            <c:invertIfNegative val="0"/>
            <c:bubble3D val="0"/>
            <c:spPr>
              <a:solidFill>
                <a:srgbClr val="C0392B"/>
              </a:solidFill>
              <a:ln w="0">
                <a:noFill/>
              </a:ln>
            </c:spPr>
            <c:extLst>
              <c:ext xmlns:c16="http://schemas.microsoft.com/office/drawing/2014/chart" uri="{C3380CC4-5D6E-409C-BE32-E72D297353CC}">
                <c16:uniqueId val="{00000004-10F6-4570-8884-3EBE3F4D8BAC}"/>
              </c:ext>
            </c:extLst>
          </c:dPt>
          <c:dPt>
            <c:idx val="1"/>
            <c:invertIfNegative val="0"/>
            <c:bubble3D val="0"/>
            <c:spPr>
              <a:solidFill>
                <a:srgbClr val="C0392B"/>
              </a:solidFill>
              <a:ln w="0">
                <a:noFill/>
              </a:ln>
            </c:spPr>
            <c:extLst>
              <c:ext xmlns:c16="http://schemas.microsoft.com/office/drawing/2014/chart" uri="{C3380CC4-5D6E-409C-BE32-E72D297353CC}">
                <c16:uniqueId val="{00000006-10F6-4570-8884-3EBE3F4D8BAC}"/>
              </c:ext>
            </c:extLst>
          </c:dPt>
          <c:dPt>
            <c:idx val="2"/>
            <c:invertIfNegative val="0"/>
            <c:bubble3D val="0"/>
            <c:spPr>
              <a:solidFill>
                <a:srgbClr val="C0392B"/>
              </a:solidFill>
              <a:ln w="0">
                <a:noFill/>
              </a:ln>
            </c:spPr>
            <c:extLst>
              <c:ext xmlns:c16="http://schemas.microsoft.com/office/drawing/2014/chart" uri="{C3380CC4-5D6E-409C-BE32-E72D297353CC}">
                <c16:uniqueId val="{00000008-10F6-4570-8884-3EBE3F4D8BAC}"/>
              </c:ext>
            </c:extLst>
          </c:dPt>
          <c:dPt>
            <c:idx val="11"/>
            <c:invertIfNegative val="0"/>
            <c:bubble3D val="0"/>
            <c:spPr>
              <a:solidFill>
                <a:srgbClr val="2E8B57"/>
              </a:solidFill>
              <a:ln w="0">
                <a:noFill/>
              </a:ln>
            </c:spPr>
            <c:extLst>
              <c:ext xmlns:c16="http://schemas.microsoft.com/office/drawing/2014/chart" uri="{C3380CC4-5D6E-409C-BE32-E72D297353CC}">
                <c16:uniqueId val="{0000000A-10F6-4570-8884-3EBE3F4D8BAC}"/>
              </c:ext>
            </c:extLst>
          </c:dPt>
          <c:dPt>
            <c:idx val="12"/>
            <c:invertIfNegative val="0"/>
            <c:bubble3D val="0"/>
            <c:spPr>
              <a:solidFill>
                <a:srgbClr val="2E8B57"/>
              </a:solidFill>
              <a:ln w="0">
                <a:noFill/>
              </a:ln>
            </c:spPr>
            <c:extLst>
              <c:ext xmlns:c16="http://schemas.microsoft.com/office/drawing/2014/chart" uri="{C3380CC4-5D6E-409C-BE32-E72D297353CC}">
                <c16:uniqueId val="{0000000C-10F6-4570-8884-3EBE3F4D8BAC}"/>
              </c:ext>
            </c:extLst>
          </c:dPt>
          <c:dPt>
            <c:idx val="13"/>
            <c:invertIfNegative val="0"/>
            <c:bubble3D val="0"/>
            <c:spPr>
              <a:solidFill>
                <a:srgbClr val="2E8B57"/>
              </a:solidFill>
              <a:ln w="0">
                <a:noFill/>
              </a:ln>
            </c:spPr>
            <c:extLst>
              <c:ext xmlns:c16="http://schemas.microsoft.com/office/drawing/2014/chart" uri="{C3380CC4-5D6E-409C-BE32-E72D297353CC}">
                <c16:uniqueId val="{0000000E-10F6-4570-8884-3EBE3F4D8BAC}"/>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10F6-4570-8884-3EBE3F4D8BAC}"/>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10F6-4570-8884-3EBE3F4D8BAC}"/>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10F6-4570-8884-3EBE3F4D8BAC}"/>
                </c:ext>
              </c:extLst>
            </c:dLbl>
            <c:dLbl>
              <c:idx val="1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10F6-4570-8884-3EBE3F4D8BAC}"/>
                </c:ext>
              </c:extLst>
            </c:dLbl>
            <c:dLbl>
              <c:idx val="1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10F6-4570-8884-3EBE3F4D8BAC}"/>
                </c:ext>
              </c:extLst>
            </c:dLbl>
            <c:dLbl>
              <c:idx val="1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10F6-4570-8884-3EBE3F4D8BAC}"/>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tables '!$A$32:$A$47</c:f>
              <c:strCache>
                <c:ptCount val="15"/>
                <c:pt idx="0">
                  <c:v>Ahmedabad</c:v>
                </c:pt>
                <c:pt idx="1">
                  <c:v>Bangalore</c:v>
                </c:pt>
                <c:pt idx="2">
                  <c:v>Bhopal</c:v>
                </c:pt>
                <c:pt idx="3">
                  <c:v>Chandigarh</c:v>
                </c:pt>
                <c:pt idx="4">
                  <c:v>Chennai</c:v>
                </c:pt>
                <c:pt idx="5">
                  <c:v>Delhi</c:v>
                </c:pt>
                <c:pt idx="6">
                  <c:v>Hyderabad</c:v>
                </c:pt>
                <c:pt idx="7">
                  <c:v>Indore</c:v>
                </c:pt>
                <c:pt idx="8">
                  <c:v>Jaipur</c:v>
                </c:pt>
                <c:pt idx="9">
                  <c:v>Kochi</c:v>
                </c:pt>
                <c:pt idx="10">
                  <c:v>Kolkata</c:v>
                </c:pt>
                <c:pt idx="11">
                  <c:v>Lucknow</c:v>
                </c:pt>
                <c:pt idx="12">
                  <c:v>Mumbai</c:v>
                </c:pt>
                <c:pt idx="13">
                  <c:v>Pune</c:v>
                </c:pt>
                <c:pt idx="14">
                  <c:v>Unknown</c:v>
                </c:pt>
              </c:strCache>
            </c:strRef>
          </c:cat>
          <c:val>
            <c:numRef>
              <c:f>'Pivot tables '!$B$32:$B$47</c:f>
              <c:numCache>
                <c:formatCode>General</c:formatCode>
                <c:ptCount val="15"/>
                <c:pt idx="0">
                  <c:v>147</c:v>
                </c:pt>
                <c:pt idx="1">
                  <c:v>143</c:v>
                </c:pt>
                <c:pt idx="2">
                  <c:v>123</c:v>
                </c:pt>
                <c:pt idx="3">
                  <c:v>139</c:v>
                </c:pt>
                <c:pt idx="4">
                  <c:v>129</c:v>
                </c:pt>
                <c:pt idx="5">
                  <c:v>149</c:v>
                </c:pt>
                <c:pt idx="6">
                  <c:v>136</c:v>
                </c:pt>
                <c:pt idx="7">
                  <c:v>138</c:v>
                </c:pt>
                <c:pt idx="8">
                  <c:v>141</c:v>
                </c:pt>
                <c:pt idx="9">
                  <c:v>154</c:v>
                </c:pt>
                <c:pt idx="10">
                  <c:v>139</c:v>
                </c:pt>
                <c:pt idx="11">
                  <c:v>143</c:v>
                </c:pt>
                <c:pt idx="12">
                  <c:v>133</c:v>
                </c:pt>
                <c:pt idx="13">
                  <c:v>141</c:v>
                </c:pt>
                <c:pt idx="14">
                  <c:v>45</c:v>
                </c:pt>
              </c:numCache>
            </c:numRef>
          </c:val>
          <c:extLst>
            <c:ext xmlns:c16="http://schemas.microsoft.com/office/drawing/2014/chart" uri="{C3380CC4-5D6E-409C-BE32-E72D297353CC}">
              <c16:uniqueId val="{0000000F-10F6-4570-8884-3EBE3F4D8BAC}"/>
            </c:ext>
          </c:extLst>
        </c:ser>
        <c:dLbls>
          <c:showLegendKey val="0"/>
          <c:showVal val="0"/>
          <c:showCatName val="0"/>
          <c:showSerName val="0"/>
          <c:showPercent val="0"/>
          <c:showBubbleSize val="0"/>
        </c:dLbls>
        <c:gapWidth val="60"/>
        <c:axId val="21831328"/>
        <c:axId val="3763917"/>
      </c:barChart>
      <c:catAx>
        <c:axId val="21831328"/>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63917"/>
        <c:crosses val="autoZero"/>
        <c:auto val="1"/>
        <c:lblAlgn val="ctr"/>
        <c:lblOffset val="100"/>
        <c:noMultiLvlLbl val="0"/>
      </c:catAx>
      <c:valAx>
        <c:axId val="3763917"/>
        <c:scaling>
          <c:orientation val="minMax"/>
          <c:max val="0.5"/>
          <c:min val="0"/>
        </c:scaling>
        <c:delete val="0"/>
        <c:axPos val="t"/>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83132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 and reveenue intelligence.xlsx]Pivot tables !PivotTable7</c:name>
    <c:fmtId val="0"/>
  </c:pivotSource>
  <c:chart>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'!$B$51:$B$52</c:f>
              <c:strCache>
                <c:ptCount val="1"/>
                <c:pt idx="0">
                  <c:v>No</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'!$A$53:$A$57</c:f>
              <c:strCache>
                <c:ptCount val="4"/>
                <c:pt idx="0">
                  <c:v>DSL</c:v>
                </c:pt>
                <c:pt idx="1">
                  <c:v>Fiber</c:v>
                </c:pt>
                <c:pt idx="2">
                  <c:v>No Internet</c:v>
                </c:pt>
                <c:pt idx="3">
                  <c:v>Unknown</c:v>
                </c:pt>
              </c:strCache>
            </c:strRef>
          </c:cat>
          <c:val>
            <c:numRef>
              <c:f>'Pivot tables '!$B$53:$B$57</c:f>
              <c:numCache>
                <c:formatCode>0.00%</c:formatCode>
                <c:ptCount val="4"/>
                <c:pt idx="0">
                  <c:v>0.70014347202295557</c:v>
                </c:pt>
                <c:pt idx="1">
                  <c:v>0.61129943502824857</c:v>
                </c:pt>
                <c:pt idx="2">
                  <c:v>0.63829787234042556</c:v>
                </c:pt>
                <c:pt idx="3">
                  <c:v>0.73809523809523814</c:v>
                </c:pt>
              </c:numCache>
            </c:numRef>
          </c:val>
          <c:smooth val="0"/>
          <c:extLst>
            <c:ext xmlns:c16="http://schemas.microsoft.com/office/drawing/2014/chart" uri="{C3380CC4-5D6E-409C-BE32-E72D297353CC}">
              <c16:uniqueId val="{00000000-EC8C-4A5D-88DD-FAE06E89ED25}"/>
            </c:ext>
          </c:extLst>
        </c:ser>
        <c:ser>
          <c:idx val="1"/>
          <c:order val="1"/>
          <c:tx>
            <c:strRef>
              <c:f>'Pivot tables '!$C$51:$C$52</c:f>
              <c:strCache>
                <c:ptCount val="1"/>
                <c:pt idx="0">
                  <c:v>Unknown</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'!$A$53:$A$57</c:f>
              <c:strCache>
                <c:ptCount val="4"/>
                <c:pt idx="0">
                  <c:v>DSL</c:v>
                </c:pt>
                <c:pt idx="1">
                  <c:v>Fiber</c:v>
                </c:pt>
                <c:pt idx="2">
                  <c:v>No Internet</c:v>
                </c:pt>
                <c:pt idx="3">
                  <c:v>Unknown</c:v>
                </c:pt>
              </c:strCache>
            </c:strRef>
          </c:cat>
          <c:val>
            <c:numRef>
              <c:f>'Pivot tables '!$C$53:$C$57</c:f>
              <c:numCache>
                <c:formatCode>0.00%</c:formatCode>
                <c:ptCount val="4"/>
                <c:pt idx="0">
                  <c:v>1.8651362984218076E-2</c:v>
                </c:pt>
                <c:pt idx="1">
                  <c:v>1.8079096045197741E-2</c:v>
                </c:pt>
                <c:pt idx="2">
                  <c:v>1.5957446808510637E-2</c:v>
                </c:pt>
                <c:pt idx="3">
                  <c:v>0</c:v>
                </c:pt>
              </c:numCache>
            </c:numRef>
          </c:val>
          <c:smooth val="0"/>
          <c:extLst>
            <c:ext xmlns:c16="http://schemas.microsoft.com/office/drawing/2014/chart" uri="{C3380CC4-5D6E-409C-BE32-E72D297353CC}">
              <c16:uniqueId val="{00000001-EC8C-4A5D-88DD-FAE06E89ED25}"/>
            </c:ext>
          </c:extLst>
        </c:ser>
        <c:ser>
          <c:idx val="2"/>
          <c:order val="2"/>
          <c:tx>
            <c:strRef>
              <c:f>'Pivot tables '!$D$51:$D$52</c:f>
              <c:strCache>
                <c:ptCount val="1"/>
                <c:pt idx="0">
                  <c:v>Yes</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'!$A$53:$A$57</c:f>
              <c:strCache>
                <c:ptCount val="4"/>
                <c:pt idx="0">
                  <c:v>DSL</c:v>
                </c:pt>
                <c:pt idx="1">
                  <c:v>Fiber</c:v>
                </c:pt>
                <c:pt idx="2">
                  <c:v>No Internet</c:v>
                </c:pt>
                <c:pt idx="3">
                  <c:v>Unknown</c:v>
                </c:pt>
              </c:strCache>
            </c:strRef>
          </c:cat>
          <c:val>
            <c:numRef>
              <c:f>'Pivot tables '!$D$53:$D$57</c:f>
              <c:numCache>
                <c:formatCode>0.00%</c:formatCode>
                <c:ptCount val="4"/>
                <c:pt idx="0">
                  <c:v>0.28120516499282638</c:v>
                </c:pt>
                <c:pt idx="1">
                  <c:v>0.37062146892655368</c:v>
                </c:pt>
                <c:pt idx="2">
                  <c:v>0.34574468085106386</c:v>
                </c:pt>
                <c:pt idx="3">
                  <c:v>0.26190476190476192</c:v>
                </c:pt>
              </c:numCache>
            </c:numRef>
          </c:val>
          <c:smooth val="0"/>
          <c:extLst>
            <c:ext xmlns:c16="http://schemas.microsoft.com/office/drawing/2014/chart" uri="{C3380CC4-5D6E-409C-BE32-E72D297353CC}">
              <c16:uniqueId val="{00000002-EC8C-4A5D-88DD-FAE06E89ED25}"/>
            </c:ext>
          </c:extLst>
        </c:ser>
        <c:dLbls>
          <c:dLblPos val="ctr"/>
          <c:showLegendKey val="0"/>
          <c:showVal val="1"/>
          <c:showCatName val="0"/>
          <c:showSerName val="0"/>
          <c:showPercent val="0"/>
          <c:showBubbleSize val="0"/>
        </c:dLbls>
        <c:marker val="1"/>
        <c:smooth val="0"/>
        <c:axId val="633325088"/>
        <c:axId val="633325448"/>
      </c:lineChart>
      <c:catAx>
        <c:axId val="633325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3325448"/>
        <c:crosses val="autoZero"/>
        <c:auto val="1"/>
        <c:lblAlgn val="ctr"/>
        <c:lblOffset val="100"/>
        <c:noMultiLvlLbl val="0"/>
      </c:catAx>
      <c:valAx>
        <c:axId val="6333254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6333250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 and reveenue intelligence.xlsx]Pivot tables !PivotTable9</c:name>
    <c:fmtId val="0"/>
  </c:pivotSource>
  <c:chart>
    <c:title>
      <c:tx>
        <c:rich>
          <a:bodyPr rot="0"/>
          <a:lstStyle/>
          <a:p>
            <a:pPr>
              <a:defRPr sz="1100" b="1" strike="noStrike" spc="-1">
                <a:solidFill>
                  <a:srgbClr val="1F3A5F"/>
                </a:solidFill>
                <a:latin typeface="Arial"/>
              </a:defRPr>
            </a:pPr>
            <a:r>
              <a:rPr lang="en-IN" sz="1100" b="1" strike="noStrike" spc="-1">
                <a:solidFill>
                  <a:srgbClr val="1F3A5F"/>
                </a:solidFill>
                <a:latin typeface="Arial"/>
              </a:rPr>
              <a:t>Almost half of new customers leave in the first 6 months</a:t>
            </a:r>
          </a:p>
        </c:rich>
      </c:tx>
      <c:overlay val="0"/>
      <c:spPr>
        <a:noFill/>
        <a:ln w="0">
          <a:noFill/>
        </a:ln>
      </c:spPr>
    </c:title>
    <c:autoTitleDeleted val="0"/>
    <c:pivotFmts>
      <c:pivotFmt>
        <c:idx val="0"/>
        <c:spPr>
          <a:solidFill>
            <a:srgbClr val="A6A6A6"/>
          </a:solidFill>
          <a:ln w="0">
            <a:noFill/>
          </a:ln>
        </c:spPr>
        <c:marker>
          <c:symbol val="none"/>
        </c:marker>
        <c:dLbl>
          <c:idx val="0"/>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extLst>
            <c:ext xmlns:c15="http://schemas.microsoft.com/office/drawing/2012/chart" uri="{CE6537A1-D6FC-4f65-9D91-7224C49458BB}"/>
          </c:extLst>
        </c:dLbl>
      </c:pivotFmt>
      <c:pivotFmt>
        <c:idx val="1"/>
        <c:spPr>
          <a:solidFill>
            <a:srgbClr val="C0392B"/>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2"/>
        <c:spPr>
          <a:solidFill>
            <a:srgbClr val="2E75B6"/>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3"/>
        <c:spPr>
          <a:solidFill>
            <a:srgbClr val="2E75B6"/>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4"/>
        <c:spPr>
          <a:solidFill>
            <a:srgbClr val="2E75B6"/>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5"/>
        <c:spPr>
          <a:solidFill>
            <a:srgbClr val="2E75B6"/>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 '!$B$61</c:f>
              <c:strCache>
                <c:ptCount val="1"/>
                <c:pt idx="0">
                  <c:v>Count of CustID</c:v>
                </c:pt>
              </c:strCache>
            </c:strRef>
          </c:tx>
          <c:spPr>
            <a:solidFill>
              <a:srgbClr val="A6A6A6"/>
            </a:solidFill>
            <a:ln w="0">
              <a:noFill/>
            </a:ln>
          </c:spPr>
          <c:invertIfNegative val="0"/>
          <c:dPt>
            <c:idx val="0"/>
            <c:invertIfNegative val="0"/>
            <c:bubble3D val="0"/>
            <c:spPr>
              <a:solidFill>
                <a:srgbClr val="C0392B"/>
              </a:solidFill>
              <a:ln w="0">
                <a:noFill/>
              </a:ln>
            </c:spPr>
            <c:extLst>
              <c:ext xmlns:c16="http://schemas.microsoft.com/office/drawing/2014/chart" uri="{C3380CC4-5D6E-409C-BE32-E72D297353CC}">
                <c16:uniqueId val="{00000005-121E-4E4D-BA4B-E7CB53820908}"/>
              </c:ext>
            </c:extLst>
          </c:dPt>
          <c:dPt>
            <c:idx val="1"/>
            <c:invertIfNegative val="0"/>
            <c:bubble3D val="0"/>
            <c:spPr>
              <a:solidFill>
                <a:srgbClr val="2E75B6"/>
              </a:solidFill>
              <a:ln w="0">
                <a:noFill/>
              </a:ln>
            </c:spPr>
            <c:extLst>
              <c:ext xmlns:c16="http://schemas.microsoft.com/office/drawing/2014/chart" uri="{C3380CC4-5D6E-409C-BE32-E72D297353CC}">
                <c16:uniqueId val="{00000007-121E-4E4D-BA4B-E7CB53820908}"/>
              </c:ext>
            </c:extLst>
          </c:dPt>
          <c:dPt>
            <c:idx val="2"/>
            <c:invertIfNegative val="0"/>
            <c:bubble3D val="0"/>
            <c:spPr>
              <a:solidFill>
                <a:srgbClr val="2E75B6"/>
              </a:solidFill>
              <a:ln w="0">
                <a:noFill/>
              </a:ln>
            </c:spPr>
            <c:extLst>
              <c:ext xmlns:c16="http://schemas.microsoft.com/office/drawing/2014/chart" uri="{C3380CC4-5D6E-409C-BE32-E72D297353CC}">
                <c16:uniqueId val="{00000009-121E-4E4D-BA4B-E7CB53820908}"/>
              </c:ext>
            </c:extLst>
          </c:dPt>
          <c:dPt>
            <c:idx val="3"/>
            <c:invertIfNegative val="0"/>
            <c:bubble3D val="0"/>
            <c:spPr>
              <a:solidFill>
                <a:srgbClr val="2E75B6"/>
              </a:solidFill>
              <a:ln w="0">
                <a:noFill/>
              </a:ln>
            </c:spPr>
            <c:extLst>
              <c:ext xmlns:c16="http://schemas.microsoft.com/office/drawing/2014/chart" uri="{C3380CC4-5D6E-409C-BE32-E72D297353CC}">
                <c16:uniqueId val="{0000000B-121E-4E4D-BA4B-E7CB53820908}"/>
              </c:ext>
            </c:extLst>
          </c:dPt>
          <c:dPt>
            <c:idx val="4"/>
            <c:invertIfNegative val="0"/>
            <c:bubble3D val="0"/>
            <c:spPr>
              <a:solidFill>
                <a:srgbClr val="2E75B6"/>
              </a:solidFill>
              <a:ln w="0">
                <a:noFill/>
              </a:ln>
            </c:spPr>
            <c:extLst>
              <c:ext xmlns:c16="http://schemas.microsoft.com/office/drawing/2014/chart" uri="{C3380CC4-5D6E-409C-BE32-E72D297353CC}">
                <c16:uniqueId val="{0000000D-121E-4E4D-BA4B-E7CB53820908}"/>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21E-4E4D-BA4B-E7CB53820908}"/>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21E-4E4D-BA4B-E7CB53820908}"/>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121E-4E4D-BA4B-E7CB53820908}"/>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121E-4E4D-BA4B-E7CB53820908}"/>
                </c:ext>
              </c:extLst>
            </c:dLbl>
            <c:dLbl>
              <c:idx val="4"/>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121E-4E4D-BA4B-E7CB53820908}"/>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tables '!$A$62:$A$67</c:f>
              <c:strCache>
                <c:ptCount val="5"/>
                <c:pt idx="0">
                  <c:v>0-6 months</c:v>
                </c:pt>
                <c:pt idx="1">
                  <c:v>13-24 months</c:v>
                </c:pt>
                <c:pt idx="2">
                  <c:v>25-48 months</c:v>
                </c:pt>
                <c:pt idx="3">
                  <c:v>49+ months</c:v>
                </c:pt>
                <c:pt idx="4">
                  <c:v>7-12 months</c:v>
                </c:pt>
              </c:strCache>
            </c:strRef>
          </c:cat>
          <c:val>
            <c:numRef>
              <c:f>'Pivot tables '!$B$62:$B$67</c:f>
              <c:numCache>
                <c:formatCode>General</c:formatCode>
                <c:ptCount val="5"/>
                <c:pt idx="0">
                  <c:v>393</c:v>
                </c:pt>
                <c:pt idx="1">
                  <c:v>756</c:v>
                </c:pt>
                <c:pt idx="2">
                  <c:v>297</c:v>
                </c:pt>
                <c:pt idx="3">
                  <c:v>142</c:v>
                </c:pt>
                <c:pt idx="4">
                  <c:v>412</c:v>
                </c:pt>
              </c:numCache>
            </c:numRef>
          </c:val>
          <c:extLst>
            <c:ext xmlns:c16="http://schemas.microsoft.com/office/drawing/2014/chart" uri="{C3380CC4-5D6E-409C-BE32-E72D297353CC}">
              <c16:uniqueId val="{0000000E-121E-4E4D-BA4B-E7CB53820908}"/>
            </c:ext>
          </c:extLst>
        </c:ser>
        <c:ser>
          <c:idx val="1"/>
          <c:order val="1"/>
          <c:tx>
            <c:strRef>
              <c:f>'Pivot tables '!$C$61</c:f>
              <c:strCache>
                <c:ptCount val="1"/>
                <c:pt idx="0">
                  <c:v>Average of Churn_Flag</c:v>
                </c:pt>
              </c:strCache>
            </c:strRef>
          </c:tx>
          <c:invertIfNegative val="0"/>
          <c:cat>
            <c:strRef>
              <c:f>'Pivot tables '!$A$62:$A$67</c:f>
              <c:strCache>
                <c:ptCount val="5"/>
                <c:pt idx="0">
                  <c:v>0-6 months</c:v>
                </c:pt>
                <c:pt idx="1">
                  <c:v>13-24 months</c:v>
                </c:pt>
                <c:pt idx="2">
                  <c:v>25-48 months</c:v>
                </c:pt>
                <c:pt idx="3">
                  <c:v>49+ months</c:v>
                </c:pt>
                <c:pt idx="4">
                  <c:v>7-12 months</c:v>
                </c:pt>
              </c:strCache>
            </c:strRef>
          </c:cat>
          <c:val>
            <c:numRef>
              <c:f>'Pivot tables '!$C$62:$C$67</c:f>
              <c:numCache>
                <c:formatCode>0.0%</c:formatCode>
                <c:ptCount val="5"/>
                <c:pt idx="0">
                  <c:v>0.49226804123711343</c:v>
                </c:pt>
                <c:pt idx="1">
                  <c:v>0.34986595174262736</c:v>
                </c:pt>
                <c:pt idx="2">
                  <c:v>0.16551724137931034</c:v>
                </c:pt>
                <c:pt idx="3">
                  <c:v>8.5714285714285715E-2</c:v>
                </c:pt>
                <c:pt idx="4">
                  <c:v>0.38154613466334164</c:v>
                </c:pt>
              </c:numCache>
            </c:numRef>
          </c:val>
          <c:extLst>
            <c:ext xmlns:c16="http://schemas.microsoft.com/office/drawing/2014/chart" uri="{C3380CC4-5D6E-409C-BE32-E72D297353CC}">
              <c16:uniqueId val="{0000000F-121E-4E4D-BA4B-E7CB53820908}"/>
            </c:ext>
          </c:extLst>
        </c:ser>
        <c:dLbls>
          <c:showLegendKey val="0"/>
          <c:showVal val="0"/>
          <c:showCatName val="0"/>
          <c:showSerName val="0"/>
          <c:showPercent val="0"/>
          <c:showBubbleSize val="0"/>
        </c:dLbls>
        <c:gapWidth val="60"/>
        <c:axId val="92253975"/>
        <c:axId val="76278176"/>
      </c:barChart>
      <c:catAx>
        <c:axId val="922539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278176"/>
        <c:crosses val="autoZero"/>
        <c:auto val="1"/>
        <c:lblAlgn val="ctr"/>
        <c:lblOffset val="100"/>
        <c:noMultiLvlLbl val="0"/>
      </c:catAx>
      <c:valAx>
        <c:axId val="76278176"/>
        <c:scaling>
          <c:orientation val="minMax"/>
          <c:max val="0.6"/>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225397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 and reveenue intelligence.xlsx]Pivot tables !PivotTable6</c:name>
    <c:fmtId val="1"/>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'!$B$81</c:f>
              <c:strCache>
                <c:ptCount val="1"/>
                <c:pt idx="0">
                  <c:v>Count of CustID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'!$A$82:$A$97</c:f>
              <c:strCache>
                <c:ptCount val="15"/>
                <c:pt idx="0">
                  <c:v>Ahmedabad</c:v>
                </c:pt>
                <c:pt idx="1">
                  <c:v>Bangalore</c:v>
                </c:pt>
                <c:pt idx="2">
                  <c:v>Bhopal</c:v>
                </c:pt>
                <c:pt idx="3">
                  <c:v>Chandigarh</c:v>
                </c:pt>
                <c:pt idx="4">
                  <c:v>Chennai</c:v>
                </c:pt>
                <c:pt idx="5">
                  <c:v>Delhi</c:v>
                </c:pt>
                <c:pt idx="6">
                  <c:v>Hyderabad</c:v>
                </c:pt>
                <c:pt idx="7">
                  <c:v>Indore</c:v>
                </c:pt>
                <c:pt idx="8">
                  <c:v>Jaipur</c:v>
                </c:pt>
                <c:pt idx="9">
                  <c:v>Kochi</c:v>
                </c:pt>
                <c:pt idx="10">
                  <c:v>Kolkata</c:v>
                </c:pt>
                <c:pt idx="11">
                  <c:v>Lucknow</c:v>
                </c:pt>
                <c:pt idx="12">
                  <c:v>Mumbai</c:v>
                </c:pt>
                <c:pt idx="13">
                  <c:v>Pune</c:v>
                </c:pt>
                <c:pt idx="14">
                  <c:v>Unknown</c:v>
                </c:pt>
              </c:strCache>
            </c:strRef>
          </c:cat>
          <c:val>
            <c:numRef>
              <c:f>'Pivot tables '!$B$82:$B$97</c:f>
              <c:numCache>
                <c:formatCode>General</c:formatCode>
                <c:ptCount val="15"/>
                <c:pt idx="0">
                  <c:v>147</c:v>
                </c:pt>
                <c:pt idx="1">
                  <c:v>143</c:v>
                </c:pt>
                <c:pt idx="2">
                  <c:v>123</c:v>
                </c:pt>
                <c:pt idx="3">
                  <c:v>139</c:v>
                </c:pt>
                <c:pt idx="4">
                  <c:v>129</c:v>
                </c:pt>
                <c:pt idx="5">
                  <c:v>149</c:v>
                </c:pt>
                <c:pt idx="6">
                  <c:v>136</c:v>
                </c:pt>
                <c:pt idx="7">
                  <c:v>138</c:v>
                </c:pt>
                <c:pt idx="8">
                  <c:v>141</c:v>
                </c:pt>
                <c:pt idx="9">
                  <c:v>154</c:v>
                </c:pt>
                <c:pt idx="10">
                  <c:v>139</c:v>
                </c:pt>
                <c:pt idx="11">
                  <c:v>143</c:v>
                </c:pt>
                <c:pt idx="12">
                  <c:v>133</c:v>
                </c:pt>
                <c:pt idx="13">
                  <c:v>141</c:v>
                </c:pt>
                <c:pt idx="14">
                  <c:v>45</c:v>
                </c:pt>
              </c:numCache>
            </c:numRef>
          </c:val>
          <c:extLst>
            <c:ext xmlns:c16="http://schemas.microsoft.com/office/drawing/2014/chart" uri="{C3380CC4-5D6E-409C-BE32-E72D297353CC}">
              <c16:uniqueId val="{00000000-345D-4676-8AD7-0264FDCB589E}"/>
            </c:ext>
          </c:extLst>
        </c:ser>
        <c:ser>
          <c:idx val="1"/>
          <c:order val="1"/>
          <c:tx>
            <c:strRef>
              <c:f>'Pivot tables '!$C$81</c:f>
              <c:strCache>
                <c:ptCount val="1"/>
                <c:pt idx="0">
                  <c:v>Sum of Total Charges (₹)</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'!$A$82:$A$97</c:f>
              <c:strCache>
                <c:ptCount val="15"/>
                <c:pt idx="0">
                  <c:v>Ahmedabad</c:v>
                </c:pt>
                <c:pt idx="1">
                  <c:v>Bangalore</c:v>
                </c:pt>
                <c:pt idx="2">
                  <c:v>Bhopal</c:v>
                </c:pt>
                <c:pt idx="3">
                  <c:v>Chandigarh</c:v>
                </c:pt>
                <c:pt idx="4">
                  <c:v>Chennai</c:v>
                </c:pt>
                <c:pt idx="5">
                  <c:v>Delhi</c:v>
                </c:pt>
                <c:pt idx="6">
                  <c:v>Hyderabad</c:v>
                </c:pt>
                <c:pt idx="7">
                  <c:v>Indore</c:v>
                </c:pt>
                <c:pt idx="8">
                  <c:v>Jaipur</c:v>
                </c:pt>
                <c:pt idx="9">
                  <c:v>Kochi</c:v>
                </c:pt>
                <c:pt idx="10">
                  <c:v>Kolkata</c:v>
                </c:pt>
                <c:pt idx="11">
                  <c:v>Lucknow</c:v>
                </c:pt>
                <c:pt idx="12">
                  <c:v>Mumbai</c:v>
                </c:pt>
                <c:pt idx="13">
                  <c:v>Pune</c:v>
                </c:pt>
                <c:pt idx="14">
                  <c:v>Unknown</c:v>
                </c:pt>
              </c:strCache>
            </c:strRef>
          </c:cat>
          <c:val>
            <c:numRef>
              <c:f>'Pivot tables '!$C$82:$C$97</c:f>
              <c:numCache>
                <c:formatCode>General</c:formatCode>
                <c:ptCount val="15"/>
                <c:pt idx="0">
                  <c:v>2445230</c:v>
                </c:pt>
                <c:pt idx="1">
                  <c:v>2407088</c:v>
                </c:pt>
                <c:pt idx="2">
                  <c:v>1863943</c:v>
                </c:pt>
                <c:pt idx="3">
                  <c:v>2024423</c:v>
                </c:pt>
                <c:pt idx="4">
                  <c:v>1993418</c:v>
                </c:pt>
                <c:pt idx="5">
                  <c:v>2273932</c:v>
                </c:pt>
                <c:pt idx="6">
                  <c:v>2153373</c:v>
                </c:pt>
                <c:pt idx="7">
                  <c:v>2252899</c:v>
                </c:pt>
                <c:pt idx="8">
                  <c:v>2388960</c:v>
                </c:pt>
                <c:pt idx="9">
                  <c:v>2361669</c:v>
                </c:pt>
                <c:pt idx="10">
                  <c:v>2191210</c:v>
                </c:pt>
                <c:pt idx="11">
                  <c:v>2134079</c:v>
                </c:pt>
                <c:pt idx="12">
                  <c:v>2513694</c:v>
                </c:pt>
                <c:pt idx="13">
                  <c:v>2327288</c:v>
                </c:pt>
                <c:pt idx="14">
                  <c:v>686721</c:v>
                </c:pt>
              </c:numCache>
            </c:numRef>
          </c:val>
          <c:extLst>
            <c:ext xmlns:c16="http://schemas.microsoft.com/office/drawing/2014/chart" uri="{C3380CC4-5D6E-409C-BE32-E72D297353CC}">
              <c16:uniqueId val="{00000001-345D-4676-8AD7-0264FDCB589E}"/>
            </c:ext>
          </c:extLst>
        </c:ser>
        <c:ser>
          <c:idx val="2"/>
          <c:order val="2"/>
          <c:tx>
            <c:strRef>
              <c:f>'Pivot tables '!$D$81</c:f>
              <c:strCache>
                <c:ptCount val="1"/>
                <c:pt idx="0">
                  <c:v>Average of Churn_Flag</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'!$A$82:$A$97</c:f>
              <c:strCache>
                <c:ptCount val="15"/>
                <c:pt idx="0">
                  <c:v>Ahmedabad</c:v>
                </c:pt>
                <c:pt idx="1">
                  <c:v>Bangalore</c:v>
                </c:pt>
                <c:pt idx="2">
                  <c:v>Bhopal</c:v>
                </c:pt>
                <c:pt idx="3">
                  <c:v>Chandigarh</c:v>
                </c:pt>
                <c:pt idx="4">
                  <c:v>Chennai</c:v>
                </c:pt>
                <c:pt idx="5">
                  <c:v>Delhi</c:v>
                </c:pt>
                <c:pt idx="6">
                  <c:v>Hyderabad</c:v>
                </c:pt>
                <c:pt idx="7">
                  <c:v>Indore</c:v>
                </c:pt>
                <c:pt idx="8">
                  <c:v>Jaipur</c:v>
                </c:pt>
                <c:pt idx="9">
                  <c:v>Kochi</c:v>
                </c:pt>
                <c:pt idx="10">
                  <c:v>Kolkata</c:v>
                </c:pt>
                <c:pt idx="11">
                  <c:v>Lucknow</c:v>
                </c:pt>
                <c:pt idx="12">
                  <c:v>Mumbai</c:v>
                </c:pt>
                <c:pt idx="13">
                  <c:v>Pune</c:v>
                </c:pt>
                <c:pt idx="14">
                  <c:v>Unknown</c:v>
                </c:pt>
              </c:strCache>
            </c:strRef>
          </c:cat>
          <c:val>
            <c:numRef>
              <c:f>'Pivot tables '!$D$82:$D$97</c:f>
              <c:numCache>
                <c:formatCode>0.00%</c:formatCode>
                <c:ptCount val="15"/>
                <c:pt idx="0">
                  <c:v>0.29452054794520549</c:v>
                </c:pt>
                <c:pt idx="1">
                  <c:v>0.29285714285714287</c:v>
                </c:pt>
                <c:pt idx="2">
                  <c:v>0.34146341463414637</c:v>
                </c:pt>
                <c:pt idx="3">
                  <c:v>0.36496350364963503</c:v>
                </c:pt>
                <c:pt idx="4">
                  <c:v>0.38095238095238093</c:v>
                </c:pt>
                <c:pt idx="5">
                  <c:v>0.35416666666666669</c:v>
                </c:pt>
                <c:pt idx="6">
                  <c:v>0.34328358208955223</c:v>
                </c:pt>
                <c:pt idx="7">
                  <c:v>0.37226277372262773</c:v>
                </c:pt>
                <c:pt idx="8">
                  <c:v>0.34782608695652173</c:v>
                </c:pt>
                <c:pt idx="9">
                  <c:v>0.34228187919463088</c:v>
                </c:pt>
                <c:pt idx="10">
                  <c:v>0.28776978417266186</c:v>
                </c:pt>
                <c:pt idx="11">
                  <c:v>0.3546099290780142</c:v>
                </c:pt>
                <c:pt idx="12">
                  <c:v>0.36434108527131781</c:v>
                </c:pt>
                <c:pt idx="13">
                  <c:v>0.31428571428571428</c:v>
                </c:pt>
                <c:pt idx="14">
                  <c:v>0.30952380952380953</c:v>
                </c:pt>
              </c:numCache>
            </c:numRef>
          </c:val>
          <c:extLst>
            <c:ext xmlns:c16="http://schemas.microsoft.com/office/drawing/2014/chart" uri="{C3380CC4-5D6E-409C-BE32-E72D297353CC}">
              <c16:uniqueId val="{00000002-345D-4676-8AD7-0264FDCB589E}"/>
            </c:ext>
          </c:extLst>
        </c:ser>
        <c:dLbls>
          <c:dLblPos val="inEnd"/>
          <c:showLegendKey val="0"/>
          <c:showVal val="1"/>
          <c:showCatName val="0"/>
          <c:showSerName val="0"/>
          <c:showPercent val="0"/>
          <c:showBubbleSize val="0"/>
        </c:dLbls>
        <c:gapWidth val="65"/>
        <c:axId val="380744520"/>
        <c:axId val="634069048"/>
      </c:barChart>
      <c:catAx>
        <c:axId val="380744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4069048"/>
        <c:crosses val="autoZero"/>
        <c:auto val="1"/>
        <c:lblAlgn val="ctr"/>
        <c:lblOffset val="100"/>
        <c:noMultiLvlLbl val="0"/>
      </c:catAx>
      <c:valAx>
        <c:axId val="6340690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07445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 and reveenue intelligence.xlsx]Pivot tables !PivotTable8</c:name>
    <c:fmtId val="6"/>
  </c:pivotSource>
  <c:chart>
    <c:title>
      <c:tx>
        <c:rich>
          <a:bodyPr rot="0"/>
          <a:lstStyle/>
          <a:p>
            <a:pPr>
              <a:defRPr sz="1100" b="1" strike="noStrike" spc="-1">
                <a:solidFill>
                  <a:srgbClr val="1F3A5F"/>
                </a:solidFill>
                <a:latin typeface="Arial"/>
              </a:defRPr>
            </a:pPr>
            <a:r>
              <a:rPr lang="en-IN" sz="1100" b="1" strike="noStrike" spc="-1">
                <a:solidFill>
                  <a:srgbClr val="1F3A5F"/>
                </a:solidFill>
                <a:latin typeface="Arial"/>
              </a:rPr>
              <a:t>Age has a weak link to churn (dashed line = overall average)</a:t>
            </a:r>
          </a:p>
        </c:rich>
      </c:tx>
      <c:overlay val="0"/>
      <c:spPr>
        <a:noFill/>
        <a:ln w="0">
          <a:noFill/>
        </a:ln>
      </c:spPr>
    </c:title>
    <c:autoTitleDeleted val="0"/>
    <c:pivotFmts>
      <c:pivotFmt>
        <c:idx val="0"/>
        <c:spPr>
          <a:solidFill>
            <a:srgbClr val="A6A6A6"/>
          </a:solidFill>
          <a:ln w="0">
            <a:noFill/>
          </a:ln>
        </c:spPr>
        <c:marker>
          <c:symbol val="none"/>
        </c:marker>
        <c:dLbl>
          <c:idx val="0"/>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extLst>
            <c:ext xmlns:c15="http://schemas.microsoft.com/office/drawing/2012/chart" uri="{CE6537A1-D6FC-4f65-9D91-7224C49458BB}"/>
          </c:extLst>
        </c:dLbl>
      </c:pivotFmt>
      <c:pivotFmt>
        <c:idx val="1"/>
        <c:spPr>
          <a:solidFill>
            <a:srgbClr val="2E75B6"/>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2"/>
        <c:spPr>
          <a:solidFill>
            <a:srgbClr val="2E75B6"/>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3"/>
        <c:spPr>
          <a:solidFill>
            <a:srgbClr val="C0392B"/>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4"/>
        <c:spPr>
          <a:solidFill>
            <a:srgbClr val="2E75B6"/>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5"/>
        <c:spPr>
          <a:solidFill>
            <a:srgbClr val="2E75B6"/>
          </a:solidFill>
          <a:ln w="0">
            <a:noFill/>
          </a:ln>
        </c:spPr>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Lst>
        </c:dLbl>
      </c:pivotFmt>
      <c:pivotFmt>
        <c:idx val="6"/>
        <c:spPr>
          <a:ln w="19080">
            <a:solidFill>
              <a:srgbClr val="1F3A5F"/>
            </a:solidFill>
            <a:prstDash val="dash"/>
            <a:round/>
          </a:ln>
        </c:spPr>
        <c:marker>
          <c:symbol val="none"/>
        </c:marker>
        <c:dLbl>
          <c:idx val="0"/>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extLst>
            <c:ext xmlns:c15="http://schemas.microsoft.com/office/drawing/2012/chart" uri="{CE6537A1-D6FC-4f65-9D91-7224C49458BB}"/>
          </c:extLst>
        </c:dLbl>
      </c:pivotFmt>
    </c:pivotFmts>
    <c:plotArea>
      <c:layout>
        <c:manualLayout>
          <c:layoutTarget val="inner"/>
          <c:xMode val="edge"/>
          <c:yMode val="edge"/>
          <c:x val="9.0438150876301748E-2"/>
          <c:y val="0.21847316118784263"/>
          <c:w val="0.85794894589789183"/>
          <c:h val="0.6533452143424443"/>
        </c:manualLayout>
      </c:layout>
      <c:barChart>
        <c:barDir val="col"/>
        <c:grouping val="clustered"/>
        <c:varyColors val="0"/>
        <c:ser>
          <c:idx val="0"/>
          <c:order val="0"/>
          <c:tx>
            <c:strRef>
              <c:f>'Pivot tables '!$B$101</c:f>
              <c:strCache>
                <c:ptCount val="1"/>
                <c:pt idx="0">
                  <c:v>Count of CustID</c:v>
                </c:pt>
              </c:strCache>
            </c:strRef>
          </c:tx>
          <c:spPr>
            <a:solidFill>
              <a:srgbClr val="A6A6A6"/>
            </a:solidFill>
            <a:ln w="0">
              <a:noFill/>
            </a:ln>
          </c:spPr>
          <c:invertIfNegative val="0"/>
          <c:dPt>
            <c:idx val="0"/>
            <c:invertIfNegative val="0"/>
            <c:bubble3D val="0"/>
            <c:spPr>
              <a:solidFill>
                <a:srgbClr val="2E75B6"/>
              </a:solidFill>
              <a:ln w="0">
                <a:noFill/>
              </a:ln>
            </c:spPr>
            <c:extLst>
              <c:ext xmlns:c16="http://schemas.microsoft.com/office/drawing/2014/chart" uri="{C3380CC4-5D6E-409C-BE32-E72D297353CC}">
                <c16:uniqueId val="{00000005-DB42-4D45-8D81-6E13E5513401}"/>
              </c:ext>
            </c:extLst>
          </c:dPt>
          <c:dPt>
            <c:idx val="1"/>
            <c:invertIfNegative val="0"/>
            <c:bubble3D val="0"/>
            <c:spPr>
              <a:solidFill>
                <a:srgbClr val="2E75B6"/>
              </a:solidFill>
              <a:ln w="0">
                <a:noFill/>
              </a:ln>
            </c:spPr>
            <c:extLst>
              <c:ext xmlns:c16="http://schemas.microsoft.com/office/drawing/2014/chart" uri="{C3380CC4-5D6E-409C-BE32-E72D297353CC}">
                <c16:uniqueId val="{00000007-DB42-4D45-8D81-6E13E5513401}"/>
              </c:ext>
            </c:extLst>
          </c:dPt>
          <c:dPt>
            <c:idx val="2"/>
            <c:invertIfNegative val="0"/>
            <c:bubble3D val="0"/>
            <c:spPr>
              <a:solidFill>
                <a:srgbClr val="C0392B"/>
              </a:solidFill>
              <a:ln w="0">
                <a:noFill/>
              </a:ln>
            </c:spPr>
            <c:extLst>
              <c:ext xmlns:c16="http://schemas.microsoft.com/office/drawing/2014/chart" uri="{C3380CC4-5D6E-409C-BE32-E72D297353CC}">
                <c16:uniqueId val="{00000009-DB42-4D45-8D81-6E13E5513401}"/>
              </c:ext>
            </c:extLst>
          </c:dPt>
          <c:dPt>
            <c:idx val="3"/>
            <c:invertIfNegative val="0"/>
            <c:bubble3D val="0"/>
            <c:spPr>
              <a:solidFill>
                <a:srgbClr val="2E75B6"/>
              </a:solidFill>
              <a:ln w="0">
                <a:noFill/>
              </a:ln>
            </c:spPr>
            <c:extLst>
              <c:ext xmlns:c16="http://schemas.microsoft.com/office/drawing/2014/chart" uri="{C3380CC4-5D6E-409C-BE32-E72D297353CC}">
                <c16:uniqueId val="{0000000B-DB42-4D45-8D81-6E13E5513401}"/>
              </c:ext>
            </c:extLst>
          </c:dPt>
          <c:dPt>
            <c:idx val="4"/>
            <c:invertIfNegative val="0"/>
            <c:bubble3D val="0"/>
            <c:spPr>
              <a:solidFill>
                <a:srgbClr val="2E75B6"/>
              </a:solidFill>
              <a:ln w="0">
                <a:noFill/>
              </a:ln>
            </c:spPr>
            <c:extLst>
              <c:ext xmlns:c16="http://schemas.microsoft.com/office/drawing/2014/chart" uri="{C3380CC4-5D6E-409C-BE32-E72D297353CC}">
                <c16:uniqueId val="{0000000D-DB42-4D45-8D81-6E13E5513401}"/>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DB42-4D45-8D81-6E13E5513401}"/>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DB42-4D45-8D81-6E13E5513401}"/>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DB42-4D45-8D81-6E13E5513401}"/>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DB42-4D45-8D81-6E13E5513401}"/>
                </c:ext>
              </c:extLst>
            </c:dLbl>
            <c:dLbl>
              <c:idx val="4"/>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DB42-4D45-8D81-6E13E5513401}"/>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tables '!$A$102:$A$107</c:f>
              <c:strCache>
                <c:ptCount val="5"/>
                <c:pt idx="0">
                  <c:v>18-25</c:v>
                </c:pt>
                <c:pt idx="1">
                  <c:v>26-35</c:v>
                </c:pt>
                <c:pt idx="2">
                  <c:v>36-45</c:v>
                </c:pt>
                <c:pt idx="3">
                  <c:v>46-60</c:v>
                </c:pt>
                <c:pt idx="4">
                  <c:v>60+</c:v>
                </c:pt>
              </c:strCache>
            </c:strRef>
          </c:cat>
          <c:val>
            <c:numRef>
              <c:f>'Pivot tables '!$B$102:$B$107</c:f>
              <c:numCache>
                <c:formatCode>General</c:formatCode>
                <c:ptCount val="5"/>
                <c:pt idx="0">
                  <c:v>259</c:v>
                </c:pt>
                <c:pt idx="1">
                  <c:v>338</c:v>
                </c:pt>
                <c:pt idx="2">
                  <c:v>329</c:v>
                </c:pt>
                <c:pt idx="3">
                  <c:v>577</c:v>
                </c:pt>
                <c:pt idx="4">
                  <c:v>497</c:v>
                </c:pt>
              </c:numCache>
            </c:numRef>
          </c:val>
          <c:extLst>
            <c:ext xmlns:c16="http://schemas.microsoft.com/office/drawing/2014/chart" uri="{C3380CC4-5D6E-409C-BE32-E72D297353CC}">
              <c16:uniqueId val="{0000000E-DB42-4D45-8D81-6E13E5513401}"/>
            </c:ext>
          </c:extLst>
        </c:ser>
        <c:dLbls>
          <c:showLegendKey val="0"/>
          <c:showVal val="0"/>
          <c:showCatName val="0"/>
          <c:showSerName val="0"/>
          <c:showPercent val="0"/>
          <c:showBubbleSize val="0"/>
        </c:dLbls>
        <c:gapWidth val="60"/>
        <c:axId val="26366811"/>
        <c:axId val="65637706"/>
      </c:barChart>
      <c:lineChart>
        <c:grouping val="standard"/>
        <c:varyColors val="0"/>
        <c:ser>
          <c:idx val="1"/>
          <c:order val="1"/>
          <c:tx>
            <c:strRef>
              <c:f>'Pivot tables '!$C$101</c:f>
              <c:strCache>
                <c:ptCount val="1"/>
                <c:pt idx="0">
                  <c:v>Average of Churn_Flag</c:v>
                </c:pt>
              </c:strCache>
            </c:strRef>
          </c:tx>
          <c:spPr>
            <a:ln w="19080">
              <a:solidFill>
                <a:srgbClr val="1F3A5F"/>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tables '!$A$102:$A$107</c:f>
              <c:strCache>
                <c:ptCount val="5"/>
                <c:pt idx="0">
                  <c:v>18-25</c:v>
                </c:pt>
                <c:pt idx="1">
                  <c:v>26-35</c:v>
                </c:pt>
                <c:pt idx="2">
                  <c:v>36-45</c:v>
                </c:pt>
                <c:pt idx="3">
                  <c:v>46-60</c:v>
                </c:pt>
                <c:pt idx="4">
                  <c:v>60+</c:v>
                </c:pt>
              </c:strCache>
            </c:strRef>
          </c:cat>
          <c:val>
            <c:numRef>
              <c:f>'Pivot tables '!$C$102:$C$107</c:f>
              <c:numCache>
                <c:formatCode>0.0%</c:formatCode>
                <c:ptCount val="5"/>
                <c:pt idx="0">
                  <c:v>0.33073929961089493</c:v>
                </c:pt>
                <c:pt idx="1">
                  <c:v>0.30303030303030304</c:v>
                </c:pt>
                <c:pt idx="2">
                  <c:v>0.37230769230769228</c:v>
                </c:pt>
                <c:pt idx="3">
                  <c:v>0.33156966490299822</c:v>
                </c:pt>
                <c:pt idx="4">
                  <c:v>0.35185185185185186</c:v>
                </c:pt>
              </c:numCache>
            </c:numRef>
          </c:val>
          <c:smooth val="0"/>
          <c:extLst>
            <c:ext xmlns:c16="http://schemas.microsoft.com/office/drawing/2014/chart" uri="{C3380CC4-5D6E-409C-BE32-E72D297353CC}">
              <c16:uniqueId val="{00000010-DB42-4D45-8D81-6E13E5513401}"/>
            </c:ext>
          </c:extLst>
        </c:ser>
        <c:dLbls>
          <c:showLegendKey val="0"/>
          <c:showVal val="0"/>
          <c:showCatName val="0"/>
          <c:showSerName val="0"/>
          <c:showPercent val="0"/>
          <c:showBubbleSize val="0"/>
        </c:dLbls>
        <c:hiLowLines>
          <c:spPr>
            <a:ln w="0">
              <a:noFill/>
            </a:ln>
          </c:spPr>
        </c:hiLowLines>
        <c:marker val="1"/>
        <c:smooth val="0"/>
        <c:axId val="26366811"/>
        <c:axId val="65637706"/>
      </c:lineChart>
      <c:catAx>
        <c:axId val="263668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637706"/>
        <c:crosses val="autoZero"/>
        <c:auto val="1"/>
        <c:lblAlgn val="ctr"/>
        <c:lblOffset val="100"/>
        <c:noMultiLvlLbl val="0"/>
      </c:catAx>
      <c:valAx>
        <c:axId val="65637706"/>
        <c:scaling>
          <c:orientation val="minMax"/>
          <c:max val="0.6"/>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36681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100" b="1" strike="noStrike" spc="-1">
                <a:solidFill>
                  <a:srgbClr val="1F3A5F"/>
                </a:solidFill>
                <a:latin typeface="Arial"/>
              </a:defRPr>
            </a:pPr>
            <a:r>
              <a:rPr lang="en-IN" sz="1100" b="1" strike="noStrike" spc="-1">
                <a:solidFill>
                  <a:srgbClr val="1F3A5F"/>
                </a:solidFill>
                <a:latin typeface="Arial"/>
              </a:rPr>
              <a:t>Month-to-month churn is 4x higher than Two-year</a:t>
            </a:r>
          </a:p>
        </c:rich>
      </c:tx>
      <c:layout>
        <c:manualLayout>
          <c:xMode val="edge"/>
          <c:yMode val="edge"/>
          <c:x val="0.11898180374512007"/>
          <c:y val="4.475770925110132E-2"/>
        </c:manualLayout>
      </c:layout>
      <c:overlay val="0"/>
      <c:spPr>
        <a:noFill/>
        <a:ln w="0">
          <a:noFill/>
        </a:ln>
      </c:spPr>
    </c:title>
    <c:autoTitleDeleted val="0"/>
    <c:plotArea>
      <c:layout>
        <c:manualLayout>
          <c:layoutTarget val="inner"/>
          <c:xMode val="edge"/>
          <c:yMode val="edge"/>
          <c:x val="7.8752322392285232E-2"/>
          <c:y val="0.16674669603524228"/>
          <c:w val="0.89864143584427258"/>
          <c:h val="0.71558685082230788"/>
        </c:manualLayout>
      </c:layout>
      <c:barChart>
        <c:barDir val="col"/>
        <c:grouping val="clustered"/>
        <c:varyColors val="0"/>
        <c:ser>
          <c:idx val="0"/>
          <c:order val="0"/>
          <c:spPr>
            <a:solidFill>
              <a:srgbClr val="A6A6A6"/>
            </a:solidFill>
            <a:ln w="0">
              <a:noFill/>
            </a:ln>
          </c:spPr>
          <c:invertIfNegative val="0"/>
          <c:dPt>
            <c:idx val="0"/>
            <c:invertIfNegative val="0"/>
            <c:bubble3D val="0"/>
            <c:spPr>
              <a:solidFill>
                <a:srgbClr val="C0392B"/>
              </a:solidFill>
              <a:ln w="0">
                <a:noFill/>
              </a:ln>
            </c:spPr>
            <c:extLst>
              <c:ext xmlns:c16="http://schemas.microsoft.com/office/drawing/2014/chart" uri="{C3380CC4-5D6E-409C-BE32-E72D297353CC}">
                <c16:uniqueId val="{00000001-2501-4512-819E-57179A5C719C}"/>
              </c:ext>
            </c:extLst>
          </c:dPt>
          <c:dPt>
            <c:idx val="1"/>
            <c:invertIfNegative val="0"/>
            <c:bubble3D val="0"/>
            <c:spPr>
              <a:solidFill>
                <a:srgbClr val="2E75B6"/>
              </a:solidFill>
              <a:ln w="0">
                <a:noFill/>
              </a:ln>
            </c:spPr>
            <c:extLst>
              <c:ext xmlns:c16="http://schemas.microsoft.com/office/drawing/2014/chart" uri="{C3380CC4-5D6E-409C-BE32-E72D297353CC}">
                <c16:uniqueId val="{00000003-2501-4512-819E-57179A5C719C}"/>
              </c:ext>
            </c:extLst>
          </c:dPt>
          <c:dPt>
            <c:idx val="2"/>
            <c:invertIfNegative val="0"/>
            <c:bubble3D val="0"/>
            <c:spPr>
              <a:solidFill>
                <a:srgbClr val="2E75B6"/>
              </a:solidFill>
              <a:ln w="0">
                <a:noFill/>
              </a:ln>
            </c:spPr>
            <c:extLst>
              <c:ext xmlns:c16="http://schemas.microsoft.com/office/drawing/2014/chart" uri="{C3380CC4-5D6E-409C-BE32-E72D297353CC}">
                <c16:uniqueId val="{00000005-2501-4512-819E-57179A5C719C}"/>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501-4512-819E-57179A5C719C}"/>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501-4512-819E-57179A5C719C}"/>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501-4512-819E-57179A5C719C}"/>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[1]Calc!$A$9:$A$11</c:f>
              <c:strCache>
                <c:ptCount val="3"/>
                <c:pt idx="0">
                  <c:v>Month-to-month</c:v>
                </c:pt>
                <c:pt idx="1">
                  <c:v>One year</c:v>
                </c:pt>
                <c:pt idx="2">
                  <c:v>Two year</c:v>
                </c:pt>
              </c:strCache>
            </c:strRef>
          </c:cat>
          <c:val>
            <c:numRef>
              <c:f>[1]Calc!$D$9:$D$11</c:f>
              <c:numCache>
                <c:formatCode>0.0%</c:formatCode>
                <c:ptCount val="3"/>
                <c:pt idx="0">
                  <c:v>0.4777777777777778</c:v>
                </c:pt>
                <c:pt idx="1">
                  <c:v>0.20162932790224034</c:v>
                </c:pt>
                <c:pt idx="2">
                  <c:v>0.10869565217391304</c:v>
                </c:pt>
              </c:numCache>
            </c:numRef>
          </c:val>
          <c:extLst>
            <c:ext xmlns:c16="http://schemas.microsoft.com/office/drawing/2014/chart" uri="{C3380CC4-5D6E-409C-BE32-E72D297353CC}">
              <c16:uniqueId val="{00000006-2501-4512-819E-57179A5C719C}"/>
            </c:ext>
          </c:extLst>
        </c:ser>
        <c:dLbls>
          <c:showLegendKey val="0"/>
          <c:showVal val="0"/>
          <c:showCatName val="0"/>
          <c:showSerName val="0"/>
          <c:showPercent val="0"/>
          <c:showBubbleSize val="0"/>
        </c:dLbls>
        <c:gapWidth val="60"/>
        <c:axId val="67037267"/>
        <c:axId val="90259874"/>
      </c:barChart>
      <c:catAx>
        <c:axId val="670372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259874"/>
        <c:crosses val="autoZero"/>
        <c:auto val="1"/>
        <c:lblAlgn val="ctr"/>
        <c:lblOffset val="100"/>
        <c:noMultiLvlLbl val="0"/>
      </c:catAx>
      <c:valAx>
        <c:axId val="90259874"/>
        <c:scaling>
          <c:orientation val="minMax"/>
          <c:max val="0.6"/>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03726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100" b="1" strike="noStrike" spc="-1">
                <a:solidFill>
                  <a:srgbClr val="1F3A5F"/>
                </a:solidFill>
                <a:latin typeface="Arial"/>
              </a:defRPr>
            </a:pPr>
            <a:r>
              <a:rPr lang="en-IN" sz="1100" b="1" strike="noStrike" spc="-1">
                <a:solidFill>
                  <a:srgbClr val="1F3A5F"/>
                </a:solidFill>
                <a:latin typeface="Arial"/>
              </a:rPr>
              <a:t>Fiber has the highest churn among services</a:t>
            </a:r>
          </a:p>
        </c:rich>
      </c:tx>
      <c:overlay val="0"/>
      <c:spPr>
        <a:noFill/>
        <a:ln w="0">
          <a:noFill/>
        </a:ln>
      </c:spPr>
    </c:title>
    <c:autoTitleDeleted val="0"/>
    <c:plotArea>
      <c:layout>
        <c:manualLayout>
          <c:layoutTarget val="inner"/>
          <c:xMode val="edge"/>
          <c:yMode val="edge"/>
          <c:x val="9.2680419079846421E-2"/>
          <c:y val="0.17326016980276093"/>
          <c:w val="0.90446846163569716"/>
          <c:h val="0.71558685082230788"/>
        </c:manualLayout>
      </c:layout>
      <c:barChart>
        <c:barDir val="col"/>
        <c:grouping val="clustered"/>
        <c:varyColors val="0"/>
        <c:ser>
          <c:idx val="0"/>
          <c:order val="0"/>
          <c:spPr>
            <a:solidFill>
              <a:srgbClr val="A6A6A6"/>
            </a:solidFill>
            <a:ln w="0">
              <a:noFill/>
            </a:ln>
          </c:spPr>
          <c:invertIfNegative val="0"/>
          <c:dPt>
            <c:idx val="0"/>
            <c:invertIfNegative val="0"/>
            <c:bubble3D val="0"/>
            <c:spPr>
              <a:solidFill>
                <a:srgbClr val="2E75B6"/>
              </a:solidFill>
              <a:ln w="0">
                <a:noFill/>
              </a:ln>
            </c:spPr>
            <c:extLst>
              <c:ext xmlns:c16="http://schemas.microsoft.com/office/drawing/2014/chart" uri="{C3380CC4-5D6E-409C-BE32-E72D297353CC}">
                <c16:uniqueId val="{00000001-E4D5-4860-B61F-08D7C94BAC8A}"/>
              </c:ext>
            </c:extLst>
          </c:dPt>
          <c:dPt>
            <c:idx val="1"/>
            <c:invertIfNegative val="0"/>
            <c:bubble3D val="0"/>
            <c:spPr>
              <a:solidFill>
                <a:srgbClr val="C0392B"/>
              </a:solidFill>
              <a:ln w="0">
                <a:noFill/>
              </a:ln>
            </c:spPr>
            <c:extLst>
              <c:ext xmlns:c16="http://schemas.microsoft.com/office/drawing/2014/chart" uri="{C3380CC4-5D6E-409C-BE32-E72D297353CC}">
                <c16:uniqueId val="{00000003-E4D5-4860-B61F-08D7C94BAC8A}"/>
              </c:ext>
            </c:extLst>
          </c:dPt>
          <c:dPt>
            <c:idx val="2"/>
            <c:invertIfNegative val="0"/>
            <c:bubble3D val="0"/>
            <c:spPr>
              <a:solidFill>
                <a:srgbClr val="2E75B6"/>
              </a:solidFill>
              <a:ln w="0">
                <a:noFill/>
              </a:ln>
            </c:spPr>
            <c:extLst>
              <c:ext xmlns:c16="http://schemas.microsoft.com/office/drawing/2014/chart" uri="{C3380CC4-5D6E-409C-BE32-E72D297353CC}">
                <c16:uniqueId val="{00000005-E4D5-4860-B61F-08D7C94BAC8A}"/>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D5-4860-B61F-08D7C94BAC8A}"/>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D5-4860-B61F-08D7C94BAC8A}"/>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D5-4860-B61F-08D7C94BAC8A}"/>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[1]Calc!$A$16:$A$18</c:f>
              <c:strCache>
                <c:ptCount val="3"/>
                <c:pt idx="0">
                  <c:v>DSL</c:v>
                </c:pt>
                <c:pt idx="1">
                  <c:v>Fiber</c:v>
                </c:pt>
                <c:pt idx="2">
                  <c:v>No Internet</c:v>
                </c:pt>
              </c:strCache>
            </c:strRef>
          </c:cat>
          <c:val>
            <c:numRef>
              <c:f>[1]Calc!$D$16:$D$18</c:f>
              <c:numCache>
                <c:formatCode>0.0%</c:formatCode>
                <c:ptCount val="3"/>
                <c:pt idx="0">
                  <c:v>0.28654970760233917</c:v>
                </c:pt>
                <c:pt idx="1">
                  <c:v>0.37744533947065595</c:v>
                </c:pt>
                <c:pt idx="2">
                  <c:v>0.35135135135135137</c:v>
                </c:pt>
              </c:numCache>
            </c:numRef>
          </c:val>
          <c:extLst>
            <c:ext xmlns:c16="http://schemas.microsoft.com/office/drawing/2014/chart" uri="{C3380CC4-5D6E-409C-BE32-E72D297353CC}">
              <c16:uniqueId val="{00000006-E4D5-4860-B61F-08D7C94BAC8A}"/>
            </c:ext>
          </c:extLst>
        </c:ser>
        <c:dLbls>
          <c:showLegendKey val="0"/>
          <c:showVal val="0"/>
          <c:showCatName val="0"/>
          <c:showSerName val="0"/>
          <c:showPercent val="0"/>
          <c:showBubbleSize val="0"/>
        </c:dLbls>
        <c:gapWidth val="60"/>
        <c:axId val="10840533"/>
        <c:axId val="433721"/>
      </c:barChart>
      <c:catAx>
        <c:axId val="108405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3721"/>
        <c:crosses val="autoZero"/>
        <c:auto val="1"/>
        <c:lblAlgn val="ctr"/>
        <c:lblOffset val="100"/>
        <c:noMultiLvlLbl val="0"/>
      </c:catAx>
      <c:valAx>
        <c:axId val="433721"/>
        <c:scaling>
          <c:orientation val="minMax"/>
          <c:max val="0.6"/>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8405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100" b="1" strike="noStrike" spc="-1">
                <a:solidFill>
                  <a:srgbClr val="1F3A5F"/>
                </a:solidFill>
                <a:latin typeface="Arial"/>
              </a:defRPr>
            </a:pPr>
            <a:r>
              <a:rPr lang="en-IN" sz="1100" b="1" strike="noStrike" spc="-1">
                <a:solidFill>
                  <a:srgbClr val="1F3A5F"/>
                </a:solidFill>
                <a:latin typeface="Arial"/>
              </a:rPr>
              <a:t>Month-to-month churn is 4x higher than Two-year</a:t>
            </a:r>
          </a:p>
        </c:rich>
      </c:tx>
      <c:layout>
        <c:manualLayout>
          <c:xMode val="edge"/>
          <c:yMode val="edge"/>
          <c:x val="0.11898168627797932"/>
          <c:y val="3.3568281938325992E-2"/>
        </c:manualLayout>
      </c:layout>
      <c:overlay val="0"/>
      <c:spPr>
        <a:noFill/>
        <a:ln w="0">
          <a:noFill/>
        </a:ln>
      </c:spPr>
    </c:title>
    <c:autoTitleDeleted val="0"/>
    <c:plotArea>
      <c:layout>
        <c:manualLayout>
          <c:layoutTarget val="inner"/>
          <c:xMode val="edge"/>
          <c:yMode val="edge"/>
          <c:x val="7.8752322392285232E-2"/>
          <c:y val="0.16674669603524228"/>
          <c:w val="0.89864143584427258"/>
          <c:h val="0.71558685082230788"/>
        </c:manualLayout>
      </c:layout>
      <c:barChart>
        <c:barDir val="col"/>
        <c:grouping val="clustered"/>
        <c:varyColors val="0"/>
        <c:ser>
          <c:idx val="0"/>
          <c:order val="0"/>
          <c:spPr>
            <a:solidFill>
              <a:srgbClr val="A6A6A6"/>
            </a:solidFill>
            <a:ln w="0">
              <a:noFill/>
            </a:ln>
          </c:spPr>
          <c:invertIfNegative val="0"/>
          <c:dPt>
            <c:idx val="0"/>
            <c:invertIfNegative val="0"/>
            <c:bubble3D val="0"/>
            <c:spPr>
              <a:solidFill>
                <a:srgbClr val="C0392B"/>
              </a:solidFill>
              <a:ln w="0">
                <a:noFill/>
              </a:ln>
            </c:spPr>
            <c:extLst>
              <c:ext xmlns:c16="http://schemas.microsoft.com/office/drawing/2014/chart" uri="{C3380CC4-5D6E-409C-BE32-E72D297353CC}">
                <c16:uniqueId val="{00000001-97BB-4A0A-AAF5-F97B8FC353F5}"/>
              </c:ext>
            </c:extLst>
          </c:dPt>
          <c:dPt>
            <c:idx val="1"/>
            <c:invertIfNegative val="0"/>
            <c:bubble3D val="0"/>
            <c:spPr>
              <a:solidFill>
                <a:srgbClr val="2E75B6"/>
              </a:solidFill>
              <a:ln w="0">
                <a:noFill/>
              </a:ln>
            </c:spPr>
            <c:extLst>
              <c:ext xmlns:c16="http://schemas.microsoft.com/office/drawing/2014/chart" uri="{C3380CC4-5D6E-409C-BE32-E72D297353CC}">
                <c16:uniqueId val="{00000003-97BB-4A0A-AAF5-F97B8FC353F5}"/>
              </c:ext>
            </c:extLst>
          </c:dPt>
          <c:dPt>
            <c:idx val="2"/>
            <c:invertIfNegative val="0"/>
            <c:bubble3D val="0"/>
            <c:spPr>
              <a:solidFill>
                <a:srgbClr val="2E75B6"/>
              </a:solidFill>
              <a:ln w="0">
                <a:noFill/>
              </a:ln>
            </c:spPr>
            <c:extLst>
              <c:ext xmlns:c16="http://schemas.microsoft.com/office/drawing/2014/chart" uri="{C3380CC4-5D6E-409C-BE32-E72D297353CC}">
                <c16:uniqueId val="{00000005-97BB-4A0A-AAF5-F97B8FC353F5}"/>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7BB-4A0A-AAF5-F97B8FC353F5}"/>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7BB-4A0A-AAF5-F97B8FC353F5}"/>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7BB-4A0A-AAF5-F97B8FC353F5}"/>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[1]Calc!$A$9:$A$11</c:f>
              <c:strCache>
                <c:ptCount val="3"/>
                <c:pt idx="0">
                  <c:v>Month-to-month</c:v>
                </c:pt>
                <c:pt idx="1">
                  <c:v>One year</c:v>
                </c:pt>
                <c:pt idx="2">
                  <c:v>Two year</c:v>
                </c:pt>
              </c:strCache>
            </c:strRef>
          </c:cat>
          <c:val>
            <c:numRef>
              <c:f>[1]Calc!$D$9:$D$11</c:f>
              <c:numCache>
                <c:formatCode>0.0%</c:formatCode>
                <c:ptCount val="3"/>
                <c:pt idx="0">
                  <c:v>0.4777777777777778</c:v>
                </c:pt>
                <c:pt idx="1">
                  <c:v>0.20162932790224034</c:v>
                </c:pt>
                <c:pt idx="2">
                  <c:v>0.10869565217391304</c:v>
                </c:pt>
              </c:numCache>
            </c:numRef>
          </c:val>
          <c:extLst>
            <c:ext xmlns:c16="http://schemas.microsoft.com/office/drawing/2014/chart" uri="{C3380CC4-5D6E-409C-BE32-E72D297353CC}">
              <c16:uniqueId val="{00000006-97BB-4A0A-AAF5-F97B8FC353F5}"/>
            </c:ext>
          </c:extLst>
        </c:ser>
        <c:dLbls>
          <c:showLegendKey val="0"/>
          <c:showVal val="0"/>
          <c:showCatName val="0"/>
          <c:showSerName val="0"/>
          <c:showPercent val="0"/>
          <c:showBubbleSize val="0"/>
        </c:dLbls>
        <c:gapWidth val="60"/>
        <c:axId val="67037267"/>
        <c:axId val="90259874"/>
      </c:barChart>
      <c:catAx>
        <c:axId val="670372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259874"/>
        <c:crosses val="autoZero"/>
        <c:auto val="1"/>
        <c:lblAlgn val="ctr"/>
        <c:lblOffset val="100"/>
        <c:noMultiLvlLbl val="0"/>
      </c:catAx>
      <c:valAx>
        <c:axId val="90259874"/>
        <c:scaling>
          <c:orientation val="minMax"/>
          <c:max val="0.6"/>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03726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100" b="1" strike="noStrike" spc="-1">
                <a:solidFill>
                  <a:srgbClr val="1F3A5F"/>
                </a:solidFill>
                <a:latin typeface="Arial"/>
              </a:defRPr>
            </a:pPr>
            <a:r>
              <a:rPr lang="en-IN" sz="1100" b="1" strike="noStrike" spc="-1">
                <a:solidFill>
                  <a:srgbClr val="1F3A5F"/>
                </a:solidFill>
                <a:latin typeface="Arial"/>
              </a:rPr>
              <a:t>Almost half of new customers leave in the first 6 months</a:t>
            </a:r>
          </a:p>
        </c:rich>
      </c:tx>
      <c:overlay val="0"/>
      <c:spPr>
        <a:noFill/>
        <a:ln w="0">
          <a:noFill/>
        </a:ln>
      </c:spPr>
    </c:title>
    <c:autoTitleDeleted val="0"/>
    <c:plotArea>
      <c:layout/>
      <c:barChart>
        <c:barDir val="col"/>
        <c:grouping val="clustered"/>
        <c:varyColors val="0"/>
        <c:ser>
          <c:idx val="0"/>
          <c:order val="0"/>
          <c:spPr>
            <a:solidFill>
              <a:srgbClr val="A6A6A6"/>
            </a:solidFill>
            <a:ln w="0">
              <a:noFill/>
            </a:ln>
          </c:spPr>
          <c:invertIfNegative val="0"/>
          <c:dPt>
            <c:idx val="0"/>
            <c:invertIfNegative val="0"/>
            <c:bubble3D val="0"/>
            <c:spPr>
              <a:solidFill>
                <a:srgbClr val="C0392B"/>
              </a:solidFill>
              <a:ln w="0">
                <a:noFill/>
              </a:ln>
            </c:spPr>
            <c:extLst>
              <c:ext xmlns:c16="http://schemas.microsoft.com/office/drawing/2014/chart" uri="{C3380CC4-5D6E-409C-BE32-E72D297353CC}">
                <c16:uniqueId val="{00000001-641B-4EAC-BBC4-0AF6D8C7A6BD}"/>
              </c:ext>
            </c:extLst>
          </c:dPt>
          <c:dPt>
            <c:idx val="1"/>
            <c:invertIfNegative val="0"/>
            <c:bubble3D val="0"/>
            <c:spPr>
              <a:solidFill>
                <a:srgbClr val="2E75B6"/>
              </a:solidFill>
              <a:ln w="0">
                <a:noFill/>
              </a:ln>
            </c:spPr>
            <c:extLst>
              <c:ext xmlns:c16="http://schemas.microsoft.com/office/drawing/2014/chart" uri="{C3380CC4-5D6E-409C-BE32-E72D297353CC}">
                <c16:uniqueId val="{00000003-641B-4EAC-BBC4-0AF6D8C7A6BD}"/>
              </c:ext>
            </c:extLst>
          </c:dPt>
          <c:dPt>
            <c:idx val="2"/>
            <c:invertIfNegative val="0"/>
            <c:bubble3D val="0"/>
            <c:spPr>
              <a:solidFill>
                <a:srgbClr val="2E75B6"/>
              </a:solidFill>
              <a:ln w="0">
                <a:noFill/>
              </a:ln>
            </c:spPr>
            <c:extLst>
              <c:ext xmlns:c16="http://schemas.microsoft.com/office/drawing/2014/chart" uri="{C3380CC4-5D6E-409C-BE32-E72D297353CC}">
                <c16:uniqueId val="{00000005-641B-4EAC-BBC4-0AF6D8C7A6BD}"/>
              </c:ext>
            </c:extLst>
          </c:dPt>
          <c:dPt>
            <c:idx val="3"/>
            <c:invertIfNegative val="0"/>
            <c:bubble3D val="0"/>
            <c:spPr>
              <a:solidFill>
                <a:srgbClr val="2E75B6"/>
              </a:solidFill>
              <a:ln w="0">
                <a:noFill/>
              </a:ln>
            </c:spPr>
            <c:extLst>
              <c:ext xmlns:c16="http://schemas.microsoft.com/office/drawing/2014/chart" uri="{C3380CC4-5D6E-409C-BE32-E72D297353CC}">
                <c16:uniqueId val="{00000007-641B-4EAC-BBC4-0AF6D8C7A6BD}"/>
              </c:ext>
            </c:extLst>
          </c:dPt>
          <c:dPt>
            <c:idx val="4"/>
            <c:invertIfNegative val="0"/>
            <c:bubble3D val="0"/>
            <c:spPr>
              <a:solidFill>
                <a:srgbClr val="2E75B6"/>
              </a:solidFill>
              <a:ln w="0">
                <a:noFill/>
              </a:ln>
            </c:spPr>
            <c:extLst>
              <c:ext xmlns:c16="http://schemas.microsoft.com/office/drawing/2014/chart" uri="{C3380CC4-5D6E-409C-BE32-E72D297353CC}">
                <c16:uniqueId val="{00000009-641B-4EAC-BBC4-0AF6D8C7A6BD}"/>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641B-4EAC-BBC4-0AF6D8C7A6BD}"/>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641B-4EAC-BBC4-0AF6D8C7A6BD}"/>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641B-4EAC-BBC4-0AF6D8C7A6BD}"/>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641B-4EAC-BBC4-0AF6D8C7A6BD}"/>
                </c:ext>
              </c:extLst>
            </c:dLbl>
            <c:dLbl>
              <c:idx val="4"/>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641B-4EAC-BBC4-0AF6D8C7A6BD}"/>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[1]Calc!$A$41:$A$45</c:f>
              <c:strCache>
                <c:ptCount val="5"/>
                <c:pt idx="0">
                  <c:v>0-6 mo</c:v>
                </c:pt>
                <c:pt idx="1">
                  <c:v>7-12 mo</c:v>
                </c:pt>
                <c:pt idx="2">
                  <c:v>13-24 mo</c:v>
                </c:pt>
                <c:pt idx="3">
                  <c:v>25-48 mo</c:v>
                </c:pt>
                <c:pt idx="4">
                  <c:v>49+ mo</c:v>
                </c:pt>
              </c:strCache>
            </c:strRef>
          </c:cat>
          <c:val>
            <c:numRef>
              <c:f>[1]Calc!$D$41:$D$45</c:f>
              <c:numCache>
                <c:formatCode>0.0%</c:formatCode>
                <c:ptCount val="5"/>
                <c:pt idx="0">
                  <c:v>0.49729729729729732</c:v>
                </c:pt>
                <c:pt idx="1">
                  <c:v>0.38154613466334164</c:v>
                </c:pt>
                <c:pt idx="2">
                  <c:v>0.34986595174262736</c:v>
                </c:pt>
                <c:pt idx="3">
                  <c:v>0.16551724137931034</c:v>
                </c:pt>
                <c:pt idx="4">
                  <c:v>8.5714285714285715E-2</c:v>
                </c:pt>
              </c:numCache>
            </c:numRef>
          </c:val>
          <c:extLst>
            <c:ext xmlns:c16="http://schemas.microsoft.com/office/drawing/2014/chart" uri="{C3380CC4-5D6E-409C-BE32-E72D297353CC}">
              <c16:uniqueId val="{0000000A-641B-4EAC-BBC4-0AF6D8C7A6BD}"/>
            </c:ext>
          </c:extLst>
        </c:ser>
        <c:dLbls>
          <c:showLegendKey val="0"/>
          <c:showVal val="0"/>
          <c:showCatName val="0"/>
          <c:showSerName val="0"/>
          <c:showPercent val="0"/>
          <c:showBubbleSize val="0"/>
        </c:dLbls>
        <c:gapWidth val="60"/>
        <c:axId val="92253975"/>
        <c:axId val="76278176"/>
      </c:barChart>
      <c:catAx>
        <c:axId val="922539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278176"/>
        <c:crosses val="autoZero"/>
        <c:auto val="1"/>
        <c:lblAlgn val="ctr"/>
        <c:lblOffset val="100"/>
        <c:noMultiLvlLbl val="0"/>
      </c:catAx>
      <c:valAx>
        <c:axId val="76278176"/>
        <c:scaling>
          <c:orientation val="minMax"/>
          <c:max val="0.6"/>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225397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100" b="1" strike="noStrike" spc="-1">
                <a:solidFill>
                  <a:srgbClr val="1F3A5F"/>
                </a:solidFill>
                <a:latin typeface="Arial"/>
              </a:defRPr>
            </a:pPr>
            <a:r>
              <a:rPr lang="en-IN" sz="1100" b="1" strike="noStrike" spc="-1">
                <a:solidFill>
                  <a:srgbClr val="1F3A5F"/>
                </a:solidFill>
                <a:latin typeface="Arial"/>
              </a:rPr>
              <a:t>Fiber has the highest churn among services</a:t>
            </a:r>
          </a:p>
        </c:rich>
      </c:tx>
      <c:overlay val="0"/>
      <c:spPr>
        <a:noFill/>
        <a:ln w="0">
          <a:noFill/>
        </a:ln>
      </c:spPr>
    </c:title>
    <c:autoTitleDeleted val="0"/>
    <c:plotArea>
      <c:layout>
        <c:manualLayout>
          <c:layoutTarget val="inner"/>
          <c:xMode val="edge"/>
          <c:yMode val="edge"/>
          <c:x val="9.2680419079846421E-2"/>
          <c:y val="0.17326016980276093"/>
          <c:w val="0.90446846163569716"/>
          <c:h val="0.71558685082230788"/>
        </c:manualLayout>
      </c:layout>
      <c:barChart>
        <c:barDir val="col"/>
        <c:grouping val="clustered"/>
        <c:varyColors val="0"/>
        <c:ser>
          <c:idx val="0"/>
          <c:order val="0"/>
          <c:spPr>
            <a:solidFill>
              <a:srgbClr val="A6A6A6"/>
            </a:solidFill>
            <a:ln w="0">
              <a:noFill/>
            </a:ln>
          </c:spPr>
          <c:invertIfNegative val="0"/>
          <c:dPt>
            <c:idx val="0"/>
            <c:invertIfNegative val="0"/>
            <c:bubble3D val="0"/>
            <c:spPr>
              <a:solidFill>
                <a:srgbClr val="2E75B6"/>
              </a:solidFill>
              <a:ln w="0">
                <a:noFill/>
              </a:ln>
            </c:spPr>
            <c:extLst>
              <c:ext xmlns:c16="http://schemas.microsoft.com/office/drawing/2014/chart" uri="{C3380CC4-5D6E-409C-BE32-E72D297353CC}">
                <c16:uniqueId val="{00000001-F057-431F-AD11-622FE740FFD2}"/>
              </c:ext>
            </c:extLst>
          </c:dPt>
          <c:dPt>
            <c:idx val="1"/>
            <c:invertIfNegative val="0"/>
            <c:bubble3D val="0"/>
            <c:spPr>
              <a:solidFill>
                <a:srgbClr val="C0392B"/>
              </a:solidFill>
              <a:ln w="0">
                <a:noFill/>
              </a:ln>
            </c:spPr>
            <c:extLst>
              <c:ext xmlns:c16="http://schemas.microsoft.com/office/drawing/2014/chart" uri="{C3380CC4-5D6E-409C-BE32-E72D297353CC}">
                <c16:uniqueId val="{00000003-F057-431F-AD11-622FE740FFD2}"/>
              </c:ext>
            </c:extLst>
          </c:dPt>
          <c:dPt>
            <c:idx val="2"/>
            <c:invertIfNegative val="0"/>
            <c:bubble3D val="0"/>
            <c:spPr>
              <a:solidFill>
                <a:srgbClr val="2E75B6"/>
              </a:solidFill>
              <a:ln w="0">
                <a:noFill/>
              </a:ln>
            </c:spPr>
            <c:extLst>
              <c:ext xmlns:c16="http://schemas.microsoft.com/office/drawing/2014/chart" uri="{C3380CC4-5D6E-409C-BE32-E72D297353CC}">
                <c16:uniqueId val="{00000005-F057-431F-AD11-622FE740FFD2}"/>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057-431F-AD11-622FE740FFD2}"/>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057-431F-AD11-622FE740FFD2}"/>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057-431F-AD11-622FE740FFD2}"/>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[1]Calc!$A$16:$A$18</c:f>
              <c:strCache>
                <c:ptCount val="3"/>
                <c:pt idx="0">
                  <c:v>DSL</c:v>
                </c:pt>
                <c:pt idx="1">
                  <c:v>Fiber</c:v>
                </c:pt>
                <c:pt idx="2">
                  <c:v>No Internet</c:v>
                </c:pt>
              </c:strCache>
            </c:strRef>
          </c:cat>
          <c:val>
            <c:numRef>
              <c:f>[1]Calc!$D$16:$D$18</c:f>
              <c:numCache>
                <c:formatCode>0.0%</c:formatCode>
                <c:ptCount val="3"/>
                <c:pt idx="0">
                  <c:v>0.28654970760233917</c:v>
                </c:pt>
                <c:pt idx="1">
                  <c:v>0.37744533947065595</c:v>
                </c:pt>
                <c:pt idx="2">
                  <c:v>0.35135135135135137</c:v>
                </c:pt>
              </c:numCache>
            </c:numRef>
          </c:val>
          <c:extLst>
            <c:ext xmlns:c16="http://schemas.microsoft.com/office/drawing/2014/chart" uri="{C3380CC4-5D6E-409C-BE32-E72D297353CC}">
              <c16:uniqueId val="{00000006-F057-431F-AD11-622FE740FFD2}"/>
            </c:ext>
          </c:extLst>
        </c:ser>
        <c:dLbls>
          <c:showLegendKey val="0"/>
          <c:showVal val="0"/>
          <c:showCatName val="0"/>
          <c:showSerName val="0"/>
          <c:showPercent val="0"/>
          <c:showBubbleSize val="0"/>
        </c:dLbls>
        <c:gapWidth val="60"/>
        <c:axId val="10840533"/>
        <c:axId val="433721"/>
      </c:barChart>
      <c:catAx>
        <c:axId val="108405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3721"/>
        <c:crosses val="autoZero"/>
        <c:auto val="1"/>
        <c:lblAlgn val="ctr"/>
        <c:lblOffset val="100"/>
        <c:noMultiLvlLbl val="0"/>
      </c:catAx>
      <c:valAx>
        <c:axId val="433721"/>
        <c:scaling>
          <c:orientation val="minMax"/>
          <c:max val="0.6"/>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8405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100" b="1" strike="noStrike" spc="-1">
                <a:solidFill>
                  <a:srgbClr val="1F3A5F"/>
                </a:solidFill>
                <a:latin typeface="Arial"/>
              </a:defRPr>
            </a:pPr>
            <a:r>
              <a:rPr lang="en-IN" sz="1100" b="1" strike="noStrike" spc="-1">
                <a:solidFill>
                  <a:srgbClr val="1F3A5F"/>
                </a:solidFill>
                <a:latin typeface="Arial"/>
              </a:rPr>
              <a:t>Age has a weak link to churn (dashed line = overall average)</a:t>
            </a:r>
          </a:p>
        </c:rich>
      </c:tx>
      <c:overlay val="0"/>
      <c:spPr>
        <a:noFill/>
        <a:ln w="0">
          <a:noFill/>
        </a:ln>
      </c:spPr>
    </c:title>
    <c:autoTitleDeleted val="0"/>
    <c:plotArea>
      <c:layout>
        <c:manualLayout>
          <c:layoutTarget val="inner"/>
          <c:xMode val="edge"/>
          <c:yMode val="edge"/>
          <c:x val="9.0438150876301748E-2"/>
          <c:y val="0.21847316118784263"/>
          <c:w val="0.85794894589789183"/>
          <c:h val="0.6533452143424443"/>
        </c:manualLayout>
      </c:layout>
      <c:barChart>
        <c:barDir val="col"/>
        <c:grouping val="clustered"/>
        <c:varyColors val="0"/>
        <c:ser>
          <c:idx val="0"/>
          <c:order val="0"/>
          <c:spPr>
            <a:solidFill>
              <a:srgbClr val="A6A6A6"/>
            </a:solidFill>
            <a:ln w="0">
              <a:noFill/>
            </a:ln>
          </c:spPr>
          <c:invertIfNegative val="0"/>
          <c:dPt>
            <c:idx val="0"/>
            <c:invertIfNegative val="0"/>
            <c:bubble3D val="0"/>
            <c:spPr>
              <a:solidFill>
                <a:srgbClr val="2E75B6"/>
              </a:solidFill>
              <a:ln w="0">
                <a:noFill/>
              </a:ln>
            </c:spPr>
            <c:extLst>
              <c:ext xmlns:c16="http://schemas.microsoft.com/office/drawing/2014/chart" uri="{C3380CC4-5D6E-409C-BE32-E72D297353CC}">
                <c16:uniqueId val="{00000001-FD84-4989-BA87-AF67B7A2D7AE}"/>
              </c:ext>
            </c:extLst>
          </c:dPt>
          <c:dPt>
            <c:idx val="1"/>
            <c:invertIfNegative val="0"/>
            <c:bubble3D val="0"/>
            <c:spPr>
              <a:solidFill>
                <a:srgbClr val="2E75B6"/>
              </a:solidFill>
              <a:ln w="0">
                <a:noFill/>
              </a:ln>
            </c:spPr>
            <c:extLst>
              <c:ext xmlns:c16="http://schemas.microsoft.com/office/drawing/2014/chart" uri="{C3380CC4-5D6E-409C-BE32-E72D297353CC}">
                <c16:uniqueId val="{00000003-FD84-4989-BA87-AF67B7A2D7AE}"/>
              </c:ext>
            </c:extLst>
          </c:dPt>
          <c:dPt>
            <c:idx val="2"/>
            <c:invertIfNegative val="0"/>
            <c:bubble3D val="0"/>
            <c:spPr>
              <a:solidFill>
                <a:srgbClr val="C0392B"/>
              </a:solidFill>
              <a:ln w="0">
                <a:noFill/>
              </a:ln>
            </c:spPr>
            <c:extLst>
              <c:ext xmlns:c16="http://schemas.microsoft.com/office/drawing/2014/chart" uri="{C3380CC4-5D6E-409C-BE32-E72D297353CC}">
                <c16:uniqueId val="{00000005-FD84-4989-BA87-AF67B7A2D7AE}"/>
              </c:ext>
            </c:extLst>
          </c:dPt>
          <c:dPt>
            <c:idx val="3"/>
            <c:invertIfNegative val="0"/>
            <c:bubble3D val="0"/>
            <c:spPr>
              <a:solidFill>
                <a:srgbClr val="2E75B6"/>
              </a:solidFill>
              <a:ln w="0">
                <a:noFill/>
              </a:ln>
            </c:spPr>
            <c:extLst>
              <c:ext xmlns:c16="http://schemas.microsoft.com/office/drawing/2014/chart" uri="{C3380CC4-5D6E-409C-BE32-E72D297353CC}">
                <c16:uniqueId val="{00000007-FD84-4989-BA87-AF67B7A2D7AE}"/>
              </c:ext>
            </c:extLst>
          </c:dPt>
          <c:dPt>
            <c:idx val="4"/>
            <c:invertIfNegative val="0"/>
            <c:bubble3D val="0"/>
            <c:spPr>
              <a:solidFill>
                <a:srgbClr val="2E75B6"/>
              </a:solidFill>
              <a:ln w="0">
                <a:noFill/>
              </a:ln>
            </c:spPr>
            <c:extLst>
              <c:ext xmlns:c16="http://schemas.microsoft.com/office/drawing/2014/chart" uri="{C3380CC4-5D6E-409C-BE32-E72D297353CC}">
                <c16:uniqueId val="{00000009-FD84-4989-BA87-AF67B7A2D7AE}"/>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D84-4989-BA87-AF67B7A2D7AE}"/>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D84-4989-BA87-AF67B7A2D7AE}"/>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D84-4989-BA87-AF67B7A2D7AE}"/>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D84-4989-BA87-AF67B7A2D7AE}"/>
                </c:ext>
              </c:extLst>
            </c:dLbl>
            <c:dLbl>
              <c:idx val="4"/>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D84-4989-BA87-AF67B7A2D7AE}"/>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[1]Calc!$A$50:$A$54</c:f>
              <c:strCache>
                <c:ptCount val="5"/>
                <c:pt idx="0">
                  <c:v>18-25 yrs</c:v>
                </c:pt>
                <c:pt idx="1">
                  <c:v>26-35 yrs</c:v>
                </c:pt>
                <c:pt idx="2">
                  <c:v>36-45 yrs</c:v>
                </c:pt>
                <c:pt idx="3">
                  <c:v>46-60 yrs</c:v>
                </c:pt>
                <c:pt idx="4">
                  <c:v>60+ yrs</c:v>
                </c:pt>
              </c:strCache>
            </c:strRef>
          </c:cat>
          <c:val>
            <c:numRef>
              <c:f>[1]Calc!$D$50:$D$54</c:f>
              <c:numCache>
                <c:formatCode>0.0%</c:formatCode>
                <c:ptCount val="5"/>
                <c:pt idx="0">
                  <c:v>0.33073929961089493</c:v>
                </c:pt>
                <c:pt idx="1">
                  <c:v>0.30303030303030304</c:v>
                </c:pt>
                <c:pt idx="2">
                  <c:v>0.37230769230769228</c:v>
                </c:pt>
                <c:pt idx="3">
                  <c:v>0.33156966490299822</c:v>
                </c:pt>
                <c:pt idx="4">
                  <c:v>0.35185185185185186</c:v>
                </c:pt>
              </c:numCache>
            </c:numRef>
          </c:val>
          <c:extLst>
            <c:ext xmlns:c16="http://schemas.microsoft.com/office/drawing/2014/chart" uri="{C3380CC4-5D6E-409C-BE32-E72D297353CC}">
              <c16:uniqueId val="{0000000A-FD84-4989-BA87-AF67B7A2D7AE}"/>
            </c:ext>
          </c:extLst>
        </c:ser>
        <c:dLbls>
          <c:showLegendKey val="0"/>
          <c:showVal val="0"/>
          <c:showCatName val="0"/>
          <c:showSerName val="0"/>
          <c:showPercent val="0"/>
          <c:showBubbleSize val="0"/>
        </c:dLbls>
        <c:gapWidth val="60"/>
        <c:axId val="26366811"/>
        <c:axId val="65637706"/>
      </c:barChart>
      <c:lineChart>
        <c:grouping val="standard"/>
        <c:varyColors val="0"/>
        <c:ser>
          <c:idx val="1"/>
          <c:order val="1"/>
          <c:spPr>
            <a:ln w="19080">
              <a:solidFill>
                <a:srgbClr val="1F3A5F"/>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[1]Calc!$A$50:$A$54</c:f>
              <c:strCache>
                <c:ptCount val="5"/>
                <c:pt idx="0">
                  <c:v>18-25 yrs</c:v>
                </c:pt>
                <c:pt idx="1">
                  <c:v>26-35 yrs</c:v>
                </c:pt>
                <c:pt idx="2">
                  <c:v>36-45 yrs</c:v>
                </c:pt>
                <c:pt idx="3">
                  <c:v>46-60 yrs</c:v>
                </c:pt>
                <c:pt idx="4">
                  <c:v>60+ yrs</c:v>
                </c:pt>
              </c:strCache>
            </c:strRef>
          </c:cat>
          <c:val>
            <c:numRef>
              <c:f>[1]Calc!$E$50:$E$54</c:f>
              <c:numCache>
                <c:formatCode>0.0%</c:formatCode>
                <c:ptCount val="5"/>
                <c:pt idx="0">
                  <c:v>0.33842239185750639</c:v>
                </c:pt>
                <c:pt idx="1">
                  <c:v>0.33842239185750639</c:v>
                </c:pt>
                <c:pt idx="2">
                  <c:v>0.33842239185750639</c:v>
                </c:pt>
                <c:pt idx="3">
                  <c:v>0.33842239185750639</c:v>
                </c:pt>
                <c:pt idx="4">
                  <c:v>0.33842239185750639</c:v>
                </c:pt>
              </c:numCache>
            </c:numRef>
          </c:val>
          <c:smooth val="0"/>
          <c:extLst>
            <c:ext xmlns:c16="http://schemas.microsoft.com/office/drawing/2014/chart" uri="{C3380CC4-5D6E-409C-BE32-E72D297353CC}">
              <c16:uniqueId val="{0000000B-FD84-4989-BA87-AF67B7A2D7AE}"/>
            </c:ext>
          </c:extLst>
        </c:ser>
        <c:dLbls>
          <c:showLegendKey val="0"/>
          <c:showVal val="0"/>
          <c:showCatName val="0"/>
          <c:showSerName val="0"/>
          <c:showPercent val="0"/>
          <c:showBubbleSize val="0"/>
        </c:dLbls>
        <c:hiLowLines>
          <c:spPr>
            <a:ln w="0">
              <a:noFill/>
            </a:ln>
          </c:spPr>
        </c:hiLowLines>
        <c:marker val="1"/>
        <c:smooth val="0"/>
        <c:axId val="26366811"/>
        <c:axId val="65637706"/>
      </c:lineChart>
      <c:catAx>
        <c:axId val="263668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637706"/>
        <c:crosses val="autoZero"/>
        <c:auto val="1"/>
        <c:lblAlgn val="ctr"/>
        <c:lblOffset val="100"/>
        <c:noMultiLvlLbl val="0"/>
      </c:catAx>
      <c:valAx>
        <c:axId val="65637706"/>
        <c:scaling>
          <c:orientation val="minMax"/>
          <c:max val="0.6"/>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36681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100" b="1" strike="noStrike" spc="-1">
                <a:solidFill>
                  <a:srgbClr val="1F3A5F"/>
                </a:solidFill>
                <a:latin typeface="Arial"/>
              </a:defRPr>
            </a:pPr>
            <a:r>
              <a:rPr lang="en-IN" sz="1100" b="1" strike="noStrike" spc="-1">
                <a:solidFill>
                  <a:srgbClr val="1F3A5F"/>
                </a:solidFill>
                <a:latin typeface="Arial"/>
              </a:rPr>
              <a:t>Chennai, Indore and Chandigarh lose the most customers; gap between cities is small</a:t>
            </a:r>
          </a:p>
        </c:rich>
      </c:tx>
      <c:overlay val="0"/>
      <c:spPr>
        <a:noFill/>
        <a:ln w="0">
          <a:noFill/>
        </a:ln>
      </c:spPr>
    </c:title>
    <c:autoTitleDeleted val="0"/>
    <c:plotArea>
      <c:layout>
        <c:manualLayout>
          <c:layoutTarget val="inner"/>
          <c:xMode val="edge"/>
          <c:yMode val="edge"/>
          <c:x val="0.11107578652041818"/>
          <c:y val="0.22082945150497754"/>
          <c:w val="0.84837817833200568"/>
          <c:h val="0.73824289405684751"/>
        </c:manualLayout>
      </c:layout>
      <c:barChart>
        <c:barDir val="bar"/>
        <c:grouping val="clustered"/>
        <c:varyColors val="0"/>
        <c:ser>
          <c:idx val="0"/>
          <c:order val="0"/>
          <c:spPr>
            <a:solidFill>
              <a:srgbClr val="A6A6A6"/>
            </a:solidFill>
            <a:ln w="0">
              <a:noFill/>
            </a:ln>
          </c:spPr>
          <c:invertIfNegative val="0"/>
          <c:dPt>
            <c:idx val="0"/>
            <c:invertIfNegative val="0"/>
            <c:bubble3D val="0"/>
            <c:spPr>
              <a:solidFill>
                <a:srgbClr val="C0392B"/>
              </a:solidFill>
              <a:ln w="0">
                <a:noFill/>
              </a:ln>
            </c:spPr>
            <c:extLst>
              <c:ext xmlns:c16="http://schemas.microsoft.com/office/drawing/2014/chart" uri="{C3380CC4-5D6E-409C-BE32-E72D297353CC}">
                <c16:uniqueId val="{00000001-FD95-443A-8630-C74EFFA5C713}"/>
              </c:ext>
            </c:extLst>
          </c:dPt>
          <c:dPt>
            <c:idx val="1"/>
            <c:invertIfNegative val="0"/>
            <c:bubble3D val="0"/>
            <c:spPr>
              <a:solidFill>
                <a:srgbClr val="C0392B"/>
              </a:solidFill>
              <a:ln w="0">
                <a:noFill/>
              </a:ln>
            </c:spPr>
            <c:extLst>
              <c:ext xmlns:c16="http://schemas.microsoft.com/office/drawing/2014/chart" uri="{C3380CC4-5D6E-409C-BE32-E72D297353CC}">
                <c16:uniqueId val="{00000003-FD95-443A-8630-C74EFFA5C713}"/>
              </c:ext>
            </c:extLst>
          </c:dPt>
          <c:dPt>
            <c:idx val="2"/>
            <c:invertIfNegative val="0"/>
            <c:bubble3D val="0"/>
            <c:spPr>
              <a:solidFill>
                <a:srgbClr val="C0392B"/>
              </a:solidFill>
              <a:ln w="0">
                <a:noFill/>
              </a:ln>
            </c:spPr>
            <c:extLst>
              <c:ext xmlns:c16="http://schemas.microsoft.com/office/drawing/2014/chart" uri="{C3380CC4-5D6E-409C-BE32-E72D297353CC}">
                <c16:uniqueId val="{00000005-FD95-443A-8630-C74EFFA5C713}"/>
              </c:ext>
            </c:extLst>
          </c:dPt>
          <c:dPt>
            <c:idx val="11"/>
            <c:invertIfNegative val="0"/>
            <c:bubble3D val="0"/>
            <c:spPr>
              <a:solidFill>
                <a:srgbClr val="2E8B57"/>
              </a:solidFill>
              <a:ln w="0">
                <a:noFill/>
              </a:ln>
            </c:spPr>
            <c:extLst>
              <c:ext xmlns:c16="http://schemas.microsoft.com/office/drawing/2014/chart" uri="{C3380CC4-5D6E-409C-BE32-E72D297353CC}">
                <c16:uniqueId val="{00000007-FD95-443A-8630-C74EFFA5C713}"/>
              </c:ext>
            </c:extLst>
          </c:dPt>
          <c:dPt>
            <c:idx val="12"/>
            <c:invertIfNegative val="0"/>
            <c:bubble3D val="0"/>
            <c:spPr>
              <a:solidFill>
                <a:srgbClr val="2E8B57"/>
              </a:solidFill>
              <a:ln w="0">
                <a:noFill/>
              </a:ln>
            </c:spPr>
            <c:extLst>
              <c:ext xmlns:c16="http://schemas.microsoft.com/office/drawing/2014/chart" uri="{C3380CC4-5D6E-409C-BE32-E72D297353CC}">
                <c16:uniqueId val="{00000009-FD95-443A-8630-C74EFFA5C713}"/>
              </c:ext>
            </c:extLst>
          </c:dPt>
          <c:dPt>
            <c:idx val="13"/>
            <c:invertIfNegative val="0"/>
            <c:bubble3D val="0"/>
            <c:spPr>
              <a:solidFill>
                <a:srgbClr val="2E8B57"/>
              </a:solidFill>
              <a:ln w="0">
                <a:noFill/>
              </a:ln>
            </c:spPr>
            <c:extLst>
              <c:ext xmlns:c16="http://schemas.microsoft.com/office/drawing/2014/chart" uri="{C3380CC4-5D6E-409C-BE32-E72D297353CC}">
                <c16:uniqueId val="{0000000B-FD95-443A-8630-C74EFFA5C713}"/>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D95-443A-8630-C74EFFA5C713}"/>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D95-443A-8630-C74EFFA5C713}"/>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D95-443A-8630-C74EFFA5C713}"/>
                </c:ext>
              </c:extLst>
            </c:dLbl>
            <c:dLbl>
              <c:idx val="1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D95-443A-8630-C74EFFA5C713}"/>
                </c:ext>
              </c:extLst>
            </c:dLbl>
            <c:dLbl>
              <c:idx val="1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D95-443A-8630-C74EFFA5C713}"/>
                </c:ext>
              </c:extLst>
            </c:dLbl>
            <c:dLbl>
              <c:idx val="1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D95-443A-8630-C74EFFA5C713}"/>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[1]Calc!$A$23:$A$36</c:f>
              <c:strCache>
                <c:ptCount val="14"/>
                <c:pt idx="0">
                  <c:v>Chennai</c:v>
                </c:pt>
                <c:pt idx="1">
                  <c:v>Indore</c:v>
                </c:pt>
                <c:pt idx="2">
                  <c:v>Chandigarh</c:v>
                </c:pt>
                <c:pt idx="3">
                  <c:v>Mumbai</c:v>
                </c:pt>
                <c:pt idx="4">
                  <c:v>Lucknow</c:v>
                </c:pt>
                <c:pt idx="5">
                  <c:v>Delhi</c:v>
                </c:pt>
                <c:pt idx="6">
                  <c:v>Jaipur</c:v>
                </c:pt>
                <c:pt idx="7">
                  <c:v>Hyderabad</c:v>
                </c:pt>
                <c:pt idx="8">
                  <c:v>Kochi</c:v>
                </c:pt>
                <c:pt idx="9">
                  <c:v>Bhopal</c:v>
                </c:pt>
                <c:pt idx="10">
                  <c:v>Pune</c:v>
                </c:pt>
                <c:pt idx="11">
                  <c:v>Ahmedabad</c:v>
                </c:pt>
                <c:pt idx="12">
                  <c:v>Bangalore</c:v>
                </c:pt>
                <c:pt idx="13">
                  <c:v>Kolkata</c:v>
                </c:pt>
              </c:strCache>
            </c:strRef>
          </c:cat>
          <c:val>
            <c:numRef>
              <c:f>[1]Calc!$D$23:$D$36</c:f>
              <c:numCache>
                <c:formatCode>0.0%</c:formatCode>
                <c:ptCount val="14"/>
                <c:pt idx="0">
                  <c:v>0.38095238095238093</c:v>
                </c:pt>
                <c:pt idx="1">
                  <c:v>0.37226277372262773</c:v>
                </c:pt>
                <c:pt idx="2">
                  <c:v>0.36496350364963503</c:v>
                </c:pt>
                <c:pt idx="3">
                  <c:v>0.36434108527131781</c:v>
                </c:pt>
                <c:pt idx="4">
                  <c:v>0.3546099290780142</c:v>
                </c:pt>
                <c:pt idx="5">
                  <c:v>0.35416666666666669</c:v>
                </c:pt>
                <c:pt idx="6">
                  <c:v>0.34782608695652173</c:v>
                </c:pt>
                <c:pt idx="7">
                  <c:v>0.34328358208955223</c:v>
                </c:pt>
                <c:pt idx="8">
                  <c:v>0.34228187919463088</c:v>
                </c:pt>
                <c:pt idx="9">
                  <c:v>0.34146341463414637</c:v>
                </c:pt>
                <c:pt idx="10">
                  <c:v>0.31428571428571428</c:v>
                </c:pt>
                <c:pt idx="11">
                  <c:v>0.29452054794520549</c:v>
                </c:pt>
                <c:pt idx="12">
                  <c:v>0.29285714285714287</c:v>
                </c:pt>
                <c:pt idx="13">
                  <c:v>0.28776978417266186</c:v>
                </c:pt>
              </c:numCache>
            </c:numRef>
          </c:val>
          <c:extLst>
            <c:ext xmlns:c16="http://schemas.microsoft.com/office/drawing/2014/chart" uri="{C3380CC4-5D6E-409C-BE32-E72D297353CC}">
              <c16:uniqueId val="{0000000C-FD95-443A-8630-C74EFFA5C713}"/>
            </c:ext>
          </c:extLst>
        </c:ser>
        <c:dLbls>
          <c:showLegendKey val="0"/>
          <c:showVal val="0"/>
          <c:showCatName val="0"/>
          <c:showSerName val="0"/>
          <c:showPercent val="0"/>
          <c:showBubbleSize val="0"/>
        </c:dLbls>
        <c:gapWidth val="60"/>
        <c:axId val="21831328"/>
        <c:axId val="3763917"/>
      </c:barChart>
      <c:catAx>
        <c:axId val="21831328"/>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63917"/>
        <c:crosses val="autoZero"/>
        <c:auto val="1"/>
        <c:lblAlgn val="ctr"/>
        <c:lblOffset val="100"/>
        <c:noMultiLvlLbl val="0"/>
      </c:catAx>
      <c:valAx>
        <c:axId val="3763917"/>
        <c:scaling>
          <c:orientation val="minMax"/>
          <c:max val="0.5"/>
          <c:min val="0"/>
        </c:scaling>
        <c:delete val="0"/>
        <c:axPos val="t"/>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83132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679449</xdr:colOff>
      <xdr:row>32</xdr:row>
      <xdr:rowOff>88899</xdr:rowOff>
    </xdr:from>
    <xdr:to>
      <xdr:col>6</xdr:col>
      <xdr:colOff>88900</xdr:colOff>
      <xdr:row>46</xdr:row>
      <xdr:rowOff>15874</xdr:rowOff>
    </xdr:to>
    <xdr:graphicFrame macro="">
      <xdr:nvGraphicFramePr>
        <xdr:cNvPr id="4" name="Chart 3">
          <a:extLst>
            <a:ext uri="{FF2B5EF4-FFF2-40B4-BE49-F238E27FC236}">
              <a16:creationId xmlns:a16="http://schemas.microsoft.com/office/drawing/2014/main" id="{1E9416D8-1F43-3461-C197-2E188F270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523875</xdr:colOff>
      <xdr:row>49</xdr:row>
      <xdr:rowOff>19050</xdr:rowOff>
    </xdr:from>
    <xdr:to>
      <xdr:col>9</xdr:col>
      <xdr:colOff>184150</xdr:colOff>
      <xdr:row>58</xdr:row>
      <xdr:rowOff>6350</xdr:rowOff>
    </xdr:to>
    <xdr:graphicFrame macro="">
      <xdr:nvGraphicFramePr>
        <xdr:cNvPr id="5" name="Chart 4">
          <a:extLst>
            <a:ext uri="{FF2B5EF4-FFF2-40B4-BE49-F238E27FC236}">
              <a16:creationId xmlns:a16="http://schemas.microsoft.com/office/drawing/2014/main" id="{BA8026E5-B157-5143-4403-B1CF546CD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409575</xdr:colOff>
      <xdr:row>59</xdr:row>
      <xdr:rowOff>133350</xdr:rowOff>
    </xdr:from>
    <xdr:to>
      <xdr:col>6</xdr:col>
      <xdr:colOff>1104900</xdr:colOff>
      <xdr:row>68</xdr:row>
      <xdr:rowOff>171450</xdr:rowOff>
    </xdr:to>
    <xdr:graphicFrame macro="">
      <xdr:nvGraphicFramePr>
        <xdr:cNvPr id="6" name="Chart 5">
          <a:extLst>
            <a:ext uri="{FF2B5EF4-FFF2-40B4-BE49-F238E27FC236}">
              <a16:creationId xmlns:a16="http://schemas.microsoft.com/office/drawing/2014/main" id="{6C9C3A81-4B93-E775-D2F0-EE5D66261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676275</xdr:colOff>
      <xdr:row>79</xdr:row>
      <xdr:rowOff>117475</xdr:rowOff>
    </xdr:from>
    <xdr:to>
      <xdr:col>8</xdr:col>
      <xdr:colOff>660400</xdr:colOff>
      <xdr:row>94</xdr:row>
      <xdr:rowOff>98425</xdr:rowOff>
    </xdr:to>
    <xdr:graphicFrame macro="">
      <xdr:nvGraphicFramePr>
        <xdr:cNvPr id="8" name="Chart 7">
          <a:extLst>
            <a:ext uri="{FF2B5EF4-FFF2-40B4-BE49-F238E27FC236}">
              <a16:creationId xmlns:a16="http://schemas.microsoft.com/office/drawing/2014/main" id="{EBB99BA1-E2B9-01DA-512D-6520AEC5F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968375</xdr:colOff>
      <xdr:row>99</xdr:row>
      <xdr:rowOff>12699</xdr:rowOff>
    </xdr:from>
    <xdr:to>
      <xdr:col>7</xdr:col>
      <xdr:colOff>419100</xdr:colOff>
      <xdr:row>107</xdr:row>
      <xdr:rowOff>139700</xdr:rowOff>
    </xdr:to>
    <xdr:graphicFrame macro="">
      <xdr:nvGraphicFramePr>
        <xdr:cNvPr id="9" name="Chart 8">
          <a:extLst>
            <a:ext uri="{FF2B5EF4-FFF2-40B4-BE49-F238E27FC236}">
              <a16:creationId xmlns:a16="http://schemas.microsoft.com/office/drawing/2014/main" id="{B19E3221-50F6-DABF-CE5F-1B31C2A23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438150</xdr:colOff>
      <xdr:row>1</xdr:row>
      <xdr:rowOff>6350</xdr:rowOff>
    </xdr:from>
    <xdr:to>
      <xdr:col>5</xdr:col>
      <xdr:colOff>711200</xdr:colOff>
      <xdr:row>13</xdr:row>
      <xdr:rowOff>66550</xdr:rowOff>
    </xdr:to>
    <xdr:graphicFrame macro="">
      <xdr:nvGraphicFramePr>
        <xdr:cNvPr id="10" name="Chart 9">
          <a:extLst>
            <a:ext uri="{FF2B5EF4-FFF2-40B4-BE49-F238E27FC236}">
              <a16:creationId xmlns:a16="http://schemas.microsoft.com/office/drawing/2014/main" id="{F10A24E5-7F6C-493D-96D8-66F80DB66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1060450</xdr:colOff>
      <xdr:row>18</xdr:row>
      <xdr:rowOff>69850</xdr:rowOff>
    </xdr:from>
    <xdr:to>
      <xdr:col>8</xdr:col>
      <xdr:colOff>628650</xdr:colOff>
      <xdr:row>26</xdr:row>
      <xdr:rowOff>63500</xdr:rowOff>
    </xdr:to>
    <xdr:graphicFrame macro="">
      <xdr:nvGraphicFramePr>
        <xdr:cNvPr id="11" name="Chart 10">
          <a:extLst>
            <a:ext uri="{FF2B5EF4-FFF2-40B4-BE49-F238E27FC236}">
              <a16:creationId xmlns:a16="http://schemas.microsoft.com/office/drawing/2014/main" id="{609C4AE4-7B6A-462C-9B7B-315DCCFAF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xdr:colOff>
      <xdr:row>7</xdr:row>
      <xdr:rowOff>82550</xdr:rowOff>
    </xdr:from>
    <xdr:to>
      <xdr:col>7</xdr:col>
      <xdr:colOff>165100</xdr:colOff>
      <xdr:row>19</xdr:row>
      <xdr:rowOff>142750</xdr:rowOff>
    </xdr:to>
    <xdr:graphicFrame macro="">
      <xdr:nvGraphicFramePr>
        <xdr:cNvPr id="4" name="Chart 3">
          <a:extLst>
            <a:ext uri="{FF2B5EF4-FFF2-40B4-BE49-F238E27FC236}">
              <a16:creationId xmlns:a16="http://schemas.microsoft.com/office/drawing/2014/main" id="{73511358-D762-4A2E-A9BE-B7DFE301F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349250</xdr:colOff>
      <xdr:row>7</xdr:row>
      <xdr:rowOff>107950</xdr:rowOff>
    </xdr:from>
    <xdr:to>
      <xdr:col>13</xdr:col>
      <xdr:colOff>527050</xdr:colOff>
      <xdr:row>19</xdr:row>
      <xdr:rowOff>107950</xdr:rowOff>
    </xdr:to>
    <xdr:graphicFrame macro="">
      <xdr:nvGraphicFramePr>
        <xdr:cNvPr id="5" name="Chart 4">
          <a:extLst>
            <a:ext uri="{FF2B5EF4-FFF2-40B4-BE49-F238E27FC236}">
              <a16:creationId xmlns:a16="http://schemas.microsoft.com/office/drawing/2014/main" id="{E2DB6EFB-E9F7-4847-B4A8-3892217E9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57150</xdr:colOff>
      <xdr:row>7</xdr:row>
      <xdr:rowOff>107950</xdr:rowOff>
    </xdr:from>
    <xdr:to>
      <xdr:col>20</xdr:col>
      <xdr:colOff>349250</xdr:colOff>
      <xdr:row>19</xdr:row>
      <xdr:rowOff>127000</xdr:rowOff>
    </xdr:to>
    <xdr:graphicFrame macro="">
      <xdr:nvGraphicFramePr>
        <xdr:cNvPr id="6" name="Chart 5">
          <a:extLst>
            <a:ext uri="{FF2B5EF4-FFF2-40B4-BE49-F238E27FC236}">
              <a16:creationId xmlns:a16="http://schemas.microsoft.com/office/drawing/2014/main" id="{CA61871F-73A4-4689-BEB3-0F145A9B4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20</xdr:row>
      <xdr:rowOff>107950</xdr:rowOff>
    </xdr:from>
    <xdr:to>
      <xdr:col>7</xdr:col>
      <xdr:colOff>203200</xdr:colOff>
      <xdr:row>33</xdr:row>
      <xdr:rowOff>19050</xdr:rowOff>
    </xdr:to>
    <xdr:graphicFrame macro="">
      <xdr:nvGraphicFramePr>
        <xdr:cNvPr id="7" name="Chart 6">
          <a:extLst>
            <a:ext uri="{FF2B5EF4-FFF2-40B4-BE49-F238E27FC236}">
              <a16:creationId xmlns:a16="http://schemas.microsoft.com/office/drawing/2014/main" id="{A3332BF3-64F5-4CFF-A58B-B9FA5F0C5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514350</xdr:colOff>
      <xdr:row>20</xdr:row>
      <xdr:rowOff>57150</xdr:rowOff>
    </xdr:from>
    <xdr:to>
      <xdr:col>19</xdr:col>
      <xdr:colOff>590550</xdr:colOff>
      <xdr:row>33</xdr:row>
      <xdr:rowOff>57150</xdr:rowOff>
    </xdr:to>
    <xdr:graphicFrame macro="">
      <xdr:nvGraphicFramePr>
        <xdr:cNvPr id="8" name="Chart 7">
          <a:extLst>
            <a:ext uri="{FF2B5EF4-FFF2-40B4-BE49-F238E27FC236}">
              <a16:creationId xmlns:a16="http://schemas.microsoft.com/office/drawing/2014/main" id="{D14CC836-82FF-4F15-9292-AC465A113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churn_dashboard.xlsx" TargetMode="External"/><Relationship Id="rId1" Type="http://schemas.openxmlformats.org/officeDocument/2006/relationships/externalLinkPath" Target="churn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Data"/>
      <sheetName val="Calc"/>
    </sheetNames>
    <sheetDataSet>
      <sheetData sheetId="0"/>
      <sheetData sheetId="1">
        <row r="2">
          <cell r="A2" t="str">
            <v>C1001</v>
          </cell>
          <cell r="E2" t="str">
            <v>Hyderabad</v>
          </cell>
          <cell r="F2" t="str">
            <v>Month-to-month</v>
          </cell>
          <cell r="H2">
            <v>1149</v>
          </cell>
          <cell r="J2" t="str">
            <v>Fiber</v>
          </cell>
          <cell r="L2" t="str">
            <v>No</v>
          </cell>
          <cell r="M2" t="str">
            <v>13-24 mo</v>
          </cell>
          <cell r="N2" t="str">
            <v>26-35 yrs</v>
          </cell>
        </row>
        <row r="3">
          <cell r="A3" t="str">
            <v>C1002</v>
          </cell>
          <cell r="E3" t="str">
            <v>Jaipur</v>
          </cell>
          <cell r="F3" t="str">
            <v>One year</v>
          </cell>
          <cell r="H3">
            <v>999</v>
          </cell>
          <cell r="J3" t="str">
            <v>Fiber</v>
          </cell>
          <cell r="L3" t="str">
            <v>No</v>
          </cell>
          <cell r="M3" t="str">
            <v>25-48 mo</v>
          </cell>
          <cell r="N3" t="str">
            <v>26-35 yrs</v>
          </cell>
        </row>
        <row r="4">
          <cell r="A4" t="str">
            <v>C1003</v>
          </cell>
          <cell r="E4" t="str">
            <v>Pune</v>
          </cell>
          <cell r="F4" t="str">
            <v>Month-to-month</v>
          </cell>
          <cell r="H4">
            <v>599</v>
          </cell>
          <cell r="J4" t="str">
            <v>DSL</v>
          </cell>
          <cell r="L4" t="str">
            <v>Yes</v>
          </cell>
          <cell r="M4" t="str">
            <v>7-12 mo</v>
          </cell>
          <cell r="N4" t="str">
            <v>46-60 yrs</v>
          </cell>
        </row>
        <row r="5">
          <cell r="A5" t="str">
            <v>C1004</v>
          </cell>
          <cell r="E5" t="str">
            <v>Delhi</v>
          </cell>
          <cell r="F5" t="str">
            <v>One year</v>
          </cell>
          <cell r="H5">
            <v>1149</v>
          </cell>
          <cell r="J5" t="str">
            <v>Fiber</v>
          </cell>
          <cell r="L5" t="str">
            <v>Unknown</v>
          </cell>
          <cell r="M5" t="str">
            <v>25-48 mo</v>
          </cell>
          <cell r="N5" t="str">
            <v>60+ yrs</v>
          </cell>
        </row>
        <row r="6">
          <cell r="A6" t="str">
            <v>C1005</v>
          </cell>
          <cell r="E6" t="str">
            <v>Mumbai</v>
          </cell>
          <cell r="F6" t="str">
            <v>Month-to-month</v>
          </cell>
          <cell r="H6">
            <v>599</v>
          </cell>
          <cell r="J6" t="str">
            <v>DSL</v>
          </cell>
          <cell r="L6" t="str">
            <v>No</v>
          </cell>
          <cell r="M6" t="str">
            <v>7-12 mo</v>
          </cell>
          <cell r="N6" t="str">
            <v>60+ yrs</v>
          </cell>
        </row>
        <row r="7">
          <cell r="A7" t="str">
            <v>C1006</v>
          </cell>
          <cell r="E7" t="str">
            <v>Pune</v>
          </cell>
          <cell r="F7" t="str">
            <v>Month-to-month</v>
          </cell>
          <cell r="H7">
            <v>1199</v>
          </cell>
          <cell r="J7" t="str">
            <v>Fiber</v>
          </cell>
          <cell r="L7" t="str">
            <v>No</v>
          </cell>
          <cell r="M7" t="str">
            <v>13-24 mo</v>
          </cell>
          <cell r="N7" t="str">
            <v>60+ yrs</v>
          </cell>
        </row>
        <row r="8">
          <cell r="A8" t="str">
            <v>C1007</v>
          </cell>
          <cell r="E8" t="str">
            <v>Chennai</v>
          </cell>
          <cell r="F8" t="str">
            <v>Two year</v>
          </cell>
          <cell r="H8">
            <v>1199</v>
          </cell>
          <cell r="J8" t="str">
            <v>Fiber</v>
          </cell>
          <cell r="L8" t="str">
            <v>No</v>
          </cell>
          <cell r="M8" t="str">
            <v>49+ mo</v>
          </cell>
          <cell r="N8" t="str">
            <v>36-45 yrs</v>
          </cell>
        </row>
        <row r="9">
          <cell r="A9" t="str">
            <v>C1008</v>
          </cell>
          <cell r="E9" t="str">
            <v>Pune</v>
          </cell>
          <cell r="F9" t="str">
            <v>Month-to-month</v>
          </cell>
          <cell r="H9">
            <v>849</v>
          </cell>
          <cell r="J9" t="str">
            <v>DSL</v>
          </cell>
          <cell r="L9" t="str">
            <v>No</v>
          </cell>
          <cell r="M9" t="str">
            <v>13-24 mo</v>
          </cell>
          <cell r="N9" t="str">
            <v>60+ yrs</v>
          </cell>
        </row>
        <row r="10">
          <cell r="A10" t="str">
            <v>C1009</v>
          </cell>
          <cell r="E10" t="str">
            <v>Hyderabad</v>
          </cell>
          <cell r="F10" t="str">
            <v>One year</v>
          </cell>
          <cell r="H10">
            <v>1149</v>
          </cell>
          <cell r="J10" t="str">
            <v>Fiber</v>
          </cell>
          <cell r="L10" t="str">
            <v>No</v>
          </cell>
          <cell r="M10" t="str">
            <v>25-48 mo</v>
          </cell>
          <cell r="N10" t="str">
            <v>26-35 yrs</v>
          </cell>
        </row>
        <row r="11">
          <cell r="A11" t="str">
            <v>C1010</v>
          </cell>
          <cell r="E11" t="str">
            <v>Mumbai</v>
          </cell>
          <cell r="F11" t="str">
            <v>Month-to-month</v>
          </cell>
          <cell r="H11">
            <v>749</v>
          </cell>
          <cell r="J11" t="str">
            <v>DSL</v>
          </cell>
          <cell r="L11" t="str">
            <v>Yes</v>
          </cell>
          <cell r="M11" t="str">
            <v>13-24 mo</v>
          </cell>
          <cell r="N11" t="str">
            <v>60+ yrs</v>
          </cell>
        </row>
        <row r="12">
          <cell r="A12" t="str">
            <v>C1011</v>
          </cell>
          <cell r="E12" t="str">
            <v>Chandigarh</v>
          </cell>
          <cell r="F12" t="str">
            <v>Two year</v>
          </cell>
          <cell r="H12">
            <v>1149</v>
          </cell>
          <cell r="J12" t="str">
            <v>Fiber</v>
          </cell>
          <cell r="L12" t="str">
            <v>No</v>
          </cell>
          <cell r="M12" t="str">
            <v>13-24 mo</v>
          </cell>
          <cell r="N12" t="str">
            <v>46-60 yrs</v>
          </cell>
        </row>
        <row r="13">
          <cell r="A13" t="str">
            <v>C1012</v>
          </cell>
          <cell r="E13" t="str">
            <v>Ahmedabad</v>
          </cell>
          <cell r="F13" t="str">
            <v>Month-to-month</v>
          </cell>
          <cell r="H13">
            <v>1149</v>
          </cell>
          <cell r="J13" t="str">
            <v>Fiber</v>
          </cell>
          <cell r="L13" t="str">
            <v>No</v>
          </cell>
          <cell r="M13" t="str">
            <v>13-24 mo</v>
          </cell>
          <cell r="N13" t="str">
            <v>26-35 yrs</v>
          </cell>
        </row>
        <row r="14">
          <cell r="A14" t="str">
            <v>C1013</v>
          </cell>
          <cell r="E14" t="str">
            <v>Bangalore</v>
          </cell>
          <cell r="F14" t="str">
            <v>Month-to-month</v>
          </cell>
          <cell r="H14">
            <v>599</v>
          </cell>
          <cell r="J14" t="str">
            <v>DSL</v>
          </cell>
          <cell r="L14" t="str">
            <v>No</v>
          </cell>
          <cell r="M14" t="str">
            <v>13-24 mo</v>
          </cell>
          <cell r="N14" t="str">
            <v>26-35 yrs</v>
          </cell>
        </row>
        <row r="15">
          <cell r="A15" t="str">
            <v>C1014</v>
          </cell>
          <cell r="E15" t="str">
            <v>Hyderabad</v>
          </cell>
          <cell r="F15" t="str">
            <v>Two year</v>
          </cell>
          <cell r="H15">
            <v>349</v>
          </cell>
          <cell r="J15" t="str">
            <v>No Internet</v>
          </cell>
          <cell r="L15" t="str">
            <v>No</v>
          </cell>
          <cell r="M15" t="str">
            <v>7-12 mo</v>
          </cell>
          <cell r="N15" t="str">
            <v>18-25 yrs</v>
          </cell>
        </row>
        <row r="16">
          <cell r="A16" t="str">
            <v>C1015</v>
          </cell>
          <cell r="E16" t="str">
            <v>Jaipur</v>
          </cell>
          <cell r="F16" t="str">
            <v>Month-to-month</v>
          </cell>
          <cell r="H16">
            <v>999</v>
          </cell>
          <cell r="J16" t="str">
            <v>Fiber</v>
          </cell>
          <cell r="L16" t="str">
            <v>No</v>
          </cell>
          <cell r="M16" t="str">
            <v>13-24 mo</v>
          </cell>
          <cell r="N16" t="str">
            <v>46-60 yrs</v>
          </cell>
        </row>
        <row r="17">
          <cell r="A17" t="str">
            <v>C1016</v>
          </cell>
          <cell r="E17" t="str">
            <v>Indore</v>
          </cell>
          <cell r="F17" t="str">
            <v>Month-to-month</v>
          </cell>
          <cell r="J17" t="str">
            <v>No Internet</v>
          </cell>
          <cell r="L17" t="str">
            <v>Yes</v>
          </cell>
          <cell r="M17" t="str">
            <v>Unknown</v>
          </cell>
          <cell r="N17" t="str">
            <v>46-60 yrs</v>
          </cell>
        </row>
        <row r="18">
          <cell r="A18" t="str">
            <v>C1017</v>
          </cell>
          <cell r="E18" t="str">
            <v>Mumbai</v>
          </cell>
          <cell r="F18" t="str">
            <v>One year</v>
          </cell>
          <cell r="H18">
            <v>599</v>
          </cell>
          <cell r="J18" t="str">
            <v>DSL</v>
          </cell>
          <cell r="L18" t="str">
            <v>Yes</v>
          </cell>
          <cell r="M18" t="str">
            <v>0-6 mo</v>
          </cell>
          <cell r="N18" t="str">
            <v>18-25 yrs</v>
          </cell>
        </row>
        <row r="19">
          <cell r="A19" t="str">
            <v>C1018</v>
          </cell>
          <cell r="E19" t="str">
            <v>Bangalore</v>
          </cell>
          <cell r="F19" t="str">
            <v>One year</v>
          </cell>
          <cell r="H19">
            <v>499</v>
          </cell>
          <cell r="J19" t="str">
            <v>No Internet</v>
          </cell>
          <cell r="L19" t="str">
            <v>No</v>
          </cell>
          <cell r="M19" t="str">
            <v>25-48 mo</v>
          </cell>
          <cell r="N19" t="str">
            <v>46-60 yrs</v>
          </cell>
        </row>
        <row r="20">
          <cell r="A20" t="str">
            <v>C1019</v>
          </cell>
          <cell r="E20" t="str">
            <v>Pune</v>
          </cell>
          <cell r="F20" t="str">
            <v>Month-to-month</v>
          </cell>
          <cell r="H20">
            <v>1199</v>
          </cell>
          <cell r="J20" t="str">
            <v>Fiber</v>
          </cell>
          <cell r="L20" t="str">
            <v>Yes</v>
          </cell>
          <cell r="M20" t="str">
            <v>13-24 mo</v>
          </cell>
          <cell r="N20" t="str">
            <v>36-45 yrs</v>
          </cell>
        </row>
        <row r="21">
          <cell r="A21" t="str">
            <v>C1020</v>
          </cell>
          <cell r="E21" t="str">
            <v>Hyderabad</v>
          </cell>
          <cell r="F21" t="str">
            <v>Month-to-month</v>
          </cell>
          <cell r="H21">
            <v>699</v>
          </cell>
          <cell r="J21" t="str">
            <v>DSL</v>
          </cell>
          <cell r="L21" t="str">
            <v>No</v>
          </cell>
          <cell r="M21" t="str">
            <v>0-6 mo</v>
          </cell>
          <cell r="N21" t="str">
            <v>26-35 yrs</v>
          </cell>
        </row>
        <row r="22">
          <cell r="A22" t="str">
            <v>C1021</v>
          </cell>
          <cell r="E22" t="str">
            <v>Indore</v>
          </cell>
          <cell r="F22" t="str">
            <v>Two year</v>
          </cell>
          <cell r="H22">
            <v>399</v>
          </cell>
          <cell r="J22" t="str">
            <v>No Internet</v>
          </cell>
          <cell r="L22" t="str">
            <v>No</v>
          </cell>
          <cell r="M22" t="str">
            <v>7-12 mo</v>
          </cell>
          <cell r="N22" t="str">
            <v>18-25 yrs</v>
          </cell>
        </row>
        <row r="23">
          <cell r="A23" t="str">
            <v>C1022</v>
          </cell>
          <cell r="E23" t="str">
            <v>Delhi</v>
          </cell>
          <cell r="F23" t="str">
            <v>Month-to-month</v>
          </cell>
          <cell r="H23">
            <v>699</v>
          </cell>
          <cell r="J23" t="str">
            <v>DSL</v>
          </cell>
          <cell r="L23" t="str">
            <v>Yes</v>
          </cell>
          <cell r="M23" t="str">
            <v>13-24 mo</v>
          </cell>
          <cell r="N23" t="str">
            <v>60+ yrs</v>
          </cell>
        </row>
        <row r="24">
          <cell r="A24" t="str">
            <v>C1023</v>
          </cell>
          <cell r="E24" t="str">
            <v>Hyderabad</v>
          </cell>
          <cell r="F24" t="str">
            <v>Two year</v>
          </cell>
          <cell r="H24">
            <v>1199</v>
          </cell>
          <cell r="J24" t="str">
            <v>Fiber</v>
          </cell>
          <cell r="L24" t="str">
            <v>Yes</v>
          </cell>
          <cell r="M24" t="str">
            <v>49+ mo</v>
          </cell>
          <cell r="N24" t="str">
            <v>36-45 yrs</v>
          </cell>
        </row>
        <row r="25">
          <cell r="A25" t="str">
            <v>C1024</v>
          </cell>
          <cell r="E25" t="str">
            <v>Unknown</v>
          </cell>
          <cell r="F25" t="str">
            <v>Two year</v>
          </cell>
          <cell r="H25">
            <v>599</v>
          </cell>
          <cell r="J25" t="str">
            <v>DSL</v>
          </cell>
          <cell r="L25" t="str">
            <v>No</v>
          </cell>
          <cell r="M25" t="str">
            <v>13-24 mo</v>
          </cell>
          <cell r="N25" t="str">
            <v>26-35 yrs</v>
          </cell>
        </row>
        <row r="26">
          <cell r="A26" t="str">
            <v>C1025</v>
          </cell>
          <cell r="E26" t="str">
            <v>Lucknow</v>
          </cell>
          <cell r="F26" t="str">
            <v>One year</v>
          </cell>
          <cell r="H26">
            <v>1149</v>
          </cell>
          <cell r="J26" t="str">
            <v>Fiber</v>
          </cell>
          <cell r="L26" t="str">
            <v>No</v>
          </cell>
          <cell r="M26" t="str">
            <v>25-48 mo</v>
          </cell>
          <cell r="N26" t="str">
            <v>26-35 yrs</v>
          </cell>
        </row>
        <row r="27">
          <cell r="A27" t="str">
            <v>C1026</v>
          </cell>
          <cell r="E27" t="str">
            <v>Pune</v>
          </cell>
          <cell r="F27" t="str">
            <v>Month-to-month</v>
          </cell>
          <cell r="H27">
            <v>1049</v>
          </cell>
          <cell r="J27" t="str">
            <v>Fiber</v>
          </cell>
          <cell r="L27" t="str">
            <v>Yes</v>
          </cell>
          <cell r="M27" t="str">
            <v>13-24 mo</v>
          </cell>
          <cell r="N27" t="str">
            <v>60+ yrs</v>
          </cell>
        </row>
        <row r="28">
          <cell r="A28" t="str">
            <v>C1027</v>
          </cell>
          <cell r="E28" t="str">
            <v>Lucknow</v>
          </cell>
          <cell r="F28" t="str">
            <v>Two year</v>
          </cell>
          <cell r="H28">
            <v>799</v>
          </cell>
          <cell r="J28" t="str">
            <v>DSL</v>
          </cell>
          <cell r="L28" t="str">
            <v>No</v>
          </cell>
          <cell r="M28" t="str">
            <v>25-48 mo</v>
          </cell>
          <cell r="N28" t="str">
            <v>46-60 yrs</v>
          </cell>
        </row>
        <row r="29">
          <cell r="A29" t="str">
            <v>C1028</v>
          </cell>
          <cell r="E29" t="str">
            <v>Bangalore</v>
          </cell>
          <cell r="F29" t="str">
            <v>Month-to-month</v>
          </cell>
          <cell r="H29">
            <v>1299</v>
          </cell>
          <cell r="J29" t="str">
            <v>Fiber</v>
          </cell>
          <cell r="L29" t="str">
            <v>Yes</v>
          </cell>
          <cell r="M29" t="str">
            <v>7-12 mo</v>
          </cell>
          <cell r="N29" t="str">
            <v>36-45 yrs</v>
          </cell>
        </row>
        <row r="30">
          <cell r="A30" t="str">
            <v>C1029</v>
          </cell>
          <cell r="E30" t="str">
            <v>Mumbai</v>
          </cell>
          <cell r="F30" t="str">
            <v>Two year</v>
          </cell>
          <cell r="H30">
            <v>1049</v>
          </cell>
          <cell r="J30" t="str">
            <v>Fiber</v>
          </cell>
          <cell r="L30" t="str">
            <v>No</v>
          </cell>
          <cell r="M30" t="str">
            <v>13-24 mo</v>
          </cell>
          <cell r="N30" t="str">
            <v>26-35 yrs</v>
          </cell>
        </row>
        <row r="31">
          <cell r="A31" t="str">
            <v>C1030</v>
          </cell>
          <cell r="E31" t="str">
            <v>Chennai</v>
          </cell>
          <cell r="F31" t="str">
            <v>Unknown</v>
          </cell>
          <cell r="H31">
            <v>449</v>
          </cell>
          <cell r="J31" t="str">
            <v>No Internet</v>
          </cell>
          <cell r="L31" t="str">
            <v>Yes</v>
          </cell>
          <cell r="M31" t="str">
            <v>7-12 mo</v>
          </cell>
          <cell r="N31" t="str">
            <v>46-60 yrs</v>
          </cell>
        </row>
        <row r="32">
          <cell r="A32" t="str">
            <v>C1031</v>
          </cell>
          <cell r="E32" t="str">
            <v>Ahmedabad</v>
          </cell>
          <cell r="F32" t="str">
            <v>One year</v>
          </cell>
          <cell r="H32">
            <v>899</v>
          </cell>
          <cell r="J32" t="str">
            <v>Fiber</v>
          </cell>
          <cell r="L32" t="str">
            <v>No</v>
          </cell>
          <cell r="M32" t="str">
            <v>0-6 mo</v>
          </cell>
          <cell r="N32" t="str">
            <v>60+ yrs</v>
          </cell>
        </row>
        <row r="33">
          <cell r="A33" t="str">
            <v>C1032</v>
          </cell>
          <cell r="E33" t="str">
            <v>Kolkata</v>
          </cell>
          <cell r="F33" t="str">
            <v>Month-to-month</v>
          </cell>
          <cell r="H33">
            <v>699</v>
          </cell>
          <cell r="J33" t="str">
            <v>DSL</v>
          </cell>
          <cell r="L33" t="str">
            <v>No</v>
          </cell>
          <cell r="M33" t="str">
            <v>0-6 mo</v>
          </cell>
          <cell r="N33" t="str">
            <v>26-35 yrs</v>
          </cell>
        </row>
        <row r="34">
          <cell r="A34" t="str">
            <v>C1033</v>
          </cell>
          <cell r="E34" t="str">
            <v>Hyderabad</v>
          </cell>
          <cell r="F34" t="str">
            <v>Two year</v>
          </cell>
          <cell r="H34">
            <v>399</v>
          </cell>
          <cell r="J34" t="str">
            <v>No Internet</v>
          </cell>
          <cell r="L34" t="str">
            <v>No</v>
          </cell>
          <cell r="M34" t="str">
            <v>13-24 mo</v>
          </cell>
          <cell r="N34" t="str">
            <v>26-35 yrs</v>
          </cell>
        </row>
        <row r="35">
          <cell r="A35" t="str">
            <v>C1034</v>
          </cell>
          <cell r="E35" t="str">
            <v>Kochi</v>
          </cell>
          <cell r="F35" t="str">
            <v>One year</v>
          </cell>
          <cell r="H35">
            <v>1099</v>
          </cell>
          <cell r="J35" t="str">
            <v>Fiber</v>
          </cell>
          <cell r="L35" t="str">
            <v>Yes</v>
          </cell>
          <cell r="M35" t="str">
            <v>0-6 mo</v>
          </cell>
          <cell r="N35" t="str">
            <v>26-35 yrs</v>
          </cell>
        </row>
        <row r="36">
          <cell r="A36" t="str">
            <v>C1035</v>
          </cell>
          <cell r="E36" t="str">
            <v>Kochi</v>
          </cell>
          <cell r="F36" t="str">
            <v>Two year</v>
          </cell>
          <cell r="H36">
            <v>749</v>
          </cell>
          <cell r="J36" t="str">
            <v>DSL</v>
          </cell>
          <cell r="L36" t="str">
            <v>No</v>
          </cell>
          <cell r="M36" t="str">
            <v>25-48 mo</v>
          </cell>
          <cell r="N36" t="str">
            <v>60+ yrs</v>
          </cell>
        </row>
        <row r="37">
          <cell r="A37" t="str">
            <v>C1036</v>
          </cell>
          <cell r="E37" t="str">
            <v>Kolkata</v>
          </cell>
          <cell r="F37" t="str">
            <v>One year</v>
          </cell>
          <cell r="H37">
            <v>449</v>
          </cell>
          <cell r="J37" t="str">
            <v>No Internet</v>
          </cell>
          <cell r="L37" t="str">
            <v>No</v>
          </cell>
          <cell r="M37" t="str">
            <v>13-24 mo</v>
          </cell>
          <cell r="N37" t="str">
            <v>46-60 yrs</v>
          </cell>
        </row>
        <row r="38">
          <cell r="A38" t="str">
            <v>C1037</v>
          </cell>
          <cell r="E38" t="str">
            <v>Pune</v>
          </cell>
          <cell r="F38" t="str">
            <v>One year</v>
          </cell>
          <cell r="H38">
            <v>799</v>
          </cell>
          <cell r="J38" t="str">
            <v>DSL</v>
          </cell>
          <cell r="L38" t="str">
            <v>No</v>
          </cell>
          <cell r="M38" t="str">
            <v>25-48 mo</v>
          </cell>
          <cell r="N38" t="str">
            <v>36-45 yrs</v>
          </cell>
        </row>
        <row r="39">
          <cell r="A39" t="str">
            <v>C1038</v>
          </cell>
          <cell r="E39" t="str">
            <v>Delhi</v>
          </cell>
          <cell r="F39" t="str">
            <v>Month-to-month</v>
          </cell>
          <cell r="H39">
            <v>399</v>
          </cell>
          <cell r="J39" t="str">
            <v>No Internet</v>
          </cell>
          <cell r="L39" t="str">
            <v>Yes</v>
          </cell>
          <cell r="M39" t="str">
            <v>13-24 mo</v>
          </cell>
          <cell r="N39" t="str">
            <v>36-45 yrs</v>
          </cell>
        </row>
        <row r="40">
          <cell r="A40" t="str">
            <v>C1039</v>
          </cell>
          <cell r="E40" t="str">
            <v>Chandigarh</v>
          </cell>
          <cell r="F40" t="str">
            <v>Month-to-month</v>
          </cell>
          <cell r="H40">
            <v>499</v>
          </cell>
          <cell r="J40" t="str">
            <v>No Internet</v>
          </cell>
          <cell r="L40" t="str">
            <v>Yes</v>
          </cell>
          <cell r="M40" t="str">
            <v>13-24 mo</v>
          </cell>
          <cell r="N40" t="str">
            <v>46-60 yrs</v>
          </cell>
        </row>
        <row r="41">
          <cell r="A41" t="str">
            <v>C1040</v>
          </cell>
          <cell r="E41" t="str">
            <v>Kolkata</v>
          </cell>
          <cell r="F41" t="str">
            <v>One year</v>
          </cell>
          <cell r="H41">
            <v>1149</v>
          </cell>
          <cell r="J41" t="str">
            <v>Fiber</v>
          </cell>
          <cell r="L41" t="str">
            <v>No</v>
          </cell>
          <cell r="M41" t="str">
            <v>7-12 mo</v>
          </cell>
          <cell r="N41" t="str">
            <v>26-35 yrs</v>
          </cell>
        </row>
        <row r="42">
          <cell r="A42" t="str">
            <v>C1041</v>
          </cell>
          <cell r="E42" t="str">
            <v>Kolkata</v>
          </cell>
          <cell r="F42" t="str">
            <v>One year</v>
          </cell>
          <cell r="H42">
            <v>1099</v>
          </cell>
          <cell r="J42" t="str">
            <v>Fiber</v>
          </cell>
          <cell r="L42" t="str">
            <v>No</v>
          </cell>
          <cell r="M42" t="str">
            <v>13-24 mo</v>
          </cell>
          <cell r="N42" t="str">
            <v>26-35 yrs</v>
          </cell>
        </row>
        <row r="43">
          <cell r="A43" t="str">
            <v>C1042</v>
          </cell>
          <cell r="E43" t="str">
            <v>Chennai</v>
          </cell>
          <cell r="F43" t="str">
            <v>Month-to-month</v>
          </cell>
          <cell r="H43">
            <v>1299</v>
          </cell>
          <cell r="J43" t="str">
            <v>Fiber</v>
          </cell>
          <cell r="L43" t="str">
            <v>No</v>
          </cell>
          <cell r="M43" t="str">
            <v>7-12 mo</v>
          </cell>
          <cell r="N43" t="str">
            <v>18-25 yrs</v>
          </cell>
        </row>
        <row r="44">
          <cell r="A44" t="str">
            <v>C1043</v>
          </cell>
          <cell r="E44" t="str">
            <v>Hyderabad</v>
          </cell>
          <cell r="F44" t="str">
            <v>Two year</v>
          </cell>
          <cell r="H44">
            <v>1099</v>
          </cell>
          <cell r="J44" t="str">
            <v>Fiber</v>
          </cell>
          <cell r="L44" t="str">
            <v>No</v>
          </cell>
          <cell r="M44" t="str">
            <v>7-12 mo</v>
          </cell>
          <cell r="N44" t="str">
            <v>18-25 yrs</v>
          </cell>
        </row>
        <row r="45">
          <cell r="A45" t="str">
            <v>C1044</v>
          </cell>
          <cell r="E45" t="str">
            <v>Bangalore</v>
          </cell>
          <cell r="F45" t="str">
            <v>One year</v>
          </cell>
          <cell r="H45">
            <v>899</v>
          </cell>
          <cell r="J45" t="str">
            <v>DSL</v>
          </cell>
          <cell r="L45" t="str">
            <v>No</v>
          </cell>
          <cell r="M45" t="str">
            <v>7-12 mo</v>
          </cell>
          <cell r="N45" t="str">
            <v>26-35 yrs</v>
          </cell>
        </row>
        <row r="46">
          <cell r="A46" t="str">
            <v>C1045</v>
          </cell>
          <cell r="E46" t="str">
            <v>Chandigarh</v>
          </cell>
          <cell r="F46" t="str">
            <v>Month-to-month</v>
          </cell>
          <cell r="H46">
            <v>849</v>
          </cell>
          <cell r="J46" t="str">
            <v>DSL</v>
          </cell>
          <cell r="L46" t="str">
            <v>No</v>
          </cell>
          <cell r="M46" t="str">
            <v>13-24 mo</v>
          </cell>
          <cell r="N46" t="str">
            <v>26-35 yrs</v>
          </cell>
        </row>
        <row r="47">
          <cell r="A47" t="str">
            <v>C1046</v>
          </cell>
          <cell r="E47" t="str">
            <v>Jaipur</v>
          </cell>
          <cell r="F47" t="str">
            <v>Month-to-month</v>
          </cell>
          <cell r="H47">
            <v>499</v>
          </cell>
          <cell r="J47" t="str">
            <v>No Internet</v>
          </cell>
          <cell r="L47" t="str">
            <v>No</v>
          </cell>
          <cell r="M47" t="str">
            <v>13-24 mo</v>
          </cell>
          <cell r="N47" t="str">
            <v>60+ yrs</v>
          </cell>
        </row>
        <row r="48">
          <cell r="A48" t="str">
            <v>C1047</v>
          </cell>
          <cell r="E48" t="str">
            <v>Indore</v>
          </cell>
          <cell r="F48" t="str">
            <v>Month-to-month</v>
          </cell>
          <cell r="H48">
            <v>999</v>
          </cell>
          <cell r="J48" t="str">
            <v>Fiber</v>
          </cell>
          <cell r="L48" t="str">
            <v>Yes</v>
          </cell>
          <cell r="M48" t="str">
            <v>13-24 mo</v>
          </cell>
          <cell r="N48" t="str">
            <v>46-60 yrs</v>
          </cell>
        </row>
        <row r="49">
          <cell r="A49" t="str">
            <v>C1048</v>
          </cell>
          <cell r="E49" t="str">
            <v>Kolkata</v>
          </cell>
          <cell r="F49" t="str">
            <v>One year</v>
          </cell>
          <cell r="H49">
            <v>1099</v>
          </cell>
          <cell r="J49" t="str">
            <v>Fiber</v>
          </cell>
          <cell r="L49" t="str">
            <v>No</v>
          </cell>
          <cell r="M49" t="str">
            <v>0-6 mo</v>
          </cell>
          <cell r="N49" t="str">
            <v>26-35 yrs</v>
          </cell>
        </row>
        <row r="50">
          <cell r="A50" t="str">
            <v>C1049</v>
          </cell>
          <cell r="E50" t="str">
            <v>Kochi</v>
          </cell>
          <cell r="F50" t="str">
            <v>One year</v>
          </cell>
          <cell r="H50">
            <v>1099</v>
          </cell>
          <cell r="J50" t="str">
            <v>Fiber</v>
          </cell>
          <cell r="L50" t="str">
            <v>No</v>
          </cell>
          <cell r="M50" t="str">
            <v>25-48 mo</v>
          </cell>
          <cell r="N50" t="str">
            <v>36-45 yrs</v>
          </cell>
        </row>
        <row r="51">
          <cell r="A51" t="str">
            <v>C1050</v>
          </cell>
          <cell r="E51" t="str">
            <v>Bhopal</v>
          </cell>
          <cell r="F51" t="str">
            <v>Month-to-month</v>
          </cell>
          <cell r="H51">
            <v>999</v>
          </cell>
          <cell r="J51" t="str">
            <v>Fiber</v>
          </cell>
          <cell r="L51" t="str">
            <v>Yes</v>
          </cell>
          <cell r="M51" t="str">
            <v>7-12 mo</v>
          </cell>
          <cell r="N51" t="str">
            <v>60+ yrs</v>
          </cell>
        </row>
        <row r="52">
          <cell r="A52" t="str">
            <v>C1051</v>
          </cell>
          <cell r="E52" t="str">
            <v>Kochi</v>
          </cell>
          <cell r="F52" t="str">
            <v>Month-to-month</v>
          </cell>
          <cell r="J52" t="str">
            <v>DSL</v>
          </cell>
          <cell r="L52" t="str">
            <v>Yes</v>
          </cell>
          <cell r="M52" t="str">
            <v>Unknown</v>
          </cell>
          <cell r="N52" t="str">
            <v>60+ yrs</v>
          </cell>
        </row>
        <row r="53">
          <cell r="A53" t="str">
            <v>C1052</v>
          </cell>
          <cell r="E53" t="str">
            <v>Bangalore</v>
          </cell>
          <cell r="F53" t="str">
            <v>Two year</v>
          </cell>
          <cell r="H53">
            <v>749</v>
          </cell>
          <cell r="J53" t="str">
            <v>DSL</v>
          </cell>
          <cell r="L53" t="str">
            <v>No</v>
          </cell>
          <cell r="M53" t="str">
            <v>25-48 mo</v>
          </cell>
          <cell r="N53" t="str">
            <v>36-45 yrs</v>
          </cell>
        </row>
        <row r="54">
          <cell r="A54" t="str">
            <v>C1053</v>
          </cell>
          <cell r="E54" t="str">
            <v>Chandigarh</v>
          </cell>
          <cell r="F54" t="str">
            <v>Month-to-month</v>
          </cell>
          <cell r="H54">
            <v>599</v>
          </cell>
          <cell r="J54" t="str">
            <v>DSL</v>
          </cell>
          <cell r="L54" t="str">
            <v>No</v>
          </cell>
          <cell r="M54" t="str">
            <v>13-24 mo</v>
          </cell>
          <cell r="N54" t="str">
            <v>26-35 yrs</v>
          </cell>
        </row>
        <row r="55">
          <cell r="A55" t="str">
            <v>C1054</v>
          </cell>
          <cell r="E55" t="str">
            <v>Chandigarh</v>
          </cell>
          <cell r="F55" t="str">
            <v>Month-to-month</v>
          </cell>
          <cell r="H55">
            <v>749</v>
          </cell>
          <cell r="J55" t="str">
            <v>DSL</v>
          </cell>
          <cell r="L55" t="str">
            <v>Yes</v>
          </cell>
          <cell r="M55" t="str">
            <v>0-6 mo</v>
          </cell>
          <cell r="N55" t="str">
            <v>26-35 yrs</v>
          </cell>
        </row>
        <row r="56">
          <cell r="A56" t="str">
            <v>C1055</v>
          </cell>
          <cell r="E56" t="str">
            <v>Lucknow</v>
          </cell>
          <cell r="F56" t="str">
            <v>One year</v>
          </cell>
          <cell r="H56">
            <v>1299</v>
          </cell>
          <cell r="J56" t="str">
            <v>Fiber</v>
          </cell>
          <cell r="L56" t="str">
            <v>Unknown</v>
          </cell>
          <cell r="M56" t="str">
            <v>7-12 mo</v>
          </cell>
          <cell r="N56" t="str">
            <v>26-35 yrs</v>
          </cell>
        </row>
        <row r="57">
          <cell r="A57" t="str">
            <v>C1056</v>
          </cell>
          <cell r="E57" t="str">
            <v>Kolkata</v>
          </cell>
          <cell r="F57" t="str">
            <v>Month-to-month</v>
          </cell>
          <cell r="H57">
            <v>1199</v>
          </cell>
          <cell r="J57" t="str">
            <v>Fiber</v>
          </cell>
          <cell r="L57" t="str">
            <v>Yes</v>
          </cell>
          <cell r="M57" t="str">
            <v>0-6 mo</v>
          </cell>
          <cell r="N57" t="str">
            <v>60+ yrs</v>
          </cell>
        </row>
        <row r="58">
          <cell r="A58" t="str">
            <v>C1057</v>
          </cell>
          <cell r="E58" t="str">
            <v>Lucknow</v>
          </cell>
          <cell r="F58" t="str">
            <v>One year</v>
          </cell>
          <cell r="H58">
            <v>849</v>
          </cell>
          <cell r="J58" t="str">
            <v>DSL</v>
          </cell>
          <cell r="L58" t="str">
            <v>No</v>
          </cell>
          <cell r="M58" t="str">
            <v>25-48 mo</v>
          </cell>
          <cell r="N58" t="str">
            <v>60+ yrs</v>
          </cell>
        </row>
        <row r="59">
          <cell r="A59" t="str">
            <v>C1058</v>
          </cell>
          <cell r="E59" t="str">
            <v>Kolkata</v>
          </cell>
          <cell r="F59" t="str">
            <v>Two year</v>
          </cell>
          <cell r="H59">
            <v>999</v>
          </cell>
          <cell r="J59" t="str">
            <v>Fiber</v>
          </cell>
          <cell r="L59" t="str">
            <v>No</v>
          </cell>
          <cell r="M59" t="str">
            <v>49+ mo</v>
          </cell>
          <cell r="N59" t="str">
            <v>18-25 yrs</v>
          </cell>
        </row>
        <row r="60">
          <cell r="A60" t="str">
            <v>C1059</v>
          </cell>
          <cell r="E60" t="str">
            <v>Ahmedabad</v>
          </cell>
          <cell r="F60" t="str">
            <v>Month-to-month</v>
          </cell>
          <cell r="H60">
            <v>399</v>
          </cell>
          <cell r="J60" t="str">
            <v>No Internet</v>
          </cell>
          <cell r="L60" t="str">
            <v>No</v>
          </cell>
          <cell r="M60" t="str">
            <v>13-24 mo</v>
          </cell>
          <cell r="N60" t="str">
            <v>60+ yrs</v>
          </cell>
        </row>
        <row r="61">
          <cell r="A61" t="str">
            <v>C1060</v>
          </cell>
          <cell r="E61" t="str">
            <v>Ahmedabad</v>
          </cell>
          <cell r="F61" t="str">
            <v>One year</v>
          </cell>
          <cell r="H61">
            <v>1099</v>
          </cell>
          <cell r="J61" t="str">
            <v>Fiber</v>
          </cell>
          <cell r="L61" t="str">
            <v>Yes</v>
          </cell>
          <cell r="M61" t="str">
            <v>13-24 mo</v>
          </cell>
          <cell r="N61" t="str">
            <v>60+ yrs</v>
          </cell>
        </row>
        <row r="62">
          <cell r="A62" t="str">
            <v>C1061</v>
          </cell>
          <cell r="E62" t="str">
            <v>Lucknow</v>
          </cell>
          <cell r="F62" t="str">
            <v>One year</v>
          </cell>
          <cell r="H62">
            <v>799</v>
          </cell>
          <cell r="J62" t="str">
            <v>DSL</v>
          </cell>
          <cell r="L62" t="str">
            <v>Yes</v>
          </cell>
          <cell r="M62" t="str">
            <v>0-6 mo</v>
          </cell>
          <cell r="N62" t="str">
            <v>26-35 yrs</v>
          </cell>
        </row>
        <row r="63">
          <cell r="A63" t="str">
            <v>C1062</v>
          </cell>
          <cell r="E63" t="str">
            <v>Ahmedabad</v>
          </cell>
          <cell r="F63" t="str">
            <v>One year</v>
          </cell>
          <cell r="H63">
            <v>1049</v>
          </cell>
          <cell r="J63" t="str">
            <v>Fiber</v>
          </cell>
          <cell r="L63" t="str">
            <v>No</v>
          </cell>
          <cell r="M63" t="str">
            <v>0-6 mo</v>
          </cell>
          <cell r="N63" t="str">
            <v>60+ yrs</v>
          </cell>
        </row>
        <row r="64">
          <cell r="A64" t="str">
            <v>C1063</v>
          </cell>
          <cell r="E64" t="str">
            <v>Jaipur</v>
          </cell>
          <cell r="F64" t="str">
            <v>Month-to-month</v>
          </cell>
          <cell r="H64">
            <v>1049</v>
          </cell>
          <cell r="J64" t="str">
            <v>Fiber</v>
          </cell>
          <cell r="L64" t="str">
            <v>No</v>
          </cell>
          <cell r="M64" t="str">
            <v>13-24 mo</v>
          </cell>
          <cell r="N64" t="str">
            <v>46-60 yrs</v>
          </cell>
        </row>
        <row r="65">
          <cell r="A65" t="str">
            <v>C1064</v>
          </cell>
          <cell r="E65" t="str">
            <v>Bhopal</v>
          </cell>
          <cell r="F65" t="str">
            <v>Month-to-month</v>
          </cell>
          <cell r="H65">
            <v>899</v>
          </cell>
          <cell r="J65" t="str">
            <v>DSL</v>
          </cell>
          <cell r="L65" t="str">
            <v>Yes</v>
          </cell>
          <cell r="M65" t="str">
            <v>13-24 mo</v>
          </cell>
          <cell r="N65" t="str">
            <v>18-25 yrs</v>
          </cell>
        </row>
        <row r="66">
          <cell r="A66" t="str">
            <v>C1065</v>
          </cell>
          <cell r="E66" t="str">
            <v>Kochi</v>
          </cell>
          <cell r="F66" t="str">
            <v>Month-to-month</v>
          </cell>
          <cell r="H66">
            <v>899</v>
          </cell>
          <cell r="J66" t="str">
            <v>DSL</v>
          </cell>
          <cell r="L66" t="str">
            <v>Yes</v>
          </cell>
          <cell r="M66" t="str">
            <v>0-6 mo</v>
          </cell>
          <cell r="N66" t="str">
            <v>46-60 yrs</v>
          </cell>
        </row>
        <row r="67">
          <cell r="A67" t="str">
            <v>C1066</v>
          </cell>
          <cell r="E67" t="str">
            <v>Bangalore</v>
          </cell>
          <cell r="F67" t="str">
            <v>Unknown</v>
          </cell>
          <cell r="H67">
            <v>399</v>
          </cell>
          <cell r="J67" t="str">
            <v>No Internet</v>
          </cell>
          <cell r="L67" t="str">
            <v>No</v>
          </cell>
          <cell r="M67" t="str">
            <v>13-24 mo</v>
          </cell>
          <cell r="N67" t="str">
            <v>46-60 yrs</v>
          </cell>
        </row>
        <row r="68">
          <cell r="A68" t="str">
            <v>C1067</v>
          </cell>
          <cell r="E68" t="str">
            <v>Chennai</v>
          </cell>
          <cell r="F68" t="str">
            <v>Month-to-month</v>
          </cell>
          <cell r="H68">
            <v>1049</v>
          </cell>
          <cell r="J68" t="str">
            <v>Fiber</v>
          </cell>
          <cell r="L68" t="str">
            <v>Yes</v>
          </cell>
          <cell r="M68" t="str">
            <v>0-6 mo</v>
          </cell>
          <cell r="N68" t="str">
            <v>46-60 yrs</v>
          </cell>
        </row>
        <row r="69">
          <cell r="A69" t="str">
            <v>C1068</v>
          </cell>
          <cell r="E69" t="str">
            <v>Indore</v>
          </cell>
          <cell r="F69" t="str">
            <v>One year</v>
          </cell>
          <cell r="H69">
            <v>699</v>
          </cell>
          <cell r="J69" t="str">
            <v>DSL</v>
          </cell>
          <cell r="L69" t="str">
            <v>Yes</v>
          </cell>
          <cell r="M69" t="str">
            <v>25-48 mo</v>
          </cell>
          <cell r="N69" t="str">
            <v>46-60 yrs</v>
          </cell>
        </row>
        <row r="70">
          <cell r="A70" t="str">
            <v>C1069</v>
          </cell>
          <cell r="E70" t="str">
            <v>Lucknow</v>
          </cell>
          <cell r="F70" t="str">
            <v>Month-to-month</v>
          </cell>
          <cell r="H70">
            <v>1049</v>
          </cell>
          <cell r="J70" t="str">
            <v>Fiber</v>
          </cell>
          <cell r="L70" t="str">
            <v>No</v>
          </cell>
          <cell r="M70" t="str">
            <v>13-24 mo</v>
          </cell>
          <cell r="N70" t="str">
            <v>60+ yrs</v>
          </cell>
        </row>
        <row r="71">
          <cell r="A71" t="str">
            <v>C1070</v>
          </cell>
          <cell r="E71" t="str">
            <v>Kochi</v>
          </cell>
          <cell r="F71" t="str">
            <v>Month-to-month</v>
          </cell>
          <cell r="H71">
            <v>599</v>
          </cell>
          <cell r="J71" t="str">
            <v>DSL</v>
          </cell>
          <cell r="L71" t="str">
            <v>Yes</v>
          </cell>
          <cell r="M71" t="str">
            <v>13-24 mo</v>
          </cell>
          <cell r="N71" t="str">
            <v>18-25 yrs</v>
          </cell>
        </row>
        <row r="72">
          <cell r="A72" t="str">
            <v>C1071</v>
          </cell>
          <cell r="E72" t="str">
            <v>Bhopal</v>
          </cell>
          <cell r="F72" t="str">
            <v>One year</v>
          </cell>
          <cell r="H72">
            <v>699</v>
          </cell>
          <cell r="J72" t="str">
            <v>DSL</v>
          </cell>
          <cell r="L72" t="str">
            <v>No</v>
          </cell>
          <cell r="M72" t="str">
            <v>13-24 mo</v>
          </cell>
          <cell r="N72" t="str">
            <v>46-60 yrs</v>
          </cell>
        </row>
        <row r="73">
          <cell r="A73" t="str">
            <v>C1072</v>
          </cell>
          <cell r="E73" t="str">
            <v>Kochi</v>
          </cell>
          <cell r="F73" t="str">
            <v>One year</v>
          </cell>
          <cell r="H73">
            <v>899</v>
          </cell>
          <cell r="J73" t="str">
            <v>Fiber</v>
          </cell>
          <cell r="L73" t="str">
            <v>No</v>
          </cell>
          <cell r="M73" t="str">
            <v>13-24 mo</v>
          </cell>
          <cell r="N73" t="str">
            <v>60+ yrs</v>
          </cell>
        </row>
        <row r="74">
          <cell r="A74" t="str">
            <v>C1073</v>
          </cell>
          <cell r="E74" t="str">
            <v>Unknown</v>
          </cell>
          <cell r="F74" t="str">
            <v>One year</v>
          </cell>
          <cell r="H74">
            <v>1099</v>
          </cell>
          <cell r="J74" t="str">
            <v>Fiber</v>
          </cell>
          <cell r="L74" t="str">
            <v>No</v>
          </cell>
          <cell r="M74" t="str">
            <v>25-48 mo</v>
          </cell>
          <cell r="N74" t="str">
            <v>18-25 yrs</v>
          </cell>
        </row>
        <row r="75">
          <cell r="A75" t="str">
            <v>C1074</v>
          </cell>
          <cell r="E75" t="str">
            <v>Ahmedabad</v>
          </cell>
          <cell r="F75" t="str">
            <v>Month-to-month</v>
          </cell>
          <cell r="H75">
            <v>1049</v>
          </cell>
          <cell r="J75" t="str">
            <v>Fiber</v>
          </cell>
          <cell r="L75" t="str">
            <v>Yes</v>
          </cell>
          <cell r="M75" t="str">
            <v>13-24 mo</v>
          </cell>
          <cell r="N75" t="str">
            <v>46-60 yrs</v>
          </cell>
        </row>
        <row r="76">
          <cell r="A76" t="str">
            <v>C1075</v>
          </cell>
          <cell r="E76" t="str">
            <v>Kochi</v>
          </cell>
          <cell r="F76" t="str">
            <v>One year</v>
          </cell>
          <cell r="H76">
            <v>899</v>
          </cell>
          <cell r="J76" t="str">
            <v>DSL</v>
          </cell>
          <cell r="L76" t="str">
            <v>No</v>
          </cell>
          <cell r="M76" t="str">
            <v>0-6 mo</v>
          </cell>
          <cell r="N76" t="str">
            <v>18-25 yrs</v>
          </cell>
        </row>
        <row r="77">
          <cell r="A77" t="str">
            <v>C1076</v>
          </cell>
          <cell r="E77" t="str">
            <v>Kolkata</v>
          </cell>
          <cell r="F77" t="str">
            <v>One year</v>
          </cell>
          <cell r="H77">
            <v>1049</v>
          </cell>
          <cell r="J77" t="str">
            <v>Fiber</v>
          </cell>
          <cell r="L77" t="str">
            <v>No</v>
          </cell>
          <cell r="M77" t="str">
            <v>0-6 mo</v>
          </cell>
          <cell r="N77" t="str">
            <v>46-60 yrs</v>
          </cell>
        </row>
        <row r="78">
          <cell r="A78" t="str">
            <v>C1077</v>
          </cell>
          <cell r="E78" t="str">
            <v>Bhopal</v>
          </cell>
          <cell r="F78" t="str">
            <v>Month-to-month</v>
          </cell>
          <cell r="H78">
            <v>1299</v>
          </cell>
          <cell r="J78" t="str">
            <v>Fiber</v>
          </cell>
          <cell r="L78" t="str">
            <v>Yes</v>
          </cell>
          <cell r="M78" t="str">
            <v>13-24 mo</v>
          </cell>
          <cell r="N78" t="str">
            <v>36-45 yrs</v>
          </cell>
        </row>
        <row r="79">
          <cell r="A79" t="str">
            <v>C1078</v>
          </cell>
          <cell r="E79" t="str">
            <v>Kochi</v>
          </cell>
          <cell r="F79" t="str">
            <v>Month-to-month</v>
          </cell>
          <cell r="H79">
            <v>1299</v>
          </cell>
          <cell r="J79" t="str">
            <v>Fiber</v>
          </cell>
          <cell r="L79" t="str">
            <v>Yes</v>
          </cell>
          <cell r="M79" t="str">
            <v>0-6 mo</v>
          </cell>
          <cell r="N79" t="str">
            <v>18-25 yrs</v>
          </cell>
        </row>
        <row r="80">
          <cell r="A80" t="str">
            <v>C1079</v>
          </cell>
          <cell r="E80" t="str">
            <v>Kochi</v>
          </cell>
          <cell r="F80" t="str">
            <v>Month-to-month</v>
          </cell>
          <cell r="H80">
            <v>1049</v>
          </cell>
          <cell r="J80" t="str">
            <v>Fiber</v>
          </cell>
          <cell r="L80" t="str">
            <v>Yes</v>
          </cell>
          <cell r="M80" t="str">
            <v>0-6 mo</v>
          </cell>
          <cell r="N80" t="str">
            <v>46-60 yrs</v>
          </cell>
        </row>
        <row r="81">
          <cell r="A81" t="str">
            <v>C1080</v>
          </cell>
          <cell r="E81" t="str">
            <v>Indore</v>
          </cell>
          <cell r="F81" t="str">
            <v>One year</v>
          </cell>
          <cell r="H81">
            <v>699</v>
          </cell>
          <cell r="J81" t="str">
            <v>DSL</v>
          </cell>
          <cell r="L81" t="str">
            <v>No</v>
          </cell>
          <cell r="M81" t="str">
            <v>7-12 mo</v>
          </cell>
          <cell r="N81" t="str">
            <v>46-60 yrs</v>
          </cell>
        </row>
        <row r="82">
          <cell r="A82" t="str">
            <v>C1081</v>
          </cell>
          <cell r="E82" t="str">
            <v>Indore</v>
          </cell>
          <cell r="F82" t="str">
            <v>Two year</v>
          </cell>
          <cell r="H82">
            <v>1199</v>
          </cell>
          <cell r="J82" t="str">
            <v>Fiber</v>
          </cell>
          <cell r="L82" t="str">
            <v>No</v>
          </cell>
          <cell r="M82" t="str">
            <v>25-48 mo</v>
          </cell>
          <cell r="N82" t="str">
            <v>18-25 yrs</v>
          </cell>
        </row>
        <row r="83">
          <cell r="A83" t="str">
            <v>C1082</v>
          </cell>
          <cell r="E83" t="str">
            <v>Bangalore</v>
          </cell>
          <cell r="F83" t="str">
            <v>Month-to-month</v>
          </cell>
          <cell r="H83">
            <v>349</v>
          </cell>
          <cell r="J83" t="str">
            <v>No Internet</v>
          </cell>
          <cell r="L83" t="str">
            <v>Yes</v>
          </cell>
          <cell r="M83" t="str">
            <v>13-24 mo</v>
          </cell>
          <cell r="N83" t="str">
            <v>46-60 yrs</v>
          </cell>
        </row>
        <row r="84">
          <cell r="A84" t="str">
            <v>C1083</v>
          </cell>
          <cell r="E84" t="str">
            <v>Chandigarh</v>
          </cell>
          <cell r="F84" t="str">
            <v>Month-to-month</v>
          </cell>
          <cell r="H84">
            <v>1199</v>
          </cell>
          <cell r="J84" t="str">
            <v>Fiber</v>
          </cell>
          <cell r="L84" t="str">
            <v>No</v>
          </cell>
          <cell r="M84" t="str">
            <v>13-24 mo</v>
          </cell>
          <cell r="N84" t="str">
            <v>26-35 yrs</v>
          </cell>
        </row>
        <row r="85">
          <cell r="A85" t="str">
            <v>C1084</v>
          </cell>
          <cell r="E85" t="str">
            <v>Kochi</v>
          </cell>
          <cell r="F85" t="str">
            <v>Month-to-month</v>
          </cell>
          <cell r="H85">
            <v>999</v>
          </cell>
          <cell r="J85" t="str">
            <v>Fiber</v>
          </cell>
          <cell r="L85" t="str">
            <v>No</v>
          </cell>
          <cell r="M85" t="str">
            <v>7-12 mo</v>
          </cell>
          <cell r="N85" t="str">
            <v>46-60 yrs</v>
          </cell>
        </row>
        <row r="86">
          <cell r="A86" t="str">
            <v>C1085</v>
          </cell>
          <cell r="E86" t="str">
            <v>Ahmedabad</v>
          </cell>
          <cell r="F86" t="str">
            <v>One year</v>
          </cell>
          <cell r="H86">
            <v>399</v>
          </cell>
          <cell r="J86" t="str">
            <v>No Internet</v>
          </cell>
          <cell r="L86" t="str">
            <v>No</v>
          </cell>
          <cell r="M86" t="str">
            <v>25-48 mo</v>
          </cell>
          <cell r="N86" t="str">
            <v>60+ yrs</v>
          </cell>
        </row>
        <row r="87">
          <cell r="A87" t="str">
            <v>C1086</v>
          </cell>
          <cell r="E87" t="str">
            <v>Chandigarh</v>
          </cell>
          <cell r="F87" t="str">
            <v>Month-to-month</v>
          </cell>
          <cell r="H87">
            <v>349</v>
          </cell>
          <cell r="J87" t="str">
            <v>No Internet</v>
          </cell>
          <cell r="L87" t="str">
            <v>No</v>
          </cell>
          <cell r="M87" t="str">
            <v>0-6 mo</v>
          </cell>
          <cell r="N87" t="str">
            <v>36-45 yrs</v>
          </cell>
        </row>
        <row r="88">
          <cell r="A88" t="str">
            <v>C1087</v>
          </cell>
          <cell r="E88" t="str">
            <v>Chennai</v>
          </cell>
          <cell r="F88" t="str">
            <v>Month-to-month</v>
          </cell>
          <cell r="H88">
            <v>1299</v>
          </cell>
          <cell r="J88" t="str">
            <v>Fiber</v>
          </cell>
          <cell r="L88" t="str">
            <v>No</v>
          </cell>
          <cell r="M88" t="str">
            <v>Unknown</v>
          </cell>
          <cell r="N88" t="str">
            <v>60+ yrs</v>
          </cell>
        </row>
        <row r="89">
          <cell r="A89" t="str">
            <v>C1088</v>
          </cell>
          <cell r="E89" t="str">
            <v>Kochi</v>
          </cell>
          <cell r="F89" t="str">
            <v>Month-to-month</v>
          </cell>
          <cell r="H89">
            <v>999</v>
          </cell>
          <cell r="J89" t="str">
            <v>Fiber</v>
          </cell>
          <cell r="L89" t="str">
            <v>No</v>
          </cell>
          <cell r="M89" t="str">
            <v>13-24 mo</v>
          </cell>
          <cell r="N89" t="str">
            <v>60+ yrs</v>
          </cell>
        </row>
        <row r="90">
          <cell r="A90" t="str">
            <v>C1089</v>
          </cell>
          <cell r="E90" t="str">
            <v>Indore</v>
          </cell>
          <cell r="F90" t="str">
            <v>One year</v>
          </cell>
          <cell r="H90">
            <v>849</v>
          </cell>
          <cell r="J90" t="str">
            <v>DSL</v>
          </cell>
          <cell r="L90" t="str">
            <v>Yes</v>
          </cell>
          <cell r="M90" t="str">
            <v>7-12 mo</v>
          </cell>
          <cell r="N90" t="str">
            <v>60+ yrs</v>
          </cell>
        </row>
        <row r="91">
          <cell r="A91" t="str">
            <v>C1090</v>
          </cell>
          <cell r="E91" t="str">
            <v>Kolkata</v>
          </cell>
          <cell r="F91" t="str">
            <v>Month-to-month</v>
          </cell>
          <cell r="H91">
            <v>1299</v>
          </cell>
          <cell r="J91" t="str">
            <v>Fiber</v>
          </cell>
          <cell r="L91" t="str">
            <v>Yes</v>
          </cell>
          <cell r="M91" t="str">
            <v>13-24 mo</v>
          </cell>
          <cell r="N91" t="str">
            <v>46-60 yrs</v>
          </cell>
        </row>
        <row r="92">
          <cell r="A92" t="str">
            <v>C1091</v>
          </cell>
          <cell r="E92" t="str">
            <v>Ahmedabad</v>
          </cell>
          <cell r="F92" t="str">
            <v>Two year</v>
          </cell>
          <cell r="H92">
            <v>849</v>
          </cell>
          <cell r="J92" t="str">
            <v>DSL</v>
          </cell>
          <cell r="L92" t="str">
            <v>No</v>
          </cell>
          <cell r="M92" t="str">
            <v>49+ mo</v>
          </cell>
          <cell r="N92" t="str">
            <v>26-35 yrs</v>
          </cell>
        </row>
        <row r="93">
          <cell r="A93" t="str">
            <v>C1092</v>
          </cell>
          <cell r="E93" t="str">
            <v>Bangalore</v>
          </cell>
          <cell r="F93" t="str">
            <v>Month-to-month</v>
          </cell>
          <cell r="H93">
            <v>499</v>
          </cell>
          <cell r="J93" t="str">
            <v>No Internet</v>
          </cell>
          <cell r="L93" t="str">
            <v>No</v>
          </cell>
          <cell r="M93" t="str">
            <v>13-24 mo</v>
          </cell>
          <cell r="N93" t="str">
            <v>46-60 yrs</v>
          </cell>
        </row>
        <row r="94">
          <cell r="A94" t="str">
            <v>C1093</v>
          </cell>
          <cell r="E94" t="str">
            <v>Ahmedabad</v>
          </cell>
          <cell r="F94" t="str">
            <v>Month-to-month</v>
          </cell>
          <cell r="H94">
            <v>1049</v>
          </cell>
          <cell r="J94" t="str">
            <v>Fiber</v>
          </cell>
          <cell r="L94" t="str">
            <v>Yes</v>
          </cell>
          <cell r="M94" t="str">
            <v>7-12 mo</v>
          </cell>
          <cell r="N94" t="str">
            <v>60+ yrs</v>
          </cell>
        </row>
        <row r="95">
          <cell r="A95" t="str">
            <v>C1094</v>
          </cell>
          <cell r="E95" t="str">
            <v>Chandigarh</v>
          </cell>
          <cell r="F95" t="str">
            <v>One year</v>
          </cell>
          <cell r="H95">
            <v>1199</v>
          </cell>
          <cell r="J95" t="str">
            <v>Fiber</v>
          </cell>
          <cell r="L95" t="str">
            <v>No</v>
          </cell>
          <cell r="M95" t="str">
            <v>0-6 mo</v>
          </cell>
          <cell r="N95" t="str">
            <v>46-60 yrs</v>
          </cell>
        </row>
        <row r="96">
          <cell r="A96" t="str">
            <v>C1095</v>
          </cell>
          <cell r="E96" t="str">
            <v>Pune</v>
          </cell>
          <cell r="F96" t="str">
            <v>Month-to-month</v>
          </cell>
          <cell r="H96">
            <v>849</v>
          </cell>
          <cell r="J96" t="str">
            <v>DSL</v>
          </cell>
          <cell r="L96" t="str">
            <v>No</v>
          </cell>
          <cell r="M96" t="str">
            <v>7-12 mo</v>
          </cell>
          <cell r="N96" t="str">
            <v>60+ yrs</v>
          </cell>
        </row>
        <row r="97">
          <cell r="A97" t="str">
            <v>C1096</v>
          </cell>
          <cell r="E97" t="str">
            <v>Lucknow</v>
          </cell>
          <cell r="F97" t="str">
            <v>Month-to-month</v>
          </cell>
          <cell r="H97">
            <v>699</v>
          </cell>
          <cell r="J97" t="str">
            <v>DSL</v>
          </cell>
          <cell r="L97" t="str">
            <v>Yes</v>
          </cell>
          <cell r="M97" t="str">
            <v>7-12 mo</v>
          </cell>
          <cell r="N97" t="str">
            <v>18-25 yrs</v>
          </cell>
        </row>
        <row r="98">
          <cell r="A98" t="str">
            <v>C1097</v>
          </cell>
          <cell r="E98" t="str">
            <v>Chandigarh</v>
          </cell>
          <cell r="F98" t="str">
            <v>Month-to-month</v>
          </cell>
          <cell r="H98">
            <v>449</v>
          </cell>
          <cell r="J98" t="str">
            <v>No Internet</v>
          </cell>
          <cell r="L98" t="str">
            <v>No</v>
          </cell>
          <cell r="M98" t="str">
            <v>13-24 mo</v>
          </cell>
          <cell r="N98" t="str">
            <v>26-35 yrs</v>
          </cell>
        </row>
        <row r="99">
          <cell r="A99" t="str">
            <v>C1098</v>
          </cell>
          <cell r="E99" t="str">
            <v>Indore</v>
          </cell>
          <cell r="F99" t="str">
            <v>One year</v>
          </cell>
          <cell r="H99">
            <v>499</v>
          </cell>
          <cell r="J99" t="str">
            <v>No Internet</v>
          </cell>
          <cell r="L99" t="str">
            <v>Yes</v>
          </cell>
          <cell r="M99" t="str">
            <v>25-48 mo</v>
          </cell>
          <cell r="N99" t="str">
            <v>60+ yrs</v>
          </cell>
        </row>
        <row r="100">
          <cell r="A100" t="str">
            <v>C1099</v>
          </cell>
          <cell r="E100" t="str">
            <v>Bhopal</v>
          </cell>
          <cell r="F100" t="str">
            <v>One year</v>
          </cell>
          <cell r="H100">
            <v>1199</v>
          </cell>
          <cell r="J100" t="str">
            <v>Fiber</v>
          </cell>
          <cell r="L100" t="str">
            <v>No</v>
          </cell>
          <cell r="M100" t="str">
            <v>13-24 mo</v>
          </cell>
          <cell r="N100" t="str">
            <v>60+ yrs</v>
          </cell>
        </row>
        <row r="101">
          <cell r="A101" t="str">
            <v>C1100</v>
          </cell>
          <cell r="E101" t="str">
            <v>Mumbai</v>
          </cell>
          <cell r="F101" t="str">
            <v>One year</v>
          </cell>
          <cell r="H101">
            <v>1099</v>
          </cell>
          <cell r="J101" t="str">
            <v>Fiber</v>
          </cell>
          <cell r="L101" t="str">
            <v>Yes</v>
          </cell>
          <cell r="M101" t="str">
            <v>13-24 mo</v>
          </cell>
          <cell r="N101" t="str">
            <v>46-60 yrs</v>
          </cell>
        </row>
        <row r="102">
          <cell r="A102" t="str">
            <v>C1101</v>
          </cell>
          <cell r="E102" t="str">
            <v>Hyderabad</v>
          </cell>
          <cell r="F102" t="str">
            <v>Two year</v>
          </cell>
          <cell r="H102">
            <v>699</v>
          </cell>
          <cell r="J102" t="str">
            <v>DSL</v>
          </cell>
          <cell r="L102" t="str">
            <v>No</v>
          </cell>
          <cell r="M102" t="str">
            <v>49+ mo</v>
          </cell>
          <cell r="N102" t="str">
            <v>18-25 yrs</v>
          </cell>
        </row>
        <row r="103">
          <cell r="A103" t="str">
            <v>C1102</v>
          </cell>
          <cell r="E103" t="str">
            <v>Chandigarh</v>
          </cell>
          <cell r="F103" t="str">
            <v>Month-to-month</v>
          </cell>
          <cell r="H103">
            <v>1199</v>
          </cell>
          <cell r="J103" t="str">
            <v>Fiber</v>
          </cell>
          <cell r="L103" t="str">
            <v>Yes</v>
          </cell>
          <cell r="M103" t="str">
            <v>7-12 mo</v>
          </cell>
          <cell r="N103" t="str">
            <v>18-25 yrs</v>
          </cell>
        </row>
        <row r="104">
          <cell r="A104" t="str">
            <v>C1103</v>
          </cell>
          <cell r="E104" t="str">
            <v>Unknown</v>
          </cell>
          <cell r="F104" t="str">
            <v>Month-to-month</v>
          </cell>
          <cell r="H104">
            <v>449</v>
          </cell>
          <cell r="J104" t="str">
            <v>No Internet</v>
          </cell>
          <cell r="L104" t="str">
            <v>Yes</v>
          </cell>
          <cell r="M104" t="str">
            <v>7-12 mo</v>
          </cell>
          <cell r="N104" t="str">
            <v>60+ yrs</v>
          </cell>
        </row>
        <row r="105">
          <cell r="A105" t="str">
            <v>C1104</v>
          </cell>
          <cell r="E105" t="str">
            <v>Indore</v>
          </cell>
          <cell r="F105" t="str">
            <v>One year</v>
          </cell>
          <cell r="H105">
            <v>399</v>
          </cell>
          <cell r="J105" t="str">
            <v>No Internet</v>
          </cell>
          <cell r="L105" t="str">
            <v>No</v>
          </cell>
          <cell r="M105" t="str">
            <v>0-6 mo</v>
          </cell>
          <cell r="N105" t="str">
            <v>26-35 yrs</v>
          </cell>
        </row>
        <row r="106">
          <cell r="A106" t="str">
            <v>C1105</v>
          </cell>
          <cell r="E106" t="str">
            <v>Lucknow</v>
          </cell>
          <cell r="F106" t="str">
            <v>Month-to-month</v>
          </cell>
          <cell r="H106">
            <v>549</v>
          </cell>
          <cell r="J106" t="str">
            <v>Unknown</v>
          </cell>
          <cell r="L106" t="str">
            <v>Yes</v>
          </cell>
          <cell r="M106" t="str">
            <v>7-12 mo</v>
          </cell>
          <cell r="N106" t="str">
            <v>46-60 yrs</v>
          </cell>
        </row>
        <row r="107">
          <cell r="A107" t="str">
            <v>C1106</v>
          </cell>
          <cell r="E107" t="str">
            <v>Kochi</v>
          </cell>
          <cell r="F107" t="str">
            <v>Month-to-month</v>
          </cell>
          <cell r="H107">
            <v>899</v>
          </cell>
          <cell r="J107" t="str">
            <v>Fiber</v>
          </cell>
          <cell r="L107" t="str">
            <v>No</v>
          </cell>
          <cell r="M107" t="str">
            <v>0-6 mo</v>
          </cell>
          <cell r="N107" t="str">
            <v>26-35 yrs</v>
          </cell>
        </row>
        <row r="108">
          <cell r="A108" t="str">
            <v>C1107</v>
          </cell>
          <cell r="E108" t="str">
            <v>Delhi</v>
          </cell>
          <cell r="F108" t="str">
            <v>Month-to-month</v>
          </cell>
          <cell r="H108">
            <v>899</v>
          </cell>
          <cell r="J108" t="str">
            <v>Fiber</v>
          </cell>
          <cell r="L108" t="str">
            <v>Yes</v>
          </cell>
          <cell r="M108" t="str">
            <v>0-6 mo</v>
          </cell>
          <cell r="N108" t="str">
            <v>26-35 yrs</v>
          </cell>
        </row>
        <row r="109">
          <cell r="A109" t="str">
            <v>C1108</v>
          </cell>
          <cell r="E109" t="str">
            <v>Lucknow</v>
          </cell>
          <cell r="F109" t="str">
            <v>Month-to-month</v>
          </cell>
          <cell r="H109">
            <v>1049</v>
          </cell>
          <cell r="J109" t="str">
            <v>Fiber</v>
          </cell>
          <cell r="L109" t="str">
            <v>No</v>
          </cell>
          <cell r="M109" t="str">
            <v>13-24 mo</v>
          </cell>
          <cell r="N109" t="str">
            <v>26-35 yrs</v>
          </cell>
        </row>
        <row r="110">
          <cell r="A110" t="str">
            <v>C1109</v>
          </cell>
          <cell r="E110" t="str">
            <v>Indore</v>
          </cell>
          <cell r="F110" t="str">
            <v>Month-to-month</v>
          </cell>
          <cell r="H110">
            <v>899</v>
          </cell>
          <cell r="J110" t="str">
            <v>Fiber</v>
          </cell>
          <cell r="L110" t="str">
            <v>No</v>
          </cell>
          <cell r="M110" t="str">
            <v>13-24 mo</v>
          </cell>
          <cell r="N110" t="str">
            <v>36-45 yrs</v>
          </cell>
        </row>
        <row r="111">
          <cell r="A111" t="str">
            <v>C1110</v>
          </cell>
          <cell r="E111" t="str">
            <v>Lucknow</v>
          </cell>
          <cell r="F111" t="str">
            <v>Month-to-month</v>
          </cell>
          <cell r="H111">
            <v>799</v>
          </cell>
          <cell r="J111" t="str">
            <v>DSL</v>
          </cell>
          <cell r="L111" t="str">
            <v>No</v>
          </cell>
          <cell r="M111" t="str">
            <v>13-24 mo</v>
          </cell>
          <cell r="N111" t="str">
            <v>46-60 yrs</v>
          </cell>
        </row>
        <row r="112">
          <cell r="A112" t="str">
            <v>C1111</v>
          </cell>
          <cell r="E112" t="str">
            <v>Kochi</v>
          </cell>
          <cell r="F112" t="str">
            <v>One year</v>
          </cell>
          <cell r="H112">
            <v>499</v>
          </cell>
          <cell r="J112" t="str">
            <v>No Internet</v>
          </cell>
          <cell r="L112" t="str">
            <v>No</v>
          </cell>
          <cell r="M112" t="str">
            <v>25-48 mo</v>
          </cell>
          <cell r="N112" t="str">
            <v>46-60 yrs</v>
          </cell>
        </row>
        <row r="113">
          <cell r="A113" t="str">
            <v>C1112</v>
          </cell>
          <cell r="E113" t="str">
            <v>Pune</v>
          </cell>
          <cell r="F113" t="str">
            <v>Month-to-month</v>
          </cell>
          <cell r="H113">
            <v>1199</v>
          </cell>
          <cell r="J113" t="str">
            <v>Fiber</v>
          </cell>
          <cell r="L113" t="str">
            <v>Yes</v>
          </cell>
          <cell r="M113" t="str">
            <v>7-12 mo</v>
          </cell>
          <cell r="N113" t="str">
            <v>18-25 yrs</v>
          </cell>
        </row>
        <row r="114">
          <cell r="A114" t="str">
            <v>C1113</v>
          </cell>
          <cell r="E114" t="str">
            <v>Bhopal</v>
          </cell>
          <cell r="F114" t="str">
            <v>One year</v>
          </cell>
          <cell r="H114">
            <v>549</v>
          </cell>
          <cell r="J114" t="str">
            <v>Unknown</v>
          </cell>
          <cell r="L114" t="str">
            <v>No</v>
          </cell>
          <cell r="M114" t="str">
            <v>25-48 mo</v>
          </cell>
          <cell r="N114" t="str">
            <v>18-25 yrs</v>
          </cell>
        </row>
        <row r="115">
          <cell r="A115" t="str">
            <v>C1114</v>
          </cell>
          <cell r="E115" t="str">
            <v>Indore</v>
          </cell>
          <cell r="F115" t="str">
            <v>Two year</v>
          </cell>
          <cell r="H115">
            <v>1149</v>
          </cell>
          <cell r="J115" t="str">
            <v>Fiber</v>
          </cell>
          <cell r="L115" t="str">
            <v>No</v>
          </cell>
          <cell r="M115" t="str">
            <v>7-12 mo</v>
          </cell>
          <cell r="N115" t="str">
            <v>60+ yrs</v>
          </cell>
        </row>
        <row r="116">
          <cell r="A116" t="str">
            <v>C1115</v>
          </cell>
          <cell r="E116" t="str">
            <v>Hyderabad</v>
          </cell>
          <cell r="F116" t="str">
            <v>Two year</v>
          </cell>
          <cell r="H116">
            <v>899</v>
          </cell>
          <cell r="J116" t="str">
            <v>Fiber</v>
          </cell>
          <cell r="L116" t="str">
            <v>No</v>
          </cell>
          <cell r="M116" t="str">
            <v>49+ mo</v>
          </cell>
          <cell r="N116" t="str">
            <v>46-60 yrs</v>
          </cell>
        </row>
        <row r="117">
          <cell r="A117" t="str">
            <v>C1116</v>
          </cell>
          <cell r="E117" t="str">
            <v>Indore</v>
          </cell>
          <cell r="F117" t="str">
            <v>One year</v>
          </cell>
          <cell r="H117">
            <v>599</v>
          </cell>
          <cell r="J117" t="str">
            <v>DSL</v>
          </cell>
          <cell r="L117" t="str">
            <v>No</v>
          </cell>
          <cell r="M117" t="str">
            <v>13-24 mo</v>
          </cell>
          <cell r="N117" t="str">
            <v>46-60 yrs</v>
          </cell>
        </row>
        <row r="118">
          <cell r="A118" t="str">
            <v>C1117</v>
          </cell>
          <cell r="E118" t="str">
            <v>Chandigarh</v>
          </cell>
          <cell r="F118" t="str">
            <v>Month-to-month</v>
          </cell>
          <cell r="H118">
            <v>1199</v>
          </cell>
          <cell r="J118" t="str">
            <v>Fiber</v>
          </cell>
          <cell r="L118" t="str">
            <v>Yes</v>
          </cell>
          <cell r="M118" t="str">
            <v>0-6 mo</v>
          </cell>
          <cell r="N118" t="str">
            <v>26-35 yrs</v>
          </cell>
        </row>
        <row r="119">
          <cell r="A119" t="str">
            <v>C1118</v>
          </cell>
          <cell r="E119" t="str">
            <v>Pune</v>
          </cell>
          <cell r="F119" t="str">
            <v>Month-to-month</v>
          </cell>
          <cell r="H119">
            <v>899</v>
          </cell>
          <cell r="J119" t="str">
            <v>DSL</v>
          </cell>
          <cell r="L119" t="str">
            <v>Yes</v>
          </cell>
          <cell r="M119" t="str">
            <v>7-12 mo</v>
          </cell>
          <cell r="N119" t="str">
            <v>46-60 yrs</v>
          </cell>
        </row>
        <row r="120">
          <cell r="A120" t="str">
            <v>C1119</v>
          </cell>
          <cell r="E120" t="str">
            <v>Indore</v>
          </cell>
          <cell r="F120" t="str">
            <v>Month-to-month</v>
          </cell>
          <cell r="H120">
            <v>1149</v>
          </cell>
          <cell r="J120" t="str">
            <v>Fiber</v>
          </cell>
          <cell r="L120" t="str">
            <v>Yes</v>
          </cell>
          <cell r="M120" t="str">
            <v>13-24 mo</v>
          </cell>
          <cell r="N120" t="str">
            <v>18-25 yrs</v>
          </cell>
        </row>
        <row r="121">
          <cell r="A121" t="str">
            <v>C1120</v>
          </cell>
          <cell r="E121" t="str">
            <v>Chennai</v>
          </cell>
          <cell r="F121" t="str">
            <v>One year</v>
          </cell>
          <cell r="H121">
            <v>1049</v>
          </cell>
          <cell r="J121" t="str">
            <v>Fiber</v>
          </cell>
          <cell r="L121" t="str">
            <v>No</v>
          </cell>
          <cell r="M121" t="str">
            <v>25-48 mo</v>
          </cell>
          <cell r="N121" t="str">
            <v>18-25 yrs</v>
          </cell>
        </row>
        <row r="122">
          <cell r="A122" t="str">
            <v>C1121</v>
          </cell>
          <cell r="E122" t="str">
            <v>Hyderabad</v>
          </cell>
          <cell r="F122" t="str">
            <v>One year</v>
          </cell>
          <cell r="H122">
            <v>899</v>
          </cell>
          <cell r="J122" t="str">
            <v>Fiber</v>
          </cell>
          <cell r="L122" t="str">
            <v>No</v>
          </cell>
          <cell r="M122" t="str">
            <v>13-24 mo</v>
          </cell>
          <cell r="N122" t="str">
            <v>46-60 yrs</v>
          </cell>
        </row>
        <row r="123">
          <cell r="A123" t="str">
            <v>C1122</v>
          </cell>
          <cell r="E123" t="str">
            <v>Bhopal</v>
          </cell>
          <cell r="F123" t="str">
            <v>Month-to-month</v>
          </cell>
          <cell r="H123">
            <v>1049</v>
          </cell>
          <cell r="J123" t="str">
            <v>Fiber</v>
          </cell>
          <cell r="L123" t="str">
            <v>Yes</v>
          </cell>
          <cell r="M123" t="str">
            <v>13-24 mo</v>
          </cell>
          <cell r="N123" t="str">
            <v>46-60 yrs</v>
          </cell>
        </row>
        <row r="124">
          <cell r="A124" t="str">
            <v>C1123</v>
          </cell>
          <cell r="E124" t="str">
            <v>Mumbai</v>
          </cell>
          <cell r="F124" t="str">
            <v>Two year</v>
          </cell>
          <cell r="H124">
            <v>1199</v>
          </cell>
          <cell r="J124" t="str">
            <v>Fiber</v>
          </cell>
          <cell r="L124" t="str">
            <v>No</v>
          </cell>
          <cell r="M124" t="str">
            <v>49+ mo</v>
          </cell>
          <cell r="N124" t="str">
            <v>46-60 yrs</v>
          </cell>
        </row>
        <row r="125">
          <cell r="A125" t="str">
            <v>C1124</v>
          </cell>
          <cell r="E125" t="str">
            <v>Lucknow</v>
          </cell>
          <cell r="F125" t="str">
            <v>Month-to-month</v>
          </cell>
          <cell r="H125">
            <v>1099</v>
          </cell>
          <cell r="J125" t="str">
            <v>Fiber</v>
          </cell>
          <cell r="L125" t="str">
            <v>Yes</v>
          </cell>
          <cell r="M125" t="str">
            <v>7-12 mo</v>
          </cell>
          <cell r="N125" t="str">
            <v>60+ yrs</v>
          </cell>
        </row>
        <row r="126">
          <cell r="A126" t="str">
            <v>C1125</v>
          </cell>
          <cell r="E126" t="str">
            <v>Chandigarh</v>
          </cell>
          <cell r="F126" t="str">
            <v>Month-to-month</v>
          </cell>
          <cell r="H126">
            <v>899</v>
          </cell>
          <cell r="J126" t="str">
            <v>DSL</v>
          </cell>
          <cell r="L126" t="str">
            <v>No</v>
          </cell>
          <cell r="M126" t="str">
            <v>7-12 mo</v>
          </cell>
          <cell r="N126" t="str">
            <v>36-45 yrs</v>
          </cell>
        </row>
        <row r="127">
          <cell r="A127" t="str">
            <v>C1126</v>
          </cell>
          <cell r="E127" t="str">
            <v>Chandigarh</v>
          </cell>
          <cell r="F127" t="str">
            <v>One year</v>
          </cell>
          <cell r="H127">
            <v>649</v>
          </cell>
          <cell r="J127" t="str">
            <v>DSL</v>
          </cell>
          <cell r="L127" t="str">
            <v>No</v>
          </cell>
          <cell r="M127" t="str">
            <v>7-12 mo</v>
          </cell>
          <cell r="N127" t="str">
            <v>60+ yrs</v>
          </cell>
        </row>
        <row r="128">
          <cell r="A128" t="str">
            <v>C1127</v>
          </cell>
          <cell r="E128" t="str">
            <v>Ahmedabad</v>
          </cell>
          <cell r="F128" t="str">
            <v>Unknown</v>
          </cell>
          <cell r="H128">
            <v>1149</v>
          </cell>
          <cell r="J128" t="str">
            <v>Fiber</v>
          </cell>
          <cell r="L128" t="str">
            <v>No</v>
          </cell>
          <cell r="M128" t="str">
            <v>25-48 mo</v>
          </cell>
          <cell r="N128" t="str">
            <v>46-60 yrs</v>
          </cell>
        </row>
        <row r="129">
          <cell r="A129" t="str">
            <v>C1128</v>
          </cell>
          <cell r="E129" t="str">
            <v>Ahmedabad</v>
          </cell>
          <cell r="F129" t="str">
            <v>Month-to-month</v>
          </cell>
          <cell r="H129">
            <v>799</v>
          </cell>
          <cell r="J129" t="str">
            <v>DSL</v>
          </cell>
          <cell r="L129" t="str">
            <v>No</v>
          </cell>
          <cell r="M129" t="str">
            <v>7-12 mo</v>
          </cell>
          <cell r="N129" t="str">
            <v>18-25 yrs</v>
          </cell>
        </row>
        <row r="130">
          <cell r="A130" t="str">
            <v>C1129</v>
          </cell>
          <cell r="E130" t="str">
            <v>Pune</v>
          </cell>
          <cell r="F130" t="str">
            <v>Two year</v>
          </cell>
          <cell r="H130">
            <v>799</v>
          </cell>
          <cell r="J130" t="str">
            <v>DSL</v>
          </cell>
          <cell r="L130" t="str">
            <v>No</v>
          </cell>
          <cell r="M130" t="str">
            <v>7-12 mo</v>
          </cell>
          <cell r="N130" t="str">
            <v>18-25 yrs</v>
          </cell>
        </row>
        <row r="131">
          <cell r="A131" t="str">
            <v>C1130</v>
          </cell>
          <cell r="E131" t="str">
            <v>Hyderabad</v>
          </cell>
          <cell r="F131" t="str">
            <v>Month-to-month</v>
          </cell>
          <cell r="H131">
            <v>1099</v>
          </cell>
          <cell r="J131" t="str">
            <v>Fiber</v>
          </cell>
          <cell r="L131" t="str">
            <v>No</v>
          </cell>
          <cell r="M131" t="str">
            <v>0-6 mo</v>
          </cell>
          <cell r="N131" t="str">
            <v>46-60 yrs</v>
          </cell>
        </row>
        <row r="132">
          <cell r="A132" t="str">
            <v>C1131</v>
          </cell>
          <cell r="E132" t="str">
            <v>Bangalore</v>
          </cell>
          <cell r="F132" t="str">
            <v>Month-to-month</v>
          </cell>
          <cell r="H132">
            <v>1149</v>
          </cell>
          <cell r="J132" t="str">
            <v>Fiber</v>
          </cell>
          <cell r="L132" t="str">
            <v>Yes</v>
          </cell>
          <cell r="M132" t="str">
            <v>13-24 mo</v>
          </cell>
          <cell r="N132" t="str">
            <v>46-60 yrs</v>
          </cell>
        </row>
        <row r="133">
          <cell r="A133" t="str">
            <v>C1132</v>
          </cell>
          <cell r="E133" t="str">
            <v>Pune</v>
          </cell>
          <cell r="F133" t="str">
            <v>One year</v>
          </cell>
          <cell r="H133">
            <v>599</v>
          </cell>
          <cell r="J133" t="str">
            <v>DSL</v>
          </cell>
          <cell r="L133" t="str">
            <v>No</v>
          </cell>
          <cell r="M133" t="str">
            <v>13-24 mo</v>
          </cell>
          <cell r="N133" t="str">
            <v>60+ yrs</v>
          </cell>
        </row>
        <row r="134">
          <cell r="A134" t="str">
            <v>C1133</v>
          </cell>
          <cell r="E134" t="str">
            <v>Indore</v>
          </cell>
          <cell r="F134" t="str">
            <v>Two year</v>
          </cell>
          <cell r="H134">
            <v>899</v>
          </cell>
          <cell r="J134" t="str">
            <v>Fiber</v>
          </cell>
          <cell r="L134" t="str">
            <v>No</v>
          </cell>
          <cell r="M134" t="str">
            <v>13-24 mo</v>
          </cell>
          <cell r="N134" t="str">
            <v>60+ yrs</v>
          </cell>
        </row>
        <row r="135">
          <cell r="A135" t="str">
            <v>C1134</v>
          </cell>
          <cell r="E135" t="str">
            <v>Indore</v>
          </cell>
          <cell r="F135" t="str">
            <v>Month-to-month</v>
          </cell>
          <cell r="H135">
            <v>1149</v>
          </cell>
          <cell r="J135" t="str">
            <v>Fiber</v>
          </cell>
          <cell r="L135" t="str">
            <v>No</v>
          </cell>
          <cell r="M135" t="str">
            <v>0-6 mo</v>
          </cell>
          <cell r="N135" t="str">
            <v>60+ yrs</v>
          </cell>
        </row>
        <row r="136">
          <cell r="A136" t="str">
            <v>C1135</v>
          </cell>
          <cell r="E136" t="str">
            <v>Indore</v>
          </cell>
          <cell r="F136" t="str">
            <v>Month-to-month</v>
          </cell>
          <cell r="H136">
            <v>999</v>
          </cell>
          <cell r="J136" t="str">
            <v>Fiber</v>
          </cell>
          <cell r="L136" t="str">
            <v>Yes</v>
          </cell>
          <cell r="M136" t="str">
            <v>7-12 mo</v>
          </cell>
          <cell r="N136" t="str">
            <v>46-60 yrs</v>
          </cell>
        </row>
        <row r="137">
          <cell r="A137" t="str">
            <v>C1136</v>
          </cell>
          <cell r="E137" t="str">
            <v>Bangalore</v>
          </cell>
          <cell r="F137" t="str">
            <v>Month-to-month</v>
          </cell>
          <cell r="H137">
            <v>549</v>
          </cell>
          <cell r="J137" t="str">
            <v>No Internet</v>
          </cell>
          <cell r="L137" t="str">
            <v>No</v>
          </cell>
          <cell r="M137" t="str">
            <v>0-6 mo</v>
          </cell>
          <cell r="N137" t="str">
            <v>26-35 yrs</v>
          </cell>
        </row>
        <row r="138">
          <cell r="A138" t="str">
            <v>C1137</v>
          </cell>
          <cell r="E138" t="str">
            <v>Lucknow</v>
          </cell>
          <cell r="F138" t="str">
            <v>Month-to-month</v>
          </cell>
          <cell r="H138">
            <v>899</v>
          </cell>
          <cell r="J138" t="str">
            <v>DSL</v>
          </cell>
          <cell r="L138" t="str">
            <v>No</v>
          </cell>
          <cell r="M138" t="str">
            <v>13-24 mo</v>
          </cell>
          <cell r="N138" t="str">
            <v>26-35 yrs</v>
          </cell>
        </row>
        <row r="139">
          <cell r="A139" t="str">
            <v>C1138</v>
          </cell>
          <cell r="E139" t="str">
            <v>Hyderabad</v>
          </cell>
          <cell r="F139" t="str">
            <v>Two year</v>
          </cell>
          <cell r="H139">
            <v>1149</v>
          </cell>
          <cell r="J139" t="str">
            <v>Fiber</v>
          </cell>
          <cell r="L139" t="str">
            <v>No</v>
          </cell>
          <cell r="M139" t="str">
            <v>49+ mo</v>
          </cell>
          <cell r="N139" t="str">
            <v>60+ yrs</v>
          </cell>
        </row>
        <row r="140">
          <cell r="A140" t="str">
            <v>C1139</v>
          </cell>
          <cell r="E140" t="str">
            <v>Lucknow</v>
          </cell>
          <cell r="F140" t="str">
            <v>Two year</v>
          </cell>
          <cell r="H140">
            <v>1099</v>
          </cell>
          <cell r="J140" t="str">
            <v>Fiber</v>
          </cell>
          <cell r="L140" t="str">
            <v>No</v>
          </cell>
          <cell r="M140" t="str">
            <v>25-48 mo</v>
          </cell>
          <cell r="N140" t="str">
            <v>60+ yrs</v>
          </cell>
        </row>
        <row r="141">
          <cell r="A141" t="str">
            <v>C1140</v>
          </cell>
          <cell r="E141" t="str">
            <v>Chennai</v>
          </cell>
          <cell r="F141" t="str">
            <v>Month-to-month</v>
          </cell>
          <cell r="H141">
            <v>899</v>
          </cell>
          <cell r="J141" t="str">
            <v>Fiber</v>
          </cell>
          <cell r="L141" t="str">
            <v>No</v>
          </cell>
          <cell r="M141" t="str">
            <v>7-12 mo</v>
          </cell>
          <cell r="N141" t="str">
            <v>60+ yrs</v>
          </cell>
        </row>
        <row r="142">
          <cell r="A142" t="str">
            <v>C1141</v>
          </cell>
          <cell r="E142" t="str">
            <v>Jaipur</v>
          </cell>
          <cell r="F142" t="str">
            <v>Month-to-month</v>
          </cell>
          <cell r="H142">
            <v>1099</v>
          </cell>
          <cell r="J142" t="str">
            <v>Fiber</v>
          </cell>
          <cell r="L142" t="str">
            <v>No</v>
          </cell>
          <cell r="M142" t="str">
            <v>7-12 mo</v>
          </cell>
          <cell r="N142" t="str">
            <v>46-60 yrs</v>
          </cell>
        </row>
        <row r="143">
          <cell r="A143" t="str">
            <v>C1142</v>
          </cell>
          <cell r="E143" t="str">
            <v>Hyderabad</v>
          </cell>
          <cell r="F143" t="str">
            <v>Month-to-month</v>
          </cell>
          <cell r="H143">
            <v>599</v>
          </cell>
          <cell r="J143" t="str">
            <v>DSL</v>
          </cell>
          <cell r="L143" t="str">
            <v>No</v>
          </cell>
          <cell r="M143" t="str">
            <v>7-12 mo</v>
          </cell>
          <cell r="N143" t="str">
            <v>36-45 yrs</v>
          </cell>
        </row>
        <row r="144">
          <cell r="A144" t="str">
            <v>C1143</v>
          </cell>
          <cell r="E144" t="str">
            <v>Chennai</v>
          </cell>
          <cell r="F144" t="str">
            <v>Two year</v>
          </cell>
          <cell r="H144">
            <v>1199</v>
          </cell>
          <cell r="J144" t="str">
            <v>Fiber</v>
          </cell>
          <cell r="L144" t="str">
            <v>No</v>
          </cell>
          <cell r="M144" t="str">
            <v>13-24 mo</v>
          </cell>
          <cell r="N144" t="str">
            <v>18-25 yrs</v>
          </cell>
        </row>
        <row r="145">
          <cell r="A145" t="str">
            <v>C1144</v>
          </cell>
          <cell r="E145" t="str">
            <v>Chandigarh</v>
          </cell>
          <cell r="F145" t="str">
            <v>Month-to-month</v>
          </cell>
          <cell r="H145">
            <v>349</v>
          </cell>
          <cell r="J145" t="str">
            <v>No Internet</v>
          </cell>
          <cell r="L145" t="str">
            <v>No</v>
          </cell>
          <cell r="M145" t="str">
            <v>13-24 mo</v>
          </cell>
          <cell r="N145" t="str">
            <v>26-35 yrs</v>
          </cell>
        </row>
        <row r="146">
          <cell r="A146" t="str">
            <v>C1145</v>
          </cell>
          <cell r="E146" t="str">
            <v>Kolkata</v>
          </cell>
          <cell r="F146" t="str">
            <v>One year</v>
          </cell>
          <cell r="H146">
            <v>1299</v>
          </cell>
          <cell r="J146" t="str">
            <v>Fiber</v>
          </cell>
          <cell r="L146" t="str">
            <v>No</v>
          </cell>
          <cell r="M146" t="str">
            <v>0-6 mo</v>
          </cell>
          <cell r="N146" t="str">
            <v>26-35 yrs</v>
          </cell>
        </row>
        <row r="147">
          <cell r="A147" t="str">
            <v>C1146</v>
          </cell>
          <cell r="E147" t="str">
            <v>Delhi</v>
          </cell>
          <cell r="F147" t="str">
            <v>One year</v>
          </cell>
          <cell r="H147">
            <v>649</v>
          </cell>
          <cell r="J147" t="str">
            <v>DSL</v>
          </cell>
          <cell r="L147" t="str">
            <v>No</v>
          </cell>
          <cell r="M147" t="str">
            <v>25-48 mo</v>
          </cell>
          <cell r="N147" t="str">
            <v>36-45 yrs</v>
          </cell>
        </row>
        <row r="148">
          <cell r="A148" t="str">
            <v>C1147</v>
          </cell>
          <cell r="E148" t="str">
            <v>Kochi</v>
          </cell>
          <cell r="F148" t="str">
            <v>Two year</v>
          </cell>
          <cell r="H148">
            <v>1099</v>
          </cell>
          <cell r="J148" t="str">
            <v>Fiber</v>
          </cell>
          <cell r="L148" t="str">
            <v>No</v>
          </cell>
          <cell r="M148" t="str">
            <v>49+ mo</v>
          </cell>
          <cell r="N148" t="str">
            <v>46-60 yrs</v>
          </cell>
        </row>
        <row r="149">
          <cell r="A149" t="str">
            <v>C1148</v>
          </cell>
          <cell r="E149" t="str">
            <v>Mumbai</v>
          </cell>
          <cell r="F149" t="str">
            <v>Month-to-month</v>
          </cell>
          <cell r="H149">
            <v>1299</v>
          </cell>
          <cell r="J149" t="str">
            <v>Fiber</v>
          </cell>
          <cell r="L149" t="str">
            <v>No</v>
          </cell>
          <cell r="M149" t="str">
            <v>13-24 mo</v>
          </cell>
          <cell r="N149" t="str">
            <v>60+ yrs</v>
          </cell>
        </row>
        <row r="150">
          <cell r="A150" t="str">
            <v>C1149</v>
          </cell>
          <cell r="E150" t="str">
            <v>Pune</v>
          </cell>
          <cell r="F150" t="str">
            <v>Two year</v>
          </cell>
          <cell r="H150">
            <v>849</v>
          </cell>
          <cell r="J150" t="str">
            <v>DSL</v>
          </cell>
          <cell r="L150" t="str">
            <v>No</v>
          </cell>
          <cell r="M150" t="str">
            <v>49+ mo</v>
          </cell>
          <cell r="N150" t="str">
            <v>46-60 yrs</v>
          </cell>
        </row>
        <row r="151">
          <cell r="A151" t="str">
            <v>C1150</v>
          </cell>
          <cell r="E151" t="str">
            <v>Delhi</v>
          </cell>
          <cell r="F151" t="str">
            <v>One year</v>
          </cell>
          <cell r="H151">
            <v>499</v>
          </cell>
          <cell r="J151" t="str">
            <v>No Internet</v>
          </cell>
          <cell r="L151" t="str">
            <v>No</v>
          </cell>
          <cell r="M151" t="str">
            <v>13-24 mo</v>
          </cell>
          <cell r="N151" t="str">
            <v>26-35 yrs</v>
          </cell>
        </row>
        <row r="152">
          <cell r="A152" t="str">
            <v>C1151</v>
          </cell>
          <cell r="E152" t="str">
            <v>Indore</v>
          </cell>
          <cell r="F152" t="str">
            <v>Unknown</v>
          </cell>
          <cell r="H152">
            <v>1199</v>
          </cell>
          <cell r="J152" t="str">
            <v>Fiber</v>
          </cell>
          <cell r="L152" t="str">
            <v>Yes</v>
          </cell>
          <cell r="M152" t="str">
            <v>0-6 mo</v>
          </cell>
          <cell r="N152" t="str">
            <v>60+ yrs</v>
          </cell>
        </row>
        <row r="153">
          <cell r="A153" t="str">
            <v>C1152</v>
          </cell>
          <cell r="E153" t="str">
            <v>Ahmedabad</v>
          </cell>
          <cell r="F153" t="str">
            <v>Two year</v>
          </cell>
          <cell r="H153">
            <v>1199</v>
          </cell>
          <cell r="J153" t="str">
            <v>Fiber</v>
          </cell>
          <cell r="L153" t="str">
            <v>No</v>
          </cell>
          <cell r="M153" t="str">
            <v>13-24 mo</v>
          </cell>
          <cell r="N153" t="str">
            <v>60+ yrs</v>
          </cell>
        </row>
        <row r="154">
          <cell r="A154" t="str">
            <v>C1153</v>
          </cell>
          <cell r="E154" t="str">
            <v>Mumbai</v>
          </cell>
          <cell r="F154" t="str">
            <v>Month-to-month</v>
          </cell>
          <cell r="H154">
            <v>449</v>
          </cell>
          <cell r="J154" t="str">
            <v>No Internet</v>
          </cell>
          <cell r="L154" t="str">
            <v>Yes</v>
          </cell>
          <cell r="M154" t="str">
            <v>0-6 mo</v>
          </cell>
          <cell r="N154" t="str">
            <v>36-45 yrs</v>
          </cell>
        </row>
        <row r="155">
          <cell r="A155" t="str">
            <v>C1154</v>
          </cell>
          <cell r="E155" t="str">
            <v>Bhopal</v>
          </cell>
          <cell r="F155" t="str">
            <v>Month-to-month</v>
          </cell>
          <cell r="H155">
            <v>899</v>
          </cell>
          <cell r="J155" t="str">
            <v>Fiber</v>
          </cell>
          <cell r="L155" t="str">
            <v>No</v>
          </cell>
          <cell r="M155" t="str">
            <v>7-12 mo</v>
          </cell>
          <cell r="N155" t="str">
            <v>46-60 yrs</v>
          </cell>
        </row>
        <row r="156">
          <cell r="A156" t="str">
            <v>C1155</v>
          </cell>
          <cell r="E156" t="str">
            <v>Indore</v>
          </cell>
          <cell r="F156" t="str">
            <v>Month-to-month</v>
          </cell>
          <cell r="H156">
            <v>999</v>
          </cell>
          <cell r="J156" t="str">
            <v>Fiber</v>
          </cell>
          <cell r="L156" t="str">
            <v>Yes</v>
          </cell>
          <cell r="M156" t="str">
            <v>13-24 mo</v>
          </cell>
          <cell r="N156" t="str">
            <v>46-60 yrs</v>
          </cell>
        </row>
        <row r="157">
          <cell r="A157" t="str">
            <v>C1156</v>
          </cell>
          <cell r="E157" t="str">
            <v>Hyderabad</v>
          </cell>
          <cell r="F157" t="str">
            <v>One year</v>
          </cell>
          <cell r="H157">
            <v>899</v>
          </cell>
          <cell r="J157" t="str">
            <v>Fiber</v>
          </cell>
          <cell r="L157" t="str">
            <v>Yes</v>
          </cell>
          <cell r="M157" t="str">
            <v>25-48 mo</v>
          </cell>
          <cell r="N157" t="str">
            <v>18-25 yrs</v>
          </cell>
        </row>
        <row r="158">
          <cell r="A158" t="str">
            <v>C1157</v>
          </cell>
          <cell r="E158" t="str">
            <v>Mumbai</v>
          </cell>
          <cell r="F158" t="str">
            <v>One year</v>
          </cell>
          <cell r="H158">
            <v>1199</v>
          </cell>
          <cell r="J158" t="str">
            <v>Fiber</v>
          </cell>
          <cell r="L158" t="str">
            <v>No</v>
          </cell>
          <cell r="M158" t="str">
            <v>25-48 mo</v>
          </cell>
          <cell r="N158" t="str">
            <v>46-60 yrs</v>
          </cell>
        </row>
        <row r="159">
          <cell r="A159" t="str">
            <v>C1158</v>
          </cell>
          <cell r="E159" t="str">
            <v>Kolkata</v>
          </cell>
          <cell r="F159" t="str">
            <v>Two year</v>
          </cell>
          <cell r="H159">
            <v>849</v>
          </cell>
          <cell r="J159" t="str">
            <v>DSL</v>
          </cell>
          <cell r="L159" t="str">
            <v>No</v>
          </cell>
          <cell r="M159" t="str">
            <v>25-48 mo</v>
          </cell>
          <cell r="N159" t="str">
            <v>46-60 yrs</v>
          </cell>
        </row>
        <row r="160">
          <cell r="A160" t="str">
            <v>C1159</v>
          </cell>
          <cell r="E160" t="str">
            <v>Chandigarh</v>
          </cell>
          <cell r="F160" t="str">
            <v>Month-to-month</v>
          </cell>
          <cell r="H160">
            <v>749</v>
          </cell>
          <cell r="J160" t="str">
            <v>DSL</v>
          </cell>
          <cell r="L160" t="str">
            <v>No</v>
          </cell>
          <cell r="M160" t="str">
            <v>13-24 mo</v>
          </cell>
          <cell r="N160" t="str">
            <v>26-35 yrs</v>
          </cell>
        </row>
        <row r="161">
          <cell r="A161" t="str">
            <v>C1160</v>
          </cell>
          <cell r="E161" t="str">
            <v>Chennai</v>
          </cell>
          <cell r="F161" t="str">
            <v>Two year</v>
          </cell>
          <cell r="H161">
            <v>1049</v>
          </cell>
          <cell r="J161" t="str">
            <v>Fiber</v>
          </cell>
          <cell r="L161" t="str">
            <v>No</v>
          </cell>
          <cell r="M161" t="str">
            <v>13-24 mo</v>
          </cell>
          <cell r="N161" t="str">
            <v>36-45 yrs</v>
          </cell>
        </row>
        <row r="162">
          <cell r="A162" t="str">
            <v>C1161</v>
          </cell>
          <cell r="E162" t="str">
            <v>Pune</v>
          </cell>
          <cell r="F162" t="str">
            <v>One year</v>
          </cell>
          <cell r="H162">
            <v>1149</v>
          </cell>
          <cell r="J162" t="str">
            <v>Fiber</v>
          </cell>
          <cell r="L162" t="str">
            <v>Yes</v>
          </cell>
          <cell r="M162" t="str">
            <v>25-48 mo</v>
          </cell>
          <cell r="N162" t="str">
            <v>18-25 yrs</v>
          </cell>
        </row>
        <row r="163">
          <cell r="A163" t="str">
            <v>C1162</v>
          </cell>
          <cell r="E163" t="str">
            <v>Kolkata</v>
          </cell>
          <cell r="F163" t="str">
            <v>Two year</v>
          </cell>
          <cell r="H163">
            <v>849</v>
          </cell>
          <cell r="J163" t="str">
            <v>DSL</v>
          </cell>
          <cell r="L163" t="str">
            <v>No</v>
          </cell>
          <cell r="M163" t="str">
            <v>25-48 mo</v>
          </cell>
          <cell r="N163" t="str">
            <v>60+ yrs</v>
          </cell>
        </row>
        <row r="164">
          <cell r="A164" t="str">
            <v>C1163</v>
          </cell>
          <cell r="E164" t="str">
            <v>Lucknow</v>
          </cell>
          <cell r="F164" t="str">
            <v>Month-to-month</v>
          </cell>
          <cell r="H164">
            <v>349</v>
          </cell>
          <cell r="J164" t="str">
            <v>No Internet</v>
          </cell>
          <cell r="L164" t="str">
            <v>No</v>
          </cell>
          <cell r="M164" t="str">
            <v>13-24 mo</v>
          </cell>
          <cell r="N164" t="str">
            <v>46-60 yrs</v>
          </cell>
        </row>
        <row r="165">
          <cell r="A165" t="str">
            <v>C1164</v>
          </cell>
          <cell r="E165" t="str">
            <v>Pune</v>
          </cell>
          <cell r="F165" t="str">
            <v>Two year</v>
          </cell>
          <cell r="H165">
            <v>699</v>
          </cell>
          <cell r="J165" t="str">
            <v>DSL</v>
          </cell>
          <cell r="L165" t="str">
            <v>No</v>
          </cell>
          <cell r="M165" t="str">
            <v>49+ mo</v>
          </cell>
          <cell r="N165" t="str">
            <v>26-35 yrs</v>
          </cell>
        </row>
        <row r="166">
          <cell r="A166" t="str">
            <v>C1165</v>
          </cell>
          <cell r="E166" t="str">
            <v>Lucknow</v>
          </cell>
          <cell r="F166" t="str">
            <v>Month-to-month</v>
          </cell>
          <cell r="H166">
            <v>1149</v>
          </cell>
          <cell r="J166" t="str">
            <v>Fiber</v>
          </cell>
          <cell r="L166" t="str">
            <v>Yes</v>
          </cell>
          <cell r="M166" t="str">
            <v>0-6 mo</v>
          </cell>
          <cell r="N166" t="str">
            <v>36-45 yrs</v>
          </cell>
        </row>
        <row r="167">
          <cell r="A167" t="str">
            <v>C1166</v>
          </cell>
          <cell r="E167" t="str">
            <v>Chandigarh</v>
          </cell>
          <cell r="F167" t="str">
            <v>Month-to-month</v>
          </cell>
          <cell r="H167">
            <v>899</v>
          </cell>
          <cell r="J167" t="str">
            <v>DSL</v>
          </cell>
          <cell r="L167" t="str">
            <v>No</v>
          </cell>
          <cell r="M167" t="str">
            <v>13-24 mo</v>
          </cell>
          <cell r="N167" t="str">
            <v>60+ yrs</v>
          </cell>
        </row>
        <row r="168">
          <cell r="A168" t="str">
            <v>C1167</v>
          </cell>
          <cell r="E168" t="str">
            <v>Ahmedabad</v>
          </cell>
          <cell r="F168" t="str">
            <v>Two year</v>
          </cell>
          <cell r="H168">
            <v>999</v>
          </cell>
          <cell r="J168" t="str">
            <v>Fiber</v>
          </cell>
          <cell r="L168" t="str">
            <v>No</v>
          </cell>
          <cell r="M168" t="str">
            <v>25-48 mo</v>
          </cell>
          <cell r="N168" t="str">
            <v>18-25 yrs</v>
          </cell>
        </row>
        <row r="169">
          <cell r="A169" t="str">
            <v>C1168</v>
          </cell>
          <cell r="E169" t="str">
            <v>Ahmedabad</v>
          </cell>
          <cell r="F169" t="str">
            <v>Month-to-month</v>
          </cell>
          <cell r="H169">
            <v>699</v>
          </cell>
          <cell r="J169" t="str">
            <v>DSL</v>
          </cell>
          <cell r="L169" t="str">
            <v>No</v>
          </cell>
          <cell r="M169" t="str">
            <v>0-6 mo</v>
          </cell>
          <cell r="N169" t="str">
            <v>36-45 yrs</v>
          </cell>
        </row>
        <row r="170">
          <cell r="A170" t="str">
            <v>C1169</v>
          </cell>
          <cell r="E170" t="str">
            <v>Pune</v>
          </cell>
          <cell r="F170" t="str">
            <v>Month-to-month</v>
          </cell>
          <cell r="H170">
            <v>749</v>
          </cell>
          <cell r="J170" t="str">
            <v>DSL</v>
          </cell>
          <cell r="L170" t="str">
            <v>No</v>
          </cell>
          <cell r="M170" t="str">
            <v>7-12 mo</v>
          </cell>
          <cell r="N170" t="str">
            <v>60+ yrs</v>
          </cell>
        </row>
        <row r="171">
          <cell r="A171" t="str">
            <v>C1170</v>
          </cell>
          <cell r="E171" t="str">
            <v>Chandigarh</v>
          </cell>
          <cell r="F171" t="str">
            <v>One year</v>
          </cell>
          <cell r="H171">
            <v>899</v>
          </cell>
          <cell r="J171" t="str">
            <v>DSL</v>
          </cell>
          <cell r="L171" t="str">
            <v>No</v>
          </cell>
          <cell r="M171" t="str">
            <v>7-12 mo</v>
          </cell>
          <cell r="N171" t="str">
            <v>36-45 yrs</v>
          </cell>
        </row>
        <row r="172">
          <cell r="A172" t="str">
            <v>C1171</v>
          </cell>
          <cell r="E172" t="str">
            <v>Ahmedabad</v>
          </cell>
          <cell r="F172" t="str">
            <v>Two year</v>
          </cell>
          <cell r="H172">
            <v>1149</v>
          </cell>
          <cell r="J172" t="str">
            <v>Fiber</v>
          </cell>
          <cell r="L172" t="str">
            <v>No</v>
          </cell>
          <cell r="M172" t="str">
            <v>7-12 mo</v>
          </cell>
          <cell r="N172" t="str">
            <v>46-60 yrs</v>
          </cell>
        </row>
        <row r="173">
          <cell r="A173" t="str">
            <v>C1172</v>
          </cell>
          <cell r="E173" t="str">
            <v>Ahmedabad</v>
          </cell>
          <cell r="F173" t="str">
            <v>One year</v>
          </cell>
          <cell r="H173">
            <v>349</v>
          </cell>
          <cell r="J173" t="str">
            <v>No Internet</v>
          </cell>
          <cell r="L173" t="str">
            <v>No</v>
          </cell>
          <cell r="M173" t="str">
            <v>25-48 mo</v>
          </cell>
          <cell r="N173" t="str">
            <v>36-45 yrs</v>
          </cell>
        </row>
        <row r="174">
          <cell r="A174" t="str">
            <v>C1173</v>
          </cell>
          <cell r="E174" t="str">
            <v>Kochi</v>
          </cell>
          <cell r="F174" t="str">
            <v>Month-to-month</v>
          </cell>
          <cell r="H174">
            <v>799</v>
          </cell>
          <cell r="J174" t="str">
            <v>DSL</v>
          </cell>
          <cell r="L174" t="str">
            <v>Yes</v>
          </cell>
          <cell r="M174" t="str">
            <v>0-6 mo</v>
          </cell>
          <cell r="N174" t="str">
            <v>36-45 yrs</v>
          </cell>
        </row>
        <row r="175">
          <cell r="A175" t="str">
            <v>C1174</v>
          </cell>
          <cell r="E175" t="str">
            <v>Kochi</v>
          </cell>
          <cell r="F175" t="str">
            <v>Month-to-month</v>
          </cell>
          <cell r="H175">
            <v>349</v>
          </cell>
          <cell r="J175" t="str">
            <v>No Internet</v>
          </cell>
          <cell r="L175" t="str">
            <v>Yes</v>
          </cell>
          <cell r="M175" t="str">
            <v>13-24 mo</v>
          </cell>
          <cell r="N175" t="str">
            <v>46-60 yrs</v>
          </cell>
        </row>
        <row r="176">
          <cell r="A176" t="str">
            <v>C1175</v>
          </cell>
          <cell r="E176" t="str">
            <v>Pune</v>
          </cell>
          <cell r="F176" t="str">
            <v>One year</v>
          </cell>
          <cell r="H176">
            <v>749</v>
          </cell>
          <cell r="J176" t="str">
            <v>DSL</v>
          </cell>
          <cell r="L176" t="str">
            <v>Yes</v>
          </cell>
          <cell r="M176" t="str">
            <v>25-48 mo</v>
          </cell>
          <cell r="N176" t="str">
            <v>46-60 yrs</v>
          </cell>
        </row>
        <row r="177">
          <cell r="A177" t="str">
            <v>C1176</v>
          </cell>
          <cell r="E177" t="str">
            <v>Bangalore</v>
          </cell>
          <cell r="F177" t="str">
            <v>Unknown</v>
          </cell>
          <cell r="H177">
            <v>1049</v>
          </cell>
          <cell r="J177" t="str">
            <v>Fiber</v>
          </cell>
          <cell r="L177" t="str">
            <v>No</v>
          </cell>
          <cell r="M177" t="str">
            <v>13-24 mo</v>
          </cell>
          <cell r="N177" t="str">
            <v>46-60 yrs</v>
          </cell>
        </row>
        <row r="178">
          <cell r="A178" t="str">
            <v>C1177</v>
          </cell>
          <cell r="E178" t="str">
            <v>Chandigarh</v>
          </cell>
          <cell r="F178" t="str">
            <v>Month-to-month</v>
          </cell>
          <cell r="H178">
            <v>1099</v>
          </cell>
          <cell r="J178" t="str">
            <v>Fiber</v>
          </cell>
          <cell r="L178" t="str">
            <v>Yes</v>
          </cell>
          <cell r="M178" t="str">
            <v>13-24 mo</v>
          </cell>
          <cell r="N178" t="str">
            <v>46-60 yrs</v>
          </cell>
        </row>
        <row r="179">
          <cell r="A179" t="str">
            <v>C1178</v>
          </cell>
          <cell r="E179" t="str">
            <v>Kochi</v>
          </cell>
          <cell r="F179" t="str">
            <v>Unknown</v>
          </cell>
          <cell r="H179">
            <v>449</v>
          </cell>
          <cell r="J179" t="str">
            <v>No Internet</v>
          </cell>
          <cell r="L179" t="str">
            <v>No</v>
          </cell>
          <cell r="M179" t="str">
            <v>0-6 mo</v>
          </cell>
          <cell r="N179" t="str">
            <v>36-45 yrs</v>
          </cell>
        </row>
        <row r="180">
          <cell r="A180" t="str">
            <v>C1179</v>
          </cell>
          <cell r="E180" t="str">
            <v>Bangalore</v>
          </cell>
          <cell r="F180" t="str">
            <v>Month-to-month</v>
          </cell>
          <cell r="H180">
            <v>1299</v>
          </cell>
          <cell r="J180" t="str">
            <v>Fiber</v>
          </cell>
          <cell r="L180" t="str">
            <v>Yes</v>
          </cell>
          <cell r="M180" t="str">
            <v>13-24 mo</v>
          </cell>
          <cell r="N180" t="str">
            <v>46-60 yrs</v>
          </cell>
        </row>
        <row r="181">
          <cell r="A181" t="str">
            <v>C1180</v>
          </cell>
          <cell r="E181" t="str">
            <v>Pune</v>
          </cell>
          <cell r="F181" t="str">
            <v>Month-to-month</v>
          </cell>
          <cell r="H181">
            <v>1149</v>
          </cell>
          <cell r="J181" t="str">
            <v>Fiber</v>
          </cell>
          <cell r="L181" t="str">
            <v>No</v>
          </cell>
          <cell r="M181" t="str">
            <v>7-12 mo</v>
          </cell>
          <cell r="N181" t="str">
            <v>46-60 yrs</v>
          </cell>
        </row>
        <row r="182">
          <cell r="A182" t="str">
            <v>C1181</v>
          </cell>
          <cell r="E182" t="str">
            <v>Jaipur</v>
          </cell>
          <cell r="F182" t="str">
            <v>Month-to-month</v>
          </cell>
          <cell r="H182">
            <v>1049</v>
          </cell>
          <cell r="J182" t="str">
            <v>Fiber</v>
          </cell>
          <cell r="L182" t="str">
            <v>Yes</v>
          </cell>
          <cell r="M182" t="str">
            <v>13-24 mo</v>
          </cell>
          <cell r="N182" t="str">
            <v>26-35 yrs</v>
          </cell>
        </row>
        <row r="183">
          <cell r="A183" t="str">
            <v>C1182</v>
          </cell>
          <cell r="E183" t="str">
            <v>Kochi</v>
          </cell>
          <cell r="F183" t="str">
            <v>Two year</v>
          </cell>
          <cell r="H183">
            <v>1099</v>
          </cell>
          <cell r="J183" t="str">
            <v>Fiber</v>
          </cell>
          <cell r="L183" t="str">
            <v>No</v>
          </cell>
          <cell r="M183" t="str">
            <v>25-48 mo</v>
          </cell>
          <cell r="N183" t="str">
            <v>60+ yrs</v>
          </cell>
        </row>
        <row r="184">
          <cell r="A184" t="str">
            <v>C1183</v>
          </cell>
          <cell r="E184" t="str">
            <v>Chennai</v>
          </cell>
          <cell r="F184" t="str">
            <v>One year</v>
          </cell>
          <cell r="H184">
            <v>1099</v>
          </cell>
          <cell r="J184" t="str">
            <v>Fiber</v>
          </cell>
          <cell r="L184" t="str">
            <v>No</v>
          </cell>
          <cell r="M184" t="str">
            <v>25-48 mo</v>
          </cell>
          <cell r="N184" t="str">
            <v>60+ yrs</v>
          </cell>
        </row>
        <row r="185">
          <cell r="A185" t="str">
            <v>C1184</v>
          </cell>
          <cell r="E185" t="str">
            <v>Indore</v>
          </cell>
          <cell r="F185" t="str">
            <v>Month-to-month</v>
          </cell>
          <cell r="H185">
            <v>399</v>
          </cell>
          <cell r="J185" t="str">
            <v>No Internet</v>
          </cell>
          <cell r="L185" t="str">
            <v>Yes</v>
          </cell>
          <cell r="M185" t="str">
            <v>13-24 mo</v>
          </cell>
          <cell r="N185" t="str">
            <v>46-60 yrs</v>
          </cell>
        </row>
        <row r="186">
          <cell r="A186" t="str">
            <v>C1185</v>
          </cell>
          <cell r="E186" t="str">
            <v>Chennai</v>
          </cell>
          <cell r="F186" t="str">
            <v>One year</v>
          </cell>
          <cell r="H186">
            <v>699</v>
          </cell>
          <cell r="J186" t="str">
            <v>DSL</v>
          </cell>
          <cell r="L186" t="str">
            <v>Unknown</v>
          </cell>
          <cell r="M186" t="str">
            <v>25-48 mo</v>
          </cell>
          <cell r="N186" t="str">
            <v>46-60 yrs</v>
          </cell>
        </row>
        <row r="187">
          <cell r="A187" t="str">
            <v>C1186</v>
          </cell>
          <cell r="E187" t="str">
            <v>Jaipur</v>
          </cell>
          <cell r="F187" t="str">
            <v>Month-to-month</v>
          </cell>
          <cell r="H187">
            <v>749</v>
          </cell>
          <cell r="J187" t="str">
            <v>DSL</v>
          </cell>
          <cell r="L187" t="str">
            <v>Unknown</v>
          </cell>
          <cell r="M187" t="str">
            <v>0-6 mo</v>
          </cell>
          <cell r="N187" t="str">
            <v>46-60 yrs</v>
          </cell>
        </row>
        <row r="188">
          <cell r="A188" t="str">
            <v>C1187</v>
          </cell>
          <cell r="E188" t="str">
            <v>Kolkata</v>
          </cell>
          <cell r="F188" t="str">
            <v>One year</v>
          </cell>
          <cell r="H188">
            <v>399</v>
          </cell>
          <cell r="J188" t="str">
            <v>No Internet</v>
          </cell>
          <cell r="L188" t="str">
            <v>No</v>
          </cell>
          <cell r="M188" t="str">
            <v>25-48 mo</v>
          </cell>
          <cell r="N188" t="str">
            <v>26-35 yrs</v>
          </cell>
        </row>
        <row r="189">
          <cell r="A189" t="str">
            <v>C1188</v>
          </cell>
          <cell r="E189" t="str">
            <v>Kochi</v>
          </cell>
          <cell r="F189" t="str">
            <v>Month-to-month</v>
          </cell>
          <cell r="H189">
            <v>1199</v>
          </cell>
          <cell r="J189" t="str">
            <v>Fiber</v>
          </cell>
          <cell r="L189" t="str">
            <v>No</v>
          </cell>
          <cell r="M189" t="str">
            <v>13-24 mo</v>
          </cell>
          <cell r="N189" t="str">
            <v>18-25 yrs</v>
          </cell>
        </row>
        <row r="190">
          <cell r="A190" t="str">
            <v>C1189</v>
          </cell>
          <cell r="E190" t="str">
            <v>Kolkata</v>
          </cell>
          <cell r="F190" t="str">
            <v>One year</v>
          </cell>
          <cell r="H190">
            <v>599</v>
          </cell>
          <cell r="J190" t="str">
            <v>DSL</v>
          </cell>
          <cell r="L190" t="str">
            <v>No</v>
          </cell>
          <cell r="M190" t="str">
            <v>13-24 mo</v>
          </cell>
          <cell r="N190" t="str">
            <v>60+ yrs</v>
          </cell>
        </row>
        <row r="191">
          <cell r="A191" t="str">
            <v>C1190</v>
          </cell>
          <cell r="E191" t="str">
            <v>Jaipur</v>
          </cell>
          <cell r="F191" t="str">
            <v>Month-to-month</v>
          </cell>
          <cell r="H191">
            <v>499</v>
          </cell>
          <cell r="J191" t="str">
            <v>No Internet</v>
          </cell>
          <cell r="L191" t="str">
            <v>Yes</v>
          </cell>
          <cell r="M191" t="str">
            <v>0-6 mo</v>
          </cell>
          <cell r="N191" t="str">
            <v>46-60 yrs</v>
          </cell>
        </row>
        <row r="192">
          <cell r="A192" t="str">
            <v>C1191</v>
          </cell>
          <cell r="E192" t="str">
            <v>Ahmedabad</v>
          </cell>
          <cell r="F192" t="str">
            <v>One year</v>
          </cell>
          <cell r="H192">
            <v>1049</v>
          </cell>
          <cell r="J192" t="str">
            <v>Fiber</v>
          </cell>
          <cell r="L192" t="str">
            <v>No</v>
          </cell>
          <cell r="M192" t="str">
            <v>0-6 mo</v>
          </cell>
          <cell r="N192" t="str">
            <v>60+ yrs</v>
          </cell>
        </row>
        <row r="193">
          <cell r="A193" t="str">
            <v>C1192</v>
          </cell>
          <cell r="E193" t="str">
            <v>Indore</v>
          </cell>
          <cell r="F193" t="str">
            <v>Two year</v>
          </cell>
          <cell r="H193">
            <v>499</v>
          </cell>
          <cell r="J193" t="str">
            <v>No Internet</v>
          </cell>
          <cell r="L193" t="str">
            <v>No</v>
          </cell>
          <cell r="M193" t="str">
            <v>49+ mo</v>
          </cell>
          <cell r="N193" t="str">
            <v>60+ yrs</v>
          </cell>
        </row>
        <row r="194">
          <cell r="A194" t="str">
            <v>C1193</v>
          </cell>
          <cell r="E194" t="str">
            <v>Delhi</v>
          </cell>
          <cell r="F194" t="str">
            <v>Month-to-month</v>
          </cell>
          <cell r="H194">
            <v>699</v>
          </cell>
          <cell r="J194" t="str">
            <v>DSL</v>
          </cell>
          <cell r="L194" t="str">
            <v>No</v>
          </cell>
          <cell r="M194" t="str">
            <v>7-12 mo</v>
          </cell>
          <cell r="N194" t="str">
            <v>26-35 yrs</v>
          </cell>
        </row>
        <row r="195">
          <cell r="A195" t="str">
            <v>C1194</v>
          </cell>
          <cell r="E195" t="str">
            <v>Delhi</v>
          </cell>
          <cell r="F195" t="str">
            <v>One year</v>
          </cell>
          <cell r="H195">
            <v>1199</v>
          </cell>
          <cell r="J195" t="str">
            <v>Fiber</v>
          </cell>
          <cell r="L195" t="str">
            <v>No</v>
          </cell>
          <cell r="M195" t="str">
            <v>7-12 mo</v>
          </cell>
          <cell r="N195" t="str">
            <v>26-35 yrs</v>
          </cell>
        </row>
        <row r="196">
          <cell r="A196" t="str">
            <v>C1195</v>
          </cell>
          <cell r="E196" t="str">
            <v>Pune</v>
          </cell>
          <cell r="F196" t="str">
            <v>One year</v>
          </cell>
          <cell r="H196">
            <v>749</v>
          </cell>
          <cell r="J196" t="str">
            <v>DSL</v>
          </cell>
          <cell r="L196" t="str">
            <v>No</v>
          </cell>
          <cell r="M196" t="str">
            <v>7-12 mo</v>
          </cell>
          <cell r="N196" t="str">
            <v>36-45 yrs</v>
          </cell>
        </row>
        <row r="197">
          <cell r="A197" t="str">
            <v>C1196</v>
          </cell>
          <cell r="E197" t="str">
            <v>Ahmedabad</v>
          </cell>
          <cell r="F197" t="str">
            <v>One year</v>
          </cell>
          <cell r="H197">
            <v>549</v>
          </cell>
          <cell r="J197" t="str">
            <v>No Internet</v>
          </cell>
          <cell r="L197" t="str">
            <v>No</v>
          </cell>
          <cell r="M197" t="str">
            <v>13-24 mo</v>
          </cell>
          <cell r="N197" t="str">
            <v>46-60 yrs</v>
          </cell>
        </row>
        <row r="198">
          <cell r="A198" t="str">
            <v>C1197</v>
          </cell>
          <cell r="E198" t="str">
            <v>Mumbai</v>
          </cell>
          <cell r="F198" t="str">
            <v>Two year</v>
          </cell>
          <cell r="H198">
            <v>799</v>
          </cell>
          <cell r="J198" t="str">
            <v>DSL</v>
          </cell>
          <cell r="L198" t="str">
            <v>No</v>
          </cell>
          <cell r="M198" t="str">
            <v>49+ mo</v>
          </cell>
          <cell r="N198" t="str">
            <v>36-45 yrs</v>
          </cell>
        </row>
        <row r="199">
          <cell r="A199" t="str">
            <v>C1198</v>
          </cell>
          <cell r="E199" t="str">
            <v>Indore</v>
          </cell>
          <cell r="F199" t="str">
            <v>Month-to-month</v>
          </cell>
          <cell r="H199">
            <v>1099</v>
          </cell>
          <cell r="J199" t="str">
            <v>Fiber</v>
          </cell>
          <cell r="L199" t="str">
            <v>Yes</v>
          </cell>
          <cell r="M199" t="str">
            <v>0-6 mo</v>
          </cell>
          <cell r="N199" t="str">
            <v>18-25 yrs</v>
          </cell>
        </row>
        <row r="200">
          <cell r="A200" t="str">
            <v>C1199</v>
          </cell>
          <cell r="E200" t="str">
            <v>Unknown</v>
          </cell>
          <cell r="F200" t="str">
            <v>Month-to-month</v>
          </cell>
          <cell r="H200">
            <v>449</v>
          </cell>
          <cell r="J200" t="str">
            <v>No Internet</v>
          </cell>
          <cell r="L200" t="str">
            <v>No</v>
          </cell>
          <cell r="M200" t="str">
            <v>13-24 mo</v>
          </cell>
          <cell r="N200" t="str">
            <v>18-25 yrs</v>
          </cell>
        </row>
        <row r="201">
          <cell r="A201" t="str">
            <v>C1200</v>
          </cell>
          <cell r="E201" t="str">
            <v>Kolkata</v>
          </cell>
          <cell r="F201" t="str">
            <v>Month-to-month</v>
          </cell>
          <cell r="H201">
            <v>599</v>
          </cell>
          <cell r="J201" t="str">
            <v>DSL</v>
          </cell>
          <cell r="L201" t="str">
            <v>Yes</v>
          </cell>
          <cell r="M201" t="str">
            <v>0-6 mo</v>
          </cell>
          <cell r="N201" t="str">
            <v>18-25 yrs</v>
          </cell>
        </row>
        <row r="202">
          <cell r="A202" t="str">
            <v>C1201</v>
          </cell>
          <cell r="E202" t="str">
            <v>Kolkata</v>
          </cell>
          <cell r="F202" t="str">
            <v>Month-to-month</v>
          </cell>
          <cell r="H202">
            <v>549</v>
          </cell>
          <cell r="J202" t="str">
            <v>No Internet</v>
          </cell>
          <cell r="L202" t="str">
            <v>Yes</v>
          </cell>
          <cell r="M202" t="str">
            <v>13-24 mo</v>
          </cell>
          <cell r="N202" t="str">
            <v>60+ yrs</v>
          </cell>
        </row>
        <row r="203">
          <cell r="A203" t="str">
            <v>C1202</v>
          </cell>
          <cell r="E203" t="str">
            <v>Kolkata</v>
          </cell>
          <cell r="F203" t="str">
            <v>Month-to-month</v>
          </cell>
          <cell r="H203">
            <v>899</v>
          </cell>
          <cell r="J203" t="str">
            <v>Fiber</v>
          </cell>
          <cell r="L203" t="str">
            <v>No</v>
          </cell>
          <cell r="M203" t="str">
            <v>7-12 mo</v>
          </cell>
          <cell r="N203" t="str">
            <v>46-60 yrs</v>
          </cell>
        </row>
        <row r="204">
          <cell r="A204" t="str">
            <v>C1203</v>
          </cell>
          <cell r="E204" t="str">
            <v>Hyderabad</v>
          </cell>
          <cell r="F204" t="str">
            <v>Month-to-month</v>
          </cell>
          <cell r="H204">
            <v>649</v>
          </cell>
          <cell r="J204" t="str">
            <v>DSL</v>
          </cell>
          <cell r="L204" t="str">
            <v>Yes</v>
          </cell>
          <cell r="M204" t="str">
            <v>7-12 mo</v>
          </cell>
          <cell r="N204" t="str">
            <v>60+ yrs</v>
          </cell>
        </row>
        <row r="205">
          <cell r="A205" t="str">
            <v>C1204</v>
          </cell>
          <cell r="E205" t="str">
            <v>Hyderabad</v>
          </cell>
          <cell r="F205" t="str">
            <v>Month-to-month</v>
          </cell>
          <cell r="H205">
            <v>1199</v>
          </cell>
          <cell r="J205" t="str">
            <v>Fiber</v>
          </cell>
          <cell r="L205" t="str">
            <v>Yes</v>
          </cell>
          <cell r="M205" t="str">
            <v>13-24 mo</v>
          </cell>
          <cell r="N205" t="str">
            <v>26-35 yrs</v>
          </cell>
        </row>
        <row r="206">
          <cell r="A206" t="str">
            <v>C1205</v>
          </cell>
          <cell r="E206" t="str">
            <v>Hyderabad</v>
          </cell>
          <cell r="F206" t="str">
            <v>One year</v>
          </cell>
          <cell r="H206">
            <v>1049</v>
          </cell>
          <cell r="J206" t="str">
            <v>Fiber</v>
          </cell>
          <cell r="L206" t="str">
            <v>No</v>
          </cell>
          <cell r="M206" t="str">
            <v>7-12 mo</v>
          </cell>
          <cell r="N206" t="str">
            <v>46-60 yrs</v>
          </cell>
        </row>
        <row r="207">
          <cell r="A207" t="str">
            <v>C1206</v>
          </cell>
          <cell r="E207" t="str">
            <v>Indore</v>
          </cell>
          <cell r="F207" t="str">
            <v>Two year</v>
          </cell>
          <cell r="H207">
            <v>849</v>
          </cell>
          <cell r="J207" t="str">
            <v>DSL</v>
          </cell>
          <cell r="L207" t="str">
            <v>No</v>
          </cell>
          <cell r="M207" t="str">
            <v>13-24 mo</v>
          </cell>
          <cell r="N207" t="str">
            <v>60+ yrs</v>
          </cell>
        </row>
        <row r="208">
          <cell r="A208" t="str">
            <v>C1207</v>
          </cell>
          <cell r="E208" t="str">
            <v>Bhopal</v>
          </cell>
          <cell r="F208" t="str">
            <v>Two year</v>
          </cell>
          <cell r="H208">
            <v>1099</v>
          </cell>
          <cell r="J208" t="str">
            <v>Fiber</v>
          </cell>
          <cell r="L208" t="str">
            <v>No</v>
          </cell>
          <cell r="M208" t="str">
            <v>49+ mo</v>
          </cell>
          <cell r="N208" t="str">
            <v>46-60 yrs</v>
          </cell>
        </row>
        <row r="209">
          <cell r="A209" t="str">
            <v>C1208</v>
          </cell>
          <cell r="E209" t="str">
            <v>Kolkata</v>
          </cell>
          <cell r="F209" t="str">
            <v>Month-to-month</v>
          </cell>
          <cell r="H209">
            <v>899</v>
          </cell>
          <cell r="J209" t="str">
            <v>DSL</v>
          </cell>
          <cell r="L209" t="str">
            <v>Yes</v>
          </cell>
          <cell r="M209" t="str">
            <v>0-6 mo</v>
          </cell>
          <cell r="N209" t="str">
            <v>60+ yrs</v>
          </cell>
        </row>
        <row r="210">
          <cell r="A210" t="str">
            <v>C1209</v>
          </cell>
          <cell r="E210" t="str">
            <v>Jaipur</v>
          </cell>
          <cell r="F210" t="str">
            <v>Month-to-month</v>
          </cell>
          <cell r="H210">
            <v>1099</v>
          </cell>
          <cell r="J210" t="str">
            <v>Unknown</v>
          </cell>
          <cell r="L210" t="str">
            <v>Yes</v>
          </cell>
          <cell r="M210" t="str">
            <v>13-24 mo</v>
          </cell>
          <cell r="N210" t="str">
            <v>18-25 yrs</v>
          </cell>
        </row>
        <row r="211">
          <cell r="A211" t="str">
            <v>C1210</v>
          </cell>
          <cell r="E211" t="str">
            <v>Jaipur</v>
          </cell>
          <cell r="F211" t="str">
            <v>One year</v>
          </cell>
          <cell r="H211">
            <v>749</v>
          </cell>
          <cell r="J211" t="str">
            <v>DSL</v>
          </cell>
          <cell r="L211" t="str">
            <v>No</v>
          </cell>
          <cell r="M211" t="str">
            <v>13-24 mo</v>
          </cell>
          <cell r="N211" t="str">
            <v>18-25 yrs</v>
          </cell>
        </row>
        <row r="212">
          <cell r="A212" t="str">
            <v>C1211</v>
          </cell>
          <cell r="E212" t="str">
            <v>Indore</v>
          </cell>
          <cell r="F212" t="str">
            <v>One year</v>
          </cell>
          <cell r="H212">
            <v>899</v>
          </cell>
          <cell r="J212" t="str">
            <v>Fiber</v>
          </cell>
          <cell r="L212" t="str">
            <v>No</v>
          </cell>
          <cell r="M212" t="str">
            <v>13-24 mo</v>
          </cell>
          <cell r="N212" t="str">
            <v>60+ yrs</v>
          </cell>
        </row>
        <row r="213">
          <cell r="A213" t="str">
            <v>C1212</v>
          </cell>
          <cell r="E213" t="str">
            <v>Lucknow</v>
          </cell>
          <cell r="F213" t="str">
            <v>One year</v>
          </cell>
          <cell r="H213">
            <v>1049</v>
          </cell>
          <cell r="J213" t="str">
            <v>Fiber</v>
          </cell>
          <cell r="L213" t="str">
            <v>No</v>
          </cell>
          <cell r="M213" t="str">
            <v>13-24 mo</v>
          </cell>
          <cell r="N213" t="str">
            <v>60+ yrs</v>
          </cell>
        </row>
        <row r="214">
          <cell r="A214" t="str">
            <v>C1213</v>
          </cell>
          <cell r="E214" t="str">
            <v>Jaipur</v>
          </cell>
          <cell r="F214" t="str">
            <v>Two year</v>
          </cell>
          <cell r="H214">
            <v>1299</v>
          </cell>
          <cell r="J214" t="str">
            <v>Fiber</v>
          </cell>
          <cell r="L214" t="str">
            <v>No</v>
          </cell>
          <cell r="M214" t="str">
            <v>49+ mo</v>
          </cell>
          <cell r="N214" t="str">
            <v>36-45 yrs</v>
          </cell>
        </row>
        <row r="215">
          <cell r="A215" t="str">
            <v>C1214</v>
          </cell>
          <cell r="E215" t="str">
            <v>Chandigarh</v>
          </cell>
          <cell r="F215" t="str">
            <v>Month-to-month</v>
          </cell>
          <cell r="H215">
            <v>799</v>
          </cell>
          <cell r="J215" t="str">
            <v>DSL</v>
          </cell>
          <cell r="L215" t="str">
            <v>No</v>
          </cell>
          <cell r="M215" t="str">
            <v>7-12 mo</v>
          </cell>
          <cell r="N215" t="str">
            <v>46-60 yrs</v>
          </cell>
        </row>
        <row r="216">
          <cell r="A216" t="str">
            <v>C1215</v>
          </cell>
          <cell r="E216" t="str">
            <v>Kolkata</v>
          </cell>
          <cell r="F216" t="str">
            <v>One year</v>
          </cell>
          <cell r="H216">
            <v>849</v>
          </cell>
          <cell r="J216" t="str">
            <v>DSL</v>
          </cell>
          <cell r="L216" t="str">
            <v>No</v>
          </cell>
          <cell r="M216" t="str">
            <v>25-48 mo</v>
          </cell>
          <cell r="N216" t="str">
            <v>26-35 yrs</v>
          </cell>
        </row>
        <row r="217">
          <cell r="A217" t="str">
            <v>C1216</v>
          </cell>
          <cell r="E217" t="str">
            <v>Bhopal</v>
          </cell>
          <cell r="F217" t="str">
            <v>One year</v>
          </cell>
          <cell r="H217">
            <v>749</v>
          </cell>
          <cell r="J217" t="str">
            <v>DSL</v>
          </cell>
          <cell r="L217" t="str">
            <v>No</v>
          </cell>
          <cell r="M217" t="str">
            <v>25-48 mo</v>
          </cell>
          <cell r="N217" t="str">
            <v>26-35 yrs</v>
          </cell>
        </row>
        <row r="218">
          <cell r="A218" t="str">
            <v>C1217</v>
          </cell>
          <cell r="E218" t="str">
            <v>Kochi</v>
          </cell>
          <cell r="F218" t="str">
            <v>Month-to-month</v>
          </cell>
          <cell r="H218">
            <v>649</v>
          </cell>
          <cell r="J218" t="str">
            <v>DSL</v>
          </cell>
          <cell r="L218" t="str">
            <v>Yes</v>
          </cell>
          <cell r="M218" t="str">
            <v>13-24 mo</v>
          </cell>
          <cell r="N218" t="str">
            <v>18-25 yrs</v>
          </cell>
        </row>
        <row r="219">
          <cell r="A219" t="str">
            <v>C1218</v>
          </cell>
          <cell r="E219" t="str">
            <v>Indore</v>
          </cell>
          <cell r="F219" t="str">
            <v>One year</v>
          </cell>
          <cell r="H219">
            <v>1099</v>
          </cell>
          <cell r="J219" t="str">
            <v>Fiber</v>
          </cell>
          <cell r="L219" t="str">
            <v>Yes</v>
          </cell>
          <cell r="M219" t="str">
            <v>25-48 mo</v>
          </cell>
          <cell r="N219" t="str">
            <v>46-60 yrs</v>
          </cell>
        </row>
        <row r="220">
          <cell r="A220" t="str">
            <v>C1219</v>
          </cell>
          <cell r="E220" t="str">
            <v>Bhopal</v>
          </cell>
          <cell r="F220" t="str">
            <v>Month-to-month</v>
          </cell>
          <cell r="H220">
            <v>499</v>
          </cell>
          <cell r="J220" t="str">
            <v>No Internet</v>
          </cell>
          <cell r="L220" t="str">
            <v>No</v>
          </cell>
          <cell r="M220" t="str">
            <v>0-6 mo</v>
          </cell>
          <cell r="N220" t="str">
            <v>46-60 yrs</v>
          </cell>
        </row>
        <row r="221">
          <cell r="A221" t="str">
            <v>C1220</v>
          </cell>
          <cell r="E221" t="str">
            <v>Bangalore</v>
          </cell>
          <cell r="F221" t="str">
            <v>Month-to-month</v>
          </cell>
          <cell r="H221">
            <v>1049</v>
          </cell>
          <cell r="J221" t="str">
            <v>Fiber</v>
          </cell>
          <cell r="L221" t="str">
            <v>No</v>
          </cell>
          <cell r="M221" t="str">
            <v>7-12 mo</v>
          </cell>
          <cell r="N221" t="str">
            <v>46-60 yrs</v>
          </cell>
        </row>
        <row r="222">
          <cell r="A222" t="str">
            <v>C1221</v>
          </cell>
          <cell r="E222" t="str">
            <v>Hyderabad</v>
          </cell>
          <cell r="F222" t="str">
            <v>Two year</v>
          </cell>
          <cell r="H222">
            <v>849</v>
          </cell>
          <cell r="J222" t="str">
            <v>DSL</v>
          </cell>
          <cell r="L222" t="str">
            <v>No</v>
          </cell>
          <cell r="M222" t="str">
            <v>7-12 mo</v>
          </cell>
          <cell r="N222" t="str">
            <v>46-60 yrs</v>
          </cell>
        </row>
        <row r="223">
          <cell r="A223" t="str">
            <v>C1222</v>
          </cell>
          <cell r="E223" t="str">
            <v>Indore</v>
          </cell>
          <cell r="F223" t="str">
            <v>Month-to-month</v>
          </cell>
          <cell r="H223">
            <v>899</v>
          </cell>
          <cell r="J223" t="str">
            <v>DSL</v>
          </cell>
          <cell r="L223" t="str">
            <v>No</v>
          </cell>
          <cell r="M223" t="str">
            <v>13-24 mo</v>
          </cell>
          <cell r="N223" t="str">
            <v>46-60 yrs</v>
          </cell>
        </row>
        <row r="224">
          <cell r="A224" t="str">
            <v>C1223</v>
          </cell>
          <cell r="E224" t="str">
            <v>Hyderabad</v>
          </cell>
          <cell r="F224" t="str">
            <v>Two year</v>
          </cell>
          <cell r="H224">
            <v>899</v>
          </cell>
          <cell r="J224" t="str">
            <v>Fiber</v>
          </cell>
          <cell r="L224" t="str">
            <v>No</v>
          </cell>
          <cell r="M224" t="str">
            <v>49+ mo</v>
          </cell>
          <cell r="N224" t="str">
            <v>26-35 yrs</v>
          </cell>
        </row>
        <row r="225">
          <cell r="A225" t="str">
            <v>C1224</v>
          </cell>
          <cell r="E225" t="str">
            <v>Hyderabad</v>
          </cell>
          <cell r="F225" t="str">
            <v>One year</v>
          </cell>
          <cell r="H225">
            <v>1049</v>
          </cell>
          <cell r="J225" t="str">
            <v>Fiber</v>
          </cell>
          <cell r="L225" t="str">
            <v>No</v>
          </cell>
          <cell r="M225" t="str">
            <v>25-48 mo</v>
          </cell>
          <cell r="N225" t="str">
            <v>18-25 yrs</v>
          </cell>
        </row>
        <row r="226">
          <cell r="A226" t="str">
            <v>C1225</v>
          </cell>
          <cell r="E226" t="str">
            <v>Kochi</v>
          </cell>
          <cell r="F226" t="str">
            <v>One year</v>
          </cell>
          <cell r="H226">
            <v>1199</v>
          </cell>
          <cell r="J226" t="str">
            <v>Fiber</v>
          </cell>
          <cell r="L226" t="str">
            <v>Yes</v>
          </cell>
          <cell r="M226" t="str">
            <v>0-6 mo</v>
          </cell>
          <cell r="N226" t="str">
            <v>36-45 yrs</v>
          </cell>
        </row>
        <row r="227">
          <cell r="A227" t="str">
            <v>C1226</v>
          </cell>
          <cell r="E227" t="str">
            <v>Kochi</v>
          </cell>
          <cell r="F227" t="str">
            <v>One year</v>
          </cell>
          <cell r="H227">
            <v>1199</v>
          </cell>
          <cell r="J227" t="str">
            <v>Fiber</v>
          </cell>
          <cell r="L227" t="str">
            <v>No</v>
          </cell>
          <cell r="M227" t="str">
            <v>13-24 mo</v>
          </cell>
          <cell r="N227" t="str">
            <v>46-60 yrs</v>
          </cell>
        </row>
        <row r="228">
          <cell r="A228" t="str">
            <v>C1227</v>
          </cell>
          <cell r="E228" t="str">
            <v>Kolkata</v>
          </cell>
          <cell r="F228" t="str">
            <v>Month-to-month</v>
          </cell>
          <cell r="H228">
            <v>899</v>
          </cell>
          <cell r="J228" t="str">
            <v>Fiber</v>
          </cell>
          <cell r="L228" t="str">
            <v>Yes</v>
          </cell>
          <cell r="M228" t="str">
            <v>13-24 mo</v>
          </cell>
          <cell r="N228" t="str">
            <v>46-60 yrs</v>
          </cell>
        </row>
        <row r="229">
          <cell r="A229" t="str">
            <v>C1228</v>
          </cell>
          <cell r="E229" t="str">
            <v>Kolkata</v>
          </cell>
          <cell r="F229" t="str">
            <v>One year</v>
          </cell>
          <cell r="H229">
            <v>1049</v>
          </cell>
          <cell r="J229" t="str">
            <v>Fiber</v>
          </cell>
          <cell r="L229" t="str">
            <v>Yes</v>
          </cell>
          <cell r="M229" t="str">
            <v>25-48 mo</v>
          </cell>
          <cell r="N229" t="str">
            <v>26-35 yrs</v>
          </cell>
        </row>
        <row r="230">
          <cell r="A230" t="str">
            <v>C1229</v>
          </cell>
          <cell r="E230" t="str">
            <v>Bangalore</v>
          </cell>
          <cell r="F230" t="str">
            <v>Month-to-month</v>
          </cell>
          <cell r="H230">
            <v>1149</v>
          </cell>
          <cell r="J230" t="str">
            <v>Fiber</v>
          </cell>
          <cell r="L230" t="str">
            <v>Yes</v>
          </cell>
          <cell r="M230" t="str">
            <v>13-24 mo</v>
          </cell>
          <cell r="N230" t="str">
            <v>18-25 yrs</v>
          </cell>
        </row>
        <row r="231">
          <cell r="A231" t="str">
            <v>C1230</v>
          </cell>
          <cell r="E231" t="str">
            <v>Lucknow</v>
          </cell>
          <cell r="F231" t="str">
            <v>One year</v>
          </cell>
          <cell r="H231">
            <v>499</v>
          </cell>
          <cell r="J231" t="str">
            <v>No Internet</v>
          </cell>
          <cell r="L231" t="str">
            <v>No</v>
          </cell>
          <cell r="M231" t="str">
            <v>0-6 mo</v>
          </cell>
          <cell r="N231" t="str">
            <v>46-60 yrs</v>
          </cell>
        </row>
        <row r="232">
          <cell r="A232" t="str">
            <v>C1231</v>
          </cell>
          <cell r="E232" t="str">
            <v>Indore</v>
          </cell>
          <cell r="F232" t="str">
            <v>Month-to-month</v>
          </cell>
          <cell r="H232">
            <v>699</v>
          </cell>
          <cell r="J232" t="str">
            <v>DSL</v>
          </cell>
          <cell r="L232" t="str">
            <v>Yes</v>
          </cell>
          <cell r="M232" t="str">
            <v>7-12 mo</v>
          </cell>
          <cell r="N232" t="str">
            <v>26-35 yrs</v>
          </cell>
        </row>
        <row r="233">
          <cell r="A233" t="str">
            <v>C1232</v>
          </cell>
          <cell r="E233" t="str">
            <v>Kochi</v>
          </cell>
          <cell r="F233" t="str">
            <v>Month-to-month</v>
          </cell>
          <cell r="H233">
            <v>849</v>
          </cell>
          <cell r="J233" t="str">
            <v>DSL</v>
          </cell>
          <cell r="L233" t="str">
            <v>No</v>
          </cell>
          <cell r="M233" t="str">
            <v>7-12 mo</v>
          </cell>
          <cell r="N233" t="str">
            <v>46-60 yrs</v>
          </cell>
        </row>
        <row r="234">
          <cell r="A234" t="str">
            <v>C1233</v>
          </cell>
          <cell r="E234" t="str">
            <v>Delhi</v>
          </cell>
          <cell r="F234" t="str">
            <v>Two year</v>
          </cell>
          <cell r="H234">
            <v>899</v>
          </cell>
          <cell r="J234" t="str">
            <v>DSL</v>
          </cell>
          <cell r="L234" t="str">
            <v>No</v>
          </cell>
          <cell r="M234" t="str">
            <v>49+ mo</v>
          </cell>
          <cell r="N234" t="str">
            <v>36-45 yrs</v>
          </cell>
        </row>
        <row r="235">
          <cell r="A235" t="str">
            <v>C1234</v>
          </cell>
          <cell r="E235" t="str">
            <v>Bhopal</v>
          </cell>
          <cell r="F235" t="str">
            <v>Month-to-month</v>
          </cell>
          <cell r="H235">
            <v>699</v>
          </cell>
          <cell r="J235" t="str">
            <v>DSL</v>
          </cell>
          <cell r="L235" t="str">
            <v>No</v>
          </cell>
          <cell r="M235" t="str">
            <v>13-24 mo</v>
          </cell>
          <cell r="N235" t="str">
            <v>46-60 yrs</v>
          </cell>
        </row>
        <row r="236">
          <cell r="A236" t="str">
            <v>C1235</v>
          </cell>
          <cell r="E236" t="str">
            <v>Chandigarh</v>
          </cell>
          <cell r="F236" t="str">
            <v>One year</v>
          </cell>
          <cell r="H236">
            <v>1149</v>
          </cell>
          <cell r="J236" t="str">
            <v>Fiber</v>
          </cell>
          <cell r="L236" t="str">
            <v>Yes</v>
          </cell>
          <cell r="M236" t="str">
            <v>25-48 mo</v>
          </cell>
          <cell r="N236" t="str">
            <v>26-35 yrs</v>
          </cell>
        </row>
        <row r="237">
          <cell r="A237" t="str">
            <v>C1236</v>
          </cell>
          <cell r="E237" t="str">
            <v>Ahmedabad</v>
          </cell>
          <cell r="F237" t="str">
            <v>One year</v>
          </cell>
          <cell r="H237">
            <v>499</v>
          </cell>
          <cell r="J237" t="str">
            <v>No Internet</v>
          </cell>
          <cell r="L237" t="str">
            <v>No</v>
          </cell>
          <cell r="M237" t="str">
            <v>0-6 mo</v>
          </cell>
          <cell r="N237" t="str">
            <v>26-35 yrs</v>
          </cell>
        </row>
        <row r="238">
          <cell r="A238" t="str">
            <v>C1237</v>
          </cell>
          <cell r="E238" t="str">
            <v>Bangalore</v>
          </cell>
          <cell r="F238" t="str">
            <v>One year</v>
          </cell>
          <cell r="H238">
            <v>1149</v>
          </cell>
          <cell r="J238" t="str">
            <v>Fiber</v>
          </cell>
          <cell r="L238" t="str">
            <v>No</v>
          </cell>
          <cell r="M238" t="str">
            <v>0-6 mo</v>
          </cell>
          <cell r="N238" t="str">
            <v>46-60 yrs</v>
          </cell>
        </row>
        <row r="239">
          <cell r="A239" t="str">
            <v>C1238</v>
          </cell>
          <cell r="E239" t="str">
            <v>Pune</v>
          </cell>
          <cell r="F239" t="str">
            <v>One year</v>
          </cell>
          <cell r="H239">
            <v>349</v>
          </cell>
          <cell r="J239" t="str">
            <v>No Internet</v>
          </cell>
          <cell r="L239" t="str">
            <v>No</v>
          </cell>
          <cell r="M239" t="str">
            <v>25-48 mo</v>
          </cell>
          <cell r="N239" t="str">
            <v>60+ yrs</v>
          </cell>
        </row>
        <row r="240">
          <cell r="A240" t="str">
            <v>C1239</v>
          </cell>
          <cell r="E240" t="str">
            <v>Delhi</v>
          </cell>
          <cell r="F240" t="str">
            <v>One year</v>
          </cell>
          <cell r="H240">
            <v>1049</v>
          </cell>
          <cell r="J240" t="str">
            <v>Fiber</v>
          </cell>
          <cell r="L240" t="str">
            <v>Yes</v>
          </cell>
          <cell r="M240" t="str">
            <v>25-48 mo</v>
          </cell>
          <cell r="N240" t="str">
            <v>46-60 yrs</v>
          </cell>
        </row>
        <row r="241">
          <cell r="A241" t="str">
            <v>C1240</v>
          </cell>
          <cell r="E241" t="str">
            <v>Jaipur</v>
          </cell>
          <cell r="F241" t="str">
            <v>One year</v>
          </cell>
          <cell r="H241">
            <v>1049</v>
          </cell>
          <cell r="J241" t="str">
            <v>Fiber</v>
          </cell>
          <cell r="L241" t="str">
            <v>No</v>
          </cell>
          <cell r="M241" t="str">
            <v>13-24 mo</v>
          </cell>
          <cell r="N241" t="str">
            <v>60+ yrs</v>
          </cell>
        </row>
        <row r="242">
          <cell r="A242" t="str">
            <v>C1241</v>
          </cell>
          <cell r="E242" t="str">
            <v>Mumbai</v>
          </cell>
          <cell r="F242" t="str">
            <v>Month-to-month</v>
          </cell>
          <cell r="H242">
            <v>399</v>
          </cell>
          <cell r="J242" t="str">
            <v>No Internet</v>
          </cell>
          <cell r="L242" t="str">
            <v>Yes</v>
          </cell>
          <cell r="M242" t="str">
            <v>0-6 mo</v>
          </cell>
          <cell r="N242" t="str">
            <v>46-60 yrs</v>
          </cell>
        </row>
        <row r="243">
          <cell r="A243" t="str">
            <v>C1242</v>
          </cell>
          <cell r="E243" t="str">
            <v>Pune</v>
          </cell>
          <cell r="F243" t="str">
            <v>Month-to-month</v>
          </cell>
          <cell r="H243">
            <v>1049</v>
          </cell>
          <cell r="J243" t="str">
            <v>Fiber</v>
          </cell>
          <cell r="L243" t="str">
            <v>Yes</v>
          </cell>
          <cell r="M243" t="str">
            <v>13-24 mo</v>
          </cell>
          <cell r="N243" t="str">
            <v>46-60 yrs</v>
          </cell>
        </row>
        <row r="244">
          <cell r="A244" t="str">
            <v>C1243</v>
          </cell>
          <cell r="E244" t="str">
            <v>Mumbai</v>
          </cell>
          <cell r="F244" t="str">
            <v>One year</v>
          </cell>
          <cell r="H244">
            <v>799</v>
          </cell>
          <cell r="J244" t="str">
            <v>Unknown</v>
          </cell>
          <cell r="L244" t="str">
            <v>No</v>
          </cell>
          <cell r="M244" t="str">
            <v>13-24 mo</v>
          </cell>
          <cell r="N244" t="str">
            <v>46-60 yrs</v>
          </cell>
        </row>
        <row r="245">
          <cell r="A245" t="str">
            <v>C1244</v>
          </cell>
          <cell r="E245" t="str">
            <v>Kolkata</v>
          </cell>
          <cell r="F245" t="str">
            <v>One year</v>
          </cell>
          <cell r="H245">
            <v>749</v>
          </cell>
          <cell r="J245" t="str">
            <v>DSL</v>
          </cell>
          <cell r="L245" t="str">
            <v>No</v>
          </cell>
          <cell r="M245" t="str">
            <v>25-48 mo</v>
          </cell>
          <cell r="N245" t="str">
            <v>60+ yrs</v>
          </cell>
        </row>
        <row r="246">
          <cell r="A246" t="str">
            <v>C1245</v>
          </cell>
          <cell r="E246" t="str">
            <v>Hyderabad</v>
          </cell>
          <cell r="F246" t="str">
            <v>Month-to-month</v>
          </cell>
          <cell r="H246">
            <v>899</v>
          </cell>
          <cell r="J246" t="str">
            <v>Fiber</v>
          </cell>
          <cell r="L246" t="str">
            <v>Yes</v>
          </cell>
          <cell r="M246" t="str">
            <v>0-6 mo</v>
          </cell>
          <cell r="N246" t="str">
            <v>60+ yrs</v>
          </cell>
        </row>
        <row r="247">
          <cell r="A247" t="str">
            <v>C1246</v>
          </cell>
          <cell r="E247" t="str">
            <v>Indore</v>
          </cell>
          <cell r="F247" t="str">
            <v>Two year</v>
          </cell>
          <cell r="H247">
            <v>1099</v>
          </cell>
          <cell r="J247" t="str">
            <v>Fiber</v>
          </cell>
          <cell r="L247" t="str">
            <v>No</v>
          </cell>
          <cell r="M247" t="str">
            <v>25-48 mo</v>
          </cell>
          <cell r="N247" t="str">
            <v>26-35 yrs</v>
          </cell>
        </row>
        <row r="248">
          <cell r="A248" t="str">
            <v>C1247</v>
          </cell>
          <cell r="E248" t="str">
            <v>Bangalore</v>
          </cell>
          <cell r="F248" t="str">
            <v>Two year</v>
          </cell>
          <cell r="H248">
            <v>1149</v>
          </cell>
          <cell r="J248" t="str">
            <v>Fiber</v>
          </cell>
          <cell r="L248" t="str">
            <v>No</v>
          </cell>
          <cell r="M248" t="str">
            <v>25-48 mo</v>
          </cell>
          <cell r="N248" t="str">
            <v>46-60 yrs</v>
          </cell>
        </row>
        <row r="249">
          <cell r="A249" t="str">
            <v>C1248</v>
          </cell>
          <cell r="E249" t="str">
            <v>Bangalore</v>
          </cell>
          <cell r="F249" t="str">
            <v>Month-to-month</v>
          </cell>
          <cell r="H249">
            <v>749</v>
          </cell>
          <cell r="J249" t="str">
            <v>DSL</v>
          </cell>
          <cell r="L249" t="str">
            <v>No</v>
          </cell>
          <cell r="M249" t="str">
            <v>13-24 mo</v>
          </cell>
          <cell r="N249" t="str">
            <v>18-25 yrs</v>
          </cell>
        </row>
        <row r="250">
          <cell r="A250" t="str">
            <v>C1249</v>
          </cell>
          <cell r="E250" t="str">
            <v>Bhopal</v>
          </cell>
          <cell r="F250" t="str">
            <v>Two year</v>
          </cell>
          <cell r="H250">
            <v>499</v>
          </cell>
          <cell r="J250" t="str">
            <v>No Internet</v>
          </cell>
          <cell r="L250" t="str">
            <v>No</v>
          </cell>
          <cell r="M250" t="str">
            <v>13-24 mo</v>
          </cell>
          <cell r="N250" t="str">
            <v>46-60 yrs</v>
          </cell>
        </row>
        <row r="251">
          <cell r="A251" t="str">
            <v>C1250</v>
          </cell>
          <cell r="E251" t="str">
            <v>Chandigarh</v>
          </cell>
          <cell r="F251" t="str">
            <v>Month-to-month</v>
          </cell>
          <cell r="H251">
            <v>649</v>
          </cell>
          <cell r="J251" t="str">
            <v>DSL</v>
          </cell>
          <cell r="L251" t="str">
            <v>No</v>
          </cell>
          <cell r="M251" t="str">
            <v>0-6 mo</v>
          </cell>
          <cell r="N251" t="str">
            <v>18-25 yrs</v>
          </cell>
        </row>
        <row r="252">
          <cell r="A252" t="str">
            <v>C1251</v>
          </cell>
          <cell r="E252" t="str">
            <v>Kolkata</v>
          </cell>
          <cell r="F252" t="str">
            <v>One year</v>
          </cell>
          <cell r="H252">
            <v>1149</v>
          </cell>
          <cell r="J252" t="str">
            <v>Fiber</v>
          </cell>
          <cell r="L252" t="str">
            <v>No</v>
          </cell>
          <cell r="M252" t="str">
            <v>7-12 mo</v>
          </cell>
          <cell r="N252" t="str">
            <v>46-60 yrs</v>
          </cell>
        </row>
        <row r="253">
          <cell r="A253" t="str">
            <v>C1252</v>
          </cell>
          <cell r="E253" t="str">
            <v>Jaipur</v>
          </cell>
          <cell r="F253" t="str">
            <v>Month-to-month</v>
          </cell>
          <cell r="H253">
            <v>1299</v>
          </cell>
          <cell r="J253" t="str">
            <v>Fiber</v>
          </cell>
          <cell r="L253" t="str">
            <v>No</v>
          </cell>
          <cell r="M253" t="str">
            <v>13-24 mo</v>
          </cell>
          <cell r="N253" t="str">
            <v>26-35 yrs</v>
          </cell>
        </row>
        <row r="254">
          <cell r="A254" t="str">
            <v>C1253</v>
          </cell>
          <cell r="E254" t="str">
            <v>Pune</v>
          </cell>
          <cell r="F254" t="str">
            <v>Month-to-month</v>
          </cell>
          <cell r="H254">
            <v>1149</v>
          </cell>
          <cell r="J254" t="str">
            <v>Fiber</v>
          </cell>
          <cell r="L254" t="str">
            <v>No</v>
          </cell>
          <cell r="M254" t="str">
            <v>13-24 mo</v>
          </cell>
          <cell r="N254" t="str">
            <v>60+ yrs</v>
          </cell>
        </row>
        <row r="255">
          <cell r="A255" t="str">
            <v>C1254</v>
          </cell>
          <cell r="E255" t="str">
            <v>Chennai</v>
          </cell>
          <cell r="F255" t="str">
            <v>Month-to-month</v>
          </cell>
          <cell r="H255">
            <v>399</v>
          </cell>
          <cell r="J255" t="str">
            <v>No Internet</v>
          </cell>
          <cell r="L255" t="str">
            <v>Yes</v>
          </cell>
          <cell r="M255" t="str">
            <v>13-24 mo</v>
          </cell>
          <cell r="N255" t="str">
            <v>46-60 yrs</v>
          </cell>
        </row>
        <row r="256">
          <cell r="A256" t="str">
            <v>C1255</v>
          </cell>
          <cell r="E256" t="str">
            <v>Bangalore</v>
          </cell>
          <cell r="F256" t="str">
            <v>One year</v>
          </cell>
          <cell r="H256">
            <v>899</v>
          </cell>
          <cell r="J256" t="str">
            <v>Fiber</v>
          </cell>
          <cell r="L256" t="str">
            <v>No</v>
          </cell>
          <cell r="M256" t="str">
            <v>13-24 mo</v>
          </cell>
          <cell r="N256" t="str">
            <v>36-45 yrs</v>
          </cell>
        </row>
        <row r="257">
          <cell r="A257" t="str">
            <v>C1256</v>
          </cell>
          <cell r="E257" t="str">
            <v>Chennai</v>
          </cell>
          <cell r="F257" t="str">
            <v>One year</v>
          </cell>
          <cell r="H257">
            <v>349</v>
          </cell>
          <cell r="J257" t="str">
            <v>No Internet</v>
          </cell>
          <cell r="L257" t="str">
            <v>Yes</v>
          </cell>
          <cell r="M257" t="str">
            <v>25-48 mo</v>
          </cell>
          <cell r="N257" t="str">
            <v>36-45 yrs</v>
          </cell>
        </row>
        <row r="258">
          <cell r="A258" t="str">
            <v>C1257</v>
          </cell>
          <cell r="E258" t="str">
            <v>Indore</v>
          </cell>
          <cell r="F258" t="str">
            <v>Month-to-month</v>
          </cell>
          <cell r="H258">
            <v>449</v>
          </cell>
          <cell r="J258" t="str">
            <v>No Internet</v>
          </cell>
          <cell r="L258" t="str">
            <v>No</v>
          </cell>
          <cell r="M258" t="str">
            <v>7-12 mo</v>
          </cell>
          <cell r="N258" t="str">
            <v>60+ yrs</v>
          </cell>
        </row>
        <row r="259">
          <cell r="A259" t="str">
            <v>C1258</v>
          </cell>
          <cell r="E259" t="str">
            <v>Indore</v>
          </cell>
          <cell r="F259" t="str">
            <v>Month-to-month</v>
          </cell>
          <cell r="H259">
            <v>1199</v>
          </cell>
          <cell r="J259" t="str">
            <v>Fiber</v>
          </cell>
          <cell r="L259" t="str">
            <v>Yes</v>
          </cell>
          <cell r="M259" t="str">
            <v>13-24 mo</v>
          </cell>
          <cell r="N259" t="str">
            <v>46-60 yrs</v>
          </cell>
        </row>
        <row r="260">
          <cell r="A260" t="str">
            <v>C1259</v>
          </cell>
          <cell r="E260" t="str">
            <v>Pune</v>
          </cell>
          <cell r="F260" t="str">
            <v>One year</v>
          </cell>
          <cell r="H260">
            <v>449</v>
          </cell>
          <cell r="J260" t="str">
            <v>No Internet</v>
          </cell>
          <cell r="L260" t="str">
            <v>No</v>
          </cell>
          <cell r="M260" t="str">
            <v>0-6 mo</v>
          </cell>
          <cell r="N260" t="str">
            <v>46-60 yrs</v>
          </cell>
        </row>
        <row r="261">
          <cell r="A261" t="str">
            <v>C1260</v>
          </cell>
          <cell r="E261" t="str">
            <v>Hyderabad</v>
          </cell>
          <cell r="F261" t="str">
            <v>Month-to-month</v>
          </cell>
          <cell r="H261">
            <v>699</v>
          </cell>
          <cell r="J261" t="str">
            <v>DSL</v>
          </cell>
          <cell r="L261" t="str">
            <v>Yes</v>
          </cell>
          <cell r="M261" t="str">
            <v>7-12 mo</v>
          </cell>
          <cell r="N261" t="str">
            <v>60+ yrs</v>
          </cell>
        </row>
        <row r="262">
          <cell r="A262" t="str">
            <v>C1261</v>
          </cell>
          <cell r="E262" t="str">
            <v>Delhi</v>
          </cell>
          <cell r="F262" t="str">
            <v>Month-to-month</v>
          </cell>
          <cell r="H262">
            <v>899</v>
          </cell>
          <cell r="J262" t="str">
            <v>Fiber</v>
          </cell>
          <cell r="L262" t="str">
            <v>Yes</v>
          </cell>
          <cell r="M262" t="str">
            <v>13-24 mo</v>
          </cell>
          <cell r="N262" t="str">
            <v>60+ yrs</v>
          </cell>
        </row>
        <row r="263">
          <cell r="A263" t="str">
            <v>C1262</v>
          </cell>
          <cell r="E263" t="str">
            <v>Indore</v>
          </cell>
          <cell r="F263" t="str">
            <v>Month-to-month</v>
          </cell>
          <cell r="H263">
            <v>449</v>
          </cell>
          <cell r="J263" t="str">
            <v>No Internet</v>
          </cell>
          <cell r="L263" t="str">
            <v>Yes</v>
          </cell>
          <cell r="M263" t="str">
            <v>7-12 mo</v>
          </cell>
          <cell r="N263" t="str">
            <v>26-35 yrs</v>
          </cell>
        </row>
        <row r="264">
          <cell r="A264" t="str">
            <v>C1263</v>
          </cell>
          <cell r="E264" t="str">
            <v>Chennai</v>
          </cell>
          <cell r="F264" t="str">
            <v>One year</v>
          </cell>
          <cell r="H264">
            <v>899</v>
          </cell>
          <cell r="J264" t="str">
            <v>Fiber</v>
          </cell>
          <cell r="L264" t="str">
            <v>Yes</v>
          </cell>
          <cell r="M264" t="str">
            <v>25-48 mo</v>
          </cell>
          <cell r="N264" t="str">
            <v>46-60 yrs</v>
          </cell>
        </row>
        <row r="265">
          <cell r="A265" t="str">
            <v>C1264</v>
          </cell>
          <cell r="E265" t="str">
            <v>Jaipur</v>
          </cell>
          <cell r="F265" t="str">
            <v>One year</v>
          </cell>
          <cell r="H265">
            <v>899</v>
          </cell>
          <cell r="J265" t="str">
            <v>DSL</v>
          </cell>
          <cell r="L265" t="str">
            <v>No</v>
          </cell>
          <cell r="M265" t="str">
            <v>13-24 mo</v>
          </cell>
          <cell r="N265" t="str">
            <v>26-35 yrs</v>
          </cell>
        </row>
        <row r="266">
          <cell r="A266" t="str">
            <v>C1265</v>
          </cell>
          <cell r="E266" t="str">
            <v>Bhopal</v>
          </cell>
          <cell r="F266" t="str">
            <v>Two year</v>
          </cell>
          <cell r="H266">
            <v>699</v>
          </cell>
          <cell r="J266" t="str">
            <v>DSL</v>
          </cell>
          <cell r="L266" t="str">
            <v>No</v>
          </cell>
          <cell r="M266" t="str">
            <v>25-48 mo</v>
          </cell>
          <cell r="N266" t="str">
            <v>18-25 yrs</v>
          </cell>
        </row>
        <row r="267">
          <cell r="A267" t="str">
            <v>C1266</v>
          </cell>
          <cell r="E267" t="str">
            <v>Lucknow</v>
          </cell>
          <cell r="F267" t="str">
            <v>Month-to-month</v>
          </cell>
          <cell r="H267">
            <v>1199</v>
          </cell>
          <cell r="J267" t="str">
            <v>Fiber</v>
          </cell>
          <cell r="L267" t="str">
            <v>No</v>
          </cell>
          <cell r="M267" t="str">
            <v>13-24 mo</v>
          </cell>
          <cell r="N267" t="str">
            <v>46-60 yrs</v>
          </cell>
        </row>
        <row r="268">
          <cell r="A268" t="str">
            <v>C1267</v>
          </cell>
          <cell r="E268" t="str">
            <v>Chandigarh</v>
          </cell>
          <cell r="F268" t="str">
            <v>Month-to-month</v>
          </cell>
          <cell r="H268">
            <v>549</v>
          </cell>
          <cell r="J268" t="str">
            <v>No Internet</v>
          </cell>
          <cell r="L268" t="str">
            <v>No</v>
          </cell>
          <cell r="M268" t="str">
            <v>0-6 mo</v>
          </cell>
          <cell r="N268" t="str">
            <v>46-60 yrs</v>
          </cell>
        </row>
        <row r="269">
          <cell r="A269" t="str">
            <v>C1268</v>
          </cell>
          <cell r="E269" t="str">
            <v>Chennai</v>
          </cell>
          <cell r="F269" t="str">
            <v>One year</v>
          </cell>
          <cell r="H269">
            <v>799</v>
          </cell>
          <cell r="J269" t="str">
            <v>DSL</v>
          </cell>
          <cell r="L269" t="str">
            <v>No</v>
          </cell>
          <cell r="M269" t="str">
            <v>25-48 mo</v>
          </cell>
          <cell r="N269" t="str">
            <v>26-35 yrs</v>
          </cell>
        </row>
        <row r="270">
          <cell r="A270" t="str">
            <v>C1269</v>
          </cell>
          <cell r="E270" t="str">
            <v>Lucknow</v>
          </cell>
          <cell r="F270" t="str">
            <v>Month-to-month</v>
          </cell>
          <cell r="H270">
            <v>899</v>
          </cell>
          <cell r="J270" t="str">
            <v>Fiber</v>
          </cell>
          <cell r="L270" t="str">
            <v>No</v>
          </cell>
          <cell r="M270" t="str">
            <v>7-12 mo</v>
          </cell>
          <cell r="N270" t="str">
            <v>46-60 yrs</v>
          </cell>
        </row>
        <row r="271">
          <cell r="A271" t="str">
            <v>C1270</v>
          </cell>
          <cell r="E271" t="str">
            <v>Mumbai</v>
          </cell>
          <cell r="F271" t="str">
            <v>Month-to-month</v>
          </cell>
          <cell r="H271">
            <v>499</v>
          </cell>
          <cell r="J271" t="str">
            <v>No Internet</v>
          </cell>
          <cell r="L271" t="str">
            <v>No</v>
          </cell>
          <cell r="M271" t="str">
            <v>7-12 mo</v>
          </cell>
          <cell r="N271" t="str">
            <v>46-60 yrs</v>
          </cell>
        </row>
        <row r="272">
          <cell r="A272" t="str">
            <v>C1271</v>
          </cell>
          <cell r="E272" t="str">
            <v>Bangalore</v>
          </cell>
          <cell r="F272" t="str">
            <v>One year</v>
          </cell>
          <cell r="J272" t="str">
            <v>No Internet</v>
          </cell>
          <cell r="L272" t="str">
            <v>Yes</v>
          </cell>
          <cell r="M272" t="str">
            <v>0-6 mo</v>
          </cell>
          <cell r="N272" t="str">
            <v>60+ yrs</v>
          </cell>
        </row>
        <row r="273">
          <cell r="A273" t="str">
            <v>C1272</v>
          </cell>
          <cell r="E273" t="str">
            <v>Chennai</v>
          </cell>
          <cell r="F273" t="str">
            <v>One year</v>
          </cell>
          <cell r="H273">
            <v>1199</v>
          </cell>
          <cell r="J273" t="str">
            <v>Fiber</v>
          </cell>
          <cell r="L273" t="str">
            <v>Yes</v>
          </cell>
          <cell r="M273" t="str">
            <v>25-48 mo</v>
          </cell>
          <cell r="N273" t="str">
            <v>46-60 yrs</v>
          </cell>
        </row>
        <row r="274">
          <cell r="A274" t="str">
            <v>C1273</v>
          </cell>
          <cell r="E274" t="str">
            <v>Mumbai</v>
          </cell>
          <cell r="F274" t="str">
            <v>Month-to-month</v>
          </cell>
          <cell r="H274">
            <v>799</v>
          </cell>
          <cell r="J274" t="str">
            <v>DSL</v>
          </cell>
          <cell r="L274" t="str">
            <v>No</v>
          </cell>
          <cell r="M274" t="str">
            <v>0-6 mo</v>
          </cell>
          <cell r="N274" t="str">
            <v>36-45 yrs</v>
          </cell>
        </row>
        <row r="275">
          <cell r="A275" t="str">
            <v>C1274</v>
          </cell>
          <cell r="E275" t="str">
            <v>Bhopal</v>
          </cell>
          <cell r="F275" t="str">
            <v>Two year</v>
          </cell>
          <cell r="H275">
            <v>599</v>
          </cell>
          <cell r="J275" t="str">
            <v>DSL</v>
          </cell>
          <cell r="L275" t="str">
            <v>No</v>
          </cell>
          <cell r="M275" t="str">
            <v>25-48 mo</v>
          </cell>
          <cell r="N275" t="str">
            <v>36-45 yrs</v>
          </cell>
        </row>
        <row r="276">
          <cell r="A276" t="str">
            <v>C1275</v>
          </cell>
          <cell r="E276" t="str">
            <v>Unknown</v>
          </cell>
          <cell r="F276" t="str">
            <v>One year</v>
          </cell>
          <cell r="H276">
            <v>849</v>
          </cell>
          <cell r="J276" t="str">
            <v>DSL</v>
          </cell>
          <cell r="L276" t="str">
            <v>No</v>
          </cell>
          <cell r="M276" t="str">
            <v>7-12 mo</v>
          </cell>
          <cell r="N276" t="str">
            <v>60+ yrs</v>
          </cell>
        </row>
        <row r="277">
          <cell r="A277" t="str">
            <v>C1276</v>
          </cell>
          <cell r="E277" t="str">
            <v>Bhopal</v>
          </cell>
          <cell r="F277" t="str">
            <v>One year</v>
          </cell>
          <cell r="H277">
            <v>899</v>
          </cell>
          <cell r="J277" t="str">
            <v>DSL</v>
          </cell>
          <cell r="L277" t="str">
            <v>No</v>
          </cell>
          <cell r="M277" t="str">
            <v>7-12 mo</v>
          </cell>
          <cell r="N277" t="str">
            <v>26-35 yrs</v>
          </cell>
        </row>
        <row r="278">
          <cell r="A278" t="str">
            <v>C1277</v>
          </cell>
          <cell r="E278" t="str">
            <v>Unknown</v>
          </cell>
          <cell r="F278" t="str">
            <v>Month-to-month</v>
          </cell>
          <cell r="H278">
            <v>1099</v>
          </cell>
          <cell r="J278" t="str">
            <v>Fiber</v>
          </cell>
          <cell r="L278" t="str">
            <v>Yes</v>
          </cell>
          <cell r="M278" t="str">
            <v>7-12 mo</v>
          </cell>
          <cell r="N278" t="str">
            <v>46-60 yrs</v>
          </cell>
        </row>
        <row r="279">
          <cell r="A279" t="str">
            <v>C1278</v>
          </cell>
          <cell r="E279" t="str">
            <v>Unknown</v>
          </cell>
          <cell r="F279" t="str">
            <v>Month-to-month</v>
          </cell>
          <cell r="H279">
            <v>1299</v>
          </cell>
          <cell r="J279" t="str">
            <v>Fiber</v>
          </cell>
          <cell r="L279" t="str">
            <v>Yes</v>
          </cell>
          <cell r="M279" t="str">
            <v>0-6 mo</v>
          </cell>
          <cell r="N279" t="str">
            <v>60+ yrs</v>
          </cell>
        </row>
        <row r="280">
          <cell r="A280" t="str">
            <v>C1279</v>
          </cell>
          <cell r="E280" t="str">
            <v>Chandigarh</v>
          </cell>
          <cell r="F280" t="str">
            <v>Month-to-month</v>
          </cell>
          <cell r="H280">
            <v>499</v>
          </cell>
          <cell r="J280" t="str">
            <v>No Internet</v>
          </cell>
          <cell r="L280" t="str">
            <v>Yes</v>
          </cell>
          <cell r="M280" t="str">
            <v>13-24 mo</v>
          </cell>
          <cell r="N280" t="str">
            <v>26-35 yrs</v>
          </cell>
        </row>
        <row r="281">
          <cell r="A281" t="str">
            <v>C1280</v>
          </cell>
          <cell r="E281" t="str">
            <v>Mumbai</v>
          </cell>
          <cell r="F281" t="str">
            <v>One year</v>
          </cell>
          <cell r="H281">
            <v>649</v>
          </cell>
          <cell r="J281" t="str">
            <v>Unknown</v>
          </cell>
          <cell r="L281" t="str">
            <v>No</v>
          </cell>
          <cell r="M281" t="str">
            <v>0-6 mo</v>
          </cell>
          <cell r="N281" t="str">
            <v>60+ yrs</v>
          </cell>
        </row>
        <row r="282">
          <cell r="A282" t="str">
            <v>C1281</v>
          </cell>
          <cell r="E282" t="str">
            <v>Chandigarh</v>
          </cell>
          <cell r="F282" t="str">
            <v>Month-to-month</v>
          </cell>
          <cell r="H282">
            <v>599</v>
          </cell>
          <cell r="J282" t="str">
            <v>DSL</v>
          </cell>
          <cell r="L282" t="str">
            <v>Yes</v>
          </cell>
          <cell r="M282" t="str">
            <v>13-24 mo</v>
          </cell>
          <cell r="N282" t="str">
            <v>60+ yrs</v>
          </cell>
        </row>
        <row r="283">
          <cell r="A283" t="str">
            <v>C1282</v>
          </cell>
          <cell r="E283" t="str">
            <v>Pune</v>
          </cell>
          <cell r="F283" t="str">
            <v>One year</v>
          </cell>
          <cell r="H283">
            <v>1149</v>
          </cell>
          <cell r="J283" t="str">
            <v>Fiber</v>
          </cell>
          <cell r="L283" t="str">
            <v>Yes</v>
          </cell>
          <cell r="M283" t="str">
            <v>13-24 mo</v>
          </cell>
          <cell r="N283" t="str">
            <v>46-60 yrs</v>
          </cell>
        </row>
        <row r="284">
          <cell r="A284" t="str">
            <v>C1283</v>
          </cell>
          <cell r="E284" t="str">
            <v>Pune</v>
          </cell>
          <cell r="F284" t="str">
            <v>One year</v>
          </cell>
          <cell r="H284">
            <v>899</v>
          </cell>
          <cell r="J284" t="str">
            <v>Fiber</v>
          </cell>
          <cell r="L284" t="str">
            <v>No</v>
          </cell>
          <cell r="M284" t="str">
            <v>0-6 mo</v>
          </cell>
          <cell r="N284" t="str">
            <v>46-60 yrs</v>
          </cell>
        </row>
        <row r="285">
          <cell r="A285" t="str">
            <v>C1284</v>
          </cell>
          <cell r="E285" t="str">
            <v>Hyderabad</v>
          </cell>
          <cell r="F285" t="str">
            <v>Month-to-month</v>
          </cell>
          <cell r="H285">
            <v>349</v>
          </cell>
          <cell r="J285" t="str">
            <v>No Internet</v>
          </cell>
          <cell r="L285" t="str">
            <v>Yes</v>
          </cell>
          <cell r="M285" t="str">
            <v>0-6 mo</v>
          </cell>
          <cell r="N285" t="str">
            <v>46-60 yrs</v>
          </cell>
        </row>
        <row r="286">
          <cell r="A286" t="str">
            <v>C1285</v>
          </cell>
          <cell r="E286" t="str">
            <v>Mumbai</v>
          </cell>
          <cell r="F286" t="str">
            <v>One year</v>
          </cell>
          <cell r="H286">
            <v>1149</v>
          </cell>
          <cell r="J286" t="str">
            <v>Fiber</v>
          </cell>
          <cell r="L286" t="str">
            <v>Yes</v>
          </cell>
          <cell r="M286" t="str">
            <v>25-48 mo</v>
          </cell>
          <cell r="N286" t="str">
            <v>60+ yrs</v>
          </cell>
        </row>
        <row r="287">
          <cell r="A287" t="str">
            <v>C1286</v>
          </cell>
          <cell r="E287" t="str">
            <v>Chandigarh</v>
          </cell>
          <cell r="F287" t="str">
            <v>Month-to-month</v>
          </cell>
          <cell r="H287">
            <v>449</v>
          </cell>
          <cell r="J287" t="str">
            <v>No Internet</v>
          </cell>
          <cell r="L287" t="str">
            <v>Yes</v>
          </cell>
          <cell r="M287" t="str">
            <v>13-24 mo</v>
          </cell>
          <cell r="N287" t="str">
            <v>26-35 yrs</v>
          </cell>
        </row>
        <row r="288">
          <cell r="A288" t="str">
            <v>C1287</v>
          </cell>
          <cell r="E288" t="str">
            <v>Kochi</v>
          </cell>
          <cell r="F288" t="str">
            <v>One year</v>
          </cell>
          <cell r="H288">
            <v>649</v>
          </cell>
          <cell r="J288" t="str">
            <v>DSL</v>
          </cell>
          <cell r="L288" t="str">
            <v>No</v>
          </cell>
          <cell r="M288" t="str">
            <v>7-12 mo</v>
          </cell>
          <cell r="N288" t="str">
            <v>26-35 yrs</v>
          </cell>
        </row>
        <row r="289">
          <cell r="A289" t="str">
            <v>C1288</v>
          </cell>
          <cell r="E289" t="str">
            <v>Ahmedabad</v>
          </cell>
          <cell r="F289" t="str">
            <v>Month-to-month</v>
          </cell>
          <cell r="H289">
            <v>899</v>
          </cell>
          <cell r="J289" t="str">
            <v>DSL</v>
          </cell>
          <cell r="L289" t="str">
            <v>No</v>
          </cell>
          <cell r="M289" t="str">
            <v>0-6 mo</v>
          </cell>
          <cell r="N289" t="str">
            <v>36-45 yrs</v>
          </cell>
        </row>
        <row r="290">
          <cell r="A290" t="str">
            <v>C1289</v>
          </cell>
          <cell r="E290" t="str">
            <v>Mumbai</v>
          </cell>
          <cell r="F290" t="str">
            <v>One year</v>
          </cell>
          <cell r="H290">
            <v>449</v>
          </cell>
          <cell r="J290" t="str">
            <v>No Internet</v>
          </cell>
          <cell r="L290" t="str">
            <v>No</v>
          </cell>
          <cell r="M290" t="str">
            <v>25-48 mo</v>
          </cell>
          <cell r="N290" t="str">
            <v>26-35 yrs</v>
          </cell>
        </row>
        <row r="291">
          <cell r="A291" t="str">
            <v>C1290</v>
          </cell>
          <cell r="E291" t="str">
            <v>Bhopal</v>
          </cell>
          <cell r="F291" t="str">
            <v>One year</v>
          </cell>
          <cell r="H291">
            <v>899</v>
          </cell>
          <cell r="J291" t="str">
            <v>DSL</v>
          </cell>
          <cell r="L291" t="str">
            <v>Yes</v>
          </cell>
          <cell r="M291" t="str">
            <v>7-12 mo</v>
          </cell>
          <cell r="N291" t="str">
            <v>46-60 yrs</v>
          </cell>
        </row>
        <row r="292">
          <cell r="A292" t="str">
            <v>C1291</v>
          </cell>
          <cell r="E292" t="str">
            <v>Kolkata</v>
          </cell>
          <cell r="F292" t="str">
            <v>Month-to-month</v>
          </cell>
          <cell r="H292">
            <v>1149</v>
          </cell>
          <cell r="J292" t="str">
            <v>Fiber</v>
          </cell>
          <cell r="L292" t="str">
            <v>Yes</v>
          </cell>
          <cell r="M292" t="str">
            <v>13-24 mo</v>
          </cell>
          <cell r="N292" t="str">
            <v>60+ yrs</v>
          </cell>
        </row>
        <row r="293">
          <cell r="A293" t="str">
            <v>C1292</v>
          </cell>
          <cell r="E293" t="str">
            <v>Indore</v>
          </cell>
          <cell r="F293" t="str">
            <v>Month-to-month</v>
          </cell>
          <cell r="H293">
            <v>599</v>
          </cell>
          <cell r="J293" t="str">
            <v>DSL</v>
          </cell>
          <cell r="L293" t="str">
            <v>Yes</v>
          </cell>
          <cell r="M293" t="str">
            <v>7-12 mo</v>
          </cell>
          <cell r="N293" t="str">
            <v>26-35 yrs</v>
          </cell>
        </row>
        <row r="294">
          <cell r="A294" t="str">
            <v>C1293</v>
          </cell>
          <cell r="E294" t="str">
            <v>Kolkata</v>
          </cell>
          <cell r="F294" t="str">
            <v>One year</v>
          </cell>
          <cell r="H294">
            <v>649</v>
          </cell>
          <cell r="J294" t="str">
            <v>DSL</v>
          </cell>
          <cell r="L294" t="str">
            <v>No</v>
          </cell>
          <cell r="M294" t="str">
            <v>13-24 mo</v>
          </cell>
          <cell r="N294" t="str">
            <v>18-25 yrs</v>
          </cell>
        </row>
        <row r="295">
          <cell r="A295" t="str">
            <v>C1294</v>
          </cell>
          <cell r="E295" t="str">
            <v>Hyderabad</v>
          </cell>
          <cell r="F295" t="str">
            <v>One year</v>
          </cell>
          <cell r="H295">
            <v>899</v>
          </cell>
          <cell r="J295" t="str">
            <v>Fiber</v>
          </cell>
          <cell r="L295" t="str">
            <v>No</v>
          </cell>
          <cell r="M295" t="str">
            <v>25-48 mo</v>
          </cell>
          <cell r="N295" t="str">
            <v>46-60 yrs</v>
          </cell>
        </row>
        <row r="296">
          <cell r="A296" t="str">
            <v>C1295</v>
          </cell>
          <cell r="E296" t="str">
            <v>Kochi</v>
          </cell>
          <cell r="F296" t="str">
            <v>Month-to-month</v>
          </cell>
          <cell r="H296">
            <v>899</v>
          </cell>
          <cell r="J296" t="str">
            <v>Fiber</v>
          </cell>
          <cell r="L296" t="str">
            <v>No</v>
          </cell>
          <cell r="M296" t="str">
            <v>13-24 mo</v>
          </cell>
          <cell r="N296" t="str">
            <v>60+ yrs</v>
          </cell>
        </row>
        <row r="297">
          <cell r="A297" t="str">
            <v>C1296</v>
          </cell>
          <cell r="E297" t="str">
            <v>Lucknow</v>
          </cell>
          <cell r="F297" t="str">
            <v>Month-to-month</v>
          </cell>
          <cell r="H297">
            <v>1049</v>
          </cell>
          <cell r="J297" t="str">
            <v>Fiber</v>
          </cell>
          <cell r="L297" t="str">
            <v>Yes</v>
          </cell>
          <cell r="M297" t="str">
            <v>0-6 mo</v>
          </cell>
          <cell r="N297" t="str">
            <v>36-45 yrs</v>
          </cell>
        </row>
        <row r="298">
          <cell r="A298" t="str">
            <v>C1297</v>
          </cell>
          <cell r="E298" t="str">
            <v>Pune</v>
          </cell>
          <cell r="F298" t="str">
            <v>One year</v>
          </cell>
          <cell r="H298">
            <v>399</v>
          </cell>
          <cell r="J298" t="str">
            <v>No Internet</v>
          </cell>
          <cell r="L298" t="str">
            <v>No</v>
          </cell>
          <cell r="M298" t="str">
            <v>7-12 mo</v>
          </cell>
          <cell r="N298" t="str">
            <v>46-60 yrs</v>
          </cell>
        </row>
        <row r="299">
          <cell r="A299" t="str">
            <v>C1298</v>
          </cell>
          <cell r="E299" t="str">
            <v>Kochi</v>
          </cell>
          <cell r="F299" t="str">
            <v>Month-to-month</v>
          </cell>
          <cell r="H299">
            <v>549</v>
          </cell>
          <cell r="J299" t="str">
            <v>No Internet</v>
          </cell>
          <cell r="L299" t="str">
            <v>Yes</v>
          </cell>
          <cell r="M299" t="str">
            <v>0-6 mo</v>
          </cell>
          <cell r="N299" t="str">
            <v>60+ yrs</v>
          </cell>
        </row>
        <row r="300">
          <cell r="A300" t="str">
            <v>C1299</v>
          </cell>
          <cell r="E300" t="str">
            <v>Bhopal</v>
          </cell>
          <cell r="F300" t="str">
            <v>Month-to-month</v>
          </cell>
          <cell r="H300">
            <v>999</v>
          </cell>
          <cell r="J300" t="str">
            <v>Fiber</v>
          </cell>
          <cell r="L300" t="str">
            <v>Yes</v>
          </cell>
          <cell r="M300" t="str">
            <v>0-6 mo</v>
          </cell>
          <cell r="N300" t="str">
            <v>60+ yrs</v>
          </cell>
        </row>
        <row r="301">
          <cell r="A301" t="str">
            <v>C1300</v>
          </cell>
          <cell r="E301" t="str">
            <v>Hyderabad</v>
          </cell>
          <cell r="F301" t="str">
            <v>One year</v>
          </cell>
          <cell r="H301">
            <v>599</v>
          </cell>
          <cell r="J301" t="str">
            <v>DSL</v>
          </cell>
          <cell r="L301" t="str">
            <v>No</v>
          </cell>
          <cell r="M301" t="str">
            <v>25-48 mo</v>
          </cell>
          <cell r="N301" t="str">
            <v>18-25 yrs</v>
          </cell>
        </row>
        <row r="302">
          <cell r="A302" t="str">
            <v>C1301</v>
          </cell>
          <cell r="E302" t="str">
            <v>Delhi</v>
          </cell>
          <cell r="F302" t="str">
            <v>Month-to-month</v>
          </cell>
          <cell r="H302">
            <v>899</v>
          </cell>
          <cell r="J302" t="str">
            <v>Fiber</v>
          </cell>
          <cell r="L302" t="str">
            <v>No</v>
          </cell>
          <cell r="M302" t="str">
            <v>0-6 mo</v>
          </cell>
          <cell r="N302" t="str">
            <v>18-25 yrs</v>
          </cell>
        </row>
        <row r="303">
          <cell r="A303" t="str">
            <v>C1302</v>
          </cell>
          <cell r="E303" t="str">
            <v>Pune</v>
          </cell>
          <cell r="F303" t="str">
            <v>Month-to-month</v>
          </cell>
          <cell r="H303">
            <v>849</v>
          </cell>
          <cell r="J303" t="str">
            <v>DSL</v>
          </cell>
          <cell r="L303" t="str">
            <v>No</v>
          </cell>
          <cell r="M303" t="str">
            <v>0-6 mo</v>
          </cell>
          <cell r="N303" t="str">
            <v>18-25 yrs</v>
          </cell>
        </row>
        <row r="304">
          <cell r="A304" t="str">
            <v>C1303</v>
          </cell>
          <cell r="E304" t="str">
            <v>Chandigarh</v>
          </cell>
          <cell r="F304" t="str">
            <v>Month-to-month</v>
          </cell>
          <cell r="H304">
            <v>699</v>
          </cell>
          <cell r="J304" t="str">
            <v>DSL</v>
          </cell>
          <cell r="L304" t="str">
            <v>No</v>
          </cell>
          <cell r="M304" t="str">
            <v>13-24 mo</v>
          </cell>
          <cell r="N304" t="str">
            <v>46-60 yrs</v>
          </cell>
        </row>
        <row r="305">
          <cell r="A305" t="str">
            <v>C1304</v>
          </cell>
          <cell r="E305" t="str">
            <v>Lucknow</v>
          </cell>
          <cell r="F305" t="str">
            <v>Month-to-month</v>
          </cell>
          <cell r="J305" t="str">
            <v>No Internet</v>
          </cell>
          <cell r="L305" t="str">
            <v>Yes</v>
          </cell>
          <cell r="M305" t="str">
            <v>13-24 mo</v>
          </cell>
          <cell r="N305" t="str">
            <v>26-35 yrs</v>
          </cell>
        </row>
        <row r="306">
          <cell r="A306" t="str">
            <v>C1305</v>
          </cell>
          <cell r="E306" t="str">
            <v>Unknown</v>
          </cell>
          <cell r="F306" t="str">
            <v>Month-to-month</v>
          </cell>
          <cell r="H306">
            <v>599</v>
          </cell>
          <cell r="J306" t="str">
            <v>DSL</v>
          </cell>
          <cell r="L306" t="str">
            <v>No</v>
          </cell>
          <cell r="M306" t="str">
            <v>13-24 mo</v>
          </cell>
          <cell r="N306" t="str">
            <v>18-25 yrs</v>
          </cell>
        </row>
        <row r="307">
          <cell r="A307" t="str">
            <v>C1306</v>
          </cell>
          <cell r="E307" t="str">
            <v>Unknown</v>
          </cell>
          <cell r="F307" t="str">
            <v>Month-to-month</v>
          </cell>
          <cell r="H307">
            <v>599</v>
          </cell>
          <cell r="J307" t="str">
            <v>DSL</v>
          </cell>
          <cell r="L307" t="str">
            <v>No</v>
          </cell>
          <cell r="M307" t="str">
            <v>0-6 mo</v>
          </cell>
          <cell r="N307" t="str">
            <v>18-25 yrs</v>
          </cell>
        </row>
        <row r="308">
          <cell r="A308" t="str">
            <v>C1307</v>
          </cell>
          <cell r="E308" t="str">
            <v>Jaipur</v>
          </cell>
          <cell r="F308" t="str">
            <v>Month-to-month</v>
          </cell>
          <cell r="H308">
            <v>399</v>
          </cell>
          <cell r="J308" t="str">
            <v>No Internet</v>
          </cell>
          <cell r="L308" t="str">
            <v>Yes</v>
          </cell>
          <cell r="M308" t="str">
            <v>13-24 mo</v>
          </cell>
          <cell r="N308" t="str">
            <v>36-45 yrs</v>
          </cell>
        </row>
        <row r="309">
          <cell r="A309" t="str">
            <v>C1308</v>
          </cell>
          <cell r="E309" t="str">
            <v>Chennai</v>
          </cell>
          <cell r="F309" t="str">
            <v>Two year</v>
          </cell>
          <cell r="H309">
            <v>749</v>
          </cell>
          <cell r="J309" t="str">
            <v>DSL</v>
          </cell>
          <cell r="L309" t="str">
            <v>No</v>
          </cell>
          <cell r="M309" t="str">
            <v>13-24 mo</v>
          </cell>
          <cell r="N309" t="str">
            <v>46-60 yrs</v>
          </cell>
        </row>
        <row r="310">
          <cell r="A310" t="str">
            <v>C1309</v>
          </cell>
          <cell r="E310" t="str">
            <v>Ahmedabad</v>
          </cell>
          <cell r="F310" t="str">
            <v>One year</v>
          </cell>
          <cell r="H310">
            <v>1099</v>
          </cell>
          <cell r="J310" t="str">
            <v>Fiber</v>
          </cell>
          <cell r="L310" t="str">
            <v>Yes</v>
          </cell>
          <cell r="M310" t="str">
            <v>7-12 mo</v>
          </cell>
          <cell r="N310" t="str">
            <v>46-60 yrs</v>
          </cell>
        </row>
        <row r="311">
          <cell r="A311" t="str">
            <v>C1310</v>
          </cell>
          <cell r="E311" t="str">
            <v>Jaipur</v>
          </cell>
          <cell r="F311" t="str">
            <v>One year</v>
          </cell>
          <cell r="J311" t="str">
            <v>Fiber</v>
          </cell>
          <cell r="L311" t="str">
            <v>No</v>
          </cell>
          <cell r="M311" t="str">
            <v>13-24 mo</v>
          </cell>
          <cell r="N311" t="str">
            <v>60+ yrs</v>
          </cell>
        </row>
        <row r="312">
          <cell r="A312" t="str">
            <v>C1311</v>
          </cell>
          <cell r="E312" t="str">
            <v>Ahmedabad</v>
          </cell>
          <cell r="F312" t="str">
            <v>Month-to-month</v>
          </cell>
          <cell r="H312">
            <v>1049</v>
          </cell>
          <cell r="J312" t="str">
            <v>Fiber</v>
          </cell>
          <cell r="L312" t="str">
            <v>No</v>
          </cell>
          <cell r="M312" t="str">
            <v>13-24 mo</v>
          </cell>
          <cell r="N312" t="str">
            <v>60+ yrs</v>
          </cell>
        </row>
        <row r="313">
          <cell r="A313" t="str">
            <v>C1312</v>
          </cell>
          <cell r="E313" t="str">
            <v>Chennai</v>
          </cell>
          <cell r="F313" t="str">
            <v>Two year</v>
          </cell>
          <cell r="H313">
            <v>1299</v>
          </cell>
          <cell r="J313" t="str">
            <v>Fiber</v>
          </cell>
          <cell r="L313" t="str">
            <v>No</v>
          </cell>
          <cell r="M313" t="str">
            <v>13-24 mo</v>
          </cell>
          <cell r="N313" t="str">
            <v>46-60 yrs</v>
          </cell>
        </row>
        <row r="314">
          <cell r="A314" t="str">
            <v>C1313</v>
          </cell>
          <cell r="E314" t="str">
            <v>Kolkata</v>
          </cell>
          <cell r="F314" t="str">
            <v>Month-to-month</v>
          </cell>
          <cell r="H314">
            <v>349</v>
          </cell>
          <cell r="J314" t="str">
            <v>No Internet</v>
          </cell>
          <cell r="L314" t="str">
            <v>Yes</v>
          </cell>
          <cell r="M314" t="str">
            <v>7-12 mo</v>
          </cell>
          <cell r="N314" t="str">
            <v>46-60 yrs</v>
          </cell>
        </row>
        <row r="315">
          <cell r="A315" t="str">
            <v>C1314</v>
          </cell>
          <cell r="E315" t="str">
            <v>Delhi</v>
          </cell>
          <cell r="F315" t="str">
            <v>Month-to-month</v>
          </cell>
          <cell r="H315">
            <v>1199</v>
          </cell>
          <cell r="J315" t="str">
            <v>Fiber</v>
          </cell>
          <cell r="L315" t="str">
            <v>No</v>
          </cell>
          <cell r="M315" t="str">
            <v>0-6 mo</v>
          </cell>
          <cell r="N315" t="str">
            <v>46-60 yrs</v>
          </cell>
        </row>
        <row r="316">
          <cell r="A316" t="str">
            <v>C1315</v>
          </cell>
          <cell r="E316" t="str">
            <v>Kolkata</v>
          </cell>
          <cell r="F316" t="str">
            <v>Two year</v>
          </cell>
          <cell r="H316">
            <v>1299</v>
          </cell>
          <cell r="J316" t="str">
            <v>Fiber</v>
          </cell>
          <cell r="L316" t="str">
            <v>No</v>
          </cell>
          <cell r="M316" t="str">
            <v>49+ mo</v>
          </cell>
          <cell r="N316" t="str">
            <v>60+ yrs</v>
          </cell>
        </row>
        <row r="317">
          <cell r="A317" t="str">
            <v>C1316</v>
          </cell>
          <cell r="E317" t="str">
            <v>Chandigarh</v>
          </cell>
          <cell r="F317" t="str">
            <v>One year</v>
          </cell>
          <cell r="H317">
            <v>1149</v>
          </cell>
          <cell r="J317" t="str">
            <v>Fiber</v>
          </cell>
          <cell r="L317" t="str">
            <v>Yes</v>
          </cell>
          <cell r="M317" t="str">
            <v>25-48 mo</v>
          </cell>
          <cell r="N317" t="str">
            <v>36-45 yrs</v>
          </cell>
        </row>
        <row r="318">
          <cell r="A318" t="str">
            <v>C1317</v>
          </cell>
          <cell r="E318" t="str">
            <v>Kochi</v>
          </cell>
          <cell r="F318" t="str">
            <v>Month-to-month</v>
          </cell>
          <cell r="H318">
            <v>849</v>
          </cell>
          <cell r="J318" t="str">
            <v>DSL</v>
          </cell>
          <cell r="L318" t="str">
            <v>No</v>
          </cell>
          <cell r="M318" t="str">
            <v>0-6 mo</v>
          </cell>
          <cell r="N318" t="str">
            <v>26-35 yrs</v>
          </cell>
        </row>
        <row r="319">
          <cell r="A319" t="str">
            <v>C1318</v>
          </cell>
          <cell r="E319" t="str">
            <v>Bhopal</v>
          </cell>
          <cell r="F319" t="str">
            <v>Two year</v>
          </cell>
          <cell r="H319">
            <v>799</v>
          </cell>
          <cell r="J319" t="str">
            <v>DSL</v>
          </cell>
          <cell r="L319" t="str">
            <v>No</v>
          </cell>
          <cell r="M319" t="str">
            <v>49+ mo</v>
          </cell>
          <cell r="N319" t="str">
            <v>36-45 yrs</v>
          </cell>
        </row>
        <row r="320">
          <cell r="A320" t="str">
            <v>C1319</v>
          </cell>
          <cell r="E320" t="str">
            <v>Lucknow</v>
          </cell>
          <cell r="F320" t="str">
            <v>Month-to-month</v>
          </cell>
          <cell r="H320">
            <v>999</v>
          </cell>
          <cell r="J320" t="str">
            <v>Fiber</v>
          </cell>
          <cell r="L320" t="str">
            <v>No</v>
          </cell>
          <cell r="M320" t="str">
            <v>13-24 mo</v>
          </cell>
          <cell r="N320" t="str">
            <v>46-60 yrs</v>
          </cell>
        </row>
        <row r="321">
          <cell r="A321" t="str">
            <v>C1320</v>
          </cell>
          <cell r="E321" t="str">
            <v>Mumbai</v>
          </cell>
          <cell r="F321" t="str">
            <v>One year</v>
          </cell>
          <cell r="H321">
            <v>499</v>
          </cell>
          <cell r="J321" t="str">
            <v>No Internet</v>
          </cell>
          <cell r="L321" t="str">
            <v>No</v>
          </cell>
          <cell r="M321" t="str">
            <v>13-24 mo</v>
          </cell>
          <cell r="N321" t="str">
            <v>60+ yrs</v>
          </cell>
        </row>
        <row r="322">
          <cell r="A322" t="str">
            <v>C1321</v>
          </cell>
          <cell r="E322" t="str">
            <v>Kolkata</v>
          </cell>
          <cell r="F322" t="str">
            <v>Month-to-month</v>
          </cell>
          <cell r="H322">
            <v>899</v>
          </cell>
          <cell r="J322" t="str">
            <v>Fiber</v>
          </cell>
          <cell r="L322" t="str">
            <v>No</v>
          </cell>
          <cell r="M322" t="str">
            <v>13-24 mo</v>
          </cell>
          <cell r="N322" t="str">
            <v>26-35 yrs</v>
          </cell>
        </row>
        <row r="323">
          <cell r="A323" t="str">
            <v>C1322</v>
          </cell>
          <cell r="E323" t="str">
            <v>Chennai</v>
          </cell>
          <cell r="F323" t="str">
            <v>Two year</v>
          </cell>
          <cell r="H323">
            <v>699</v>
          </cell>
          <cell r="J323" t="str">
            <v>DSL</v>
          </cell>
          <cell r="L323" t="str">
            <v>No</v>
          </cell>
          <cell r="M323" t="str">
            <v>25-48 mo</v>
          </cell>
          <cell r="N323" t="str">
            <v>46-60 yrs</v>
          </cell>
        </row>
        <row r="324">
          <cell r="A324" t="str">
            <v>C1323</v>
          </cell>
          <cell r="E324" t="str">
            <v>Bhopal</v>
          </cell>
          <cell r="F324" t="str">
            <v>Month-to-month</v>
          </cell>
          <cell r="H324">
            <v>549</v>
          </cell>
          <cell r="J324" t="str">
            <v>Unknown</v>
          </cell>
          <cell r="L324" t="str">
            <v>No</v>
          </cell>
          <cell r="M324" t="str">
            <v>7-12 mo</v>
          </cell>
          <cell r="N324" t="str">
            <v>36-45 yrs</v>
          </cell>
        </row>
        <row r="325">
          <cell r="A325" t="str">
            <v>C1324</v>
          </cell>
          <cell r="E325" t="str">
            <v>Ahmedabad</v>
          </cell>
          <cell r="F325" t="str">
            <v>Unknown</v>
          </cell>
          <cell r="H325">
            <v>399</v>
          </cell>
          <cell r="J325" t="str">
            <v>No Internet</v>
          </cell>
          <cell r="L325" t="str">
            <v>Yes</v>
          </cell>
          <cell r="M325" t="str">
            <v>0-6 mo</v>
          </cell>
          <cell r="N325" t="str">
            <v>60+ yrs</v>
          </cell>
        </row>
        <row r="326">
          <cell r="A326" t="str">
            <v>C1325</v>
          </cell>
          <cell r="E326" t="str">
            <v>Lucknow</v>
          </cell>
          <cell r="F326" t="str">
            <v>Month-to-month</v>
          </cell>
          <cell r="H326">
            <v>899</v>
          </cell>
          <cell r="J326" t="str">
            <v>DSL</v>
          </cell>
          <cell r="L326" t="str">
            <v>Yes</v>
          </cell>
          <cell r="M326" t="str">
            <v>7-12 mo</v>
          </cell>
          <cell r="N326" t="str">
            <v>60+ yrs</v>
          </cell>
        </row>
        <row r="327">
          <cell r="A327" t="str">
            <v>C1326</v>
          </cell>
          <cell r="E327" t="str">
            <v>Chandigarh</v>
          </cell>
          <cell r="F327" t="str">
            <v>Month-to-month</v>
          </cell>
          <cell r="H327">
            <v>899</v>
          </cell>
          <cell r="J327" t="str">
            <v>Fiber</v>
          </cell>
          <cell r="L327" t="str">
            <v>Yes</v>
          </cell>
          <cell r="M327" t="str">
            <v>0-6 mo</v>
          </cell>
          <cell r="N327" t="str">
            <v>36-45 yrs</v>
          </cell>
        </row>
        <row r="328">
          <cell r="A328" t="str">
            <v>C1327</v>
          </cell>
          <cell r="E328" t="str">
            <v>Jaipur</v>
          </cell>
          <cell r="F328" t="str">
            <v>Month-to-month</v>
          </cell>
          <cell r="H328">
            <v>849</v>
          </cell>
          <cell r="J328" t="str">
            <v>DSL</v>
          </cell>
          <cell r="L328" t="str">
            <v>Yes</v>
          </cell>
          <cell r="M328" t="str">
            <v>7-12 mo</v>
          </cell>
          <cell r="N328" t="str">
            <v>46-60 yrs</v>
          </cell>
        </row>
        <row r="329">
          <cell r="A329" t="str">
            <v>C1328</v>
          </cell>
          <cell r="E329" t="str">
            <v>Hyderabad</v>
          </cell>
          <cell r="F329" t="str">
            <v>Two year</v>
          </cell>
          <cell r="H329">
            <v>1199</v>
          </cell>
          <cell r="J329" t="str">
            <v>Fiber</v>
          </cell>
          <cell r="L329" t="str">
            <v>No</v>
          </cell>
          <cell r="M329" t="str">
            <v>25-48 mo</v>
          </cell>
          <cell r="N329" t="str">
            <v>60+ yrs</v>
          </cell>
        </row>
        <row r="330">
          <cell r="A330" t="str">
            <v>C1329</v>
          </cell>
          <cell r="E330" t="str">
            <v>Bangalore</v>
          </cell>
          <cell r="F330" t="str">
            <v>One year</v>
          </cell>
          <cell r="H330">
            <v>799</v>
          </cell>
          <cell r="J330" t="str">
            <v>DSL</v>
          </cell>
          <cell r="L330" t="str">
            <v>No</v>
          </cell>
          <cell r="M330" t="str">
            <v>13-24 mo</v>
          </cell>
          <cell r="N330" t="str">
            <v>46-60 yrs</v>
          </cell>
        </row>
        <row r="331">
          <cell r="A331" t="str">
            <v>C1330</v>
          </cell>
          <cell r="E331" t="str">
            <v>Pune</v>
          </cell>
          <cell r="F331" t="str">
            <v>Month-to-month</v>
          </cell>
          <cell r="H331">
            <v>849</v>
          </cell>
          <cell r="J331" t="str">
            <v>DSL</v>
          </cell>
          <cell r="L331" t="str">
            <v>Unknown</v>
          </cell>
          <cell r="M331" t="str">
            <v>7-12 mo</v>
          </cell>
          <cell r="N331" t="str">
            <v>60+ yrs</v>
          </cell>
        </row>
        <row r="332">
          <cell r="A332" t="str">
            <v>C1331</v>
          </cell>
          <cell r="E332" t="str">
            <v>Chandigarh</v>
          </cell>
          <cell r="F332" t="str">
            <v>Month-to-month</v>
          </cell>
          <cell r="H332">
            <v>1049</v>
          </cell>
          <cell r="J332" t="str">
            <v>Fiber</v>
          </cell>
          <cell r="L332" t="str">
            <v>No</v>
          </cell>
          <cell r="M332" t="str">
            <v>13-24 mo</v>
          </cell>
          <cell r="N332" t="str">
            <v>60+ yrs</v>
          </cell>
        </row>
        <row r="333">
          <cell r="A333" t="str">
            <v>C1332</v>
          </cell>
          <cell r="E333" t="str">
            <v>Indore</v>
          </cell>
          <cell r="F333" t="str">
            <v>One year</v>
          </cell>
          <cell r="H333">
            <v>549</v>
          </cell>
          <cell r="J333" t="str">
            <v>No Internet</v>
          </cell>
          <cell r="L333" t="str">
            <v>No</v>
          </cell>
          <cell r="M333" t="str">
            <v>13-24 mo</v>
          </cell>
          <cell r="N333" t="str">
            <v>26-35 yrs</v>
          </cell>
        </row>
        <row r="334">
          <cell r="A334" t="str">
            <v>C1333</v>
          </cell>
          <cell r="E334" t="str">
            <v>Pune</v>
          </cell>
          <cell r="F334" t="str">
            <v>One year</v>
          </cell>
          <cell r="H334">
            <v>1049</v>
          </cell>
          <cell r="J334" t="str">
            <v>Fiber</v>
          </cell>
          <cell r="L334" t="str">
            <v>No</v>
          </cell>
          <cell r="M334" t="str">
            <v>25-48 mo</v>
          </cell>
          <cell r="N334" t="str">
            <v>46-60 yrs</v>
          </cell>
        </row>
        <row r="335">
          <cell r="A335" t="str">
            <v>C1334</v>
          </cell>
          <cell r="E335" t="str">
            <v>Chandigarh</v>
          </cell>
          <cell r="F335" t="str">
            <v>Month-to-month</v>
          </cell>
          <cell r="H335">
            <v>1149</v>
          </cell>
          <cell r="J335" t="str">
            <v>Fiber</v>
          </cell>
          <cell r="L335" t="str">
            <v>No</v>
          </cell>
          <cell r="M335" t="str">
            <v>7-12 mo</v>
          </cell>
          <cell r="N335" t="str">
            <v>46-60 yrs</v>
          </cell>
        </row>
        <row r="336">
          <cell r="A336" t="str">
            <v>C1335</v>
          </cell>
          <cell r="E336" t="str">
            <v>Bangalore</v>
          </cell>
          <cell r="F336" t="str">
            <v>Two year</v>
          </cell>
          <cell r="H336">
            <v>499</v>
          </cell>
          <cell r="J336" t="str">
            <v>No Internet</v>
          </cell>
          <cell r="L336" t="str">
            <v>No</v>
          </cell>
          <cell r="M336" t="str">
            <v>13-24 mo</v>
          </cell>
          <cell r="N336" t="str">
            <v>60+ yrs</v>
          </cell>
        </row>
        <row r="337">
          <cell r="A337" t="str">
            <v>C1336</v>
          </cell>
          <cell r="E337" t="str">
            <v>Hyderabad</v>
          </cell>
          <cell r="F337" t="str">
            <v>Month-to-month</v>
          </cell>
          <cell r="H337">
            <v>1299</v>
          </cell>
          <cell r="J337" t="str">
            <v>Fiber</v>
          </cell>
          <cell r="L337" t="str">
            <v>Yes</v>
          </cell>
          <cell r="M337" t="str">
            <v>7-12 mo</v>
          </cell>
          <cell r="N337" t="str">
            <v>18-25 yrs</v>
          </cell>
        </row>
        <row r="338">
          <cell r="A338" t="str">
            <v>C1337</v>
          </cell>
          <cell r="E338" t="str">
            <v>Delhi</v>
          </cell>
          <cell r="F338" t="str">
            <v>Two year</v>
          </cell>
          <cell r="H338">
            <v>999</v>
          </cell>
          <cell r="J338" t="str">
            <v>Fiber</v>
          </cell>
          <cell r="L338" t="str">
            <v>Yes</v>
          </cell>
          <cell r="M338" t="str">
            <v>7-12 mo</v>
          </cell>
          <cell r="N338" t="str">
            <v>46-60 yrs</v>
          </cell>
        </row>
        <row r="339">
          <cell r="A339" t="str">
            <v>C1338</v>
          </cell>
          <cell r="E339" t="str">
            <v>Delhi</v>
          </cell>
          <cell r="F339" t="str">
            <v>Two year</v>
          </cell>
          <cell r="H339">
            <v>699</v>
          </cell>
          <cell r="J339" t="str">
            <v>DSL</v>
          </cell>
          <cell r="L339" t="str">
            <v>No</v>
          </cell>
          <cell r="M339" t="str">
            <v>25-48 mo</v>
          </cell>
          <cell r="N339" t="str">
            <v>36-45 yrs</v>
          </cell>
        </row>
        <row r="340">
          <cell r="A340" t="str">
            <v>C1339</v>
          </cell>
          <cell r="E340" t="str">
            <v>Kochi</v>
          </cell>
          <cell r="F340" t="str">
            <v>Month-to-month</v>
          </cell>
          <cell r="H340">
            <v>699</v>
          </cell>
          <cell r="J340" t="str">
            <v>DSL</v>
          </cell>
          <cell r="L340" t="str">
            <v>Yes</v>
          </cell>
          <cell r="M340" t="str">
            <v>0-6 mo</v>
          </cell>
          <cell r="N340" t="str">
            <v>26-35 yrs</v>
          </cell>
        </row>
        <row r="341">
          <cell r="A341" t="str">
            <v>C1340</v>
          </cell>
          <cell r="E341" t="str">
            <v>Bangalore</v>
          </cell>
          <cell r="F341" t="str">
            <v>Month-to-month</v>
          </cell>
          <cell r="H341">
            <v>1149</v>
          </cell>
          <cell r="J341" t="str">
            <v>Fiber</v>
          </cell>
          <cell r="L341" t="str">
            <v>No</v>
          </cell>
          <cell r="M341" t="str">
            <v>0-6 mo</v>
          </cell>
          <cell r="N341" t="str">
            <v>60+ yrs</v>
          </cell>
        </row>
        <row r="342">
          <cell r="A342" t="str">
            <v>C1341</v>
          </cell>
          <cell r="E342" t="str">
            <v>Delhi</v>
          </cell>
          <cell r="F342" t="str">
            <v>Month-to-month</v>
          </cell>
          <cell r="H342">
            <v>1299</v>
          </cell>
          <cell r="J342" t="str">
            <v>Fiber</v>
          </cell>
          <cell r="L342" t="str">
            <v>Yes</v>
          </cell>
          <cell r="M342" t="str">
            <v>0-6 mo</v>
          </cell>
          <cell r="N342" t="str">
            <v>18-25 yrs</v>
          </cell>
        </row>
        <row r="343">
          <cell r="A343" t="str">
            <v>C1342</v>
          </cell>
          <cell r="E343" t="str">
            <v>Pune</v>
          </cell>
          <cell r="F343" t="str">
            <v>Month-to-month</v>
          </cell>
          <cell r="H343">
            <v>799</v>
          </cell>
          <cell r="J343" t="str">
            <v>DSL</v>
          </cell>
          <cell r="L343" t="str">
            <v>Yes</v>
          </cell>
          <cell r="M343" t="str">
            <v>13-24 mo</v>
          </cell>
          <cell r="N343" t="str">
            <v>60+ yrs</v>
          </cell>
        </row>
        <row r="344">
          <cell r="A344" t="str">
            <v>C1343</v>
          </cell>
          <cell r="E344" t="str">
            <v>Jaipur</v>
          </cell>
          <cell r="F344" t="str">
            <v>One year</v>
          </cell>
          <cell r="H344">
            <v>699</v>
          </cell>
          <cell r="J344" t="str">
            <v>DSL</v>
          </cell>
          <cell r="L344" t="str">
            <v>No</v>
          </cell>
          <cell r="M344" t="str">
            <v>7-12 mo</v>
          </cell>
          <cell r="N344" t="str">
            <v>60+ yrs</v>
          </cell>
        </row>
        <row r="345">
          <cell r="A345" t="str">
            <v>C1344</v>
          </cell>
          <cell r="E345" t="str">
            <v>Bhopal</v>
          </cell>
          <cell r="F345" t="str">
            <v>Two year</v>
          </cell>
          <cell r="H345">
            <v>799</v>
          </cell>
          <cell r="J345" t="str">
            <v>DSL</v>
          </cell>
          <cell r="L345" t="str">
            <v>Yes</v>
          </cell>
          <cell r="M345" t="str">
            <v>0-6 mo</v>
          </cell>
          <cell r="N345" t="str">
            <v>26-35 yrs</v>
          </cell>
        </row>
        <row r="346">
          <cell r="A346" t="str">
            <v>C1345</v>
          </cell>
          <cell r="E346" t="str">
            <v>Kochi</v>
          </cell>
          <cell r="F346" t="str">
            <v>Month-to-month</v>
          </cell>
          <cell r="H346">
            <v>849</v>
          </cell>
          <cell r="J346" t="str">
            <v>DSL</v>
          </cell>
          <cell r="L346" t="str">
            <v>Yes</v>
          </cell>
          <cell r="M346" t="str">
            <v>0-6 mo</v>
          </cell>
          <cell r="N346" t="str">
            <v>26-35 yrs</v>
          </cell>
        </row>
        <row r="347">
          <cell r="A347" t="str">
            <v>C1346</v>
          </cell>
          <cell r="E347" t="str">
            <v>Unknown</v>
          </cell>
          <cell r="F347" t="str">
            <v>Month-to-month</v>
          </cell>
          <cell r="H347">
            <v>1199</v>
          </cell>
          <cell r="J347" t="str">
            <v>Fiber</v>
          </cell>
          <cell r="L347" t="str">
            <v>Yes</v>
          </cell>
          <cell r="M347" t="str">
            <v>7-12 mo</v>
          </cell>
          <cell r="N347" t="str">
            <v>18-25 yrs</v>
          </cell>
        </row>
        <row r="348">
          <cell r="A348" t="str">
            <v>C1347</v>
          </cell>
          <cell r="E348" t="str">
            <v>Lucknow</v>
          </cell>
          <cell r="F348" t="str">
            <v>One year</v>
          </cell>
          <cell r="H348">
            <v>1199</v>
          </cell>
          <cell r="J348" t="str">
            <v>Fiber</v>
          </cell>
          <cell r="L348" t="str">
            <v>Yes</v>
          </cell>
          <cell r="M348" t="str">
            <v>7-12 mo</v>
          </cell>
          <cell r="N348" t="str">
            <v>46-60 yrs</v>
          </cell>
        </row>
        <row r="349">
          <cell r="A349" t="str">
            <v>C1348</v>
          </cell>
          <cell r="E349" t="str">
            <v>Hyderabad</v>
          </cell>
          <cell r="F349" t="str">
            <v>One year</v>
          </cell>
          <cell r="H349">
            <v>499</v>
          </cell>
          <cell r="J349" t="str">
            <v>No Internet</v>
          </cell>
          <cell r="L349" t="str">
            <v>No</v>
          </cell>
          <cell r="M349" t="str">
            <v>13-24 mo</v>
          </cell>
          <cell r="N349" t="str">
            <v>46-60 yrs</v>
          </cell>
        </row>
        <row r="350">
          <cell r="A350" t="str">
            <v>C1349</v>
          </cell>
          <cell r="E350" t="str">
            <v>Pune</v>
          </cell>
          <cell r="F350" t="str">
            <v>Month-to-month</v>
          </cell>
          <cell r="H350">
            <v>599</v>
          </cell>
          <cell r="J350" t="str">
            <v>DSL</v>
          </cell>
          <cell r="L350" t="str">
            <v>No</v>
          </cell>
          <cell r="M350" t="str">
            <v>0-6 mo</v>
          </cell>
          <cell r="N350" t="str">
            <v>46-60 yrs</v>
          </cell>
        </row>
        <row r="351">
          <cell r="A351" t="str">
            <v>C1350</v>
          </cell>
          <cell r="E351" t="str">
            <v>Bhopal</v>
          </cell>
          <cell r="F351" t="str">
            <v>Month-to-month</v>
          </cell>
          <cell r="H351">
            <v>749</v>
          </cell>
          <cell r="J351" t="str">
            <v>DSL</v>
          </cell>
          <cell r="L351" t="str">
            <v>No</v>
          </cell>
          <cell r="M351" t="str">
            <v>7-12 mo</v>
          </cell>
          <cell r="N351" t="str">
            <v>60+ yrs</v>
          </cell>
        </row>
        <row r="352">
          <cell r="A352" t="str">
            <v>C1351</v>
          </cell>
          <cell r="E352" t="str">
            <v>Unknown</v>
          </cell>
          <cell r="F352" t="str">
            <v>One year</v>
          </cell>
          <cell r="H352">
            <v>1299</v>
          </cell>
          <cell r="J352" t="str">
            <v>Fiber</v>
          </cell>
          <cell r="L352" t="str">
            <v>Yes</v>
          </cell>
          <cell r="M352" t="str">
            <v>7-12 mo</v>
          </cell>
          <cell r="N352" t="str">
            <v>36-45 yrs</v>
          </cell>
        </row>
        <row r="353">
          <cell r="A353" t="str">
            <v>C1352</v>
          </cell>
          <cell r="E353" t="str">
            <v>Ahmedabad</v>
          </cell>
          <cell r="F353" t="str">
            <v>Two year</v>
          </cell>
          <cell r="H353">
            <v>699</v>
          </cell>
          <cell r="J353" t="str">
            <v>DSL</v>
          </cell>
          <cell r="L353" t="str">
            <v>No</v>
          </cell>
          <cell r="M353" t="str">
            <v>7-12 mo</v>
          </cell>
          <cell r="N353" t="str">
            <v>60+ yrs</v>
          </cell>
        </row>
        <row r="354">
          <cell r="A354" t="str">
            <v>C1353</v>
          </cell>
          <cell r="E354" t="str">
            <v>Kolkata</v>
          </cell>
          <cell r="F354" t="str">
            <v>One year</v>
          </cell>
          <cell r="H354">
            <v>1299</v>
          </cell>
          <cell r="J354" t="str">
            <v>Fiber</v>
          </cell>
          <cell r="L354" t="str">
            <v>Yes</v>
          </cell>
          <cell r="M354" t="str">
            <v>25-48 mo</v>
          </cell>
          <cell r="N354" t="str">
            <v>60+ yrs</v>
          </cell>
        </row>
        <row r="355">
          <cell r="A355" t="str">
            <v>C1354</v>
          </cell>
          <cell r="E355" t="str">
            <v>Lucknow</v>
          </cell>
          <cell r="F355" t="str">
            <v>Month-to-month</v>
          </cell>
          <cell r="H355">
            <v>1149</v>
          </cell>
          <cell r="J355" t="str">
            <v>Fiber</v>
          </cell>
          <cell r="L355" t="str">
            <v>No</v>
          </cell>
          <cell r="M355" t="str">
            <v>13-24 mo</v>
          </cell>
          <cell r="N355" t="str">
            <v>36-45 yrs</v>
          </cell>
        </row>
        <row r="356">
          <cell r="A356" t="str">
            <v>C1355</v>
          </cell>
          <cell r="E356" t="str">
            <v>Mumbai</v>
          </cell>
          <cell r="F356" t="str">
            <v>Two year</v>
          </cell>
          <cell r="H356">
            <v>1199</v>
          </cell>
          <cell r="J356" t="str">
            <v>Fiber</v>
          </cell>
          <cell r="L356" t="str">
            <v>Yes</v>
          </cell>
          <cell r="M356" t="str">
            <v>7-12 mo</v>
          </cell>
          <cell r="N356" t="str">
            <v>46-60 yrs</v>
          </cell>
        </row>
        <row r="357">
          <cell r="A357" t="str">
            <v>C1356</v>
          </cell>
          <cell r="E357" t="str">
            <v>Unknown</v>
          </cell>
          <cell r="F357" t="str">
            <v>One year</v>
          </cell>
          <cell r="H357">
            <v>749</v>
          </cell>
          <cell r="J357" t="str">
            <v>DSL</v>
          </cell>
          <cell r="L357" t="str">
            <v>Yes</v>
          </cell>
          <cell r="M357" t="str">
            <v>13-24 mo</v>
          </cell>
          <cell r="N357" t="str">
            <v>46-60 yrs</v>
          </cell>
        </row>
        <row r="358">
          <cell r="A358" t="str">
            <v>C1357</v>
          </cell>
          <cell r="E358" t="str">
            <v>Jaipur</v>
          </cell>
          <cell r="F358" t="str">
            <v>Two year</v>
          </cell>
          <cell r="H358">
            <v>499</v>
          </cell>
          <cell r="J358" t="str">
            <v>No Internet</v>
          </cell>
          <cell r="L358" t="str">
            <v>No</v>
          </cell>
          <cell r="M358" t="str">
            <v>13-24 mo</v>
          </cell>
          <cell r="N358" t="str">
            <v>26-35 yrs</v>
          </cell>
        </row>
        <row r="359">
          <cell r="A359" t="str">
            <v>C1358</v>
          </cell>
          <cell r="E359" t="str">
            <v>Jaipur</v>
          </cell>
          <cell r="F359" t="str">
            <v>One year</v>
          </cell>
          <cell r="H359">
            <v>1099</v>
          </cell>
          <cell r="J359" t="str">
            <v>Fiber</v>
          </cell>
          <cell r="L359" t="str">
            <v>No</v>
          </cell>
          <cell r="M359" t="str">
            <v>13-24 mo</v>
          </cell>
          <cell r="N359" t="str">
            <v>26-35 yrs</v>
          </cell>
        </row>
        <row r="360">
          <cell r="A360" t="str">
            <v>C1359</v>
          </cell>
          <cell r="E360" t="str">
            <v>Mumbai</v>
          </cell>
          <cell r="F360" t="str">
            <v>Two year</v>
          </cell>
          <cell r="H360">
            <v>1099</v>
          </cell>
          <cell r="J360" t="str">
            <v>Fiber</v>
          </cell>
          <cell r="L360" t="str">
            <v>Yes</v>
          </cell>
          <cell r="M360" t="str">
            <v>0-6 mo</v>
          </cell>
          <cell r="N360" t="str">
            <v>36-45 yrs</v>
          </cell>
        </row>
        <row r="361">
          <cell r="A361" t="str">
            <v>C1360</v>
          </cell>
          <cell r="E361" t="str">
            <v>Indore</v>
          </cell>
          <cell r="F361" t="str">
            <v>Month-to-month</v>
          </cell>
          <cell r="H361">
            <v>1199</v>
          </cell>
          <cell r="J361" t="str">
            <v>Fiber</v>
          </cell>
          <cell r="L361" t="str">
            <v>No</v>
          </cell>
          <cell r="M361" t="str">
            <v>7-12 mo</v>
          </cell>
          <cell r="N361" t="str">
            <v>46-60 yrs</v>
          </cell>
        </row>
        <row r="362">
          <cell r="A362" t="str">
            <v>C1361</v>
          </cell>
          <cell r="E362" t="str">
            <v>Jaipur</v>
          </cell>
          <cell r="F362" t="str">
            <v>One year</v>
          </cell>
          <cell r="H362">
            <v>1099</v>
          </cell>
          <cell r="J362" t="str">
            <v>Fiber</v>
          </cell>
          <cell r="L362" t="str">
            <v>Yes</v>
          </cell>
          <cell r="M362" t="str">
            <v>13-24 mo</v>
          </cell>
          <cell r="N362" t="str">
            <v>36-45 yrs</v>
          </cell>
        </row>
        <row r="363">
          <cell r="A363" t="str">
            <v>C1362</v>
          </cell>
          <cell r="E363" t="str">
            <v>Chandigarh</v>
          </cell>
          <cell r="F363" t="str">
            <v>One year</v>
          </cell>
          <cell r="H363">
            <v>1049</v>
          </cell>
          <cell r="J363" t="str">
            <v>Fiber</v>
          </cell>
          <cell r="L363" t="str">
            <v>Yes</v>
          </cell>
          <cell r="M363" t="str">
            <v>25-48 mo</v>
          </cell>
          <cell r="N363" t="str">
            <v>36-45 yrs</v>
          </cell>
        </row>
        <row r="364">
          <cell r="A364" t="str">
            <v>C1363</v>
          </cell>
          <cell r="E364" t="str">
            <v>Bhopal</v>
          </cell>
          <cell r="F364" t="str">
            <v>Month-to-month</v>
          </cell>
          <cell r="H364">
            <v>649</v>
          </cell>
          <cell r="J364" t="str">
            <v>DSL</v>
          </cell>
          <cell r="L364" t="str">
            <v>Yes</v>
          </cell>
          <cell r="M364" t="str">
            <v>7-12 mo</v>
          </cell>
          <cell r="N364" t="str">
            <v>60+ yrs</v>
          </cell>
        </row>
        <row r="365">
          <cell r="A365" t="str">
            <v>C1364</v>
          </cell>
          <cell r="E365" t="str">
            <v>Kolkata</v>
          </cell>
          <cell r="F365" t="str">
            <v>Month-to-month</v>
          </cell>
          <cell r="H365">
            <v>899</v>
          </cell>
          <cell r="J365" t="str">
            <v>Fiber</v>
          </cell>
          <cell r="L365" t="str">
            <v>Yes</v>
          </cell>
          <cell r="M365" t="str">
            <v>13-24 mo</v>
          </cell>
          <cell r="N365" t="str">
            <v>60+ yrs</v>
          </cell>
        </row>
        <row r="366">
          <cell r="A366" t="str">
            <v>C1365</v>
          </cell>
          <cell r="E366" t="str">
            <v>Bhopal</v>
          </cell>
          <cell r="F366" t="str">
            <v>Month-to-month</v>
          </cell>
          <cell r="H366">
            <v>399</v>
          </cell>
          <cell r="J366" t="str">
            <v>No Internet</v>
          </cell>
          <cell r="L366" t="str">
            <v>No</v>
          </cell>
          <cell r="M366" t="str">
            <v>13-24 mo</v>
          </cell>
          <cell r="N366" t="str">
            <v>46-60 yrs</v>
          </cell>
        </row>
        <row r="367">
          <cell r="A367" t="str">
            <v>C1366</v>
          </cell>
          <cell r="E367" t="str">
            <v>Lucknow</v>
          </cell>
          <cell r="F367" t="str">
            <v>One year</v>
          </cell>
          <cell r="H367">
            <v>749</v>
          </cell>
          <cell r="J367" t="str">
            <v>DSL</v>
          </cell>
          <cell r="L367" t="str">
            <v>No</v>
          </cell>
          <cell r="M367" t="str">
            <v>25-48 mo</v>
          </cell>
          <cell r="N367" t="str">
            <v>46-60 yrs</v>
          </cell>
        </row>
        <row r="368">
          <cell r="A368" t="str">
            <v>C1367</v>
          </cell>
          <cell r="E368" t="str">
            <v>Kolkata</v>
          </cell>
          <cell r="F368" t="str">
            <v>One year</v>
          </cell>
          <cell r="H368">
            <v>549</v>
          </cell>
          <cell r="J368" t="str">
            <v>No Internet</v>
          </cell>
          <cell r="L368" t="str">
            <v>No</v>
          </cell>
          <cell r="M368" t="str">
            <v>25-48 mo</v>
          </cell>
          <cell r="N368" t="str">
            <v>26-35 yrs</v>
          </cell>
        </row>
        <row r="369">
          <cell r="A369" t="str">
            <v>C1368</v>
          </cell>
          <cell r="E369" t="str">
            <v>Bhopal</v>
          </cell>
          <cell r="F369" t="str">
            <v>Month-to-month</v>
          </cell>
          <cell r="H369">
            <v>649</v>
          </cell>
          <cell r="J369" t="str">
            <v>Unknown</v>
          </cell>
          <cell r="L369" t="str">
            <v>No</v>
          </cell>
          <cell r="M369" t="str">
            <v>13-24 mo</v>
          </cell>
          <cell r="N369" t="str">
            <v>46-60 yrs</v>
          </cell>
        </row>
        <row r="370">
          <cell r="A370" t="str">
            <v>C1369</v>
          </cell>
          <cell r="E370" t="str">
            <v>Ahmedabad</v>
          </cell>
          <cell r="F370" t="str">
            <v>One year</v>
          </cell>
          <cell r="H370">
            <v>549</v>
          </cell>
          <cell r="J370" t="str">
            <v>No Internet</v>
          </cell>
          <cell r="L370" t="str">
            <v>No</v>
          </cell>
          <cell r="M370" t="str">
            <v>25-48 mo</v>
          </cell>
          <cell r="N370" t="str">
            <v>46-60 yrs</v>
          </cell>
        </row>
        <row r="371">
          <cell r="A371" t="str">
            <v>C1370</v>
          </cell>
          <cell r="E371" t="str">
            <v>Delhi</v>
          </cell>
          <cell r="F371" t="str">
            <v>Month-to-month</v>
          </cell>
          <cell r="H371">
            <v>649</v>
          </cell>
          <cell r="J371" t="str">
            <v>DSL</v>
          </cell>
          <cell r="L371" t="str">
            <v>No</v>
          </cell>
          <cell r="M371" t="str">
            <v>0-6 mo</v>
          </cell>
          <cell r="N371" t="str">
            <v>18-25 yrs</v>
          </cell>
        </row>
        <row r="372">
          <cell r="A372" t="str">
            <v>C1371</v>
          </cell>
          <cell r="E372" t="str">
            <v>Kochi</v>
          </cell>
          <cell r="F372" t="str">
            <v>Month-to-month</v>
          </cell>
          <cell r="H372">
            <v>1299</v>
          </cell>
          <cell r="J372" t="str">
            <v>Fiber</v>
          </cell>
          <cell r="L372" t="str">
            <v>Yes</v>
          </cell>
          <cell r="M372" t="str">
            <v>0-6 mo</v>
          </cell>
          <cell r="N372" t="str">
            <v>60+ yrs</v>
          </cell>
        </row>
        <row r="373">
          <cell r="A373" t="str">
            <v>C1372</v>
          </cell>
          <cell r="E373" t="str">
            <v>Jaipur</v>
          </cell>
          <cell r="F373" t="str">
            <v>One year</v>
          </cell>
          <cell r="H373">
            <v>1199</v>
          </cell>
          <cell r="J373" t="str">
            <v>Fiber</v>
          </cell>
          <cell r="L373" t="str">
            <v>No</v>
          </cell>
          <cell r="M373" t="str">
            <v>13-24 mo</v>
          </cell>
          <cell r="N373" t="str">
            <v>26-35 yrs</v>
          </cell>
        </row>
        <row r="374">
          <cell r="A374" t="str">
            <v>C1373</v>
          </cell>
          <cell r="E374" t="str">
            <v>Delhi</v>
          </cell>
          <cell r="F374" t="str">
            <v>Unknown</v>
          </cell>
          <cell r="H374">
            <v>899</v>
          </cell>
          <cell r="J374" t="str">
            <v>DSL</v>
          </cell>
          <cell r="L374" t="str">
            <v>No</v>
          </cell>
          <cell r="M374" t="str">
            <v>25-48 mo</v>
          </cell>
          <cell r="N374" t="str">
            <v>18-25 yrs</v>
          </cell>
        </row>
        <row r="375">
          <cell r="A375" t="str">
            <v>C1374</v>
          </cell>
          <cell r="E375" t="str">
            <v>Bangalore</v>
          </cell>
          <cell r="F375" t="str">
            <v>Two year</v>
          </cell>
          <cell r="H375">
            <v>849</v>
          </cell>
          <cell r="J375" t="str">
            <v>DSL</v>
          </cell>
          <cell r="L375" t="str">
            <v>No</v>
          </cell>
          <cell r="M375" t="str">
            <v>13-24 mo</v>
          </cell>
          <cell r="N375" t="str">
            <v>46-60 yrs</v>
          </cell>
        </row>
        <row r="376">
          <cell r="A376" t="str">
            <v>C1375</v>
          </cell>
          <cell r="E376" t="str">
            <v>Bangalore</v>
          </cell>
          <cell r="F376" t="str">
            <v>One year</v>
          </cell>
          <cell r="H376">
            <v>749</v>
          </cell>
          <cell r="J376" t="str">
            <v>DSL</v>
          </cell>
          <cell r="L376" t="str">
            <v>Yes</v>
          </cell>
          <cell r="M376" t="str">
            <v>13-24 mo</v>
          </cell>
          <cell r="N376" t="str">
            <v>26-35 yrs</v>
          </cell>
        </row>
        <row r="377">
          <cell r="A377" t="str">
            <v>C1376</v>
          </cell>
          <cell r="E377" t="str">
            <v>Indore</v>
          </cell>
          <cell r="F377" t="str">
            <v>One year</v>
          </cell>
          <cell r="H377">
            <v>1149</v>
          </cell>
          <cell r="J377" t="str">
            <v>Fiber</v>
          </cell>
          <cell r="L377" t="str">
            <v>No</v>
          </cell>
          <cell r="M377" t="str">
            <v>25-48 mo</v>
          </cell>
          <cell r="N377" t="str">
            <v>60+ yrs</v>
          </cell>
        </row>
        <row r="378">
          <cell r="A378" t="str">
            <v>C1377</v>
          </cell>
          <cell r="E378" t="str">
            <v>Jaipur</v>
          </cell>
          <cell r="F378" t="str">
            <v>Month-to-month</v>
          </cell>
          <cell r="H378">
            <v>1149</v>
          </cell>
          <cell r="J378" t="str">
            <v>Fiber</v>
          </cell>
          <cell r="L378" t="str">
            <v>Yes</v>
          </cell>
          <cell r="M378" t="str">
            <v>13-24 mo</v>
          </cell>
          <cell r="N378" t="str">
            <v>26-35 yrs</v>
          </cell>
        </row>
        <row r="379">
          <cell r="A379" t="str">
            <v>C1378</v>
          </cell>
          <cell r="E379" t="str">
            <v>Chennai</v>
          </cell>
          <cell r="F379" t="str">
            <v>Month-to-month</v>
          </cell>
          <cell r="H379">
            <v>1149</v>
          </cell>
          <cell r="J379" t="str">
            <v>Fiber</v>
          </cell>
          <cell r="L379" t="str">
            <v>Yes</v>
          </cell>
          <cell r="M379" t="str">
            <v>13-24 mo</v>
          </cell>
          <cell r="N379" t="str">
            <v>36-45 yrs</v>
          </cell>
        </row>
        <row r="380">
          <cell r="A380" t="str">
            <v>C1379</v>
          </cell>
          <cell r="E380" t="str">
            <v>Lucknow</v>
          </cell>
          <cell r="F380" t="str">
            <v>Month-to-month</v>
          </cell>
          <cell r="H380">
            <v>749</v>
          </cell>
          <cell r="J380" t="str">
            <v>DSL</v>
          </cell>
          <cell r="L380" t="str">
            <v>Yes</v>
          </cell>
          <cell r="M380" t="str">
            <v>7-12 mo</v>
          </cell>
          <cell r="N380" t="str">
            <v>46-60 yrs</v>
          </cell>
        </row>
        <row r="381">
          <cell r="A381" t="str">
            <v>C1380</v>
          </cell>
          <cell r="E381" t="str">
            <v>Kochi</v>
          </cell>
          <cell r="F381" t="str">
            <v>Month-to-month</v>
          </cell>
          <cell r="H381">
            <v>449</v>
          </cell>
          <cell r="J381" t="str">
            <v>No Internet</v>
          </cell>
          <cell r="L381" t="str">
            <v>No</v>
          </cell>
          <cell r="M381" t="str">
            <v>13-24 mo</v>
          </cell>
          <cell r="N381" t="str">
            <v>60+ yrs</v>
          </cell>
        </row>
        <row r="382">
          <cell r="A382" t="str">
            <v>C1381</v>
          </cell>
          <cell r="E382" t="str">
            <v>Unknown</v>
          </cell>
          <cell r="F382" t="str">
            <v>Two year</v>
          </cell>
          <cell r="H382">
            <v>1199</v>
          </cell>
          <cell r="J382" t="str">
            <v>Fiber</v>
          </cell>
          <cell r="L382" t="str">
            <v>No</v>
          </cell>
          <cell r="M382" t="str">
            <v>49+ mo</v>
          </cell>
          <cell r="N382" t="str">
            <v>46-60 yrs</v>
          </cell>
        </row>
        <row r="383">
          <cell r="A383" t="str">
            <v>C1382</v>
          </cell>
          <cell r="E383" t="str">
            <v>Jaipur</v>
          </cell>
          <cell r="F383" t="str">
            <v>Two year</v>
          </cell>
          <cell r="H383">
            <v>349</v>
          </cell>
          <cell r="J383" t="str">
            <v>No Internet</v>
          </cell>
          <cell r="L383" t="str">
            <v>No</v>
          </cell>
          <cell r="M383" t="str">
            <v>49+ mo</v>
          </cell>
          <cell r="N383" t="str">
            <v>26-35 yrs</v>
          </cell>
        </row>
        <row r="384">
          <cell r="A384" t="str">
            <v>C1383</v>
          </cell>
          <cell r="E384" t="str">
            <v>Delhi</v>
          </cell>
          <cell r="F384" t="str">
            <v>Month-to-month</v>
          </cell>
          <cell r="H384">
            <v>799</v>
          </cell>
          <cell r="J384" t="str">
            <v>DSL</v>
          </cell>
          <cell r="L384" t="str">
            <v>No</v>
          </cell>
          <cell r="M384" t="str">
            <v>7-12 mo</v>
          </cell>
          <cell r="N384" t="str">
            <v>36-45 yrs</v>
          </cell>
        </row>
        <row r="385">
          <cell r="A385" t="str">
            <v>C1384</v>
          </cell>
          <cell r="E385" t="str">
            <v>Indore</v>
          </cell>
          <cell r="F385" t="str">
            <v>Month-to-month</v>
          </cell>
          <cell r="H385">
            <v>849</v>
          </cell>
          <cell r="J385" t="str">
            <v>DSL</v>
          </cell>
          <cell r="L385" t="str">
            <v>Yes</v>
          </cell>
          <cell r="M385" t="str">
            <v>13-24 mo</v>
          </cell>
          <cell r="N385" t="str">
            <v>46-60 yrs</v>
          </cell>
        </row>
        <row r="386">
          <cell r="A386" t="str">
            <v>C1385</v>
          </cell>
          <cell r="E386" t="str">
            <v>Chandigarh</v>
          </cell>
          <cell r="F386" t="str">
            <v>Month-to-month</v>
          </cell>
          <cell r="H386">
            <v>449</v>
          </cell>
          <cell r="J386" t="str">
            <v>No Internet</v>
          </cell>
          <cell r="L386" t="str">
            <v>No</v>
          </cell>
          <cell r="M386" t="str">
            <v>0-6 mo</v>
          </cell>
          <cell r="N386" t="str">
            <v>60+ yrs</v>
          </cell>
        </row>
        <row r="387">
          <cell r="A387" t="str">
            <v>C1386</v>
          </cell>
          <cell r="E387" t="str">
            <v>Indore</v>
          </cell>
          <cell r="F387" t="str">
            <v>Month-to-month</v>
          </cell>
          <cell r="H387">
            <v>649</v>
          </cell>
          <cell r="J387" t="str">
            <v>DSL</v>
          </cell>
          <cell r="L387" t="str">
            <v>No</v>
          </cell>
          <cell r="M387" t="str">
            <v>7-12 mo</v>
          </cell>
          <cell r="N387" t="str">
            <v>46-60 yrs</v>
          </cell>
        </row>
        <row r="388">
          <cell r="A388" t="str">
            <v>C1387</v>
          </cell>
          <cell r="E388" t="str">
            <v>Kochi</v>
          </cell>
          <cell r="F388" t="str">
            <v>Two year</v>
          </cell>
          <cell r="H388">
            <v>1299</v>
          </cell>
          <cell r="J388" t="str">
            <v>Fiber</v>
          </cell>
          <cell r="L388" t="str">
            <v>Yes</v>
          </cell>
          <cell r="M388" t="str">
            <v>0-6 mo</v>
          </cell>
          <cell r="N388" t="str">
            <v>60+ yrs</v>
          </cell>
        </row>
        <row r="389">
          <cell r="A389" t="str">
            <v>C1388</v>
          </cell>
          <cell r="E389" t="str">
            <v>Jaipur</v>
          </cell>
          <cell r="F389" t="str">
            <v>Month-to-month</v>
          </cell>
          <cell r="H389">
            <v>849</v>
          </cell>
          <cell r="J389" t="str">
            <v>DSL</v>
          </cell>
          <cell r="L389" t="str">
            <v>Yes</v>
          </cell>
          <cell r="M389" t="str">
            <v>7-12 mo</v>
          </cell>
          <cell r="N389" t="str">
            <v>36-45 yrs</v>
          </cell>
        </row>
        <row r="390">
          <cell r="A390" t="str">
            <v>C1389</v>
          </cell>
          <cell r="E390" t="str">
            <v>Lucknow</v>
          </cell>
          <cell r="F390" t="str">
            <v>Two year</v>
          </cell>
          <cell r="H390">
            <v>849</v>
          </cell>
          <cell r="J390" t="str">
            <v>DSL</v>
          </cell>
          <cell r="L390" t="str">
            <v>No</v>
          </cell>
          <cell r="M390" t="str">
            <v>13-24 mo</v>
          </cell>
          <cell r="N390" t="str">
            <v>26-35 yrs</v>
          </cell>
        </row>
        <row r="391">
          <cell r="A391" t="str">
            <v>C1390</v>
          </cell>
          <cell r="E391" t="str">
            <v>Indore</v>
          </cell>
          <cell r="F391" t="str">
            <v>Month-to-month</v>
          </cell>
          <cell r="H391">
            <v>799</v>
          </cell>
          <cell r="J391" t="str">
            <v>DSL</v>
          </cell>
          <cell r="L391" t="str">
            <v>Yes</v>
          </cell>
          <cell r="M391" t="str">
            <v>13-24 mo</v>
          </cell>
          <cell r="N391" t="str">
            <v>36-45 yrs</v>
          </cell>
        </row>
        <row r="392">
          <cell r="A392" t="str">
            <v>C1391</v>
          </cell>
          <cell r="E392" t="str">
            <v>Mumbai</v>
          </cell>
          <cell r="F392" t="str">
            <v>Two year</v>
          </cell>
          <cell r="H392">
            <v>699</v>
          </cell>
          <cell r="J392" t="str">
            <v>DSL</v>
          </cell>
          <cell r="L392" t="str">
            <v>No</v>
          </cell>
          <cell r="M392" t="str">
            <v>49+ mo</v>
          </cell>
          <cell r="N392" t="str">
            <v>46-60 yrs</v>
          </cell>
        </row>
        <row r="393">
          <cell r="A393" t="str">
            <v>C1392</v>
          </cell>
          <cell r="E393" t="str">
            <v>Delhi</v>
          </cell>
          <cell r="F393" t="str">
            <v>Month-to-month</v>
          </cell>
          <cell r="H393">
            <v>1199</v>
          </cell>
          <cell r="J393" t="str">
            <v>Fiber</v>
          </cell>
          <cell r="L393" t="str">
            <v>Yes</v>
          </cell>
          <cell r="M393" t="str">
            <v>13-24 mo</v>
          </cell>
          <cell r="N393" t="str">
            <v>26-35 yrs</v>
          </cell>
        </row>
        <row r="394">
          <cell r="A394" t="str">
            <v>C1393</v>
          </cell>
          <cell r="E394" t="str">
            <v>Ahmedabad</v>
          </cell>
          <cell r="F394" t="str">
            <v>Month-to-month</v>
          </cell>
          <cell r="H394">
            <v>599</v>
          </cell>
          <cell r="J394" t="str">
            <v>DSL</v>
          </cell>
          <cell r="L394" t="str">
            <v>Yes</v>
          </cell>
          <cell r="M394" t="str">
            <v>13-24 mo</v>
          </cell>
          <cell r="N394" t="str">
            <v>46-60 yrs</v>
          </cell>
        </row>
        <row r="395">
          <cell r="A395" t="str">
            <v>C1394</v>
          </cell>
          <cell r="E395" t="str">
            <v>Bhopal</v>
          </cell>
          <cell r="F395" t="str">
            <v>Two year</v>
          </cell>
          <cell r="H395">
            <v>599</v>
          </cell>
          <cell r="J395" t="str">
            <v>DSL</v>
          </cell>
          <cell r="L395" t="str">
            <v>No</v>
          </cell>
          <cell r="M395" t="str">
            <v>7-12 mo</v>
          </cell>
          <cell r="N395" t="str">
            <v>26-35 yrs</v>
          </cell>
        </row>
        <row r="396">
          <cell r="A396" t="str">
            <v>C1395</v>
          </cell>
          <cell r="E396" t="str">
            <v>Jaipur</v>
          </cell>
          <cell r="F396" t="str">
            <v>Month-to-month</v>
          </cell>
          <cell r="H396">
            <v>399</v>
          </cell>
          <cell r="J396" t="str">
            <v>No Internet</v>
          </cell>
          <cell r="L396" t="str">
            <v>Yes</v>
          </cell>
          <cell r="M396" t="str">
            <v>13-24 mo</v>
          </cell>
          <cell r="N396" t="str">
            <v>18-25 yrs</v>
          </cell>
        </row>
        <row r="397">
          <cell r="A397" t="str">
            <v>C1396</v>
          </cell>
          <cell r="E397" t="str">
            <v>Jaipur</v>
          </cell>
          <cell r="F397" t="str">
            <v>Month-to-month</v>
          </cell>
          <cell r="H397">
            <v>999</v>
          </cell>
          <cell r="J397" t="str">
            <v>Fiber</v>
          </cell>
          <cell r="L397" t="str">
            <v>No</v>
          </cell>
          <cell r="M397" t="str">
            <v>0-6 mo</v>
          </cell>
          <cell r="N397" t="str">
            <v>46-60 yrs</v>
          </cell>
        </row>
        <row r="398">
          <cell r="A398" t="str">
            <v>C1397</v>
          </cell>
          <cell r="E398" t="str">
            <v>Lucknow</v>
          </cell>
          <cell r="F398" t="str">
            <v>Two year</v>
          </cell>
          <cell r="H398">
            <v>1199</v>
          </cell>
          <cell r="J398" t="str">
            <v>Fiber</v>
          </cell>
          <cell r="L398" t="str">
            <v>No</v>
          </cell>
          <cell r="M398" t="str">
            <v>13-24 mo</v>
          </cell>
          <cell r="N398" t="str">
            <v>26-35 yrs</v>
          </cell>
        </row>
        <row r="399">
          <cell r="A399" t="str">
            <v>C1398</v>
          </cell>
          <cell r="E399" t="str">
            <v>Chennai</v>
          </cell>
          <cell r="F399" t="str">
            <v>Month-to-month</v>
          </cell>
          <cell r="H399">
            <v>799</v>
          </cell>
          <cell r="J399" t="str">
            <v>DSL</v>
          </cell>
          <cell r="L399" t="str">
            <v>Yes</v>
          </cell>
          <cell r="M399" t="str">
            <v>7-12 mo</v>
          </cell>
          <cell r="N399" t="str">
            <v>18-25 yrs</v>
          </cell>
        </row>
        <row r="400">
          <cell r="A400" t="str">
            <v>C1399</v>
          </cell>
          <cell r="E400" t="str">
            <v>Pune</v>
          </cell>
          <cell r="F400" t="str">
            <v>Month-to-month</v>
          </cell>
          <cell r="H400">
            <v>449</v>
          </cell>
          <cell r="J400" t="str">
            <v>No Internet</v>
          </cell>
          <cell r="L400" t="str">
            <v>No</v>
          </cell>
          <cell r="M400" t="str">
            <v>13-24 mo</v>
          </cell>
          <cell r="N400" t="str">
            <v>46-60 yrs</v>
          </cell>
        </row>
        <row r="401">
          <cell r="A401" t="str">
            <v>C1400</v>
          </cell>
          <cell r="E401" t="str">
            <v>Pune</v>
          </cell>
          <cell r="F401" t="str">
            <v>One year</v>
          </cell>
          <cell r="H401">
            <v>499</v>
          </cell>
          <cell r="J401" t="str">
            <v>No Internet</v>
          </cell>
          <cell r="L401" t="str">
            <v>No</v>
          </cell>
          <cell r="M401" t="str">
            <v>0-6 mo</v>
          </cell>
          <cell r="N401" t="str">
            <v>36-45 yrs</v>
          </cell>
        </row>
        <row r="402">
          <cell r="A402" t="str">
            <v>C1401</v>
          </cell>
          <cell r="E402" t="str">
            <v>Kochi</v>
          </cell>
          <cell r="F402" t="str">
            <v>Month-to-month</v>
          </cell>
          <cell r="H402">
            <v>1099</v>
          </cell>
          <cell r="J402" t="str">
            <v>Fiber</v>
          </cell>
          <cell r="L402" t="str">
            <v>Yes</v>
          </cell>
          <cell r="M402" t="str">
            <v>13-24 mo</v>
          </cell>
          <cell r="N402" t="str">
            <v>46-60 yrs</v>
          </cell>
        </row>
        <row r="403">
          <cell r="A403" t="str">
            <v>C1402</v>
          </cell>
          <cell r="E403" t="str">
            <v>Bangalore</v>
          </cell>
          <cell r="F403" t="str">
            <v>Month-to-month</v>
          </cell>
          <cell r="H403">
            <v>999</v>
          </cell>
          <cell r="J403" t="str">
            <v>Fiber</v>
          </cell>
          <cell r="L403" t="str">
            <v>No</v>
          </cell>
          <cell r="M403" t="str">
            <v>0-6 mo</v>
          </cell>
          <cell r="N403" t="str">
            <v>26-35 yrs</v>
          </cell>
        </row>
        <row r="404">
          <cell r="A404" t="str">
            <v>C1403</v>
          </cell>
          <cell r="E404" t="str">
            <v>Ahmedabad</v>
          </cell>
          <cell r="F404" t="str">
            <v>Month-to-month</v>
          </cell>
          <cell r="H404">
            <v>599</v>
          </cell>
          <cell r="J404" t="str">
            <v>DSL</v>
          </cell>
          <cell r="L404" t="str">
            <v>Yes</v>
          </cell>
          <cell r="M404" t="str">
            <v>13-24 mo</v>
          </cell>
          <cell r="N404" t="str">
            <v>46-60 yrs</v>
          </cell>
        </row>
        <row r="405">
          <cell r="A405" t="str">
            <v>C1404</v>
          </cell>
          <cell r="E405" t="str">
            <v>Delhi</v>
          </cell>
          <cell r="F405" t="str">
            <v>Unknown</v>
          </cell>
          <cell r="H405">
            <v>699</v>
          </cell>
          <cell r="J405" t="str">
            <v>DSL</v>
          </cell>
          <cell r="L405" t="str">
            <v>Unknown</v>
          </cell>
          <cell r="M405" t="str">
            <v>13-24 mo</v>
          </cell>
          <cell r="N405" t="str">
            <v>46-60 yrs</v>
          </cell>
        </row>
        <row r="406">
          <cell r="A406" t="str">
            <v>C1405</v>
          </cell>
          <cell r="E406" t="str">
            <v>Ahmedabad</v>
          </cell>
          <cell r="F406" t="str">
            <v>One year</v>
          </cell>
          <cell r="H406">
            <v>999</v>
          </cell>
          <cell r="J406" t="str">
            <v>Fiber</v>
          </cell>
          <cell r="L406" t="str">
            <v>No</v>
          </cell>
          <cell r="M406" t="str">
            <v>25-48 mo</v>
          </cell>
          <cell r="N406" t="str">
            <v>26-35 yrs</v>
          </cell>
        </row>
        <row r="407">
          <cell r="A407" t="str">
            <v>C1406</v>
          </cell>
          <cell r="E407" t="str">
            <v>Chennai</v>
          </cell>
          <cell r="F407" t="str">
            <v>Month-to-month</v>
          </cell>
          <cell r="H407">
            <v>1149</v>
          </cell>
          <cell r="J407" t="str">
            <v>Fiber</v>
          </cell>
          <cell r="L407" t="str">
            <v>Yes</v>
          </cell>
          <cell r="M407" t="str">
            <v>13-24 mo</v>
          </cell>
          <cell r="N407" t="str">
            <v>46-60 yrs</v>
          </cell>
        </row>
        <row r="408">
          <cell r="A408" t="str">
            <v>C1407</v>
          </cell>
          <cell r="E408" t="str">
            <v>Jaipur</v>
          </cell>
          <cell r="F408" t="str">
            <v>Two year</v>
          </cell>
          <cell r="H408">
            <v>999</v>
          </cell>
          <cell r="J408" t="str">
            <v>Fiber</v>
          </cell>
          <cell r="L408" t="str">
            <v>Yes</v>
          </cell>
          <cell r="M408" t="str">
            <v>49+ mo</v>
          </cell>
          <cell r="N408" t="str">
            <v>26-35 yrs</v>
          </cell>
        </row>
        <row r="409">
          <cell r="A409" t="str">
            <v>C1408</v>
          </cell>
          <cell r="E409" t="str">
            <v>Mumbai</v>
          </cell>
          <cell r="F409" t="str">
            <v>Month-to-month</v>
          </cell>
          <cell r="H409">
            <v>1299</v>
          </cell>
          <cell r="J409" t="str">
            <v>Fiber</v>
          </cell>
          <cell r="L409" t="str">
            <v>No</v>
          </cell>
          <cell r="M409" t="str">
            <v>13-24 mo</v>
          </cell>
          <cell r="N409" t="str">
            <v>60+ yrs</v>
          </cell>
        </row>
        <row r="410">
          <cell r="A410" t="str">
            <v>C1409</v>
          </cell>
          <cell r="E410" t="str">
            <v>Chandigarh</v>
          </cell>
          <cell r="F410" t="str">
            <v>Month-to-month</v>
          </cell>
          <cell r="H410">
            <v>1099</v>
          </cell>
          <cell r="J410" t="str">
            <v>Fiber</v>
          </cell>
          <cell r="L410" t="str">
            <v>Yes</v>
          </cell>
          <cell r="M410" t="str">
            <v>7-12 mo</v>
          </cell>
          <cell r="N410" t="str">
            <v>36-45 yrs</v>
          </cell>
        </row>
        <row r="411">
          <cell r="A411" t="str">
            <v>C1410</v>
          </cell>
          <cell r="E411" t="str">
            <v>Ahmedabad</v>
          </cell>
          <cell r="F411" t="str">
            <v>One year</v>
          </cell>
          <cell r="H411">
            <v>549</v>
          </cell>
          <cell r="J411" t="str">
            <v>No Internet</v>
          </cell>
          <cell r="L411" t="str">
            <v>No</v>
          </cell>
          <cell r="M411" t="str">
            <v>0-6 mo</v>
          </cell>
          <cell r="N411" t="str">
            <v>26-35 yrs</v>
          </cell>
        </row>
        <row r="412">
          <cell r="A412" t="str">
            <v>C1411</v>
          </cell>
          <cell r="E412" t="str">
            <v>Mumbai</v>
          </cell>
          <cell r="F412" t="str">
            <v>Month-to-month</v>
          </cell>
          <cell r="H412">
            <v>1299</v>
          </cell>
          <cell r="J412" t="str">
            <v>Fiber</v>
          </cell>
          <cell r="L412" t="str">
            <v>Yes</v>
          </cell>
          <cell r="M412" t="str">
            <v>7-12 mo</v>
          </cell>
          <cell r="N412" t="str">
            <v>46-60 yrs</v>
          </cell>
        </row>
        <row r="413">
          <cell r="A413" t="str">
            <v>C1412</v>
          </cell>
          <cell r="E413" t="str">
            <v>Chennai</v>
          </cell>
          <cell r="F413" t="str">
            <v>Month-to-month</v>
          </cell>
          <cell r="H413">
            <v>1149</v>
          </cell>
          <cell r="J413" t="str">
            <v>Fiber</v>
          </cell>
          <cell r="L413" t="str">
            <v>No</v>
          </cell>
          <cell r="M413" t="str">
            <v>13-24 mo</v>
          </cell>
          <cell r="N413" t="str">
            <v>46-60 yrs</v>
          </cell>
        </row>
        <row r="414">
          <cell r="A414" t="str">
            <v>C1413</v>
          </cell>
          <cell r="E414" t="str">
            <v>Jaipur</v>
          </cell>
          <cell r="F414" t="str">
            <v>Month-to-month</v>
          </cell>
          <cell r="H414">
            <v>1049</v>
          </cell>
          <cell r="J414" t="str">
            <v>Fiber</v>
          </cell>
          <cell r="L414" t="str">
            <v>No</v>
          </cell>
          <cell r="M414" t="str">
            <v>13-24 mo</v>
          </cell>
          <cell r="N414" t="str">
            <v>60+ yrs</v>
          </cell>
        </row>
        <row r="415">
          <cell r="A415" t="str">
            <v>C1414</v>
          </cell>
          <cell r="E415" t="str">
            <v>Bhopal</v>
          </cell>
          <cell r="F415" t="str">
            <v>Month-to-month</v>
          </cell>
          <cell r="H415">
            <v>999</v>
          </cell>
          <cell r="J415" t="str">
            <v>Fiber</v>
          </cell>
          <cell r="L415" t="str">
            <v>Yes</v>
          </cell>
          <cell r="M415" t="str">
            <v>0-6 mo</v>
          </cell>
          <cell r="N415" t="str">
            <v>18-25 yrs</v>
          </cell>
        </row>
        <row r="416">
          <cell r="A416" t="str">
            <v>C1415</v>
          </cell>
          <cell r="E416" t="str">
            <v>Delhi</v>
          </cell>
          <cell r="F416" t="str">
            <v>Two year</v>
          </cell>
          <cell r="H416">
            <v>349</v>
          </cell>
          <cell r="J416" t="str">
            <v>No Internet</v>
          </cell>
          <cell r="L416" t="str">
            <v>Yes</v>
          </cell>
          <cell r="M416" t="str">
            <v>49+ mo</v>
          </cell>
          <cell r="N416" t="str">
            <v>46-60 yrs</v>
          </cell>
        </row>
        <row r="417">
          <cell r="A417" t="str">
            <v>C1416</v>
          </cell>
          <cell r="E417" t="str">
            <v>Bhopal</v>
          </cell>
          <cell r="F417" t="str">
            <v>Month-to-month</v>
          </cell>
          <cell r="H417">
            <v>449</v>
          </cell>
          <cell r="J417" t="str">
            <v>No Internet</v>
          </cell>
          <cell r="L417" t="str">
            <v>No</v>
          </cell>
          <cell r="M417" t="str">
            <v>13-24 mo</v>
          </cell>
          <cell r="N417" t="str">
            <v>18-25 yrs</v>
          </cell>
        </row>
        <row r="418">
          <cell r="A418" t="str">
            <v>C1417</v>
          </cell>
          <cell r="E418" t="str">
            <v>Ahmedabad</v>
          </cell>
          <cell r="F418" t="str">
            <v>Month-to-month</v>
          </cell>
          <cell r="H418">
            <v>349</v>
          </cell>
          <cell r="J418" t="str">
            <v>No Internet</v>
          </cell>
          <cell r="L418" t="str">
            <v>No</v>
          </cell>
          <cell r="M418" t="str">
            <v>Unknown</v>
          </cell>
          <cell r="N418" t="str">
            <v>46-60 yrs</v>
          </cell>
        </row>
        <row r="419">
          <cell r="A419" t="str">
            <v>C1418</v>
          </cell>
          <cell r="E419" t="str">
            <v>Delhi</v>
          </cell>
          <cell r="F419" t="str">
            <v>Month-to-month</v>
          </cell>
          <cell r="H419">
            <v>1049</v>
          </cell>
          <cell r="J419" t="str">
            <v>Fiber</v>
          </cell>
          <cell r="L419" t="str">
            <v>Yes</v>
          </cell>
          <cell r="M419" t="str">
            <v>0-6 mo</v>
          </cell>
          <cell r="N419" t="str">
            <v>60+ yrs</v>
          </cell>
        </row>
        <row r="420">
          <cell r="A420" t="str">
            <v>C1419</v>
          </cell>
          <cell r="E420" t="str">
            <v>Delhi</v>
          </cell>
          <cell r="F420" t="str">
            <v>One year</v>
          </cell>
          <cell r="H420">
            <v>799</v>
          </cell>
          <cell r="J420" t="str">
            <v>DSL</v>
          </cell>
          <cell r="L420" t="str">
            <v>No</v>
          </cell>
          <cell r="M420" t="str">
            <v>0-6 mo</v>
          </cell>
          <cell r="N420" t="str">
            <v>46-60 yrs</v>
          </cell>
        </row>
        <row r="421">
          <cell r="A421" t="str">
            <v>C1420</v>
          </cell>
          <cell r="E421" t="str">
            <v>Hyderabad</v>
          </cell>
          <cell r="F421" t="str">
            <v>Month-to-month</v>
          </cell>
          <cell r="H421">
            <v>999</v>
          </cell>
          <cell r="J421" t="str">
            <v>Fiber</v>
          </cell>
          <cell r="L421" t="str">
            <v>Yes</v>
          </cell>
          <cell r="M421" t="str">
            <v>0-6 mo</v>
          </cell>
          <cell r="N421" t="str">
            <v>46-60 yrs</v>
          </cell>
        </row>
        <row r="422">
          <cell r="A422" t="str">
            <v>C1421</v>
          </cell>
          <cell r="E422" t="str">
            <v>Mumbai</v>
          </cell>
          <cell r="F422" t="str">
            <v>Two year</v>
          </cell>
          <cell r="H422">
            <v>549</v>
          </cell>
          <cell r="J422" t="str">
            <v>No Internet</v>
          </cell>
          <cell r="L422" t="str">
            <v>No</v>
          </cell>
          <cell r="M422" t="str">
            <v>49+ mo</v>
          </cell>
          <cell r="N422" t="str">
            <v>36-45 yrs</v>
          </cell>
        </row>
        <row r="423">
          <cell r="A423" t="str">
            <v>C1422</v>
          </cell>
          <cell r="E423" t="str">
            <v>Hyderabad</v>
          </cell>
          <cell r="F423" t="str">
            <v>One year</v>
          </cell>
          <cell r="H423">
            <v>549</v>
          </cell>
          <cell r="J423" t="str">
            <v>No Internet</v>
          </cell>
          <cell r="L423" t="str">
            <v>No</v>
          </cell>
          <cell r="M423" t="str">
            <v>25-48 mo</v>
          </cell>
          <cell r="N423" t="str">
            <v>60+ yrs</v>
          </cell>
        </row>
        <row r="424">
          <cell r="A424" t="str">
            <v>C1423</v>
          </cell>
          <cell r="E424" t="str">
            <v>Indore</v>
          </cell>
          <cell r="F424" t="str">
            <v>One year</v>
          </cell>
          <cell r="H424">
            <v>899</v>
          </cell>
          <cell r="J424" t="str">
            <v>DSL</v>
          </cell>
          <cell r="L424" t="str">
            <v>No</v>
          </cell>
          <cell r="M424" t="str">
            <v>13-24 mo</v>
          </cell>
          <cell r="N424" t="str">
            <v>36-45 yrs</v>
          </cell>
        </row>
        <row r="425">
          <cell r="A425" t="str">
            <v>C1424</v>
          </cell>
          <cell r="E425" t="str">
            <v>Mumbai</v>
          </cell>
          <cell r="F425" t="str">
            <v>Month-to-month</v>
          </cell>
          <cell r="H425">
            <v>1149</v>
          </cell>
          <cell r="J425" t="str">
            <v>Fiber</v>
          </cell>
          <cell r="L425" t="str">
            <v>No</v>
          </cell>
          <cell r="M425" t="str">
            <v>7-12 mo</v>
          </cell>
          <cell r="N425" t="str">
            <v>36-45 yrs</v>
          </cell>
        </row>
        <row r="426">
          <cell r="A426" t="str">
            <v>C1425</v>
          </cell>
          <cell r="E426" t="str">
            <v>Bhopal</v>
          </cell>
          <cell r="F426" t="str">
            <v>One year</v>
          </cell>
          <cell r="H426">
            <v>399</v>
          </cell>
          <cell r="J426" t="str">
            <v>No Internet</v>
          </cell>
          <cell r="L426" t="str">
            <v>No</v>
          </cell>
          <cell r="M426" t="str">
            <v>25-48 mo</v>
          </cell>
          <cell r="N426" t="str">
            <v>26-35 yrs</v>
          </cell>
        </row>
        <row r="427">
          <cell r="A427" t="str">
            <v>C1426</v>
          </cell>
          <cell r="E427" t="str">
            <v>Chandigarh</v>
          </cell>
          <cell r="F427" t="str">
            <v>Month-to-month</v>
          </cell>
          <cell r="H427">
            <v>899</v>
          </cell>
          <cell r="J427" t="str">
            <v>Fiber</v>
          </cell>
          <cell r="L427" t="str">
            <v>No</v>
          </cell>
          <cell r="M427" t="str">
            <v>0-6 mo</v>
          </cell>
          <cell r="N427" t="str">
            <v>26-35 yrs</v>
          </cell>
        </row>
        <row r="428">
          <cell r="A428" t="str">
            <v>C1427</v>
          </cell>
          <cell r="E428" t="str">
            <v>Chandigarh</v>
          </cell>
          <cell r="F428" t="str">
            <v>Month-to-month</v>
          </cell>
          <cell r="H428">
            <v>699</v>
          </cell>
          <cell r="J428" t="str">
            <v>DSL</v>
          </cell>
          <cell r="L428" t="str">
            <v>No</v>
          </cell>
          <cell r="M428" t="str">
            <v>13-24 mo</v>
          </cell>
          <cell r="N428" t="str">
            <v>60+ yrs</v>
          </cell>
        </row>
        <row r="429">
          <cell r="A429" t="str">
            <v>C1428</v>
          </cell>
          <cell r="E429" t="str">
            <v>Jaipur</v>
          </cell>
          <cell r="F429" t="str">
            <v>Month-to-month</v>
          </cell>
          <cell r="H429">
            <v>649</v>
          </cell>
          <cell r="J429" t="str">
            <v>DSL</v>
          </cell>
          <cell r="L429" t="str">
            <v>No</v>
          </cell>
          <cell r="M429" t="str">
            <v>13-24 mo</v>
          </cell>
          <cell r="N429" t="str">
            <v>60+ yrs</v>
          </cell>
        </row>
        <row r="430">
          <cell r="A430" t="str">
            <v>C1429</v>
          </cell>
          <cell r="E430" t="str">
            <v>Chandigarh</v>
          </cell>
          <cell r="F430" t="str">
            <v>One year</v>
          </cell>
          <cell r="H430">
            <v>849</v>
          </cell>
          <cell r="J430" t="str">
            <v>DSL</v>
          </cell>
          <cell r="L430" t="str">
            <v>No</v>
          </cell>
          <cell r="M430" t="str">
            <v>7-12 mo</v>
          </cell>
          <cell r="N430" t="str">
            <v>36-45 yrs</v>
          </cell>
        </row>
        <row r="431">
          <cell r="A431" t="str">
            <v>C1430</v>
          </cell>
          <cell r="E431" t="str">
            <v>Mumbai</v>
          </cell>
          <cell r="F431" t="str">
            <v>Month-to-month</v>
          </cell>
          <cell r="H431">
            <v>1149</v>
          </cell>
          <cell r="J431" t="str">
            <v>Fiber</v>
          </cell>
          <cell r="L431" t="str">
            <v>Yes</v>
          </cell>
          <cell r="M431" t="str">
            <v>7-12 mo</v>
          </cell>
          <cell r="N431" t="str">
            <v>46-60 yrs</v>
          </cell>
        </row>
        <row r="432">
          <cell r="A432" t="str">
            <v>C1431</v>
          </cell>
          <cell r="E432" t="str">
            <v>Kolkata</v>
          </cell>
          <cell r="F432" t="str">
            <v>Month-to-month</v>
          </cell>
          <cell r="H432">
            <v>1299</v>
          </cell>
          <cell r="J432" t="str">
            <v>Fiber</v>
          </cell>
          <cell r="L432" t="str">
            <v>Yes</v>
          </cell>
          <cell r="M432" t="str">
            <v>7-12 mo</v>
          </cell>
          <cell r="N432" t="str">
            <v>46-60 yrs</v>
          </cell>
        </row>
        <row r="433">
          <cell r="A433" t="str">
            <v>C1432</v>
          </cell>
          <cell r="E433" t="str">
            <v>Chandigarh</v>
          </cell>
          <cell r="F433" t="str">
            <v>Month-to-month</v>
          </cell>
          <cell r="H433">
            <v>799</v>
          </cell>
          <cell r="J433" t="str">
            <v>DSL</v>
          </cell>
          <cell r="L433" t="str">
            <v>Yes</v>
          </cell>
          <cell r="M433" t="str">
            <v>7-12 mo</v>
          </cell>
          <cell r="N433" t="str">
            <v>26-35 yrs</v>
          </cell>
        </row>
        <row r="434">
          <cell r="A434" t="str">
            <v>C1433</v>
          </cell>
          <cell r="E434" t="str">
            <v>Kolkata</v>
          </cell>
          <cell r="F434" t="str">
            <v>Month-to-month</v>
          </cell>
          <cell r="H434">
            <v>449</v>
          </cell>
          <cell r="J434" t="str">
            <v>No Internet</v>
          </cell>
          <cell r="L434" t="str">
            <v>No</v>
          </cell>
          <cell r="M434" t="str">
            <v>13-24 mo</v>
          </cell>
          <cell r="N434" t="str">
            <v>26-35 yrs</v>
          </cell>
        </row>
        <row r="435">
          <cell r="A435" t="str">
            <v>C1434</v>
          </cell>
          <cell r="E435" t="str">
            <v>Kolkata</v>
          </cell>
          <cell r="F435" t="str">
            <v>Month-to-month</v>
          </cell>
          <cell r="H435">
            <v>899</v>
          </cell>
          <cell r="J435" t="str">
            <v>DSL</v>
          </cell>
          <cell r="L435" t="str">
            <v>No</v>
          </cell>
          <cell r="M435" t="str">
            <v>7-12 mo</v>
          </cell>
          <cell r="N435" t="str">
            <v>18-25 yrs</v>
          </cell>
        </row>
        <row r="436">
          <cell r="A436" t="str">
            <v>C1435</v>
          </cell>
          <cell r="E436" t="str">
            <v>Pune</v>
          </cell>
          <cell r="F436" t="str">
            <v>One year</v>
          </cell>
          <cell r="H436">
            <v>499</v>
          </cell>
          <cell r="J436" t="str">
            <v>No Internet</v>
          </cell>
          <cell r="L436" t="str">
            <v>Yes</v>
          </cell>
          <cell r="M436" t="str">
            <v>13-24 mo</v>
          </cell>
          <cell r="N436" t="str">
            <v>36-45 yrs</v>
          </cell>
        </row>
        <row r="437">
          <cell r="A437" t="str">
            <v>C1436</v>
          </cell>
          <cell r="E437" t="str">
            <v>Indore</v>
          </cell>
          <cell r="F437" t="str">
            <v>Month-to-month</v>
          </cell>
          <cell r="H437">
            <v>549</v>
          </cell>
          <cell r="J437" t="str">
            <v>No Internet</v>
          </cell>
          <cell r="L437" t="str">
            <v>No</v>
          </cell>
          <cell r="M437" t="str">
            <v>7-12 mo</v>
          </cell>
          <cell r="N437" t="str">
            <v>46-60 yrs</v>
          </cell>
        </row>
        <row r="438">
          <cell r="A438" t="str">
            <v>C1437</v>
          </cell>
          <cell r="E438" t="str">
            <v>Chennai</v>
          </cell>
          <cell r="F438" t="str">
            <v>Month-to-month</v>
          </cell>
          <cell r="H438">
            <v>449</v>
          </cell>
          <cell r="J438" t="str">
            <v>No Internet</v>
          </cell>
          <cell r="L438" t="str">
            <v>No</v>
          </cell>
          <cell r="M438" t="str">
            <v>0-6 mo</v>
          </cell>
          <cell r="N438" t="str">
            <v>46-60 yrs</v>
          </cell>
        </row>
        <row r="439">
          <cell r="A439" t="str">
            <v>C1438</v>
          </cell>
          <cell r="E439" t="str">
            <v>Pune</v>
          </cell>
          <cell r="F439" t="str">
            <v>Month-to-month</v>
          </cell>
          <cell r="H439">
            <v>849</v>
          </cell>
          <cell r="J439" t="str">
            <v>DSL</v>
          </cell>
          <cell r="L439" t="str">
            <v>No</v>
          </cell>
          <cell r="M439" t="str">
            <v>7-12 mo</v>
          </cell>
          <cell r="N439" t="str">
            <v>26-35 yrs</v>
          </cell>
        </row>
        <row r="440">
          <cell r="A440" t="str">
            <v>C1439</v>
          </cell>
          <cell r="E440" t="str">
            <v>Jaipur</v>
          </cell>
          <cell r="F440" t="str">
            <v>Two year</v>
          </cell>
          <cell r="H440">
            <v>899</v>
          </cell>
          <cell r="J440" t="str">
            <v>Fiber</v>
          </cell>
          <cell r="L440" t="str">
            <v>No</v>
          </cell>
          <cell r="M440" t="str">
            <v>13-24 mo</v>
          </cell>
          <cell r="N440" t="str">
            <v>46-60 yrs</v>
          </cell>
        </row>
        <row r="441">
          <cell r="A441" t="str">
            <v>C1440</v>
          </cell>
          <cell r="E441" t="str">
            <v>Kolkata</v>
          </cell>
          <cell r="F441" t="str">
            <v>Month-to-month</v>
          </cell>
          <cell r="H441">
            <v>799</v>
          </cell>
          <cell r="J441" t="str">
            <v>DSL</v>
          </cell>
          <cell r="L441" t="str">
            <v>No</v>
          </cell>
          <cell r="M441" t="str">
            <v>13-24 mo</v>
          </cell>
          <cell r="N441" t="str">
            <v>26-35 yrs</v>
          </cell>
        </row>
        <row r="442">
          <cell r="A442" t="str">
            <v>C1441</v>
          </cell>
          <cell r="E442" t="str">
            <v>Bangalore</v>
          </cell>
          <cell r="F442" t="str">
            <v>Month-to-month</v>
          </cell>
          <cell r="H442">
            <v>399</v>
          </cell>
          <cell r="J442" t="str">
            <v>No Internet</v>
          </cell>
          <cell r="L442" t="str">
            <v>No</v>
          </cell>
          <cell r="M442" t="str">
            <v>13-24 mo</v>
          </cell>
          <cell r="N442" t="str">
            <v>46-60 yrs</v>
          </cell>
        </row>
        <row r="443">
          <cell r="A443" t="str">
            <v>C1442</v>
          </cell>
          <cell r="E443" t="str">
            <v>Bangalore</v>
          </cell>
          <cell r="F443" t="str">
            <v>Month-to-month</v>
          </cell>
          <cell r="H443">
            <v>1099</v>
          </cell>
          <cell r="J443" t="str">
            <v>Fiber</v>
          </cell>
          <cell r="L443" t="str">
            <v>No</v>
          </cell>
          <cell r="M443" t="str">
            <v>7-12 mo</v>
          </cell>
          <cell r="N443" t="str">
            <v>60+ yrs</v>
          </cell>
        </row>
        <row r="444">
          <cell r="A444" t="str">
            <v>C1443</v>
          </cell>
          <cell r="E444" t="str">
            <v>Bhopal</v>
          </cell>
          <cell r="F444" t="str">
            <v>Month-to-month</v>
          </cell>
          <cell r="H444">
            <v>1199</v>
          </cell>
          <cell r="J444" t="str">
            <v>Fiber</v>
          </cell>
          <cell r="L444" t="str">
            <v>Yes</v>
          </cell>
          <cell r="M444" t="str">
            <v>13-24 mo</v>
          </cell>
          <cell r="N444" t="str">
            <v>26-35 yrs</v>
          </cell>
        </row>
        <row r="445">
          <cell r="A445" t="str">
            <v>C1444</v>
          </cell>
          <cell r="E445" t="str">
            <v>Hyderabad</v>
          </cell>
          <cell r="F445" t="str">
            <v>Two year</v>
          </cell>
          <cell r="H445">
            <v>1049</v>
          </cell>
          <cell r="J445" t="str">
            <v>Fiber</v>
          </cell>
          <cell r="L445" t="str">
            <v>No</v>
          </cell>
          <cell r="M445" t="str">
            <v>Unknown</v>
          </cell>
          <cell r="N445" t="str">
            <v>46-60 yrs</v>
          </cell>
        </row>
        <row r="446">
          <cell r="A446" t="str">
            <v>C1445</v>
          </cell>
          <cell r="E446" t="str">
            <v>Jaipur</v>
          </cell>
          <cell r="F446" t="str">
            <v>Month-to-month</v>
          </cell>
          <cell r="H446">
            <v>499</v>
          </cell>
          <cell r="J446" t="str">
            <v>No Internet</v>
          </cell>
          <cell r="L446" t="str">
            <v>No</v>
          </cell>
          <cell r="M446" t="str">
            <v>13-24 mo</v>
          </cell>
          <cell r="N446" t="str">
            <v>46-60 yrs</v>
          </cell>
        </row>
        <row r="447">
          <cell r="A447" t="str">
            <v>C1446</v>
          </cell>
          <cell r="E447" t="str">
            <v>Hyderabad</v>
          </cell>
          <cell r="F447" t="str">
            <v>Month-to-month</v>
          </cell>
          <cell r="H447">
            <v>999</v>
          </cell>
          <cell r="J447" t="str">
            <v>Fiber</v>
          </cell>
          <cell r="L447" t="str">
            <v>No</v>
          </cell>
          <cell r="M447" t="str">
            <v>13-24 mo</v>
          </cell>
          <cell r="N447" t="str">
            <v>46-60 yrs</v>
          </cell>
        </row>
        <row r="448">
          <cell r="A448" t="str">
            <v>C1447</v>
          </cell>
          <cell r="E448" t="str">
            <v>Unknown</v>
          </cell>
          <cell r="F448" t="str">
            <v>Month-to-month</v>
          </cell>
          <cell r="H448">
            <v>1199</v>
          </cell>
          <cell r="J448" t="str">
            <v>Fiber</v>
          </cell>
          <cell r="L448" t="str">
            <v>Yes</v>
          </cell>
          <cell r="M448" t="str">
            <v>13-24 mo</v>
          </cell>
          <cell r="N448" t="str">
            <v>46-60 yrs</v>
          </cell>
        </row>
        <row r="449">
          <cell r="A449" t="str">
            <v>C1448</v>
          </cell>
          <cell r="E449" t="str">
            <v>Mumbai</v>
          </cell>
          <cell r="F449" t="str">
            <v>Month-to-month</v>
          </cell>
          <cell r="H449">
            <v>749</v>
          </cell>
          <cell r="J449" t="str">
            <v>DSL</v>
          </cell>
          <cell r="L449" t="str">
            <v>Yes</v>
          </cell>
          <cell r="M449" t="str">
            <v>13-24 mo</v>
          </cell>
          <cell r="N449" t="str">
            <v>60+ yrs</v>
          </cell>
        </row>
        <row r="450">
          <cell r="A450" t="str">
            <v>C1449</v>
          </cell>
          <cell r="E450" t="str">
            <v>Bangalore</v>
          </cell>
          <cell r="F450" t="str">
            <v>Month-to-month</v>
          </cell>
          <cell r="H450">
            <v>1049</v>
          </cell>
          <cell r="J450" t="str">
            <v>Fiber</v>
          </cell>
          <cell r="L450" t="str">
            <v>Yes</v>
          </cell>
          <cell r="M450" t="str">
            <v>0-6 mo</v>
          </cell>
          <cell r="N450" t="str">
            <v>18-25 yrs</v>
          </cell>
        </row>
        <row r="451">
          <cell r="A451" t="str">
            <v>C1450</v>
          </cell>
          <cell r="E451" t="str">
            <v>Delhi</v>
          </cell>
          <cell r="F451" t="str">
            <v>Month-to-month</v>
          </cell>
          <cell r="H451">
            <v>899</v>
          </cell>
          <cell r="J451" t="str">
            <v>DSL</v>
          </cell>
          <cell r="L451" t="str">
            <v>No</v>
          </cell>
          <cell r="M451" t="str">
            <v>7-12 mo</v>
          </cell>
          <cell r="N451" t="str">
            <v>26-35 yrs</v>
          </cell>
        </row>
        <row r="452">
          <cell r="A452" t="str">
            <v>C1451</v>
          </cell>
          <cell r="E452" t="str">
            <v>Kochi</v>
          </cell>
          <cell r="F452" t="str">
            <v>Two year</v>
          </cell>
          <cell r="H452">
            <v>599</v>
          </cell>
          <cell r="J452" t="str">
            <v>DSL</v>
          </cell>
          <cell r="L452" t="str">
            <v>No</v>
          </cell>
          <cell r="M452" t="str">
            <v>49+ mo</v>
          </cell>
          <cell r="N452" t="str">
            <v>60+ yrs</v>
          </cell>
        </row>
        <row r="453">
          <cell r="A453" t="str">
            <v>C1452</v>
          </cell>
          <cell r="E453" t="str">
            <v>Kochi</v>
          </cell>
          <cell r="F453" t="str">
            <v>One year</v>
          </cell>
          <cell r="H453">
            <v>1199</v>
          </cell>
          <cell r="J453" t="str">
            <v>Unknown</v>
          </cell>
          <cell r="L453" t="str">
            <v>Yes</v>
          </cell>
          <cell r="M453" t="str">
            <v>25-48 mo</v>
          </cell>
          <cell r="N453" t="str">
            <v>18-25 yrs</v>
          </cell>
        </row>
        <row r="454">
          <cell r="A454" t="str">
            <v>C1453</v>
          </cell>
          <cell r="E454" t="str">
            <v>Ahmedabad</v>
          </cell>
          <cell r="F454" t="str">
            <v>Month-to-month</v>
          </cell>
          <cell r="H454">
            <v>349</v>
          </cell>
          <cell r="J454" t="str">
            <v>No Internet</v>
          </cell>
          <cell r="L454" t="str">
            <v>No</v>
          </cell>
          <cell r="M454" t="str">
            <v>7-12 mo</v>
          </cell>
          <cell r="N454" t="str">
            <v>26-35 yrs</v>
          </cell>
        </row>
        <row r="455">
          <cell r="A455" t="str">
            <v>C1454</v>
          </cell>
          <cell r="E455" t="str">
            <v>Chennai</v>
          </cell>
          <cell r="F455" t="str">
            <v>Month-to-month</v>
          </cell>
          <cell r="H455">
            <v>399</v>
          </cell>
          <cell r="J455" t="str">
            <v>No Internet</v>
          </cell>
          <cell r="L455" t="str">
            <v>No</v>
          </cell>
          <cell r="M455" t="str">
            <v>13-24 mo</v>
          </cell>
          <cell r="N455" t="str">
            <v>46-60 yrs</v>
          </cell>
        </row>
        <row r="456">
          <cell r="A456" t="str">
            <v>C1455</v>
          </cell>
          <cell r="E456" t="str">
            <v>Mumbai</v>
          </cell>
          <cell r="F456" t="str">
            <v>Month-to-month</v>
          </cell>
          <cell r="H456">
            <v>799</v>
          </cell>
          <cell r="J456" t="str">
            <v>DSL</v>
          </cell>
          <cell r="L456" t="str">
            <v>No</v>
          </cell>
          <cell r="M456" t="str">
            <v>0-6 mo</v>
          </cell>
          <cell r="N456" t="str">
            <v>46-60 yrs</v>
          </cell>
        </row>
        <row r="457">
          <cell r="A457" t="str">
            <v>C1456</v>
          </cell>
          <cell r="E457" t="str">
            <v>Ahmedabad</v>
          </cell>
          <cell r="F457" t="str">
            <v>Month-to-month</v>
          </cell>
          <cell r="H457">
            <v>899</v>
          </cell>
          <cell r="J457" t="str">
            <v>Fiber</v>
          </cell>
          <cell r="L457" t="str">
            <v>No</v>
          </cell>
          <cell r="M457" t="str">
            <v>13-24 mo</v>
          </cell>
          <cell r="N457" t="str">
            <v>26-35 yrs</v>
          </cell>
        </row>
        <row r="458">
          <cell r="A458" t="str">
            <v>C1457</v>
          </cell>
          <cell r="E458" t="str">
            <v>Pune</v>
          </cell>
          <cell r="F458" t="str">
            <v>Two year</v>
          </cell>
          <cell r="H458">
            <v>1099</v>
          </cell>
          <cell r="J458" t="str">
            <v>Fiber</v>
          </cell>
          <cell r="L458" t="str">
            <v>Yes</v>
          </cell>
          <cell r="M458" t="str">
            <v>25-48 mo</v>
          </cell>
          <cell r="N458" t="str">
            <v>26-35 yrs</v>
          </cell>
        </row>
        <row r="459">
          <cell r="A459" t="str">
            <v>C1458</v>
          </cell>
          <cell r="E459" t="str">
            <v>Delhi</v>
          </cell>
          <cell r="F459" t="str">
            <v>Month-to-month</v>
          </cell>
          <cell r="H459">
            <v>1199</v>
          </cell>
          <cell r="J459" t="str">
            <v>Fiber</v>
          </cell>
          <cell r="L459" t="str">
            <v>Yes</v>
          </cell>
          <cell r="M459" t="str">
            <v>7-12 mo</v>
          </cell>
          <cell r="N459" t="str">
            <v>60+ yrs</v>
          </cell>
        </row>
        <row r="460">
          <cell r="A460" t="str">
            <v>C1459</v>
          </cell>
          <cell r="E460" t="str">
            <v>Chennai</v>
          </cell>
          <cell r="F460" t="str">
            <v>Two year</v>
          </cell>
          <cell r="H460">
            <v>899</v>
          </cell>
          <cell r="J460" t="str">
            <v>Fiber</v>
          </cell>
          <cell r="L460" t="str">
            <v>No</v>
          </cell>
          <cell r="M460" t="str">
            <v>49+ mo</v>
          </cell>
          <cell r="N460" t="str">
            <v>46-60 yrs</v>
          </cell>
        </row>
        <row r="461">
          <cell r="A461" t="str">
            <v>C1460</v>
          </cell>
          <cell r="E461" t="str">
            <v>Delhi</v>
          </cell>
          <cell r="F461" t="str">
            <v>One year</v>
          </cell>
          <cell r="H461">
            <v>1149</v>
          </cell>
          <cell r="J461" t="str">
            <v>Fiber</v>
          </cell>
          <cell r="L461" t="str">
            <v>No</v>
          </cell>
          <cell r="M461" t="str">
            <v>7-12 mo</v>
          </cell>
          <cell r="N461" t="str">
            <v>46-60 yrs</v>
          </cell>
        </row>
        <row r="462">
          <cell r="A462" t="str">
            <v>C1461</v>
          </cell>
          <cell r="E462" t="str">
            <v>Chandigarh</v>
          </cell>
          <cell r="F462" t="str">
            <v>Month-to-month</v>
          </cell>
          <cell r="H462">
            <v>1149</v>
          </cell>
          <cell r="J462" t="str">
            <v>Fiber</v>
          </cell>
          <cell r="L462" t="str">
            <v>No</v>
          </cell>
          <cell r="M462" t="str">
            <v>13-24 mo</v>
          </cell>
          <cell r="N462" t="str">
            <v>46-60 yrs</v>
          </cell>
        </row>
        <row r="463">
          <cell r="A463" t="str">
            <v>C1462</v>
          </cell>
          <cell r="E463" t="str">
            <v>Jaipur</v>
          </cell>
          <cell r="F463" t="str">
            <v>One year</v>
          </cell>
          <cell r="H463">
            <v>649</v>
          </cell>
          <cell r="J463" t="str">
            <v>DSL</v>
          </cell>
          <cell r="L463" t="str">
            <v>No</v>
          </cell>
          <cell r="M463" t="str">
            <v>7-12 mo</v>
          </cell>
          <cell r="N463" t="str">
            <v>18-25 yrs</v>
          </cell>
        </row>
        <row r="464">
          <cell r="A464" t="str">
            <v>C1463</v>
          </cell>
          <cell r="E464" t="str">
            <v>Indore</v>
          </cell>
          <cell r="F464" t="str">
            <v>Two year</v>
          </cell>
          <cell r="H464">
            <v>1199</v>
          </cell>
          <cell r="J464" t="str">
            <v>Fiber</v>
          </cell>
          <cell r="L464" t="str">
            <v>No</v>
          </cell>
          <cell r="M464" t="str">
            <v>49+ mo</v>
          </cell>
          <cell r="N464" t="str">
            <v>46-60 yrs</v>
          </cell>
        </row>
        <row r="465">
          <cell r="A465" t="str">
            <v>C1464</v>
          </cell>
          <cell r="E465" t="str">
            <v>Delhi</v>
          </cell>
          <cell r="F465" t="str">
            <v>Two year</v>
          </cell>
          <cell r="H465">
            <v>899</v>
          </cell>
          <cell r="J465" t="str">
            <v>DSL</v>
          </cell>
          <cell r="L465" t="str">
            <v>No</v>
          </cell>
          <cell r="M465" t="str">
            <v>49+ mo</v>
          </cell>
          <cell r="N465" t="str">
            <v>18-25 yrs</v>
          </cell>
        </row>
        <row r="466">
          <cell r="A466" t="str">
            <v>C1465</v>
          </cell>
          <cell r="E466" t="str">
            <v>Kolkata</v>
          </cell>
          <cell r="F466" t="str">
            <v>Two year</v>
          </cell>
          <cell r="H466">
            <v>1149</v>
          </cell>
          <cell r="J466" t="str">
            <v>Unknown</v>
          </cell>
          <cell r="L466" t="str">
            <v>No</v>
          </cell>
          <cell r="M466" t="str">
            <v>7-12 mo</v>
          </cell>
          <cell r="N466" t="str">
            <v>60+ yrs</v>
          </cell>
        </row>
        <row r="467">
          <cell r="A467" t="str">
            <v>C1466</v>
          </cell>
          <cell r="E467" t="str">
            <v>Jaipur</v>
          </cell>
          <cell r="F467" t="str">
            <v>Month-to-month</v>
          </cell>
          <cell r="H467">
            <v>999</v>
          </cell>
          <cell r="J467" t="str">
            <v>Fiber</v>
          </cell>
          <cell r="L467" t="str">
            <v>No</v>
          </cell>
          <cell r="M467" t="str">
            <v>13-24 mo</v>
          </cell>
          <cell r="N467" t="str">
            <v>26-35 yrs</v>
          </cell>
        </row>
        <row r="468">
          <cell r="A468" t="str">
            <v>C1467</v>
          </cell>
          <cell r="E468" t="str">
            <v>Kolkata</v>
          </cell>
          <cell r="F468" t="str">
            <v>One year</v>
          </cell>
          <cell r="H468">
            <v>1199</v>
          </cell>
          <cell r="J468" t="str">
            <v>Fiber</v>
          </cell>
          <cell r="L468" t="str">
            <v>No</v>
          </cell>
          <cell r="M468" t="str">
            <v>25-48 mo</v>
          </cell>
          <cell r="N468" t="str">
            <v>46-60 yrs</v>
          </cell>
        </row>
        <row r="469">
          <cell r="A469" t="str">
            <v>C1468</v>
          </cell>
          <cell r="E469" t="str">
            <v>Kolkata</v>
          </cell>
          <cell r="F469" t="str">
            <v>Month-to-month</v>
          </cell>
          <cell r="H469">
            <v>1099</v>
          </cell>
          <cell r="J469" t="str">
            <v>Fiber</v>
          </cell>
          <cell r="L469" t="str">
            <v>No</v>
          </cell>
          <cell r="M469" t="str">
            <v>13-24 mo</v>
          </cell>
          <cell r="N469" t="str">
            <v>46-60 yrs</v>
          </cell>
        </row>
        <row r="470">
          <cell r="A470" t="str">
            <v>C1469</v>
          </cell>
          <cell r="E470" t="str">
            <v>Indore</v>
          </cell>
          <cell r="F470" t="str">
            <v>Month-to-month</v>
          </cell>
          <cell r="H470">
            <v>1149</v>
          </cell>
          <cell r="J470" t="str">
            <v>Fiber</v>
          </cell>
          <cell r="L470" t="str">
            <v>Yes</v>
          </cell>
          <cell r="M470" t="str">
            <v>13-24 mo</v>
          </cell>
          <cell r="N470" t="str">
            <v>60+ yrs</v>
          </cell>
        </row>
        <row r="471">
          <cell r="A471" t="str">
            <v>C1470</v>
          </cell>
          <cell r="E471" t="str">
            <v>Kolkata</v>
          </cell>
          <cell r="F471" t="str">
            <v>Month-to-month</v>
          </cell>
          <cell r="H471">
            <v>799</v>
          </cell>
          <cell r="J471" t="str">
            <v>DSL</v>
          </cell>
          <cell r="L471" t="str">
            <v>Yes</v>
          </cell>
          <cell r="M471" t="str">
            <v>7-12 mo</v>
          </cell>
          <cell r="N471" t="str">
            <v>46-60 yrs</v>
          </cell>
        </row>
        <row r="472">
          <cell r="A472" t="str">
            <v>C1471</v>
          </cell>
          <cell r="E472" t="str">
            <v>Hyderabad</v>
          </cell>
          <cell r="F472" t="str">
            <v>Two year</v>
          </cell>
          <cell r="H472">
            <v>799</v>
          </cell>
          <cell r="J472" t="str">
            <v>DSL</v>
          </cell>
          <cell r="L472" t="str">
            <v>No</v>
          </cell>
          <cell r="M472" t="str">
            <v>25-48 mo</v>
          </cell>
          <cell r="N472" t="str">
            <v>46-60 yrs</v>
          </cell>
        </row>
        <row r="473">
          <cell r="A473" t="str">
            <v>C1472</v>
          </cell>
          <cell r="E473" t="str">
            <v>Pune</v>
          </cell>
          <cell r="F473" t="str">
            <v>Month-to-month</v>
          </cell>
          <cell r="H473">
            <v>649</v>
          </cell>
          <cell r="J473" t="str">
            <v>DSL</v>
          </cell>
          <cell r="L473" t="str">
            <v>No</v>
          </cell>
          <cell r="M473" t="str">
            <v>13-24 mo</v>
          </cell>
          <cell r="N473" t="str">
            <v>46-60 yrs</v>
          </cell>
        </row>
        <row r="474">
          <cell r="A474" t="str">
            <v>C1473</v>
          </cell>
          <cell r="E474" t="str">
            <v>Mumbai</v>
          </cell>
          <cell r="F474" t="str">
            <v>One year</v>
          </cell>
          <cell r="H474">
            <v>1299</v>
          </cell>
          <cell r="J474" t="str">
            <v>Fiber</v>
          </cell>
          <cell r="L474" t="str">
            <v>No</v>
          </cell>
          <cell r="M474" t="str">
            <v>7-12 mo</v>
          </cell>
          <cell r="N474" t="str">
            <v>60+ yrs</v>
          </cell>
        </row>
        <row r="475">
          <cell r="A475" t="str">
            <v>C1474</v>
          </cell>
          <cell r="E475" t="str">
            <v>Lucknow</v>
          </cell>
          <cell r="F475" t="str">
            <v>Month-to-month</v>
          </cell>
          <cell r="H475">
            <v>1299</v>
          </cell>
          <cell r="J475" t="str">
            <v>Fiber</v>
          </cell>
          <cell r="L475" t="str">
            <v>Yes</v>
          </cell>
          <cell r="M475" t="str">
            <v>7-12 mo</v>
          </cell>
          <cell r="N475" t="str">
            <v>60+ yrs</v>
          </cell>
        </row>
        <row r="476">
          <cell r="A476" t="str">
            <v>C1475</v>
          </cell>
          <cell r="E476" t="str">
            <v>Chandigarh</v>
          </cell>
          <cell r="F476" t="str">
            <v>One year</v>
          </cell>
          <cell r="H476">
            <v>599</v>
          </cell>
          <cell r="J476" t="str">
            <v>DSL</v>
          </cell>
          <cell r="L476" t="str">
            <v>Yes</v>
          </cell>
          <cell r="M476" t="str">
            <v>25-48 mo</v>
          </cell>
          <cell r="N476" t="str">
            <v>46-60 yrs</v>
          </cell>
        </row>
        <row r="477">
          <cell r="A477" t="str">
            <v>C1476</v>
          </cell>
          <cell r="E477" t="str">
            <v>Hyderabad</v>
          </cell>
          <cell r="F477" t="str">
            <v>Month-to-month</v>
          </cell>
          <cell r="H477">
            <v>1299</v>
          </cell>
          <cell r="J477" t="str">
            <v>Fiber</v>
          </cell>
          <cell r="L477" t="str">
            <v>No</v>
          </cell>
          <cell r="M477" t="str">
            <v>13-24 mo</v>
          </cell>
          <cell r="N477" t="str">
            <v>60+ yrs</v>
          </cell>
        </row>
        <row r="478">
          <cell r="A478" t="str">
            <v>C1477</v>
          </cell>
          <cell r="E478" t="str">
            <v>Kolkata</v>
          </cell>
          <cell r="F478" t="str">
            <v>Month-to-month</v>
          </cell>
          <cell r="H478">
            <v>799</v>
          </cell>
          <cell r="J478" t="str">
            <v>DSL</v>
          </cell>
          <cell r="L478" t="str">
            <v>No</v>
          </cell>
          <cell r="M478" t="str">
            <v>13-24 mo</v>
          </cell>
          <cell r="N478" t="str">
            <v>60+ yrs</v>
          </cell>
        </row>
        <row r="479">
          <cell r="A479" t="str">
            <v>C1478</v>
          </cell>
          <cell r="E479" t="str">
            <v>Kochi</v>
          </cell>
          <cell r="F479" t="str">
            <v>One year</v>
          </cell>
          <cell r="H479">
            <v>999</v>
          </cell>
          <cell r="J479" t="str">
            <v>Fiber</v>
          </cell>
          <cell r="L479" t="str">
            <v>No</v>
          </cell>
          <cell r="M479" t="str">
            <v>25-48 mo</v>
          </cell>
          <cell r="N479" t="str">
            <v>36-45 yrs</v>
          </cell>
        </row>
        <row r="480">
          <cell r="A480" t="str">
            <v>C1479</v>
          </cell>
          <cell r="E480" t="str">
            <v>Jaipur</v>
          </cell>
          <cell r="F480" t="str">
            <v>Month-to-month</v>
          </cell>
          <cell r="H480">
            <v>699</v>
          </cell>
          <cell r="J480" t="str">
            <v>DSL</v>
          </cell>
          <cell r="L480" t="str">
            <v>Yes</v>
          </cell>
          <cell r="M480" t="str">
            <v>13-24 mo</v>
          </cell>
          <cell r="N480" t="str">
            <v>60+ yrs</v>
          </cell>
        </row>
        <row r="481">
          <cell r="A481" t="str">
            <v>C1480</v>
          </cell>
          <cell r="E481" t="str">
            <v>Hyderabad</v>
          </cell>
          <cell r="F481" t="str">
            <v>Month-to-month</v>
          </cell>
          <cell r="H481">
            <v>1049</v>
          </cell>
          <cell r="J481" t="str">
            <v>Fiber</v>
          </cell>
          <cell r="L481" t="str">
            <v>No</v>
          </cell>
          <cell r="M481" t="str">
            <v>0-6 mo</v>
          </cell>
          <cell r="N481" t="str">
            <v>36-45 yrs</v>
          </cell>
        </row>
        <row r="482">
          <cell r="A482" t="str">
            <v>C1481</v>
          </cell>
          <cell r="E482" t="str">
            <v>Delhi</v>
          </cell>
          <cell r="F482" t="str">
            <v>Two year</v>
          </cell>
          <cell r="H482">
            <v>649</v>
          </cell>
          <cell r="J482" t="str">
            <v>DSL</v>
          </cell>
          <cell r="L482" t="str">
            <v>No</v>
          </cell>
          <cell r="M482" t="str">
            <v>25-48 mo</v>
          </cell>
          <cell r="N482" t="str">
            <v>46-60 yrs</v>
          </cell>
        </row>
        <row r="483">
          <cell r="A483" t="str">
            <v>C1482</v>
          </cell>
          <cell r="E483" t="str">
            <v>Chandigarh</v>
          </cell>
          <cell r="F483" t="str">
            <v>Two year</v>
          </cell>
          <cell r="H483">
            <v>699</v>
          </cell>
          <cell r="J483" t="str">
            <v>DSL</v>
          </cell>
          <cell r="L483" t="str">
            <v>Yes</v>
          </cell>
          <cell r="M483" t="str">
            <v>13-24 mo</v>
          </cell>
          <cell r="N483" t="str">
            <v>60+ yrs</v>
          </cell>
        </row>
        <row r="484">
          <cell r="A484" t="str">
            <v>C1483</v>
          </cell>
          <cell r="E484" t="str">
            <v>Kochi</v>
          </cell>
          <cell r="F484" t="str">
            <v>Month-to-month</v>
          </cell>
          <cell r="H484">
            <v>1199</v>
          </cell>
          <cell r="J484" t="str">
            <v>Fiber</v>
          </cell>
          <cell r="L484" t="str">
            <v>Yes</v>
          </cell>
          <cell r="M484" t="str">
            <v>13-24 mo</v>
          </cell>
          <cell r="N484" t="str">
            <v>46-60 yrs</v>
          </cell>
        </row>
        <row r="485">
          <cell r="A485" t="str">
            <v>C1484</v>
          </cell>
          <cell r="E485" t="str">
            <v>Chennai</v>
          </cell>
          <cell r="F485" t="str">
            <v>Month-to-month</v>
          </cell>
          <cell r="H485">
            <v>1099</v>
          </cell>
          <cell r="J485" t="str">
            <v>Fiber</v>
          </cell>
          <cell r="L485" t="str">
            <v>Yes</v>
          </cell>
          <cell r="M485" t="str">
            <v>7-12 mo</v>
          </cell>
          <cell r="N485" t="str">
            <v>18-25 yrs</v>
          </cell>
        </row>
        <row r="486">
          <cell r="A486" t="str">
            <v>C1485</v>
          </cell>
          <cell r="E486" t="str">
            <v>Chennai</v>
          </cell>
          <cell r="F486" t="str">
            <v>Two year</v>
          </cell>
          <cell r="J486" t="str">
            <v>Fiber</v>
          </cell>
          <cell r="L486" t="str">
            <v>No</v>
          </cell>
          <cell r="M486" t="str">
            <v>25-48 mo</v>
          </cell>
          <cell r="N486" t="str">
            <v>18-25 yrs</v>
          </cell>
        </row>
        <row r="487">
          <cell r="A487" t="str">
            <v>C1486</v>
          </cell>
          <cell r="E487" t="str">
            <v>Ahmedabad</v>
          </cell>
          <cell r="F487" t="str">
            <v>One year</v>
          </cell>
          <cell r="H487">
            <v>1149</v>
          </cell>
          <cell r="J487" t="str">
            <v>Fiber</v>
          </cell>
          <cell r="L487" t="str">
            <v>Yes</v>
          </cell>
          <cell r="M487" t="str">
            <v>0-6 mo</v>
          </cell>
          <cell r="N487" t="str">
            <v>46-60 yrs</v>
          </cell>
        </row>
        <row r="488">
          <cell r="A488" t="str">
            <v>C1487</v>
          </cell>
          <cell r="E488" t="str">
            <v>Pune</v>
          </cell>
          <cell r="F488" t="str">
            <v>Month-to-month</v>
          </cell>
          <cell r="H488">
            <v>699</v>
          </cell>
          <cell r="J488" t="str">
            <v>DSL</v>
          </cell>
          <cell r="L488" t="str">
            <v>No</v>
          </cell>
          <cell r="M488" t="str">
            <v>13-24 mo</v>
          </cell>
          <cell r="N488" t="str">
            <v>60+ yrs</v>
          </cell>
        </row>
        <row r="489">
          <cell r="A489" t="str">
            <v>C1488</v>
          </cell>
          <cell r="E489" t="str">
            <v>Hyderabad</v>
          </cell>
          <cell r="F489" t="str">
            <v>Month-to-month</v>
          </cell>
          <cell r="H489">
            <v>499</v>
          </cell>
          <cell r="J489" t="str">
            <v>No Internet</v>
          </cell>
          <cell r="L489" t="str">
            <v>No</v>
          </cell>
          <cell r="M489" t="str">
            <v>13-24 mo</v>
          </cell>
          <cell r="N489" t="str">
            <v>26-35 yrs</v>
          </cell>
        </row>
        <row r="490">
          <cell r="A490" t="str">
            <v>C1489</v>
          </cell>
          <cell r="E490" t="str">
            <v>Bangalore</v>
          </cell>
          <cell r="F490" t="str">
            <v>Month-to-month</v>
          </cell>
          <cell r="H490">
            <v>699</v>
          </cell>
          <cell r="J490" t="str">
            <v>DSL</v>
          </cell>
          <cell r="L490" t="str">
            <v>Yes</v>
          </cell>
          <cell r="M490" t="str">
            <v>13-24 mo</v>
          </cell>
          <cell r="N490" t="str">
            <v>46-60 yrs</v>
          </cell>
        </row>
        <row r="491">
          <cell r="A491" t="str">
            <v>C1490</v>
          </cell>
          <cell r="E491" t="str">
            <v>Kochi</v>
          </cell>
          <cell r="F491" t="str">
            <v>Month-to-month</v>
          </cell>
          <cell r="H491">
            <v>849</v>
          </cell>
          <cell r="J491" t="str">
            <v>DSL</v>
          </cell>
          <cell r="L491" t="str">
            <v>No</v>
          </cell>
          <cell r="M491" t="str">
            <v>13-24 mo</v>
          </cell>
          <cell r="N491" t="str">
            <v>46-60 yrs</v>
          </cell>
        </row>
        <row r="492">
          <cell r="A492" t="str">
            <v>C1491</v>
          </cell>
          <cell r="E492" t="str">
            <v>Mumbai</v>
          </cell>
          <cell r="F492" t="str">
            <v>One year</v>
          </cell>
          <cell r="H492">
            <v>399</v>
          </cell>
          <cell r="J492" t="str">
            <v>No Internet</v>
          </cell>
          <cell r="L492" t="str">
            <v>No</v>
          </cell>
          <cell r="M492" t="str">
            <v>7-12 mo</v>
          </cell>
          <cell r="N492" t="str">
            <v>36-45 yrs</v>
          </cell>
        </row>
        <row r="493">
          <cell r="A493" t="str">
            <v>C1492</v>
          </cell>
          <cell r="E493" t="str">
            <v>Ahmedabad</v>
          </cell>
          <cell r="F493" t="str">
            <v>One year</v>
          </cell>
          <cell r="H493">
            <v>399</v>
          </cell>
          <cell r="J493" t="str">
            <v>No Internet</v>
          </cell>
          <cell r="L493" t="str">
            <v>Yes</v>
          </cell>
          <cell r="M493" t="str">
            <v>13-24 mo</v>
          </cell>
          <cell r="N493" t="str">
            <v>36-45 yrs</v>
          </cell>
        </row>
        <row r="494">
          <cell r="A494" t="str">
            <v>C1493</v>
          </cell>
          <cell r="E494" t="str">
            <v>Lucknow</v>
          </cell>
          <cell r="F494" t="str">
            <v>One year</v>
          </cell>
          <cell r="H494">
            <v>649</v>
          </cell>
          <cell r="J494" t="str">
            <v>DSL</v>
          </cell>
          <cell r="L494" t="str">
            <v>No</v>
          </cell>
          <cell r="M494" t="str">
            <v>13-24 mo</v>
          </cell>
          <cell r="N494" t="str">
            <v>26-35 yrs</v>
          </cell>
        </row>
        <row r="495">
          <cell r="A495" t="str">
            <v>C1494</v>
          </cell>
          <cell r="E495" t="str">
            <v>Lucknow</v>
          </cell>
          <cell r="F495" t="str">
            <v>Month-to-month</v>
          </cell>
          <cell r="H495">
            <v>1099</v>
          </cell>
          <cell r="J495" t="str">
            <v>Unknown</v>
          </cell>
          <cell r="L495" t="str">
            <v>No</v>
          </cell>
          <cell r="M495" t="str">
            <v>0-6 mo</v>
          </cell>
          <cell r="N495" t="str">
            <v>60+ yrs</v>
          </cell>
        </row>
        <row r="496">
          <cell r="A496" t="str">
            <v>C1495</v>
          </cell>
          <cell r="E496" t="str">
            <v>Kochi</v>
          </cell>
          <cell r="F496" t="str">
            <v>Two year</v>
          </cell>
          <cell r="H496">
            <v>399</v>
          </cell>
          <cell r="J496" t="str">
            <v>No Internet</v>
          </cell>
          <cell r="L496" t="str">
            <v>No</v>
          </cell>
          <cell r="M496" t="str">
            <v>49+ mo</v>
          </cell>
          <cell r="N496" t="str">
            <v>36-45 yrs</v>
          </cell>
        </row>
        <row r="497">
          <cell r="A497" t="str">
            <v>C1496</v>
          </cell>
          <cell r="E497" t="str">
            <v>Bhopal</v>
          </cell>
          <cell r="F497" t="str">
            <v>Month-to-month</v>
          </cell>
          <cell r="H497">
            <v>1099</v>
          </cell>
          <cell r="J497" t="str">
            <v>Fiber</v>
          </cell>
          <cell r="L497" t="str">
            <v>No</v>
          </cell>
          <cell r="M497" t="str">
            <v>7-12 mo</v>
          </cell>
          <cell r="N497" t="str">
            <v>46-60 yrs</v>
          </cell>
        </row>
        <row r="498">
          <cell r="A498" t="str">
            <v>C1497</v>
          </cell>
          <cell r="E498" t="str">
            <v>Bhopal</v>
          </cell>
          <cell r="F498" t="str">
            <v>One year</v>
          </cell>
          <cell r="H498">
            <v>899</v>
          </cell>
          <cell r="J498" t="str">
            <v>Fiber</v>
          </cell>
          <cell r="L498" t="str">
            <v>No</v>
          </cell>
          <cell r="M498" t="str">
            <v>0-6 mo</v>
          </cell>
          <cell r="N498" t="str">
            <v>46-60 yrs</v>
          </cell>
        </row>
        <row r="499">
          <cell r="A499" t="str">
            <v>C1498</v>
          </cell>
          <cell r="E499" t="str">
            <v>Kolkata</v>
          </cell>
          <cell r="F499" t="str">
            <v>Two year</v>
          </cell>
          <cell r="H499">
            <v>799</v>
          </cell>
          <cell r="J499" t="str">
            <v>DSL</v>
          </cell>
          <cell r="L499" t="str">
            <v>No</v>
          </cell>
          <cell r="M499" t="str">
            <v>49+ mo</v>
          </cell>
          <cell r="N499" t="str">
            <v>46-60 yrs</v>
          </cell>
        </row>
        <row r="500">
          <cell r="A500" t="str">
            <v>C1499</v>
          </cell>
          <cell r="E500" t="str">
            <v>Bangalore</v>
          </cell>
          <cell r="F500" t="str">
            <v>Month-to-month</v>
          </cell>
          <cell r="H500">
            <v>1149</v>
          </cell>
          <cell r="J500" t="str">
            <v>Fiber</v>
          </cell>
          <cell r="L500" t="str">
            <v>Yes</v>
          </cell>
          <cell r="M500" t="str">
            <v>0-6 mo</v>
          </cell>
          <cell r="N500" t="str">
            <v>46-60 yrs</v>
          </cell>
        </row>
        <row r="501">
          <cell r="A501" t="str">
            <v>C1500</v>
          </cell>
          <cell r="E501" t="str">
            <v>Mumbai</v>
          </cell>
          <cell r="F501" t="str">
            <v>Month-to-month</v>
          </cell>
          <cell r="H501">
            <v>999</v>
          </cell>
          <cell r="J501" t="str">
            <v>Fiber</v>
          </cell>
          <cell r="L501" t="str">
            <v>Yes</v>
          </cell>
          <cell r="M501" t="str">
            <v>13-24 mo</v>
          </cell>
          <cell r="N501" t="str">
            <v>46-60 yrs</v>
          </cell>
        </row>
        <row r="502">
          <cell r="A502" t="str">
            <v>C1501</v>
          </cell>
          <cell r="E502" t="str">
            <v>Bhopal</v>
          </cell>
          <cell r="F502" t="str">
            <v>Two year</v>
          </cell>
          <cell r="H502">
            <v>399</v>
          </cell>
          <cell r="J502" t="str">
            <v>No Internet</v>
          </cell>
          <cell r="L502" t="str">
            <v>No</v>
          </cell>
          <cell r="M502" t="str">
            <v>7-12 mo</v>
          </cell>
          <cell r="N502" t="str">
            <v>46-60 yrs</v>
          </cell>
        </row>
        <row r="503">
          <cell r="A503" t="str">
            <v>C1502</v>
          </cell>
          <cell r="E503" t="str">
            <v>Indore</v>
          </cell>
          <cell r="F503" t="str">
            <v>Month-to-month</v>
          </cell>
          <cell r="H503">
            <v>1299</v>
          </cell>
          <cell r="J503" t="str">
            <v>Fiber</v>
          </cell>
          <cell r="L503" t="str">
            <v>No</v>
          </cell>
          <cell r="M503" t="str">
            <v>13-24 mo</v>
          </cell>
          <cell r="N503" t="str">
            <v>46-60 yrs</v>
          </cell>
        </row>
        <row r="504">
          <cell r="A504" t="str">
            <v>C1503</v>
          </cell>
          <cell r="E504" t="str">
            <v>Kochi</v>
          </cell>
          <cell r="F504" t="str">
            <v>Month-to-month</v>
          </cell>
          <cell r="H504">
            <v>899</v>
          </cell>
          <cell r="J504" t="str">
            <v>DSL</v>
          </cell>
          <cell r="L504" t="str">
            <v>No</v>
          </cell>
          <cell r="M504" t="str">
            <v>13-24 mo</v>
          </cell>
          <cell r="N504" t="str">
            <v>18-25 yrs</v>
          </cell>
        </row>
        <row r="505">
          <cell r="A505" t="str">
            <v>C1504</v>
          </cell>
          <cell r="E505" t="str">
            <v>Bhopal</v>
          </cell>
          <cell r="F505" t="str">
            <v>One year</v>
          </cell>
          <cell r="H505">
            <v>999</v>
          </cell>
          <cell r="J505" t="str">
            <v>Fiber</v>
          </cell>
          <cell r="L505" t="str">
            <v>Yes</v>
          </cell>
          <cell r="M505" t="str">
            <v>7-12 mo</v>
          </cell>
          <cell r="N505" t="str">
            <v>36-45 yrs</v>
          </cell>
        </row>
        <row r="506">
          <cell r="A506" t="str">
            <v>C1505</v>
          </cell>
          <cell r="E506" t="str">
            <v>Chandigarh</v>
          </cell>
          <cell r="F506" t="str">
            <v>Month-to-month</v>
          </cell>
          <cell r="H506">
            <v>399</v>
          </cell>
          <cell r="J506" t="str">
            <v>No Internet</v>
          </cell>
          <cell r="L506" t="str">
            <v>No</v>
          </cell>
          <cell r="M506" t="str">
            <v>13-24 mo</v>
          </cell>
          <cell r="N506" t="str">
            <v>46-60 yrs</v>
          </cell>
        </row>
        <row r="507">
          <cell r="A507" t="str">
            <v>C1506</v>
          </cell>
          <cell r="E507" t="str">
            <v>Lucknow</v>
          </cell>
          <cell r="F507" t="str">
            <v>One year</v>
          </cell>
          <cell r="H507">
            <v>699</v>
          </cell>
          <cell r="J507" t="str">
            <v>DSL</v>
          </cell>
          <cell r="L507" t="str">
            <v>No</v>
          </cell>
          <cell r="M507" t="str">
            <v>25-48 mo</v>
          </cell>
          <cell r="N507" t="str">
            <v>18-25 yrs</v>
          </cell>
        </row>
        <row r="508">
          <cell r="A508" t="str">
            <v>C1507</v>
          </cell>
          <cell r="E508" t="str">
            <v>Indore</v>
          </cell>
          <cell r="F508" t="str">
            <v>Month-to-month</v>
          </cell>
          <cell r="H508">
            <v>849</v>
          </cell>
          <cell r="J508" t="str">
            <v>DSL</v>
          </cell>
          <cell r="L508" t="str">
            <v>Yes</v>
          </cell>
          <cell r="M508" t="str">
            <v>0-6 mo</v>
          </cell>
          <cell r="N508" t="str">
            <v>18-25 yrs</v>
          </cell>
        </row>
        <row r="509">
          <cell r="A509" t="str">
            <v>C1508</v>
          </cell>
          <cell r="E509" t="str">
            <v>Bangalore</v>
          </cell>
          <cell r="F509" t="str">
            <v>Month-to-month</v>
          </cell>
          <cell r="H509">
            <v>849</v>
          </cell>
          <cell r="J509" t="str">
            <v>DSL</v>
          </cell>
          <cell r="L509" t="str">
            <v>No</v>
          </cell>
          <cell r="M509" t="str">
            <v>13-24 mo</v>
          </cell>
          <cell r="N509" t="str">
            <v>36-45 yrs</v>
          </cell>
        </row>
        <row r="510">
          <cell r="A510" t="str">
            <v>C1509</v>
          </cell>
          <cell r="E510" t="str">
            <v>Pune</v>
          </cell>
          <cell r="F510" t="str">
            <v>Two year</v>
          </cell>
          <cell r="H510">
            <v>699</v>
          </cell>
          <cell r="J510" t="str">
            <v>DSL</v>
          </cell>
          <cell r="L510" t="str">
            <v>No</v>
          </cell>
          <cell r="M510" t="str">
            <v>25-48 mo</v>
          </cell>
          <cell r="N510" t="str">
            <v>46-60 yrs</v>
          </cell>
        </row>
        <row r="511">
          <cell r="A511" t="str">
            <v>C1510</v>
          </cell>
          <cell r="E511" t="str">
            <v>Ahmedabad</v>
          </cell>
          <cell r="F511" t="str">
            <v>Month-to-month</v>
          </cell>
          <cell r="H511">
            <v>1149</v>
          </cell>
          <cell r="J511" t="str">
            <v>Fiber</v>
          </cell>
          <cell r="L511" t="str">
            <v>No</v>
          </cell>
          <cell r="M511" t="str">
            <v>7-12 mo</v>
          </cell>
          <cell r="N511" t="str">
            <v>36-45 yrs</v>
          </cell>
        </row>
        <row r="512">
          <cell r="A512" t="str">
            <v>C1511</v>
          </cell>
          <cell r="E512" t="str">
            <v>Lucknow</v>
          </cell>
          <cell r="F512" t="str">
            <v>One year</v>
          </cell>
          <cell r="H512">
            <v>1199</v>
          </cell>
          <cell r="J512" t="str">
            <v>Fiber</v>
          </cell>
          <cell r="L512" t="str">
            <v>No</v>
          </cell>
          <cell r="M512" t="str">
            <v>0-6 mo</v>
          </cell>
          <cell r="N512" t="str">
            <v>18-25 yrs</v>
          </cell>
        </row>
        <row r="513">
          <cell r="A513" t="str">
            <v>C1512</v>
          </cell>
          <cell r="E513" t="str">
            <v>Pune</v>
          </cell>
          <cell r="F513" t="str">
            <v>Month-to-month</v>
          </cell>
          <cell r="H513">
            <v>999</v>
          </cell>
          <cell r="J513" t="str">
            <v>Fiber</v>
          </cell>
          <cell r="L513" t="str">
            <v>No</v>
          </cell>
          <cell r="M513" t="str">
            <v>13-24 mo</v>
          </cell>
          <cell r="N513" t="str">
            <v>60+ yrs</v>
          </cell>
        </row>
        <row r="514">
          <cell r="A514" t="str">
            <v>C1513</v>
          </cell>
          <cell r="E514" t="str">
            <v>Lucknow</v>
          </cell>
          <cell r="F514" t="str">
            <v>Month-to-month</v>
          </cell>
          <cell r="H514">
            <v>599</v>
          </cell>
          <cell r="J514" t="str">
            <v>DSL</v>
          </cell>
          <cell r="L514" t="str">
            <v>No</v>
          </cell>
          <cell r="M514" t="str">
            <v>7-12 mo</v>
          </cell>
          <cell r="N514" t="str">
            <v>60+ yrs</v>
          </cell>
        </row>
        <row r="515">
          <cell r="A515" t="str">
            <v>C1514</v>
          </cell>
          <cell r="E515" t="str">
            <v>Kolkata</v>
          </cell>
          <cell r="F515" t="str">
            <v>Month-to-month</v>
          </cell>
          <cell r="H515">
            <v>649</v>
          </cell>
          <cell r="J515" t="str">
            <v>DSL</v>
          </cell>
          <cell r="L515" t="str">
            <v>No</v>
          </cell>
          <cell r="M515" t="str">
            <v>13-24 mo</v>
          </cell>
          <cell r="N515" t="str">
            <v>46-60 yrs</v>
          </cell>
        </row>
        <row r="516">
          <cell r="A516" t="str">
            <v>C1515</v>
          </cell>
          <cell r="E516" t="str">
            <v>Jaipur</v>
          </cell>
          <cell r="F516" t="str">
            <v>Month-to-month</v>
          </cell>
          <cell r="H516">
            <v>699</v>
          </cell>
          <cell r="J516" t="str">
            <v>DSL</v>
          </cell>
          <cell r="L516" t="str">
            <v>No</v>
          </cell>
          <cell r="M516" t="str">
            <v>13-24 mo</v>
          </cell>
          <cell r="N516" t="str">
            <v>46-60 yrs</v>
          </cell>
        </row>
        <row r="517">
          <cell r="A517" t="str">
            <v>C1516</v>
          </cell>
          <cell r="E517" t="str">
            <v>Chandigarh</v>
          </cell>
          <cell r="F517" t="str">
            <v>Month-to-month</v>
          </cell>
          <cell r="H517">
            <v>899</v>
          </cell>
          <cell r="J517" t="str">
            <v>Fiber</v>
          </cell>
          <cell r="L517" t="str">
            <v>No</v>
          </cell>
          <cell r="M517" t="str">
            <v>13-24 mo</v>
          </cell>
          <cell r="N517" t="str">
            <v>36-45 yrs</v>
          </cell>
        </row>
        <row r="518">
          <cell r="A518" t="str">
            <v>C1517</v>
          </cell>
          <cell r="E518" t="str">
            <v>Kochi</v>
          </cell>
          <cell r="F518" t="str">
            <v>Two year</v>
          </cell>
          <cell r="H518">
            <v>449</v>
          </cell>
          <cell r="J518" t="str">
            <v>No Internet</v>
          </cell>
          <cell r="L518" t="str">
            <v>No</v>
          </cell>
          <cell r="M518" t="str">
            <v>7-12 mo</v>
          </cell>
          <cell r="N518" t="str">
            <v>46-60 yrs</v>
          </cell>
        </row>
        <row r="519">
          <cell r="A519" t="str">
            <v>C1518</v>
          </cell>
          <cell r="E519" t="str">
            <v>Hyderabad</v>
          </cell>
          <cell r="F519" t="str">
            <v>One year</v>
          </cell>
          <cell r="H519">
            <v>599</v>
          </cell>
          <cell r="J519" t="str">
            <v>DSL</v>
          </cell>
          <cell r="L519" t="str">
            <v>No</v>
          </cell>
          <cell r="M519" t="str">
            <v>13-24 mo</v>
          </cell>
          <cell r="N519" t="str">
            <v>18-25 yrs</v>
          </cell>
        </row>
        <row r="520">
          <cell r="A520" t="str">
            <v>C1519</v>
          </cell>
          <cell r="E520" t="str">
            <v>Lucknow</v>
          </cell>
          <cell r="F520" t="str">
            <v>Month-to-month</v>
          </cell>
          <cell r="H520">
            <v>1299</v>
          </cell>
          <cell r="J520" t="str">
            <v>Fiber</v>
          </cell>
          <cell r="L520" t="str">
            <v>No</v>
          </cell>
          <cell r="M520" t="str">
            <v>7-12 mo</v>
          </cell>
          <cell r="N520" t="str">
            <v>46-60 yrs</v>
          </cell>
        </row>
        <row r="521">
          <cell r="A521" t="str">
            <v>C1520</v>
          </cell>
          <cell r="E521" t="str">
            <v>Hyderabad</v>
          </cell>
          <cell r="F521" t="str">
            <v>Month-to-month</v>
          </cell>
          <cell r="J521" t="str">
            <v>No Internet</v>
          </cell>
          <cell r="L521" t="str">
            <v>Yes</v>
          </cell>
          <cell r="M521" t="str">
            <v>Unknown</v>
          </cell>
          <cell r="N521" t="str">
            <v>60+ yrs</v>
          </cell>
        </row>
        <row r="522">
          <cell r="A522" t="str">
            <v>C1521</v>
          </cell>
          <cell r="E522" t="str">
            <v>Jaipur</v>
          </cell>
          <cell r="F522" t="str">
            <v>Month-to-month</v>
          </cell>
          <cell r="H522">
            <v>999</v>
          </cell>
          <cell r="J522" t="str">
            <v>Fiber</v>
          </cell>
          <cell r="L522" t="str">
            <v>No</v>
          </cell>
          <cell r="M522" t="str">
            <v>13-24 mo</v>
          </cell>
          <cell r="N522" t="str">
            <v>46-60 yrs</v>
          </cell>
        </row>
        <row r="523">
          <cell r="A523" t="str">
            <v>C1522</v>
          </cell>
          <cell r="E523" t="str">
            <v>Chandigarh</v>
          </cell>
          <cell r="F523" t="str">
            <v>Month-to-month</v>
          </cell>
          <cell r="H523">
            <v>399</v>
          </cell>
          <cell r="J523" t="str">
            <v>No Internet</v>
          </cell>
          <cell r="L523" t="str">
            <v>No</v>
          </cell>
          <cell r="M523" t="str">
            <v>13-24 mo</v>
          </cell>
          <cell r="N523" t="str">
            <v>60+ yrs</v>
          </cell>
        </row>
        <row r="524">
          <cell r="A524" t="str">
            <v>C1523</v>
          </cell>
          <cell r="E524" t="str">
            <v>Chennai</v>
          </cell>
          <cell r="F524" t="str">
            <v>Two year</v>
          </cell>
          <cell r="H524">
            <v>1099</v>
          </cell>
          <cell r="J524" t="str">
            <v>Fiber</v>
          </cell>
          <cell r="L524" t="str">
            <v>Yes</v>
          </cell>
          <cell r="M524" t="str">
            <v>7-12 mo</v>
          </cell>
          <cell r="N524" t="str">
            <v>18-25 yrs</v>
          </cell>
        </row>
        <row r="525">
          <cell r="A525" t="str">
            <v>C1524</v>
          </cell>
          <cell r="E525" t="str">
            <v>Chennai</v>
          </cell>
          <cell r="F525" t="str">
            <v>One year</v>
          </cell>
          <cell r="H525">
            <v>649</v>
          </cell>
          <cell r="J525" t="str">
            <v>DSL</v>
          </cell>
          <cell r="L525" t="str">
            <v>No</v>
          </cell>
          <cell r="M525" t="str">
            <v>13-24 mo</v>
          </cell>
          <cell r="N525" t="str">
            <v>60+ yrs</v>
          </cell>
        </row>
        <row r="526">
          <cell r="A526" t="str">
            <v>C1525</v>
          </cell>
          <cell r="E526" t="str">
            <v>Bangalore</v>
          </cell>
          <cell r="F526" t="str">
            <v>Month-to-month</v>
          </cell>
          <cell r="H526">
            <v>799</v>
          </cell>
          <cell r="J526" t="str">
            <v>DSL</v>
          </cell>
          <cell r="L526" t="str">
            <v>Yes</v>
          </cell>
          <cell r="M526" t="str">
            <v>13-24 mo</v>
          </cell>
          <cell r="N526" t="str">
            <v>46-60 yrs</v>
          </cell>
        </row>
        <row r="527">
          <cell r="A527" t="str">
            <v>C1526</v>
          </cell>
          <cell r="E527" t="str">
            <v>Kochi</v>
          </cell>
          <cell r="F527" t="str">
            <v>Month-to-month</v>
          </cell>
          <cell r="H527">
            <v>699</v>
          </cell>
          <cell r="J527" t="str">
            <v>DSL</v>
          </cell>
          <cell r="L527" t="str">
            <v>Yes</v>
          </cell>
          <cell r="M527" t="str">
            <v>0-6 mo</v>
          </cell>
          <cell r="N527" t="str">
            <v>60+ yrs</v>
          </cell>
        </row>
        <row r="528">
          <cell r="A528" t="str">
            <v>C1527</v>
          </cell>
          <cell r="E528" t="str">
            <v>Indore</v>
          </cell>
          <cell r="F528" t="str">
            <v>Month-to-month</v>
          </cell>
          <cell r="H528">
            <v>1099</v>
          </cell>
          <cell r="J528" t="str">
            <v>Fiber</v>
          </cell>
          <cell r="L528" t="str">
            <v>No</v>
          </cell>
          <cell r="M528" t="str">
            <v>0-6 mo</v>
          </cell>
          <cell r="N528" t="str">
            <v>60+ yrs</v>
          </cell>
        </row>
        <row r="529">
          <cell r="A529" t="str">
            <v>C1528</v>
          </cell>
          <cell r="E529" t="str">
            <v>Pune</v>
          </cell>
          <cell r="F529" t="str">
            <v>Two year</v>
          </cell>
          <cell r="H529">
            <v>1299</v>
          </cell>
          <cell r="J529" t="str">
            <v>Fiber</v>
          </cell>
          <cell r="L529" t="str">
            <v>No</v>
          </cell>
          <cell r="M529" t="str">
            <v>49+ mo</v>
          </cell>
          <cell r="N529" t="str">
            <v>36-45 yrs</v>
          </cell>
        </row>
        <row r="530">
          <cell r="A530" t="str">
            <v>C1529</v>
          </cell>
          <cell r="E530" t="str">
            <v>Indore</v>
          </cell>
          <cell r="F530" t="str">
            <v>One year</v>
          </cell>
          <cell r="H530">
            <v>999</v>
          </cell>
          <cell r="J530" t="str">
            <v>Fiber</v>
          </cell>
          <cell r="L530" t="str">
            <v>No</v>
          </cell>
          <cell r="M530" t="str">
            <v>25-48 mo</v>
          </cell>
          <cell r="N530" t="str">
            <v>36-45 yrs</v>
          </cell>
        </row>
        <row r="531">
          <cell r="A531" t="str">
            <v>C1530</v>
          </cell>
          <cell r="E531" t="str">
            <v>Bhopal</v>
          </cell>
          <cell r="F531" t="str">
            <v>Two year</v>
          </cell>
          <cell r="H531">
            <v>749</v>
          </cell>
          <cell r="J531" t="str">
            <v>DSL</v>
          </cell>
          <cell r="L531" t="str">
            <v>Yes</v>
          </cell>
          <cell r="M531" t="str">
            <v>25-48 mo</v>
          </cell>
          <cell r="N531" t="str">
            <v>26-35 yrs</v>
          </cell>
        </row>
        <row r="532">
          <cell r="A532" t="str">
            <v>C1531</v>
          </cell>
          <cell r="E532" t="str">
            <v>Bangalore</v>
          </cell>
          <cell r="F532" t="str">
            <v>Month-to-month</v>
          </cell>
          <cell r="H532">
            <v>649</v>
          </cell>
          <cell r="J532" t="str">
            <v>DSL</v>
          </cell>
          <cell r="L532" t="str">
            <v>Yes</v>
          </cell>
          <cell r="M532" t="str">
            <v>13-24 mo</v>
          </cell>
          <cell r="N532" t="str">
            <v>60+ yrs</v>
          </cell>
        </row>
        <row r="533">
          <cell r="A533" t="str">
            <v>C1532</v>
          </cell>
          <cell r="E533" t="str">
            <v>Mumbai</v>
          </cell>
          <cell r="F533" t="str">
            <v>One year</v>
          </cell>
          <cell r="H533">
            <v>1099</v>
          </cell>
          <cell r="J533" t="str">
            <v>Fiber</v>
          </cell>
          <cell r="L533" t="str">
            <v>No</v>
          </cell>
          <cell r="M533" t="str">
            <v>25-48 mo</v>
          </cell>
          <cell r="N533" t="str">
            <v>46-60 yrs</v>
          </cell>
        </row>
        <row r="534">
          <cell r="A534" t="str">
            <v>C1533</v>
          </cell>
          <cell r="E534" t="str">
            <v>Pune</v>
          </cell>
          <cell r="F534" t="str">
            <v>Month-to-month</v>
          </cell>
          <cell r="H534">
            <v>1099</v>
          </cell>
          <cell r="J534" t="str">
            <v>Fiber</v>
          </cell>
          <cell r="L534" t="str">
            <v>No</v>
          </cell>
          <cell r="M534" t="str">
            <v>13-24 mo</v>
          </cell>
          <cell r="N534" t="str">
            <v>18-25 yrs</v>
          </cell>
        </row>
        <row r="535">
          <cell r="A535" t="str">
            <v>C1534</v>
          </cell>
          <cell r="E535" t="str">
            <v>Mumbai</v>
          </cell>
          <cell r="F535" t="str">
            <v>One year</v>
          </cell>
          <cell r="H535">
            <v>1149</v>
          </cell>
          <cell r="J535" t="str">
            <v>Fiber</v>
          </cell>
          <cell r="L535" t="str">
            <v>No</v>
          </cell>
          <cell r="M535" t="str">
            <v>25-48 mo</v>
          </cell>
          <cell r="N535" t="str">
            <v>46-60 yrs</v>
          </cell>
        </row>
        <row r="536">
          <cell r="A536" t="str">
            <v>C1535</v>
          </cell>
          <cell r="E536" t="str">
            <v>Kolkata</v>
          </cell>
          <cell r="F536" t="str">
            <v>Month-to-month</v>
          </cell>
          <cell r="H536">
            <v>899</v>
          </cell>
          <cell r="J536" t="str">
            <v>Unknown</v>
          </cell>
          <cell r="L536" t="str">
            <v>Yes</v>
          </cell>
          <cell r="M536" t="str">
            <v>13-24 mo</v>
          </cell>
          <cell r="N536" t="str">
            <v>36-45 yrs</v>
          </cell>
        </row>
        <row r="537">
          <cell r="A537" t="str">
            <v>C1536</v>
          </cell>
          <cell r="E537" t="str">
            <v>Bangalore</v>
          </cell>
          <cell r="F537" t="str">
            <v>Two year</v>
          </cell>
          <cell r="H537">
            <v>399</v>
          </cell>
          <cell r="J537" t="str">
            <v>No Internet</v>
          </cell>
          <cell r="L537" t="str">
            <v>No</v>
          </cell>
          <cell r="M537" t="str">
            <v>0-6 mo</v>
          </cell>
          <cell r="N537" t="str">
            <v>60+ yrs</v>
          </cell>
        </row>
        <row r="538">
          <cell r="A538" t="str">
            <v>C1537</v>
          </cell>
          <cell r="E538" t="str">
            <v>Hyderabad</v>
          </cell>
          <cell r="F538" t="str">
            <v>Month-to-month</v>
          </cell>
          <cell r="H538">
            <v>449</v>
          </cell>
          <cell r="J538" t="str">
            <v>No Internet</v>
          </cell>
          <cell r="L538" t="str">
            <v>No</v>
          </cell>
          <cell r="M538" t="str">
            <v>7-12 mo</v>
          </cell>
          <cell r="N538" t="str">
            <v>46-60 yrs</v>
          </cell>
        </row>
        <row r="539">
          <cell r="A539" t="str">
            <v>C1538</v>
          </cell>
          <cell r="E539" t="str">
            <v>Delhi</v>
          </cell>
          <cell r="F539" t="str">
            <v>One year</v>
          </cell>
          <cell r="H539">
            <v>1049</v>
          </cell>
          <cell r="J539" t="str">
            <v>Fiber</v>
          </cell>
          <cell r="L539" t="str">
            <v>No</v>
          </cell>
          <cell r="M539" t="str">
            <v>7-12 mo</v>
          </cell>
          <cell r="N539" t="str">
            <v>46-60 yrs</v>
          </cell>
        </row>
        <row r="540">
          <cell r="A540" t="str">
            <v>C1539</v>
          </cell>
          <cell r="E540" t="str">
            <v>Chandigarh</v>
          </cell>
          <cell r="F540" t="str">
            <v>Two year</v>
          </cell>
          <cell r="H540">
            <v>899</v>
          </cell>
          <cell r="J540" t="str">
            <v>DSL</v>
          </cell>
          <cell r="L540" t="str">
            <v>No</v>
          </cell>
          <cell r="M540" t="str">
            <v>25-48 mo</v>
          </cell>
          <cell r="N540" t="str">
            <v>46-60 yrs</v>
          </cell>
        </row>
        <row r="541">
          <cell r="A541" t="str">
            <v>C1540</v>
          </cell>
          <cell r="E541" t="str">
            <v>Kolkata</v>
          </cell>
          <cell r="F541" t="str">
            <v>Month-to-month</v>
          </cell>
          <cell r="H541">
            <v>1099</v>
          </cell>
          <cell r="J541" t="str">
            <v>Fiber</v>
          </cell>
          <cell r="L541" t="str">
            <v>Yes</v>
          </cell>
          <cell r="M541" t="str">
            <v>13-24 mo</v>
          </cell>
          <cell r="N541" t="str">
            <v>36-45 yrs</v>
          </cell>
        </row>
        <row r="542">
          <cell r="A542" t="str">
            <v>C1541</v>
          </cell>
          <cell r="E542" t="str">
            <v>Chandigarh</v>
          </cell>
          <cell r="F542" t="str">
            <v>One year</v>
          </cell>
          <cell r="H542">
            <v>849</v>
          </cell>
          <cell r="J542" t="str">
            <v>DSL</v>
          </cell>
          <cell r="L542" t="str">
            <v>No</v>
          </cell>
          <cell r="M542" t="str">
            <v>0-6 mo</v>
          </cell>
          <cell r="N542" t="str">
            <v>36-45 yrs</v>
          </cell>
        </row>
        <row r="543">
          <cell r="A543" t="str">
            <v>C1542</v>
          </cell>
          <cell r="E543" t="str">
            <v>Indore</v>
          </cell>
          <cell r="F543" t="str">
            <v>Two year</v>
          </cell>
          <cell r="H543">
            <v>499</v>
          </cell>
          <cell r="J543" t="str">
            <v>No Internet</v>
          </cell>
          <cell r="L543" t="str">
            <v>No</v>
          </cell>
          <cell r="M543" t="str">
            <v>49+ mo</v>
          </cell>
          <cell r="N543" t="str">
            <v>26-35 yrs</v>
          </cell>
        </row>
        <row r="544">
          <cell r="A544" t="str">
            <v>C1543</v>
          </cell>
          <cell r="E544" t="str">
            <v>Bangalore</v>
          </cell>
          <cell r="F544" t="str">
            <v>Month-to-month</v>
          </cell>
          <cell r="H544">
            <v>899</v>
          </cell>
          <cell r="J544" t="str">
            <v>DSL</v>
          </cell>
          <cell r="L544" t="str">
            <v>No</v>
          </cell>
          <cell r="M544" t="str">
            <v>13-24 mo</v>
          </cell>
          <cell r="N544" t="str">
            <v>26-35 yrs</v>
          </cell>
        </row>
        <row r="545">
          <cell r="A545" t="str">
            <v>C1544</v>
          </cell>
          <cell r="E545" t="str">
            <v>Delhi</v>
          </cell>
          <cell r="F545" t="str">
            <v>Two year</v>
          </cell>
          <cell r="H545">
            <v>1149</v>
          </cell>
          <cell r="J545" t="str">
            <v>Fiber</v>
          </cell>
          <cell r="L545" t="str">
            <v>No</v>
          </cell>
          <cell r="M545" t="str">
            <v>25-48 mo</v>
          </cell>
          <cell r="N545" t="str">
            <v>36-45 yrs</v>
          </cell>
        </row>
        <row r="546">
          <cell r="A546" t="str">
            <v>C1545</v>
          </cell>
          <cell r="E546" t="str">
            <v>Jaipur</v>
          </cell>
          <cell r="F546" t="str">
            <v>Month-to-month</v>
          </cell>
          <cell r="H546">
            <v>349</v>
          </cell>
          <cell r="J546" t="str">
            <v>No Internet</v>
          </cell>
          <cell r="L546" t="str">
            <v>No</v>
          </cell>
          <cell r="M546" t="str">
            <v>0-6 mo</v>
          </cell>
          <cell r="N546" t="str">
            <v>46-60 yrs</v>
          </cell>
        </row>
        <row r="547">
          <cell r="A547" t="str">
            <v>C1546</v>
          </cell>
          <cell r="E547" t="str">
            <v>Pune</v>
          </cell>
          <cell r="F547" t="str">
            <v>Month-to-month</v>
          </cell>
          <cell r="H547">
            <v>799</v>
          </cell>
          <cell r="J547" t="str">
            <v>DSL</v>
          </cell>
          <cell r="L547" t="str">
            <v>No</v>
          </cell>
          <cell r="M547" t="str">
            <v>13-24 mo</v>
          </cell>
          <cell r="N547" t="str">
            <v>60+ yrs</v>
          </cell>
        </row>
        <row r="548">
          <cell r="A548" t="str">
            <v>C1547</v>
          </cell>
          <cell r="E548" t="str">
            <v>Delhi</v>
          </cell>
          <cell r="F548" t="str">
            <v>One year</v>
          </cell>
          <cell r="H548">
            <v>1299</v>
          </cell>
          <cell r="J548" t="str">
            <v>Fiber</v>
          </cell>
          <cell r="L548" t="str">
            <v>No</v>
          </cell>
          <cell r="M548" t="str">
            <v>13-24 mo</v>
          </cell>
          <cell r="N548" t="str">
            <v>26-35 yrs</v>
          </cell>
        </row>
        <row r="549">
          <cell r="A549" t="str">
            <v>C1548</v>
          </cell>
          <cell r="E549" t="str">
            <v>Delhi</v>
          </cell>
          <cell r="F549" t="str">
            <v>One year</v>
          </cell>
          <cell r="H549">
            <v>599</v>
          </cell>
          <cell r="J549" t="str">
            <v>DSL</v>
          </cell>
          <cell r="L549" t="str">
            <v>Yes</v>
          </cell>
          <cell r="M549" t="str">
            <v>25-48 mo</v>
          </cell>
          <cell r="N549" t="str">
            <v>46-60 yrs</v>
          </cell>
        </row>
        <row r="550">
          <cell r="A550" t="str">
            <v>C1549</v>
          </cell>
          <cell r="E550" t="str">
            <v>Lucknow</v>
          </cell>
          <cell r="F550" t="str">
            <v>Month-to-month</v>
          </cell>
          <cell r="H550">
            <v>549</v>
          </cell>
          <cell r="J550" t="str">
            <v>No Internet</v>
          </cell>
          <cell r="L550" t="str">
            <v>Yes</v>
          </cell>
          <cell r="M550" t="str">
            <v>0-6 mo</v>
          </cell>
          <cell r="N550" t="str">
            <v>26-35 yrs</v>
          </cell>
        </row>
        <row r="551">
          <cell r="A551" t="str">
            <v>C1550</v>
          </cell>
          <cell r="E551" t="str">
            <v>Bangalore</v>
          </cell>
          <cell r="F551" t="str">
            <v>Month-to-month</v>
          </cell>
          <cell r="H551">
            <v>1299</v>
          </cell>
          <cell r="J551" t="str">
            <v>Fiber</v>
          </cell>
          <cell r="L551" t="str">
            <v>No</v>
          </cell>
          <cell r="M551" t="str">
            <v>13-24 mo</v>
          </cell>
          <cell r="N551" t="str">
            <v>60+ yrs</v>
          </cell>
        </row>
        <row r="552">
          <cell r="A552" t="str">
            <v>C1551</v>
          </cell>
          <cell r="E552" t="str">
            <v>Bangalore</v>
          </cell>
          <cell r="F552" t="str">
            <v>Two year</v>
          </cell>
          <cell r="H552">
            <v>1099</v>
          </cell>
          <cell r="J552" t="str">
            <v>Fiber</v>
          </cell>
          <cell r="L552" t="str">
            <v>No</v>
          </cell>
          <cell r="M552" t="str">
            <v>49+ mo</v>
          </cell>
          <cell r="N552" t="str">
            <v>60+ yrs</v>
          </cell>
        </row>
        <row r="553">
          <cell r="A553" t="str">
            <v>C1552</v>
          </cell>
          <cell r="E553" t="str">
            <v>Chandigarh</v>
          </cell>
          <cell r="F553" t="str">
            <v>Month-to-month</v>
          </cell>
          <cell r="H553">
            <v>999</v>
          </cell>
          <cell r="J553" t="str">
            <v>Fiber</v>
          </cell>
          <cell r="L553" t="str">
            <v>Yes</v>
          </cell>
          <cell r="M553" t="str">
            <v>0-6 mo</v>
          </cell>
          <cell r="N553" t="str">
            <v>60+ yrs</v>
          </cell>
        </row>
        <row r="554">
          <cell r="A554" t="str">
            <v>C1553</v>
          </cell>
          <cell r="E554" t="str">
            <v>Indore</v>
          </cell>
          <cell r="F554" t="str">
            <v>One year</v>
          </cell>
          <cell r="H554">
            <v>1299</v>
          </cell>
          <cell r="J554" t="str">
            <v>Fiber</v>
          </cell>
          <cell r="L554" t="str">
            <v>Yes</v>
          </cell>
          <cell r="M554" t="str">
            <v>7-12 mo</v>
          </cell>
          <cell r="N554" t="str">
            <v>36-45 yrs</v>
          </cell>
        </row>
        <row r="555">
          <cell r="A555" t="str">
            <v>C1554</v>
          </cell>
          <cell r="E555" t="str">
            <v>Jaipur</v>
          </cell>
          <cell r="F555" t="str">
            <v>One year</v>
          </cell>
          <cell r="H555">
            <v>849</v>
          </cell>
          <cell r="J555" t="str">
            <v>DSL</v>
          </cell>
          <cell r="L555" t="str">
            <v>No</v>
          </cell>
          <cell r="M555" t="str">
            <v>25-48 mo</v>
          </cell>
          <cell r="N555" t="str">
            <v>36-45 yrs</v>
          </cell>
        </row>
        <row r="556">
          <cell r="A556" t="str">
            <v>C1555</v>
          </cell>
          <cell r="E556" t="str">
            <v>Kochi</v>
          </cell>
          <cell r="F556" t="str">
            <v>Month-to-month</v>
          </cell>
          <cell r="H556">
            <v>1299</v>
          </cell>
          <cell r="J556" t="str">
            <v>Fiber</v>
          </cell>
          <cell r="L556" t="str">
            <v>No</v>
          </cell>
          <cell r="M556" t="str">
            <v>13-24 mo</v>
          </cell>
          <cell r="N556" t="str">
            <v>26-35 yrs</v>
          </cell>
        </row>
        <row r="557">
          <cell r="A557" t="str">
            <v>C1556</v>
          </cell>
          <cell r="E557" t="str">
            <v>Bhopal</v>
          </cell>
          <cell r="F557" t="str">
            <v>Two year</v>
          </cell>
          <cell r="H557">
            <v>849</v>
          </cell>
          <cell r="J557" t="str">
            <v>DSL</v>
          </cell>
          <cell r="L557" t="str">
            <v>Yes</v>
          </cell>
          <cell r="M557" t="str">
            <v>0-6 mo</v>
          </cell>
          <cell r="N557" t="str">
            <v>60+ yrs</v>
          </cell>
        </row>
        <row r="558">
          <cell r="A558" t="str">
            <v>C1557</v>
          </cell>
          <cell r="E558" t="str">
            <v>Bhopal</v>
          </cell>
          <cell r="F558" t="str">
            <v>Month-to-month</v>
          </cell>
          <cell r="J558" t="str">
            <v>DSL</v>
          </cell>
          <cell r="L558" t="str">
            <v>No</v>
          </cell>
          <cell r="M558" t="str">
            <v>0-6 mo</v>
          </cell>
          <cell r="N558" t="str">
            <v>26-35 yrs</v>
          </cell>
        </row>
        <row r="559">
          <cell r="A559" t="str">
            <v>C1558</v>
          </cell>
          <cell r="E559" t="str">
            <v>Bhopal</v>
          </cell>
          <cell r="F559" t="str">
            <v>Two year</v>
          </cell>
          <cell r="H559">
            <v>749</v>
          </cell>
          <cell r="J559" t="str">
            <v>DSL</v>
          </cell>
          <cell r="L559" t="str">
            <v>No</v>
          </cell>
          <cell r="M559" t="str">
            <v>13-24 mo</v>
          </cell>
          <cell r="N559" t="str">
            <v>18-25 yrs</v>
          </cell>
        </row>
        <row r="560">
          <cell r="A560" t="str">
            <v>C1559</v>
          </cell>
          <cell r="E560" t="str">
            <v>Ahmedabad</v>
          </cell>
          <cell r="F560" t="str">
            <v>One year</v>
          </cell>
          <cell r="H560">
            <v>699</v>
          </cell>
          <cell r="J560" t="str">
            <v>DSL</v>
          </cell>
          <cell r="L560" t="str">
            <v>No</v>
          </cell>
          <cell r="M560" t="str">
            <v>25-48 mo</v>
          </cell>
          <cell r="N560" t="str">
            <v>46-60 yrs</v>
          </cell>
        </row>
        <row r="561">
          <cell r="A561" t="str">
            <v>C1560</v>
          </cell>
          <cell r="E561" t="str">
            <v>Mumbai</v>
          </cell>
          <cell r="F561" t="str">
            <v>Month-to-month</v>
          </cell>
          <cell r="H561">
            <v>699</v>
          </cell>
          <cell r="J561" t="str">
            <v>DSL</v>
          </cell>
          <cell r="L561" t="str">
            <v>No</v>
          </cell>
          <cell r="M561" t="str">
            <v>13-24 mo</v>
          </cell>
          <cell r="N561" t="str">
            <v>60+ yrs</v>
          </cell>
        </row>
        <row r="562">
          <cell r="A562" t="str">
            <v>C1561</v>
          </cell>
          <cell r="E562" t="str">
            <v>Hyderabad</v>
          </cell>
          <cell r="F562" t="str">
            <v>One year</v>
          </cell>
          <cell r="H562">
            <v>599</v>
          </cell>
          <cell r="J562" t="str">
            <v>DSL</v>
          </cell>
          <cell r="L562" t="str">
            <v>No</v>
          </cell>
          <cell r="M562" t="str">
            <v>25-48 mo</v>
          </cell>
          <cell r="N562" t="str">
            <v>46-60 yrs</v>
          </cell>
        </row>
        <row r="563">
          <cell r="A563" t="str">
            <v>C1562</v>
          </cell>
          <cell r="E563" t="str">
            <v>Mumbai</v>
          </cell>
          <cell r="F563" t="str">
            <v>Month-to-month</v>
          </cell>
          <cell r="H563">
            <v>699</v>
          </cell>
          <cell r="J563" t="str">
            <v>DSL</v>
          </cell>
          <cell r="L563" t="str">
            <v>Yes</v>
          </cell>
          <cell r="M563" t="str">
            <v>13-24 mo</v>
          </cell>
          <cell r="N563" t="str">
            <v>26-35 yrs</v>
          </cell>
        </row>
        <row r="564">
          <cell r="A564" t="str">
            <v>C1563</v>
          </cell>
          <cell r="E564" t="str">
            <v>Kolkata</v>
          </cell>
          <cell r="F564" t="str">
            <v>Month-to-month</v>
          </cell>
          <cell r="H564">
            <v>899</v>
          </cell>
          <cell r="J564" t="str">
            <v>Fiber</v>
          </cell>
          <cell r="L564" t="str">
            <v>No</v>
          </cell>
          <cell r="M564" t="str">
            <v>13-24 mo</v>
          </cell>
          <cell r="N564" t="str">
            <v>46-60 yrs</v>
          </cell>
        </row>
        <row r="565">
          <cell r="A565" t="str">
            <v>C1564</v>
          </cell>
          <cell r="E565" t="str">
            <v>Chandigarh</v>
          </cell>
          <cell r="F565" t="str">
            <v>One year</v>
          </cell>
          <cell r="H565">
            <v>349</v>
          </cell>
          <cell r="J565" t="str">
            <v>Unknown</v>
          </cell>
          <cell r="L565" t="str">
            <v>No</v>
          </cell>
          <cell r="M565" t="str">
            <v>0-6 mo</v>
          </cell>
          <cell r="N565" t="str">
            <v>36-45 yrs</v>
          </cell>
        </row>
        <row r="566">
          <cell r="A566" t="str">
            <v>C1565</v>
          </cell>
          <cell r="E566" t="str">
            <v>Unknown</v>
          </cell>
          <cell r="F566" t="str">
            <v>Month-to-month</v>
          </cell>
          <cell r="H566">
            <v>849</v>
          </cell>
          <cell r="J566" t="str">
            <v>DSL</v>
          </cell>
          <cell r="L566" t="str">
            <v>Yes</v>
          </cell>
          <cell r="M566" t="str">
            <v>0-6 mo</v>
          </cell>
          <cell r="N566" t="str">
            <v>46-60 yrs</v>
          </cell>
        </row>
        <row r="567">
          <cell r="A567" t="str">
            <v>C1566</v>
          </cell>
          <cell r="E567" t="str">
            <v>Kochi</v>
          </cell>
          <cell r="F567" t="str">
            <v>Month-to-month</v>
          </cell>
          <cell r="H567">
            <v>599</v>
          </cell>
          <cell r="J567" t="str">
            <v>DSL</v>
          </cell>
          <cell r="L567" t="str">
            <v>Yes</v>
          </cell>
          <cell r="M567" t="str">
            <v>13-24 mo</v>
          </cell>
          <cell r="N567" t="str">
            <v>60+ yrs</v>
          </cell>
        </row>
        <row r="568">
          <cell r="A568" t="str">
            <v>C1567</v>
          </cell>
          <cell r="E568" t="str">
            <v>Indore</v>
          </cell>
          <cell r="F568" t="str">
            <v>Month-to-month</v>
          </cell>
          <cell r="H568">
            <v>649</v>
          </cell>
          <cell r="J568" t="str">
            <v>DSL</v>
          </cell>
          <cell r="L568" t="str">
            <v>Yes</v>
          </cell>
          <cell r="M568" t="str">
            <v>0-6 mo</v>
          </cell>
          <cell r="N568" t="str">
            <v>18-25 yrs</v>
          </cell>
        </row>
        <row r="569">
          <cell r="A569" t="str">
            <v>C1568</v>
          </cell>
          <cell r="E569" t="str">
            <v>Ahmedabad</v>
          </cell>
          <cell r="F569" t="str">
            <v>Month-to-month</v>
          </cell>
          <cell r="H569">
            <v>449</v>
          </cell>
          <cell r="J569" t="str">
            <v>Unknown</v>
          </cell>
          <cell r="L569" t="str">
            <v>Yes</v>
          </cell>
          <cell r="M569" t="str">
            <v>13-24 mo</v>
          </cell>
          <cell r="N569" t="str">
            <v>36-45 yrs</v>
          </cell>
        </row>
        <row r="570">
          <cell r="A570" t="str">
            <v>C1569</v>
          </cell>
          <cell r="E570" t="str">
            <v>Kochi</v>
          </cell>
          <cell r="F570" t="str">
            <v>One year</v>
          </cell>
          <cell r="H570">
            <v>1199</v>
          </cell>
          <cell r="J570" t="str">
            <v>Fiber</v>
          </cell>
          <cell r="L570" t="str">
            <v>No</v>
          </cell>
          <cell r="M570" t="str">
            <v>25-48 mo</v>
          </cell>
          <cell r="N570" t="str">
            <v>26-35 yrs</v>
          </cell>
        </row>
        <row r="571">
          <cell r="A571" t="str">
            <v>C1570</v>
          </cell>
          <cell r="E571" t="str">
            <v>Delhi</v>
          </cell>
          <cell r="F571" t="str">
            <v>Month-to-month</v>
          </cell>
          <cell r="H571">
            <v>399</v>
          </cell>
          <cell r="J571" t="str">
            <v>No Internet</v>
          </cell>
          <cell r="L571" t="str">
            <v>Yes</v>
          </cell>
          <cell r="M571" t="str">
            <v>0-6 mo</v>
          </cell>
          <cell r="N571" t="str">
            <v>46-60 yrs</v>
          </cell>
        </row>
        <row r="572">
          <cell r="A572" t="str">
            <v>C1571</v>
          </cell>
          <cell r="E572" t="str">
            <v>Lucknow</v>
          </cell>
          <cell r="F572" t="str">
            <v>Month-to-month</v>
          </cell>
          <cell r="H572">
            <v>1099</v>
          </cell>
          <cell r="J572" t="str">
            <v>Fiber</v>
          </cell>
          <cell r="L572" t="str">
            <v>No</v>
          </cell>
          <cell r="M572" t="str">
            <v>0-6 mo</v>
          </cell>
          <cell r="N572" t="str">
            <v>46-60 yrs</v>
          </cell>
        </row>
        <row r="573">
          <cell r="A573" t="str">
            <v>C1572</v>
          </cell>
          <cell r="E573" t="str">
            <v>Kochi</v>
          </cell>
          <cell r="F573" t="str">
            <v>Two year</v>
          </cell>
          <cell r="H573">
            <v>899</v>
          </cell>
          <cell r="J573" t="str">
            <v>Fiber</v>
          </cell>
          <cell r="L573" t="str">
            <v>No</v>
          </cell>
          <cell r="M573" t="str">
            <v>49+ mo</v>
          </cell>
          <cell r="N573" t="str">
            <v>36-45 yrs</v>
          </cell>
        </row>
        <row r="574">
          <cell r="A574" t="str">
            <v>C1573</v>
          </cell>
          <cell r="E574" t="str">
            <v>Pune</v>
          </cell>
          <cell r="F574" t="str">
            <v>Month-to-month</v>
          </cell>
          <cell r="H574">
            <v>649</v>
          </cell>
          <cell r="J574" t="str">
            <v>DSL</v>
          </cell>
          <cell r="L574" t="str">
            <v>No</v>
          </cell>
          <cell r="M574" t="str">
            <v>13-24 mo</v>
          </cell>
          <cell r="N574" t="str">
            <v>26-35 yrs</v>
          </cell>
        </row>
        <row r="575">
          <cell r="A575" t="str">
            <v>C1574</v>
          </cell>
          <cell r="E575" t="str">
            <v>Mumbai</v>
          </cell>
          <cell r="F575" t="str">
            <v>One year</v>
          </cell>
          <cell r="H575">
            <v>999</v>
          </cell>
          <cell r="J575" t="str">
            <v>Fiber</v>
          </cell>
          <cell r="L575" t="str">
            <v>No</v>
          </cell>
          <cell r="M575" t="str">
            <v>25-48 mo</v>
          </cell>
          <cell r="N575" t="str">
            <v>26-35 yrs</v>
          </cell>
        </row>
        <row r="576">
          <cell r="A576" t="str">
            <v>C1575</v>
          </cell>
          <cell r="E576" t="str">
            <v>Bhopal</v>
          </cell>
          <cell r="F576" t="str">
            <v>One year</v>
          </cell>
          <cell r="H576">
            <v>499</v>
          </cell>
          <cell r="J576" t="str">
            <v>No Internet</v>
          </cell>
          <cell r="L576" t="str">
            <v>No</v>
          </cell>
          <cell r="M576" t="str">
            <v>25-48 mo</v>
          </cell>
          <cell r="N576" t="str">
            <v>18-25 yrs</v>
          </cell>
        </row>
        <row r="577">
          <cell r="A577" t="str">
            <v>C1576</v>
          </cell>
          <cell r="E577" t="str">
            <v>Kolkata</v>
          </cell>
          <cell r="F577" t="str">
            <v>Month-to-month</v>
          </cell>
          <cell r="H577">
            <v>599</v>
          </cell>
          <cell r="J577" t="str">
            <v>DSL</v>
          </cell>
          <cell r="L577" t="str">
            <v>No</v>
          </cell>
          <cell r="M577" t="str">
            <v>13-24 mo</v>
          </cell>
          <cell r="N577" t="str">
            <v>46-60 yrs</v>
          </cell>
        </row>
        <row r="578">
          <cell r="A578" t="str">
            <v>C1577</v>
          </cell>
          <cell r="E578" t="str">
            <v>Delhi</v>
          </cell>
          <cell r="F578" t="str">
            <v>One year</v>
          </cell>
          <cell r="H578">
            <v>599</v>
          </cell>
          <cell r="J578" t="str">
            <v>DSL</v>
          </cell>
          <cell r="L578" t="str">
            <v>No</v>
          </cell>
          <cell r="M578" t="str">
            <v>25-48 mo</v>
          </cell>
          <cell r="N578" t="str">
            <v>36-45 yrs</v>
          </cell>
        </row>
        <row r="579">
          <cell r="A579" t="str">
            <v>C1578</v>
          </cell>
          <cell r="E579" t="str">
            <v>Hyderabad</v>
          </cell>
          <cell r="F579" t="str">
            <v>Month-to-month</v>
          </cell>
          <cell r="H579">
            <v>849</v>
          </cell>
          <cell r="J579" t="str">
            <v>DSL</v>
          </cell>
          <cell r="L579" t="str">
            <v>Yes</v>
          </cell>
          <cell r="M579" t="str">
            <v>0-6 mo</v>
          </cell>
          <cell r="N579" t="str">
            <v>46-60 yrs</v>
          </cell>
        </row>
        <row r="580">
          <cell r="A580" t="str">
            <v>C1579</v>
          </cell>
          <cell r="E580" t="str">
            <v>Chennai</v>
          </cell>
          <cell r="F580" t="str">
            <v>Month-to-month</v>
          </cell>
          <cell r="H580">
            <v>899</v>
          </cell>
          <cell r="J580" t="str">
            <v>DSL</v>
          </cell>
          <cell r="L580" t="str">
            <v>Yes</v>
          </cell>
          <cell r="M580" t="str">
            <v>13-24 mo</v>
          </cell>
          <cell r="N580" t="str">
            <v>36-45 yrs</v>
          </cell>
        </row>
        <row r="581">
          <cell r="A581" t="str">
            <v>C1580</v>
          </cell>
          <cell r="E581" t="str">
            <v>Kochi</v>
          </cell>
          <cell r="F581" t="str">
            <v>Month-to-month</v>
          </cell>
          <cell r="H581">
            <v>1199</v>
          </cell>
          <cell r="J581" t="str">
            <v>Fiber</v>
          </cell>
          <cell r="L581" t="str">
            <v>Yes</v>
          </cell>
          <cell r="M581" t="str">
            <v>0-6 mo</v>
          </cell>
          <cell r="N581" t="str">
            <v>26-35 yrs</v>
          </cell>
        </row>
        <row r="582">
          <cell r="A582" t="str">
            <v>C1581</v>
          </cell>
          <cell r="E582" t="str">
            <v>Pune</v>
          </cell>
          <cell r="F582" t="str">
            <v>Month-to-month</v>
          </cell>
          <cell r="H582">
            <v>599</v>
          </cell>
          <cell r="J582" t="str">
            <v>DSL</v>
          </cell>
          <cell r="L582" t="str">
            <v>No</v>
          </cell>
          <cell r="M582" t="str">
            <v>7-12 mo</v>
          </cell>
          <cell r="N582" t="str">
            <v>60+ yrs</v>
          </cell>
        </row>
        <row r="583">
          <cell r="A583" t="str">
            <v>C1582</v>
          </cell>
          <cell r="E583" t="str">
            <v>Ahmedabad</v>
          </cell>
          <cell r="F583" t="str">
            <v>Month-to-month</v>
          </cell>
          <cell r="H583">
            <v>1099</v>
          </cell>
          <cell r="J583" t="str">
            <v>Fiber</v>
          </cell>
          <cell r="L583" t="str">
            <v>Yes</v>
          </cell>
          <cell r="M583" t="str">
            <v>7-12 mo</v>
          </cell>
          <cell r="N583" t="str">
            <v>46-60 yrs</v>
          </cell>
        </row>
        <row r="584">
          <cell r="A584" t="str">
            <v>C1583</v>
          </cell>
          <cell r="E584" t="str">
            <v>Chennai</v>
          </cell>
          <cell r="F584" t="str">
            <v>Month-to-month</v>
          </cell>
          <cell r="H584">
            <v>799</v>
          </cell>
          <cell r="J584" t="str">
            <v>DSL</v>
          </cell>
          <cell r="L584" t="str">
            <v>Yes</v>
          </cell>
          <cell r="M584" t="str">
            <v>13-24 mo</v>
          </cell>
          <cell r="N584" t="str">
            <v>36-45 yrs</v>
          </cell>
        </row>
        <row r="585">
          <cell r="A585" t="str">
            <v>C1584</v>
          </cell>
          <cell r="E585" t="str">
            <v>Kochi</v>
          </cell>
          <cell r="F585" t="str">
            <v>Month-to-month</v>
          </cell>
          <cell r="H585">
            <v>549</v>
          </cell>
          <cell r="J585" t="str">
            <v>No Internet</v>
          </cell>
          <cell r="L585" t="str">
            <v>No</v>
          </cell>
          <cell r="M585" t="str">
            <v>13-24 mo</v>
          </cell>
          <cell r="N585" t="str">
            <v>26-35 yrs</v>
          </cell>
        </row>
        <row r="586">
          <cell r="A586" t="str">
            <v>C1585</v>
          </cell>
          <cell r="E586" t="str">
            <v>Jaipur</v>
          </cell>
          <cell r="F586" t="str">
            <v>Month-to-month</v>
          </cell>
          <cell r="H586">
            <v>499</v>
          </cell>
          <cell r="J586" t="str">
            <v>No Internet</v>
          </cell>
          <cell r="L586" t="str">
            <v>Yes</v>
          </cell>
          <cell r="M586" t="str">
            <v>13-24 mo</v>
          </cell>
          <cell r="N586" t="str">
            <v>60+ yrs</v>
          </cell>
        </row>
        <row r="587">
          <cell r="A587" t="str">
            <v>C1586</v>
          </cell>
          <cell r="E587" t="str">
            <v>Kolkata</v>
          </cell>
          <cell r="F587" t="str">
            <v>One year</v>
          </cell>
          <cell r="H587">
            <v>349</v>
          </cell>
          <cell r="J587" t="str">
            <v>No Internet</v>
          </cell>
          <cell r="L587" t="str">
            <v>No</v>
          </cell>
          <cell r="M587" t="str">
            <v>25-48 mo</v>
          </cell>
          <cell r="N587" t="str">
            <v>36-45 yrs</v>
          </cell>
        </row>
        <row r="588">
          <cell r="A588" t="str">
            <v>C1587</v>
          </cell>
          <cell r="E588" t="str">
            <v>Jaipur</v>
          </cell>
          <cell r="F588" t="str">
            <v>Month-to-month</v>
          </cell>
          <cell r="H588">
            <v>1299</v>
          </cell>
          <cell r="J588" t="str">
            <v>Fiber</v>
          </cell>
          <cell r="L588" t="str">
            <v>Yes</v>
          </cell>
          <cell r="M588" t="str">
            <v>13-24 mo</v>
          </cell>
          <cell r="N588" t="str">
            <v>60+ yrs</v>
          </cell>
        </row>
        <row r="589">
          <cell r="A589" t="str">
            <v>C1588</v>
          </cell>
          <cell r="E589" t="str">
            <v>Bhopal</v>
          </cell>
          <cell r="F589" t="str">
            <v>Month-to-month</v>
          </cell>
          <cell r="H589">
            <v>699</v>
          </cell>
          <cell r="J589" t="str">
            <v>DSL</v>
          </cell>
          <cell r="L589" t="str">
            <v>Yes</v>
          </cell>
          <cell r="M589" t="str">
            <v>7-12 mo</v>
          </cell>
          <cell r="N589" t="str">
            <v>60+ yrs</v>
          </cell>
        </row>
        <row r="590">
          <cell r="A590" t="str">
            <v>C1589</v>
          </cell>
          <cell r="E590" t="str">
            <v>Chandigarh</v>
          </cell>
          <cell r="F590" t="str">
            <v>One year</v>
          </cell>
          <cell r="H590">
            <v>1299</v>
          </cell>
          <cell r="J590" t="str">
            <v>Fiber</v>
          </cell>
          <cell r="L590" t="str">
            <v>No</v>
          </cell>
          <cell r="M590" t="str">
            <v>25-48 mo</v>
          </cell>
          <cell r="N590" t="str">
            <v>46-60 yrs</v>
          </cell>
        </row>
        <row r="591">
          <cell r="A591" t="str">
            <v>C1590</v>
          </cell>
          <cell r="E591" t="str">
            <v>Unknown</v>
          </cell>
          <cell r="F591" t="str">
            <v>One year</v>
          </cell>
          <cell r="H591">
            <v>449</v>
          </cell>
          <cell r="J591" t="str">
            <v>No Internet</v>
          </cell>
          <cell r="L591" t="str">
            <v>No</v>
          </cell>
          <cell r="M591" t="str">
            <v>0-6 mo</v>
          </cell>
          <cell r="N591" t="str">
            <v>46-60 yrs</v>
          </cell>
        </row>
        <row r="592">
          <cell r="A592" t="str">
            <v>C1591</v>
          </cell>
          <cell r="E592" t="str">
            <v>Jaipur</v>
          </cell>
          <cell r="F592" t="str">
            <v>One year</v>
          </cell>
          <cell r="H592">
            <v>799</v>
          </cell>
          <cell r="J592" t="str">
            <v>DSL</v>
          </cell>
          <cell r="L592" t="str">
            <v>No</v>
          </cell>
          <cell r="M592" t="str">
            <v>0-6 mo</v>
          </cell>
          <cell r="N592" t="str">
            <v>46-60 yrs</v>
          </cell>
        </row>
        <row r="593">
          <cell r="A593" t="str">
            <v>C1592</v>
          </cell>
          <cell r="E593" t="str">
            <v>Pune</v>
          </cell>
          <cell r="F593" t="str">
            <v>Month-to-month</v>
          </cell>
          <cell r="H593">
            <v>649</v>
          </cell>
          <cell r="J593" t="str">
            <v>DSL</v>
          </cell>
          <cell r="L593" t="str">
            <v>No</v>
          </cell>
          <cell r="M593" t="str">
            <v>7-12 mo</v>
          </cell>
          <cell r="N593" t="str">
            <v>36-45 yrs</v>
          </cell>
        </row>
        <row r="594">
          <cell r="A594" t="str">
            <v>C1593</v>
          </cell>
          <cell r="E594" t="str">
            <v>Jaipur</v>
          </cell>
          <cell r="F594" t="str">
            <v>Unknown</v>
          </cell>
          <cell r="H594">
            <v>1199</v>
          </cell>
          <cell r="J594" t="str">
            <v>Fiber</v>
          </cell>
          <cell r="L594" t="str">
            <v>No</v>
          </cell>
          <cell r="M594" t="str">
            <v>13-24 mo</v>
          </cell>
          <cell r="N594" t="str">
            <v>26-35 yrs</v>
          </cell>
        </row>
        <row r="595">
          <cell r="A595" t="str">
            <v>C1594</v>
          </cell>
          <cell r="E595" t="str">
            <v>Chennai</v>
          </cell>
          <cell r="F595" t="str">
            <v>Month-to-month</v>
          </cell>
          <cell r="H595">
            <v>1049</v>
          </cell>
          <cell r="J595" t="str">
            <v>Fiber</v>
          </cell>
          <cell r="L595" t="str">
            <v>Yes</v>
          </cell>
          <cell r="M595" t="str">
            <v>0-6 mo</v>
          </cell>
          <cell r="N595" t="str">
            <v>60+ yrs</v>
          </cell>
        </row>
        <row r="596">
          <cell r="A596" t="str">
            <v>C1595</v>
          </cell>
          <cell r="E596" t="str">
            <v>Indore</v>
          </cell>
          <cell r="F596" t="str">
            <v>Two year</v>
          </cell>
          <cell r="H596">
            <v>349</v>
          </cell>
          <cell r="J596" t="str">
            <v>No Internet</v>
          </cell>
          <cell r="L596" t="str">
            <v>No</v>
          </cell>
          <cell r="M596" t="str">
            <v>49+ mo</v>
          </cell>
          <cell r="N596" t="str">
            <v>46-60 yrs</v>
          </cell>
        </row>
        <row r="597">
          <cell r="A597" t="str">
            <v>C1596</v>
          </cell>
          <cell r="E597" t="str">
            <v>Bangalore</v>
          </cell>
          <cell r="F597" t="str">
            <v>Month-to-month</v>
          </cell>
          <cell r="H597">
            <v>349</v>
          </cell>
          <cell r="J597" t="str">
            <v>No Internet</v>
          </cell>
          <cell r="L597" t="str">
            <v>No</v>
          </cell>
          <cell r="M597" t="str">
            <v>0-6 mo</v>
          </cell>
          <cell r="N597" t="str">
            <v>36-45 yrs</v>
          </cell>
        </row>
        <row r="598">
          <cell r="A598" t="str">
            <v>C1597</v>
          </cell>
          <cell r="E598" t="str">
            <v>Delhi</v>
          </cell>
          <cell r="F598" t="str">
            <v>Month-to-month</v>
          </cell>
          <cell r="J598" t="str">
            <v>No Internet</v>
          </cell>
          <cell r="L598" t="str">
            <v>No</v>
          </cell>
          <cell r="M598" t="str">
            <v>13-24 mo</v>
          </cell>
          <cell r="N598" t="str">
            <v>46-60 yrs</v>
          </cell>
        </row>
        <row r="599">
          <cell r="A599" t="str">
            <v>C1598</v>
          </cell>
          <cell r="E599" t="str">
            <v>Unknown</v>
          </cell>
          <cell r="F599" t="str">
            <v>Two year</v>
          </cell>
          <cell r="H599">
            <v>849</v>
          </cell>
          <cell r="J599" t="str">
            <v>DSL</v>
          </cell>
          <cell r="L599" t="str">
            <v>No</v>
          </cell>
          <cell r="M599" t="str">
            <v>49+ mo</v>
          </cell>
          <cell r="N599" t="str">
            <v>18-25 yrs</v>
          </cell>
        </row>
        <row r="600">
          <cell r="A600" t="str">
            <v>C1599</v>
          </cell>
          <cell r="E600" t="str">
            <v>Bhopal</v>
          </cell>
          <cell r="F600" t="str">
            <v>Month-to-month</v>
          </cell>
          <cell r="H600">
            <v>1149</v>
          </cell>
          <cell r="J600" t="str">
            <v>Fiber</v>
          </cell>
          <cell r="L600" t="str">
            <v>No</v>
          </cell>
          <cell r="M600" t="str">
            <v>13-24 mo</v>
          </cell>
          <cell r="N600" t="str">
            <v>46-60 yrs</v>
          </cell>
        </row>
        <row r="601">
          <cell r="A601" t="str">
            <v>C1600</v>
          </cell>
          <cell r="E601" t="str">
            <v>Pune</v>
          </cell>
          <cell r="F601" t="str">
            <v>Two year</v>
          </cell>
          <cell r="H601">
            <v>1049</v>
          </cell>
          <cell r="J601" t="str">
            <v>Fiber</v>
          </cell>
          <cell r="L601" t="str">
            <v>No</v>
          </cell>
          <cell r="M601" t="str">
            <v>7-12 mo</v>
          </cell>
          <cell r="N601" t="str">
            <v>46-60 yrs</v>
          </cell>
        </row>
        <row r="602">
          <cell r="A602" t="str">
            <v>C1601</v>
          </cell>
          <cell r="E602" t="str">
            <v>Bangalore</v>
          </cell>
          <cell r="F602" t="str">
            <v>Two year</v>
          </cell>
          <cell r="H602">
            <v>999</v>
          </cell>
          <cell r="J602" t="str">
            <v>Fiber</v>
          </cell>
          <cell r="L602" t="str">
            <v>Yes</v>
          </cell>
          <cell r="M602" t="str">
            <v>13-24 mo</v>
          </cell>
          <cell r="N602" t="str">
            <v>26-35 yrs</v>
          </cell>
        </row>
        <row r="603">
          <cell r="A603" t="str">
            <v>C1602</v>
          </cell>
          <cell r="E603" t="str">
            <v>Bangalore</v>
          </cell>
          <cell r="F603" t="str">
            <v>Month-to-month</v>
          </cell>
          <cell r="H603">
            <v>1049</v>
          </cell>
          <cell r="J603" t="str">
            <v>Fiber</v>
          </cell>
          <cell r="L603" t="str">
            <v>Yes</v>
          </cell>
          <cell r="M603" t="str">
            <v>13-24 mo</v>
          </cell>
          <cell r="N603" t="str">
            <v>36-45 yrs</v>
          </cell>
        </row>
        <row r="604">
          <cell r="A604" t="str">
            <v>C1603</v>
          </cell>
          <cell r="E604" t="str">
            <v>Delhi</v>
          </cell>
          <cell r="F604" t="str">
            <v>Month-to-month</v>
          </cell>
          <cell r="H604">
            <v>1049</v>
          </cell>
          <cell r="J604" t="str">
            <v>Fiber</v>
          </cell>
          <cell r="L604" t="str">
            <v>Yes</v>
          </cell>
          <cell r="M604" t="str">
            <v>0-6 mo</v>
          </cell>
          <cell r="N604" t="str">
            <v>18-25 yrs</v>
          </cell>
        </row>
        <row r="605">
          <cell r="A605" t="str">
            <v>C1604</v>
          </cell>
          <cell r="E605" t="str">
            <v>Chennai</v>
          </cell>
          <cell r="F605" t="str">
            <v>Two year</v>
          </cell>
          <cell r="H605">
            <v>1149</v>
          </cell>
          <cell r="J605" t="str">
            <v>Fiber</v>
          </cell>
          <cell r="L605" t="str">
            <v>No</v>
          </cell>
          <cell r="M605" t="str">
            <v>13-24 mo</v>
          </cell>
          <cell r="N605" t="str">
            <v>60+ yrs</v>
          </cell>
        </row>
        <row r="606">
          <cell r="A606" t="str">
            <v>C1605</v>
          </cell>
          <cell r="E606" t="str">
            <v>Jaipur</v>
          </cell>
          <cell r="F606" t="str">
            <v>Month-to-month</v>
          </cell>
          <cell r="H606">
            <v>899</v>
          </cell>
          <cell r="J606" t="str">
            <v>DSL</v>
          </cell>
          <cell r="L606" t="str">
            <v>Yes</v>
          </cell>
          <cell r="M606" t="str">
            <v>13-24 mo</v>
          </cell>
          <cell r="N606" t="str">
            <v>60+ yrs</v>
          </cell>
        </row>
        <row r="607">
          <cell r="A607" t="str">
            <v>C1606</v>
          </cell>
          <cell r="E607" t="str">
            <v>Lucknow</v>
          </cell>
          <cell r="F607" t="str">
            <v>Month-to-month</v>
          </cell>
          <cell r="H607">
            <v>899</v>
          </cell>
          <cell r="J607" t="str">
            <v>Fiber</v>
          </cell>
          <cell r="L607" t="str">
            <v>No</v>
          </cell>
          <cell r="M607" t="str">
            <v>7-12 mo</v>
          </cell>
          <cell r="N607" t="str">
            <v>26-35 yrs</v>
          </cell>
        </row>
        <row r="608">
          <cell r="A608" t="str">
            <v>C1607</v>
          </cell>
          <cell r="E608" t="str">
            <v>Ahmedabad</v>
          </cell>
          <cell r="F608" t="str">
            <v>Month-to-month</v>
          </cell>
          <cell r="H608">
            <v>1049</v>
          </cell>
          <cell r="J608" t="str">
            <v>Fiber</v>
          </cell>
          <cell r="L608" t="str">
            <v>Yes</v>
          </cell>
          <cell r="M608" t="str">
            <v>0-6 mo</v>
          </cell>
          <cell r="N608" t="str">
            <v>26-35 yrs</v>
          </cell>
        </row>
        <row r="609">
          <cell r="A609" t="str">
            <v>C1608</v>
          </cell>
          <cell r="E609" t="str">
            <v>Delhi</v>
          </cell>
          <cell r="F609" t="str">
            <v>Month-to-month</v>
          </cell>
          <cell r="H609">
            <v>1149</v>
          </cell>
          <cell r="J609" t="str">
            <v>Fiber</v>
          </cell>
          <cell r="L609" t="str">
            <v>Yes</v>
          </cell>
          <cell r="M609" t="str">
            <v>13-24 mo</v>
          </cell>
          <cell r="N609" t="str">
            <v>36-45 yrs</v>
          </cell>
        </row>
        <row r="610">
          <cell r="A610" t="str">
            <v>C1609</v>
          </cell>
          <cell r="E610" t="str">
            <v>Bangalore</v>
          </cell>
          <cell r="F610" t="str">
            <v>Two year</v>
          </cell>
          <cell r="H610">
            <v>399</v>
          </cell>
          <cell r="J610" t="str">
            <v>No Internet</v>
          </cell>
          <cell r="L610" t="str">
            <v>No</v>
          </cell>
          <cell r="M610" t="str">
            <v>49+ mo</v>
          </cell>
          <cell r="N610" t="str">
            <v>36-45 yrs</v>
          </cell>
        </row>
        <row r="611">
          <cell r="A611" t="str">
            <v>C1610</v>
          </cell>
          <cell r="E611" t="str">
            <v>Ahmedabad</v>
          </cell>
          <cell r="F611" t="str">
            <v>Two year</v>
          </cell>
          <cell r="H611">
            <v>1149</v>
          </cell>
          <cell r="J611" t="str">
            <v>Fiber</v>
          </cell>
          <cell r="L611" t="str">
            <v>Yes</v>
          </cell>
          <cell r="M611" t="str">
            <v>25-48 mo</v>
          </cell>
          <cell r="N611" t="str">
            <v>36-45 yrs</v>
          </cell>
        </row>
        <row r="612">
          <cell r="A612" t="str">
            <v>C1611</v>
          </cell>
          <cell r="E612" t="str">
            <v>Ahmedabad</v>
          </cell>
          <cell r="F612" t="str">
            <v>One year</v>
          </cell>
          <cell r="H612">
            <v>999</v>
          </cell>
          <cell r="J612" t="str">
            <v>Fiber</v>
          </cell>
          <cell r="L612" t="str">
            <v>No</v>
          </cell>
          <cell r="M612" t="str">
            <v>7-12 mo</v>
          </cell>
          <cell r="N612" t="str">
            <v>46-60 yrs</v>
          </cell>
        </row>
        <row r="613">
          <cell r="A613" t="str">
            <v>C1612</v>
          </cell>
          <cell r="E613" t="str">
            <v>Ahmedabad</v>
          </cell>
          <cell r="F613" t="str">
            <v>One year</v>
          </cell>
          <cell r="H613">
            <v>899</v>
          </cell>
          <cell r="J613" t="str">
            <v>Fiber</v>
          </cell>
          <cell r="L613" t="str">
            <v>Yes</v>
          </cell>
          <cell r="M613" t="str">
            <v>0-6 mo</v>
          </cell>
          <cell r="N613" t="str">
            <v>36-45 yrs</v>
          </cell>
        </row>
        <row r="614">
          <cell r="A614" t="str">
            <v>C1613</v>
          </cell>
          <cell r="E614" t="str">
            <v>Chennai</v>
          </cell>
          <cell r="F614" t="str">
            <v>Month-to-month</v>
          </cell>
          <cell r="H614">
            <v>999</v>
          </cell>
          <cell r="J614" t="str">
            <v>Fiber</v>
          </cell>
          <cell r="L614" t="str">
            <v>Yes</v>
          </cell>
          <cell r="M614" t="str">
            <v>13-24 mo</v>
          </cell>
          <cell r="N614" t="str">
            <v>46-60 yrs</v>
          </cell>
        </row>
        <row r="615">
          <cell r="A615" t="str">
            <v>C1614</v>
          </cell>
          <cell r="E615" t="str">
            <v>Pune</v>
          </cell>
          <cell r="F615" t="str">
            <v>One year</v>
          </cell>
          <cell r="H615">
            <v>1199</v>
          </cell>
          <cell r="J615" t="str">
            <v>Fiber</v>
          </cell>
          <cell r="L615" t="str">
            <v>No</v>
          </cell>
          <cell r="M615" t="str">
            <v>13-24 mo</v>
          </cell>
          <cell r="N615" t="str">
            <v>60+ yrs</v>
          </cell>
        </row>
        <row r="616">
          <cell r="A616" t="str">
            <v>C1615</v>
          </cell>
          <cell r="E616" t="str">
            <v>Lucknow</v>
          </cell>
          <cell r="F616" t="str">
            <v>Month-to-month</v>
          </cell>
          <cell r="H616">
            <v>599</v>
          </cell>
          <cell r="J616" t="str">
            <v>DSL</v>
          </cell>
          <cell r="L616" t="str">
            <v>No</v>
          </cell>
          <cell r="M616" t="str">
            <v>13-24 mo</v>
          </cell>
          <cell r="N616" t="str">
            <v>46-60 yrs</v>
          </cell>
        </row>
        <row r="617">
          <cell r="A617" t="str">
            <v>C1616</v>
          </cell>
          <cell r="E617" t="str">
            <v>Chennai</v>
          </cell>
          <cell r="F617" t="str">
            <v>Month-to-month</v>
          </cell>
          <cell r="H617">
            <v>1049</v>
          </cell>
          <cell r="J617" t="str">
            <v>Fiber</v>
          </cell>
          <cell r="L617" t="str">
            <v>No</v>
          </cell>
          <cell r="M617" t="str">
            <v>7-12 mo</v>
          </cell>
          <cell r="N617" t="str">
            <v>18-25 yrs</v>
          </cell>
        </row>
        <row r="618">
          <cell r="A618" t="str">
            <v>C1617</v>
          </cell>
          <cell r="E618" t="str">
            <v>Indore</v>
          </cell>
          <cell r="F618" t="str">
            <v>Month-to-month</v>
          </cell>
          <cell r="H618">
            <v>799</v>
          </cell>
          <cell r="J618" t="str">
            <v>DSL</v>
          </cell>
          <cell r="L618" t="str">
            <v>No</v>
          </cell>
          <cell r="M618" t="str">
            <v>0-6 mo</v>
          </cell>
          <cell r="N618" t="str">
            <v>60+ yrs</v>
          </cell>
        </row>
        <row r="619">
          <cell r="A619" t="str">
            <v>C1618</v>
          </cell>
          <cell r="E619" t="str">
            <v>Bhopal</v>
          </cell>
          <cell r="F619" t="str">
            <v>Month-to-month</v>
          </cell>
          <cell r="H619">
            <v>999</v>
          </cell>
          <cell r="J619" t="str">
            <v>Fiber</v>
          </cell>
          <cell r="L619" t="str">
            <v>Yes</v>
          </cell>
          <cell r="M619" t="str">
            <v>7-12 mo</v>
          </cell>
          <cell r="N619" t="str">
            <v>60+ yrs</v>
          </cell>
        </row>
        <row r="620">
          <cell r="A620" t="str">
            <v>C1619</v>
          </cell>
          <cell r="E620" t="str">
            <v>Bangalore</v>
          </cell>
          <cell r="F620" t="str">
            <v>Month-to-month</v>
          </cell>
          <cell r="H620">
            <v>899</v>
          </cell>
          <cell r="J620" t="str">
            <v>DSL</v>
          </cell>
          <cell r="L620" t="str">
            <v>No</v>
          </cell>
          <cell r="M620" t="str">
            <v>7-12 mo</v>
          </cell>
          <cell r="N620" t="str">
            <v>36-45 yrs</v>
          </cell>
        </row>
        <row r="621">
          <cell r="A621" t="str">
            <v>C1620</v>
          </cell>
          <cell r="E621" t="str">
            <v>Mumbai</v>
          </cell>
          <cell r="F621" t="str">
            <v>Two year</v>
          </cell>
          <cell r="H621">
            <v>449</v>
          </cell>
          <cell r="J621" t="str">
            <v>No Internet</v>
          </cell>
          <cell r="L621" t="str">
            <v>No</v>
          </cell>
          <cell r="M621" t="str">
            <v>49+ mo</v>
          </cell>
          <cell r="N621" t="str">
            <v>18-25 yrs</v>
          </cell>
        </row>
        <row r="622">
          <cell r="A622" t="str">
            <v>C1621</v>
          </cell>
          <cell r="E622" t="str">
            <v>Delhi</v>
          </cell>
          <cell r="F622" t="str">
            <v>One year</v>
          </cell>
          <cell r="H622">
            <v>899</v>
          </cell>
          <cell r="J622" t="str">
            <v>DSL</v>
          </cell>
          <cell r="L622" t="str">
            <v>No</v>
          </cell>
          <cell r="M622" t="str">
            <v>7-12 mo</v>
          </cell>
          <cell r="N622" t="str">
            <v>36-45 yrs</v>
          </cell>
        </row>
        <row r="623">
          <cell r="A623" t="str">
            <v>C1622</v>
          </cell>
          <cell r="E623" t="str">
            <v>Kolkata</v>
          </cell>
          <cell r="F623" t="str">
            <v>One year</v>
          </cell>
          <cell r="H623">
            <v>1299</v>
          </cell>
          <cell r="J623" t="str">
            <v>Unknown</v>
          </cell>
          <cell r="L623" t="str">
            <v>No</v>
          </cell>
          <cell r="M623" t="str">
            <v>0-6 mo</v>
          </cell>
          <cell r="N623" t="str">
            <v>18-25 yrs</v>
          </cell>
        </row>
        <row r="624">
          <cell r="A624" t="str">
            <v>C1623</v>
          </cell>
          <cell r="E624" t="str">
            <v>Indore</v>
          </cell>
          <cell r="F624" t="str">
            <v>Month-to-month</v>
          </cell>
          <cell r="H624">
            <v>699</v>
          </cell>
          <cell r="J624" t="str">
            <v>DSL</v>
          </cell>
          <cell r="L624" t="str">
            <v>Yes</v>
          </cell>
          <cell r="M624" t="str">
            <v>0-6 mo</v>
          </cell>
          <cell r="N624" t="str">
            <v>60+ yrs</v>
          </cell>
        </row>
        <row r="625">
          <cell r="A625" t="str">
            <v>C1624</v>
          </cell>
          <cell r="E625" t="str">
            <v>Lucknow</v>
          </cell>
          <cell r="F625" t="str">
            <v>Two year</v>
          </cell>
          <cell r="H625">
            <v>599</v>
          </cell>
          <cell r="J625" t="str">
            <v>DSL</v>
          </cell>
          <cell r="L625" t="str">
            <v>No</v>
          </cell>
          <cell r="M625" t="str">
            <v>25-48 mo</v>
          </cell>
          <cell r="N625" t="str">
            <v>26-35 yrs</v>
          </cell>
        </row>
        <row r="626">
          <cell r="A626" t="str">
            <v>C1625</v>
          </cell>
          <cell r="E626" t="str">
            <v>Jaipur</v>
          </cell>
          <cell r="F626" t="str">
            <v>One year</v>
          </cell>
          <cell r="H626">
            <v>899</v>
          </cell>
          <cell r="J626" t="str">
            <v>Fiber</v>
          </cell>
          <cell r="L626" t="str">
            <v>No</v>
          </cell>
          <cell r="M626" t="str">
            <v>25-48 mo</v>
          </cell>
          <cell r="N626" t="str">
            <v>60+ yrs</v>
          </cell>
        </row>
        <row r="627">
          <cell r="A627" t="str">
            <v>C1626</v>
          </cell>
          <cell r="E627" t="str">
            <v>Hyderabad</v>
          </cell>
          <cell r="F627" t="str">
            <v>Two year</v>
          </cell>
          <cell r="H627">
            <v>599</v>
          </cell>
          <cell r="J627" t="str">
            <v>DSL</v>
          </cell>
          <cell r="L627" t="str">
            <v>No</v>
          </cell>
          <cell r="M627" t="str">
            <v>49+ mo</v>
          </cell>
          <cell r="N627" t="str">
            <v>60+ yrs</v>
          </cell>
        </row>
        <row r="628">
          <cell r="A628" t="str">
            <v>C1627</v>
          </cell>
          <cell r="E628" t="str">
            <v>Bangalore</v>
          </cell>
          <cell r="F628" t="str">
            <v>Month-to-month</v>
          </cell>
          <cell r="H628">
            <v>499</v>
          </cell>
          <cell r="J628" t="str">
            <v>No Internet</v>
          </cell>
          <cell r="L628" t="str">
            <v>No</v>
          </cell>
          <cell r="M628" t="str">
            <v>0-6 mo</v>
          </cell>
          <cell r="N628" t="str">
            <v>46-60 yrs</v>
          </cell>
        </row>
        <row r="629">
          <cell r="A629" t="str">
            <v>C1628</v>
          </cell>
          <cell r="E629" t="str">
            <v>Pune</v>
          </cell>
          <cell r="F629" t="str">
            <v>Month-to-month</v>
          </cell>
          <cell r="H629">
            <v>749</v>
          </cell>
          <cell r="J629" t="str">
            <v>DSL</v>
          </cell>
          <cell r="L629" t="str">
            <v>No</v>
          </cell>
          <cell r="M629" t="str">
            <v>0-6 mo</v>
          </cell>
          <cell r="N629" t="str">
            <v>60+ yrs</v>
          </cell>
        </row>
        <row r="630">
          <cell r="A630" t="str">
            <v>C1629</v>
          </cell>
          <cell r="E630" t="str">
            <v>Mumbai</v>
          </cell>
          <cell r="F630" t="str">
            <v>Month-to-month</v>
          </cell>
          <cell r="H630">
            <v>1199</v>
          </cell>
          <cell r="J630" t="str">
            <v>Fiber</v>
          </cell>
          <cell r="L630" t="str">
            <v>Yes</v>
          </cell>
          <cell r="M630" t="str">
            <v>13-24 mo</v>
          </cell>
          <cell r="N630" t="str">
            <v>46-60 yrs</v>
          </cell>
        </row>
        <row r="631">
          <cell r="A631" t="str">
            <v>C1630</v>
          </cell>
          <cell r="E631" t="str">
            <v>Mumbai</v>
          </cell>
          <cell r="F631" t="str">
            <v>Two year</v>
          </cell>
          <cell r="H631">
            <v>499</v>
          </cell>
          <cell r="J631" t="str">
            <v>No Internet</v>
          </cell>
          <cell r="L631" t="str">
            <v>No</v>
          </cell>
          <cell r="M631" t="str">
            <v>25-48 mo</v>
          </cell>
          <cell r="N631" t="str">
            <v>60+ yrs</v>
          </cell>
        </row>
        <row r="632">
          <cell r="A632" t="str">
            <v>C1631</v>
          </cell>
          <cell r="E632" t="str">
            <v>Mumbai</v>
          </cell>
          <cell r="F632" t="str">
            <v>Month-to-month</v>
          </cell>
          <cell r="H632">
            <v>899</v>
          </cell>
          <cell r="J632" t="str">
            <v>Fiber</v>
          </cell>
          <cell r="L632" t="str">
            <v>Yes</v>
          </cell>
          <cell r="M632" t="str">
            <v>13-24 mo</v>
          </cell>
          <cell r="N632" t="str">
            <v>60+ yrs</v>
          </cell>
        </row>
        <row r="633">
          <cell r="A633" t="str">
            <v>C1632</v>
          </cell>
          <cell r="E633" t="str">
            <v>Kolkata</v>
          </cell>
          <cell r="F633" t="str">
            <v>Month-to-month</v>
          </cell>
          <cell r="H633">
            <v>549</v>
          </cell>
          <cell r="J633" t="str">
            <v>No Internet</v>
          </cell>
          <cell r="L633" t="str">
            <v>No</v>
          </cell>
          <cell r="M633" t="str">
            <v>13-24 mo</v>
          </cell>
          <cell r="N633" t="str">
            <v>60+ yrs</v>
          </cell>
        </row>
        <row r="634">
          <cell r="A634" t="str">
            <v>C1633</v>
          </cell>
          <cell r="E634" t="str">
            <v>Lucknow</v>
          </cell>
          <cell r="F634" t="str">
            <v>Two year</v>
          </cell>
          <cell r="H634">
            <v>499</v>
          </cell>
          <cell r="J634" t="str">
            <v>No Internet</v>
          </cell>
          <cell r="L634" t="str">
            <v>No</v>
          </cell>
          <cell r="M634" t="str">
            <v>49+ mo</v>
          </cell>
          <cell r="N634" t="str">
            <v>46-60 yrs</v>
          </cell>
        </row>
        <row r="635">
          <cell r="A635" t="str">
            <v>C1634</v>
          </cell>
          <cell r="E635" t="str">
            <v>Unknown</v>
          </cell>
          <cell r="F635" t="str">
            <v>Month-to-month</v>
          </cell>
          <cell r="H635">
            <v>1199</v>
          </cell>
          <cell r="J635" t="str">
            <v>Fiber</v>
          </cell>
          <cell r="L635" t="str">
            <v>No</v>
          </cell>
          <cell r="M635" t="str">
            <v>0-6 mo</v>
          </cell>
          <cell r="N635" t="str">
            <v>46-60 yrs</v>
          </cell>
        </row>
        <row r="636">
          <cell r="A636" t="str">
            <v>C1635</v>
          </cell>
          <cell r="E636" t="str">
            <v>Lucknow</v>
          </cell>
          <cell r="F636" t="str">
            <v>Month-to-month</v>
          </cell>
          <cell r="H636">
            <v>899</v>
          </cell>
          <cell r="J636" t="str">
            <v>DSL</v>
          </cell>
          <cell r="L636" t="str">
            <v>Yes</v>
          </cell>
          <cell r="M636" t="str">
            <v>13-24 mo</v>
          </cell>
          <cell r="N636" t="str">
            <v>46-60 yrs</v>
          </cell>
        </row>
        <row r="637">
          <cell r="A637" t="str">
            <v>C1636</v>
          </cell>
          <cell r="E637" t="str">
            <v>Jaipur</v>
          </cell>
          <cell r="F637" t="str">
            <v>Month-to-month</v>
          </cell>
          <cell r="H637">
            <v>349</v>
          </cell>
          <cell r="J637" t="str">
            <v>No Internet</v>
          </cell>
          <cell r="L637" t="str">
            <v>No</v>
          </cell>
          <cell r="M637" t="str">
            <v>13-24 mo</v>
          </cell>
          <cell r="N637" t="str">
            <v>26-35 yrs</v>
          </cell>
        </row>
        <row r="638">
          <cell r="A638" t="str">
            <v>C1637</v>
          </cell>
          <cell r="E638" t="str">
            <v>Chandigarh</v>
          </cell>
          <cell r="F638" t="str">
            <v>Month-to-month</v>
          </cell>
          <cell r="H638">
            <v>1149</v>
          </cell>
          <cell r="J638" t="str">
            <v>Fiber</v>
          </cell>
          <cell r="L638" t="str">
            <v>No</v>
          </cell>
          <cell r="M638" t="str">
            <v>0-6 mo</v>
          </cell>
          <cell r="N638" t="str">
            <v>36-45 yrs</v>
          </cell>
        </row>
        <row r="639">
          <cell r="A639" t="str">
            <v>C1638</v>
          </cell>
          <cell r="E639" t="str">
            <v>Bhopal</v>
          </cell>
          <cell r="F639" t="str">
            <v>Month-to-month</v>
          </cell>
          <cell r="H639">
            <v>1099</v>
          </cell>
          <cell r="J639" t="str">
            <v>Fiber</v>
          </cell>
          <cell r="L639" t="str">
            <v>No</v>
          </cell>
          <cell r="M639" t="str">
            <v>13-24 mo</v>
          </cell>
          <cell r="N639" t="str">
            <v>36-45 yrs</v>
          </cell>
        </row>
        <row r="640">
          <cell r="A640" t="str">
            <v>C1639</v>
          </cell>
          <cell r="E640" t="str">
            <v>Bangalore</v>
          </cell>
          <cell r="F640" t="str">
            <v>Month-to-month</v>
          </cell>
          <cell r="H640">
            <v>1099</v>
          </cell>
          <cell r="J640" t="str">
            <v>Fiber</v>
          </cell>
          <cell r="L640" t="str">
            <v>No</v>
          </cell>
          <cell r="M640" t="str">
            <v>13-24 mo</v>
          </cell>
          <cell r="N640" t="str">
            <v>46-60 yrs</v>
          </cell>
        </row>
        <row r="641">
          <cell r="A641" t="str">
            <v>C1640</v>
          </cell>
          <cell r="E641" t="str">
            <v>Lucknow</v>
          </cell>
          <cell r="F641" t="str">
            <v>Month-to-month</v>
          </cell>
          <cell r="H641">
            <v>549</v>
          </cell>
          <cell r="J641" t="str">
            <v>No Internet</v>
          </cell>
          <cell r="L641" t="str">
            <v>Yes</v>
          </cell>
          <cell r="M641" t="str">
            <v>7-12 mo</v>
          </cell>
          <cell r="N641" t="str">
            <v>18-25 yrs</v>
          </cell>
        </row>
        <row r="642">
          <cell r="A642" t="str">
            <v>C1641</v>
          </cell>
          <cell r="E642" t="str">
            <v>Pune</v>
          </cell>
          <cell r="F642" t="str">
            <v>Two year</v>
          </cell>
          <cell r="H642">
            <v>999</v>
          </cell>
          <cell r="J642" t="str">
            <v>Fiber</v>
          </cell>
          <cell r="L642" t="str">
            <v>No</v>
          </cell>
          <cell r="M642" t="str">
            <v>7-12 mo</v>
          </cell>
          <cell r="N642" t="str">
            <v>36-45 yrs</v>
          </cell>
        </row>
        <row r="643">
          <cell r="A643" t="str">
            <v>C1642</v>
          </cell>
          <cell r="E643" t="str">
            <v>Pune</v>
          </cell>
          <cell r="F643" t="str">
            <v>Month-to-month</v>
          </cell>
          <cell r="H643">
            <v>1199</v>
          </cell>
          <cell r="J643" t="str">
            <v>Fiber</v>
          </cell>
          <cell r="L643" t="str">
            <v>Yes</v>
          </cell>
          <cell r="M643" t="str">
            <v>0-6 mo</v>
          </cell>
          <cell r="N643" t="str">
            <v>18-25 yrs</v>
          </cell>
        </row>
        <row r="644">
          <cell r="A644" t="str">
            <v>C1643</v>
          </cell>
          <cell r="E644" t="str">
            <v>Ahmedabad</v>
          </cell>
          <cell r="F644" t="str">
            <v>One year</v>
          </cell>
          <cell r="H644">
            <v>449</v>
          </cell>
          <cell r="J644" t="str">
            <v>No Internet</v>
          </cell>
          <cell r="L644" t="str">
            <v>No</v>
          </cell>
          <cell r="M644" t="str">
            <v>25-48 mo</v>
          </cell>
          <cell r="N644" t="str">
            <v>60+ yrs</v>
          </cell>
        </row>
        <row r="645">
          <cell r="A645" t="str">
            <v>C1644</v>
          </cell>
          <cell r="E645" t="str">
            <v>Hyderabad</v>
          </cell>
          <cell r="F645" t="str">
            <v>Month-to-month</v>
          </cell>
          <cell r="H645">
            <v>999</v>
          </cell>
          <cell r="J645" t="str">
            <v>Fiber</v>
          </cell>
          <cell r="L645" t="str">
            <v>Yes</v>
          </cell>
          <cell r="M645" t="str">
            <v>13-24 mo</v>
          </cell>
          <cell r="N645" t="str">
            <v>60+ yrs</v>
          </cell>
        </row>
        <row r="646">
          <cell r="A646" t="str">
            <v>C1645</v>
          </cell>
          <cell r="E646" t="str">
            <v>Kochi</v>
          </cell>
          <cell r="F646" t="str">
            <v>Month-to-month</v>
          </cell>
          <cell r="H646">
            <v>349</v>
          </cell>
          <cell r="J646" t="str">
            <v>No Internet</v>
          </cell>
          <cell r="L646" t="str">
            <v>Yes</v>
          </cell>
          <cell r="M646" t="str">
            <v>7-12 mo</v>
          </cell>
          <cell r="N646" t="str">
            <v>60+ yrs</v>
          </cell>
        </row>
        <row r="647">
          <cell r="A647" t="str">
            <v>C1646</v>
          </cell>
          <cell r="E647" t="str">
            <v>Mumbai</v>
          </cell>
          <cell r="F647" t="str">
            <v>One year</v>
          </cell>
          <cell r="H647">
            <v>1049</v>
          </cell>
          <cell r="J647" t="str">
            <v>Fiber</v>
          </cell>
          <cell r="L647" t="str">
            <v>No</v>
          </cell>
          <cell r="M647" t="str">
            <v>25-48 mo</v>
          </cell>
          <cell r="N647" t="str">
            <v>60+ yrs</v>
          </cell>
        </row>
        <row r="648">
          <cell r="A648" t="str">
            <v>C1647</v>
          </cell>
          <cell r="E648" t="str">
            <v>Kochi</v>
          </cell>
          <cell r="F648" t="str">
            <v>Month-to-month</v>
          </cell>
          <cell r="H648">
            <v>499</v>
          </cell>
          <cell r="J648" t="str">
            <v>No Internet</v>
          </cell>
          <cell r="L648" t="str">
            <v>No</v>
          </cell>
          <cell r="M648" t="str">
            <v>13-24 mo</v>
          </cell>
          <cell r="N648" t="str">
            <v>36-45 yrs</v>
          </cell>
        </row>
        <row r="649">
          <cell r="A649" t="str">
            <v>C1648</v>
          </cell>
          <cell r="E649" t="str">
            <v>Lucknow</v>
          </cell>
          <cell r="F649" t="str">
            <v>Month-to-month</v>
          </cell>
          <cell r="H649">
            <v>899</v>
          </cell>
          <cell r="J649" t="str">
            <v>Fiber</v>
          </cell>
          <cell r="L649" t="str">
            <v>No</v>
          </cell>
          <cell r="M649" t="str">
            <v>13-24 mo</v>
          </cell>
          <cell r="N649" t="str">
            <v>26-35 yrs</v>
          </cell>
        </row>
        <row r="650">
          <cell r="A650" t="str">
            <v>C1649</v>
          </cell>
          <cell r="E650" t="str">
            <v>Bhopal</v>
          </cell>
          <cell r="F650" t="str">
            <v>Two year</v>
          </cell>
          <cell r="H650">
            <v>899</v>
          </cell>
          <cell r="J650" t="str">
            <v>DSL</v>
          </cell>
          <cell r="L650" t="str">
            <v>No</v>
          </cell>
          <cell r="M650" t="str">
            <v>49+ mo</v>
          </cell>
          <cell r="N650" t="str">
            <v>60+ yrs</v>
          </cell>
        </row>
        <row r="651">
          <cell r="A651" t="str">
            <v>C1650</v>
          </cell>
          <cell r="E651" t="str">
            <v>Ahmedabad</v>
          </cell>
          <cell r="F651" t="str">
            <v>Month-to-month</v>
          </cell>
          <cell r="H651">
            <v>899</v>
          </cell>
          <cell r="J651" t="str">
            <v>DSL</v>
          </cell>
          <cell r="L651" t="str">
            <v>Yes</v>
          </cell>
          <cell r="M651" t="str">
            <v>13-24 mo</v>
          </cell>
          <cell r="N651" t="str">
            <v>36-45 yrs</v>
          </cell>
        </row>
        <row r="652">
          <cell r="A652" t="str">
            <v>C1651</v>
          </cell>
          <cell r="E652" t="str">
            <v>Chandigarh</v>
          </cell>
          <cell r="F652" t="str">
            <v>Month-to-month</v>
          </cell>
          <cell r="H652">
            <v>799</v>
          </cell>
          <cell r="J652" t="str">
            <v>DSL</v>
          </cell>
          <cell r="L652" t="str">
            <v>Yes</v>
          </cell>
          <cell r="M652" t="str">
            <v>13-24 mo</v>
          </cell>
          <cell r="N652" t="str">
            <v>26-35 yrs</v>
          </cell>
        </row>
        <row r="653">
          <cell r="A653" t="str">
            <v>C1652</v>
          </cell>
          <cell r="E653" t="str">
            <v>Chandigarh</v>
          </cell>
          <cell r="F653" t="str">
            <v>Month-to-month</v>
          </cell>
          <cell r="H653">
            <v>1199</v>
          </cell>
          <cell r="J653" t="str">
            <v>Fiber</v>
          </cell>
          <cell r="L653" t="str">
            <v>Yes</v>
          </cell>
          <cell r="M653" t="str">
            <v>13-24 mo</v>
          </cell>
          <cell r="N653" t="str">
            <v>60+ yrs</v>
          </cell>
        </row>
        <row r="654">
          <cell r="A654" t="str">
            <v>C1653</v>
          </cell>
          <cell r="E654" t="str">
            <v>Kochi</v>
          </cell>
          <cell r="F654" t="str">
            <v>Month-to-month</v>
          </cell>
          <cell r="H654">
            <v>899</v>
          </cell>
          <cell r="J654" t="str">
            <v>Fiber</v>
          </cell>
          <cell r="L654" t="str">
            <v>No</v>
          </cell>
          <cell r="M654" t="str">
            <v>13-24 mo</v>
          </cell>
          <cell r="N654" t="str">
            <v>60+ yrs</v>
          </cell>
        </row>
        <row r="655">
          <cell r="A655" t="str">
            <v>C1654</v>
          </cell>
          <cell r="E655" t="str">
            <v>Chandigarh</v>
          </cell>
          <cell r="F655" t="str">
            <v>Month-to-month</v>
          </cell>
          <cell r="H655">
            <v>349</v>
          </cell>
          <cell r="J655" t="str">
            <v>No Internet</v>
          </cell>
          <cell r="L655" t="str">
            <v>Yes</v>
          </cell>
          <cell r="M655" t="str">
            <v>7-12 mo</v>
          </cell>
          <cell r="N655" t="str">
            <v>36-45 yrs</v>
          </cell>
        </row>
        <row r="656">
          <cell r="A656" t="str">
            <v>C1655</v>
          </cell>
          <cell r="E656" t="str">
            <v>Bhopal</v>
          </cell>
          <cell r="F656" t="str">
            <v>Month-to-month</v>
          </cell>
          <cell r="H656">
            <v>899</v>
          </cell>
          <cell r="J656" t="str">
            <v>DSL</v>
          </cell>
          <cell r="L656" t="str">
            <v>Yes</v>
          </cell>
          <cell r="M656" t="str">
            <v>13-24 mo</v>
          </cell>
          <cell r="N656" t="str">
            <v>46-60 yrs</v>
          </cell>
        </row>
        <row r="657">
          <cell r="A657" t="str">
            <v>C1656</v>
          </cell>
          <cell r="E657" t="str">
            <v>Kochi</v>
          </cell>
          <cell r="F657" t="str">
            <v>Two year</v>
          </cell>
          <cell r="H657">
            <v>899</v>
          </cell>
          <cell r="J657" t="str">
            <v>DSL</v>
          </cell>
          <cell r="L657" t="str">
            <v>No</v>
          </cell>
          <cell r="M657" t="str">
            <v>49+ mo</v>
          </cell>
          <cell r="N657" t="str">
            <v>18-25 yrs</v>
          </cell>
        </row>
        <row r="658">
          <cell r="A658" t="str">
            <v>C1657</v>
          </cell>
          <cell r="E658" t="str">
            <v>Chennai</v>
          </cell>
          <cell r="F658" t="str">
            <v>Month-to-month</v>
          </cell>
          <cell r="H658">
            <v>599</v>
          </cell>
          <cell r="J658" t="str">
            <v>DSL</v>
          </cell>
          <cell r="L658" t="str">
            <v>Yes</v>
          </cell>
          <cell r="M658" t="str">
            <v>13-24 mo</v>
          </cell>
          <cell r="N658" t="str">
            <v>26-35 yrs</v>
          </cell>
        </row>
        <row r="659">
          <cell r="A659" t="str">
            <v>C1658</v>
          </cell>
          <cell r="E659" t="str">
            <v>Indore</v>
          </cell>
          <cell r="F659" t="str">
            <v>Month-to-month</v>
          </cell>
          <cell r="H659">
            <v>699</v>
          </cell>
          <cell r="J659" t="str">
            <v>DSL</v>
          </cell>
          <cell r="L659" t="str">
            <v>No</v>
          </cell>
          <cell r="M659" t="str">
            <v>0-6 mo</v>
          </cell>
          <cell r="N659" t="str">
            <v>46-60 yrs</v>
          </cell>
        </row>
        <row r="660">
          <cell r="A660" t="str">
            <v>C1659</v>
          </cell>
          <cell r="E660" t="str">
            <v>Indore</v>
          </cell>
          <cell r="F660" t="str">
            <v>Month-to-month</v>
          </cell>
          <cell r="H660">
            <v>1199</v>
          </cell>
          <cell r="J660" t="str">
            <v>Fiber</v>
          </cell>
          <cell r="L660" t="str">
            <v>No</v>
          </cell>
          <cell r="M660" t="str">
            <v>7-12 mo</v>
          </cell>
          <cell r="N660" t="str">
            <v>60+ yrs</v>
          </cell>
        </row>
        <row r="661">
          <cell r="A661" t="str">
            <v>C1660</v>
          </cell>
          <cell r="E661" t="str">
            <v>Ahmedabad</v>
          </cell>
          <cell r="F661" t="str">
            <v>Month-to-month</v>
          </cell>
          <cell r="H661">
            <v>349</v>
          </cell>
          <cell r="J661" t="str">
            <v>No Internet</v>
          </cell>
          <cell r="L661" t="str">
            <v>No</v>
          </cell>
          <cell r="M661" t="str">
            <v>13-24 mo</v>
          </cell>
          <cell r="N661" t="str">
            <v>60+ yrs</v>
          </cell>
        </row>
        <row r="662">
          <cell r="A662" t="str">
            <v>C1661</v>
          </cell>
          <cell r="E662" t="str">
            <v>Bangalore</v>
          </cell>
          <cell r="F662" t="str">
            <v>Two year</v>
          </cell>
          <cell r="H662">
            <v>899</v>
          </cell>
          <cell r="J662" t="str">
            <v>Fiber</v>
          </cell>
          <cell r="L662" t="str">
            <v>No</v>
          </cell>
          <cell r="M662" t="str">
            <v>49+ mo</v>
          </cell>
          <cell r="N662" t="str">
            <v>60+ yrs</v>
          </cell>
        </row>
        <row r="663">
          <cell r="A663" t="str">
            <v>C1662</v>
          </cell>
          <cell r="E663" t="str">
            <v>Chandigarh</v>
          </cell>
          <cell r="F663" t="str">
            <v>Month-to-month</v>
          </cell>
          <cell r="H663">
            <v>999</v>
          </cell>
          <cell r="J663" t="str">
            <v>Fiber</v>
          </cell>
          <cell r="L663" t="str">
            <v>Yes</v>
          </cell>
          <cell r="M663" t="str">
            <v>0-6 mo</v>
          </cell>
          <cell r="N663" t="str">
            <v>36-45 yrs</v>
          </cell>
        </row>
        <row r="664">
          <cell r="A664" t="str">
            <v>C1663</v>
          </cell>
          <cell r="E664" t="str">
            <v>Jaipur</v>
          </cell>
          <cell r="F664" t="str">
            <v>One year</v>
          </cell>
          <cell r="H664">
            <v>899</v>
          </cell>
          <cell r="J664" t="str">
            <v>Fiber</v>
          </cell>
          <cell r="L664" t="str">
            <v>No</v>
          </cell>
          <cell r="M664" t="str">
            <v>0-6 mo</v>
          </cell>
          <cell r="N664" t="str">
            <v>60+ yrs</v>
          </cell>
        </row>
        <row r="665">
          <cell r="A665" t="str">
            <v>C1664</v>
          </cell>
          <cell r="E665" t="str">
            <v>Indore</v>
          </cell>
          <cell r="F665" t="str">
            <v>Month-to-month</v>
          </cell>
          <cell r="H665">
            <v>999</v>
          </cell>
          <cell r="J665" t="str">
            <v>Fiber</v>
          </cell>
          <cell r="L665" t="str">
            <v>No</v>
          </cell>
          <cell r="M665" t="str">
            <v>0-6 mo</v>
          </cell>
          <cell r="N665" t="str">
            <v>26-35 yrs</v>
          </cell>
        </row>
        <row r="666">
          <cell r="A666" t="str">
            <v>C1665</v>
          </cell>
          <cell r="E666" t="str">
            <v>Kochi</v>
          </cell>
          <cell r="F666" t="str">
            <v>Two year</v>
          </cell>
          <cell r="H666">
            <v>999</v>
          </cell>
          <cell r="J666" t="str">
            <v>Fiber</v>
          </cell>
          <cell r="L666" t="str">
            <v>No</v>
          </cell>
          <cell r="M666" t="str">
            <v>13-24 mo</v>
          </cell>
          <cell r="N666" t="str">
            <v>36-45 yrs</v>
          </cell>
        </row>
        <row r="667">
          <cell r="A667" t="str">
            <v>C1666</v>
          </cell>
          <cell r="E667" t="str">
            <v>Pune</v>
          </cell>
          <cell r="F667" t="str">
            <v>Month-to-month</v>
          </cell>
          <cell r="H667">
            <v>349</v>
          </cell>
          <cell r="J667" t="str">
            <v>No Internet</v>
          </cell>
          <cell r="L667" t="str">
            <v>No</v>
          </cell>
          <cell r="M667" t="str">
            <v>13-24 mo</v>
          </cell>
          <cell r="N667" t="str">
            <v>36-45 yrs</v>
          </cell>
        </row>
        <row r="668">
          <cell r="A668" t="str">
            <v>C1667</v>
          </cell>
          <cell r="E668" t="str">
            <v>Chennai</v>
          </cell>
          <cell r="F668" t="str">
            <v>One year</v>
          </cell>
          <cell r="H668">
            <v>799</v>
          </cell>
          <cell r="J668" t="str">
            <v>DSL</v>
          </cell>
          <cell r="L668" t="str">
            <v>No</v>
          </cell>
          <cell r="M668" t="str">
            <v>25-48 mo</v>
          </cell>
          <cell r="N668" t="str">
            <v>26-35 yrs</v>
          </cell>
        </row>
        <row r="669">
          <cell r="A669" t="str">
            <v>C1668</v>
          </cell>
          <cell r="E669" t="str">
            <v>Delhi</v>
          </cell>
          <cell r="F669" t="str">
            <v>One year</v>
          </cell>
          <cell r="H669">
            <v>1199</v>
          </cell>
          <cell r="J669" t="str">
            <v>Fiber</v>
          </cell>
          <cell r="L669" t="str">
            <v>Yes</v>
          </cell>
          <cell r="M669" t="str">
            <v>25-48 mo</v>
          </cell>
          <cell r="N669" t="str">
            <v>18-25 yrs</v>
          </cell>
        </row>
        <row r="670">
          <cell r="A670" t="str">
            <v>C1669</v>
          </cell>
          <cell r="E670" t="str">
            <v>Bhopal</v>
          </cell>
          <cell r="F670" t="str">
            <v>Month-to-month</v>
          </cell>
          <cell r="H670">
            <v>799</v>
          </cell>
          <cell r="J670" t="str">
            <v>DSL</v>
          </cell>
          <cell r="L670" t="str">
            <v>No</v>
          </cell>
          <cell r="M670" t="str">
            <v>7-12 mo</v>
          </cell>
          <cell r="N670" t="str">
            <v>36-45 yrs</v>
          </cell>
        </row>
        <row r="671">
          <cell r="A671" t="str">
            <v>C1670</v>
          </cell>
          <cell r="E671" t="str">
            <v>Unknown</v>
          </cell>
          <cell r="F671" t="str">
            <v>Month-to-month</v>
          </cell>
          <cell r="H671">
            <v>399</v>
          </cell>
          <cell r="J671" t="str">
            <v>No Internet</v>
          </cell>
          <cell r="L671" t="str">
            <v>Yes</v>
          </cell>
          <cell r="M671" t="str">
            <v>7-12 mo</v>
          </cell>
          <cell r="N671" t="str">
            <v>60+ yrs</v>
          </cell>
        </row>
        <row r="672">
          <cell r="A672" t="str">
            <v>C1671</v>
          </cell>
          <cell r="E672" t="str">
            <v>Bangalore</v>
          </cell>
          <cell r="F672" t="str">
            <v>Two year</v>
          </cell>
          <cell r="H672">
            <v>499</v>
          </cell>
          <cell r="J672" t="str">
            <v>No Internet</v>
          </cell>
          <cell r="L672" t="str">
            <v>No</v>
          </cell>
          <cell r="M672" t="str">
            <v>49+ mo</v>
          </cell>
          <cell r="N672" t="str">
            <v>46-60 yrs</v>
          </cell>
        </row>
        <row r="673">
          <cell r="A673" t="str">
            <v>C1672</v>
          </cell>
          <cell r="E673" t="str">
            <v>Delhi</v>
          </cell>
          <cell r="F673" t="str">
            <v>Month-to-month</v>
          </cell>
          <cell r="H673">
            <v>549</v>
          </cell>
          <cell r="J673" t="str">
            <v>No Internet</v>
          </cell>
          <cell r="L673" t="str">
            <v>No</v>
          </cell>
          <cell r="M673" t="str">
            <v>13-24 mo</v>
          </cell>
          <cell r="N673" t="str">
            <v>46-60 yrs</v>
          </cell>
        </row>
        <row r="674">
          <cell r="A674" t="str">
            <v>C1673</v>
          </cell>
          <cell r="E674" t="str">
            <v>Lucknow</v>
          </cell>
          <cell r="F674" t="str">
            <v>Month-to-month</v>
          </cell>
          <cell r="H674">
            <v>549</v>
          </cell>
          <cell r="J674" t="str">
            <v>No Internet</v>
          </cell>
          <cell r="L674" t="str">
            <v>Yes</v>
          </cell>
          <cell r="M674" t="str">
            <v>13-24 mo</v>
          </cell>
          <cell r="N674" t="str">
            <v>46-60 yrs</v>
          </cell>
        </row>
        <row r="675">
          <cell r="A675" t="str">
            <v>C1674</v>
          </cell>
          <cell r="E675" t="str">
            <v>Pune</v>
          </cell>
          <cell r="F675" t="str">
            <v>Two year</v>
          </cell>
          <cell r="H675">
            <v>849</v>
          </cell>
          <cell r="J675" t="str">
            <v>DSL</v>
          </cell>
          <cell r="L675" t="str">
            <v>No</v>
          </cell>
          <cell r="M675" t="str">
            <v>Unknown</v>
          </cell>
          <cell r="N675" t="str">
            <v>46-60 yrs</v>
          </cell>
        </row>
        <row r="676">
          <cell r="A676" t="str">
            <v>C1675</v>
          </cell>
          <cell r="E676" t="str">
            <v>Chandigarh</v>
          </cell>
          <cell r="F676" t="str">
            <v>Two year</v>
          </cell>
          <cell r="H676">
            <v>749</v>
          </cell>
          <cell r="J676" t="str">
            <v>DSL</v>
          </cell>
          <cell r="L676" t="str">
            <v>Unknown</v>
          </cell>
          <cell r="M676" t="str">
            <v>25-48 mo</v>
          </cell>
          <cell r="N676" t="str">
            <v>46-60 yrs</v>
          </cell>
        </row>
        <row r="677">
          <cell r="A677" t="str">
            <v>C1676</v>
          </cell>
          <cell r="E677" t="str">
            <v>Bangalore</v>
          </cell>
          <cell r="F677" t="str">
            <v>Month-to-month</v>
          </cell>
          <cell r="H677">
            <v>499</v>
          </cell>
          <cell r="J677" t="str">
            <v>No Internet</v>
          </cell>
          <cell r="L677" t="str">
            <v>Yes</v>
          </cell>
          <cell r="M677" t="str">
            <v>0-6 mo</v>
          </cell>
          <cell r="N677" t="str">
            <v>36-45 yrs</v>
          </cell>
        </row>
        <row r="678">
          <cell r="A678" t="str">
            <v>C1677</v>
          </cell>
          <cell r="E678" t="str">
            <v>Ahmedabad</v>
          </cell>
          <cell r="F678" t="str">
            <v>Month-to-month</v>
          </cell>
          <cell r="H678">
            <v>1099</v>
          </cell>
          <cell r="J678" t="str">
            <v>Fiber</v>
          </cell>
          <cell r="L678" t="str">
            <v>Yes</v>
          </cell>
          <cell r="M678" t="str">
            <v>13-24 mo</v>
          </cell>
          <cell r="N678" t="str">
            <v>18-25 yrs</v>
          </cell>
        </row>
        <row r="679">
          <cell r="A679" t="str">
            <v>C1678</v>
          </cell>
          <cell r="E679" t="str">
            <v>Chandigarh</v>
          </cell>
          <cell r="F679" t="str">
            <v>One year</v>
          </cell>
          <cell r="H679">
            <v>599</v>
          </cell>
          <cell r="J679" t="str">
            <v>DSL</v>
          </cell>
          <cell r="L679" t="str">
            <v>No</v>
          </cell>
          <cell r="M679" t="str">
            <v>13-24 mo</v>
          </cell>
          <cell r="N679" t="str">
            <v>18-25 yrs</v>
          </cell>
        </row>
        <row r="680">
          <cell r="A680" t="str">
            <v>C1679</v>
          </cell>
          <cell r="E680" t="str">
            <v>Hyderabad</v>
          </cell>
          <cell r="F680" t="str">
            <v>One year</v>
          </cell>
          <cell r="H680">
            <v>399</v>
          </cell>
          <cell r="J680" t="str">
            <v>No Internet</v>
          </cell>
          <cell r="L680" t="str">
            <v>No</v>
          </cell>
          <cell r="M680" t="str">
            <v>25-48 mo</v>
          </cell>
          <cell r="N680" t="str">
            <v>46-60 yrs</v>
          </cell>
        </row>
        <row r="681">
          <cell r="A681" t="str">
            <v>C1680</v>
          </cell>
          <cell r="E681" t="str">
            <v>Pune</v>
          </cell>
          <cell r="F681" t="str">
            <v>Month-to-month</v>
          </cell>
          <cell r="H681">
            <v>1099</v>
          </cell>
          <cell r="J681" t="str">
            <v>Fiber</v>
          </cell>
          <cell r="L681" t="str">
            <v>No</v>
          </cell>
          <cell r="M681" t="str">
            <v>13-24 mo</v>
          </cell>
          <cell r="N681" t="str">
            <v>18-25 yrs</v>
          </cell>
        </row>
        <row r="682">
          <cell r="A682" t="str">
            <v>C1681</v>
          </cell>
          <cell r="E682" t="str">
            <v>Ahmedabad</v>
          </cell>
          <cell r="F682" t="str">
            <v>Two year</v>
          </cell>
          <cell r="H682">
            <v>1049</v>
          </cell>
          <cell r="J682" t="str">
            <v>Fiber</v>
          </cell>
          <cell r="L682" t="str">
            <v>No</v>
          </cell>
          <cell r="M682" t="str">
            <v>49+ mo</v>
          </cell>
          <cell r="N682" t="str">
            <v>18-25 yrs</v>
          </cell>
        </row>
        <row r="683">
          <cell r="A683" t="str">
            <v>C1682</v>
          </cell>
          <cell r="E683" t="str">
            <v>Bhopal</v>
          </cell>
          <cell r="F683" t="str">
            <v>Two year</v>
          </cell>
          <cell r="H683">
            <v>349</v>
          </cell>
          <cell r="J683" t="str">
            <v>No Internet</v>
          </cell>
          <cell r="L683" t="str">
            <v>No</v>
          </cell>
          <cell r="M683" t="str">
            <v>13-24 mo</v>
          </cell>
          <cell r="N683" t="str">
            <v>36-45 yrs</v>
          </cell>
        </row>
        <row r="684">
          <cell r="A684" t="str">
            <v>C1683</v>
          </cell>
          <cell r="E684" t="str">
            <v>Jaipur</v>
          </cell>
          <cell r="F684" t="str">
            <v>Two year</v>
          </cell>
          <cell r="H684">
            <v>999</v>
          </cell>
          <cell r="J684" t="str">
            <v>Fiber</v>
          </cell>
          <cell r="L684" t="str">
            <v>No</v>
          </cell>
          <cell r="M684" t="str">
            <v>49+ mo</v>
          </cell>
          <cell r="N684" t="str">
            <v>18-25 yrs</v>
          </cell>
        </row>
        <row r="685">
          <cell r="A685" t="str">
            <v>C1684</v>
          </cell>
          <cell r="E685" t="str">
            <v>Hyderabad</v>
          </cell>
          <cell r="F685" t="str">
            <v>Month-to-month</v>
          </cell>
          <cell r="H685">
            <v>1299</v>
          </cell>
          <cell r="J685" t="str">
            <v>Fiber</v>
          </cell>
          <cell r="L685" t="str">
            <v>Yes</v>
          </cell>
          <cell r="M685" t="str">
            <v>7-12 mo</v>
          </cell>
          <cell r="N685" t="str">
            <v>60+ yrs</v>
          </cell>
        </row>
        <row r="686">
          <cell r="A686" t="str">
            <v>C1685</v>
          </cell>
          <cell r="E686" t="str">
            <v>Bangalore</v>
          </cell>
          <cell r="F686" t="str">
            <v>Month-to-month</v>
          </cell>
          <cell r="H686">
            <v>799</v>
          </cell>
          <cell r="J686" t="str">
            <v>DSL</v>
          </cell>
          <cell r="L686" t="str">
            <v>No</v>
          </cell>
          <cell r="M686" t="str">
            <v>7-12 mo</v>
          </cell>
          <cell r="N686" t="str">
            <v>46-60 yrs</v>
          </cell>
        </row>
        <row r="687">
          <cell r="A687" t="str">
            <v>C1686</v>
          </cell>
          <cell r="E687" t="str">
            <v>Kolkata</v>
          </cell>
          <cell r="F687" t="str">
            <v>Month-to-month</v>
          </cell>
          <cell r="H687">
            <v>999</v>
          </cell>
          <cell r="J687" t="str">
            <v>Fiber</v>
          </cell>
          <cell r="L687" t="str">
            <v>No</v>
          </cell>
          <cell r="M687" t="str">
            <v>7-12 mo</v>
          </cell>
          <cell r="N687" t="str">
            <v>46-60 yrs</v>
          </cell>
        </row>
        <row r="688">
          <cell r="A688" t="str">
            <v>C1687</v>
          </cell>
          <cell r="E688" t="str">
            <v>Indore</v>
          </cell>
          <cell r="F688" t="str">
            <v>Month-to-month</v>
          </cell>
          <cell r="H688">
            <v>1149</v>
          </cell>
          <cell r="J688" t="str">
            <v>Fiber</v>
          </cell>
          <cell r="L688" t="str">
            <v>Yes</v>
          </cell>
          <cell r="M688" t="str">
            <v>0-6 mo</v>
          </cell>
          <cell r="N688" t="str">
            <v>46-60 yrs</v>
          </cell>
        </row>
        <row r="689">
          <cell r="A689" t="str">
            <v>C1688</v>
          </cell>
          <cell r="E689" t="str">
            <v>Bangalore</v>
          </cell>
          <cell r="F689" t="str">
            <v>Two year</v>
          </cell>
          <cell r="H689">
            <v>999</v>
          </cell>
          <cell r="J689" t="str">
            <v>Fiber</v>
          </cell>
          <cell r="L689" t="str">
            <v>No</v>
          </cell>
          <cell r="M689" t="str">
            <v>25-48 mo</v>
          </cell>
          <cell r="N689" t="str">
            <v>36-45 yrs</v>
          </cell>
        </row>
        <row r="690">
          <cell r="A690" t="str">
            <v>C1689</v>
          </cell>
          <cell r="E690" t="str">
            <v>Jaipur</v>
          </cell>
          <cell r="F690" t="str">
            <v>Month-to-month</v>
          </cell>
          <cell r="H690">
            <v>1199</v>
          </cell>
          <cell r="J690" t="str">
            <v>Fiber</v>
          </cell>
          <cell r="L690" t="str">
            <v>No</v>
          </cell>
          <cell r="M690" t="str">
            <v>0-6 mo</v>
          </cell>
          <cell r="N690" t="str">
            <v>18-25 yrs</v>
          </cell>
        </row>
        <row r="691">
          <cell r="A691" t="str">
            <v>C1690</v>
          </cell>
          <cell r="E691" t="str">
            <v>Jaipur</v>
          </cell>
          <cell r="F691" t="str">
            <v>Month-to-month</v>
          </cell>
          <cell r="H691">
            <v>1299</v>
          </cell>
          <cell r="J691" t="str">
            <v>Fiber</v>
          </cell>
          <cell r="L691" t="str">
            <v>No</v>
          </cell>
          <cell r="M691" t="str">
            <v>13-24 mo</v>
          </cell>
          <cell r="N691" t="str">
            <v>60+ yrs</v>
          </cell>
        </row>
        <row r="692">
          <cell r="A692" t="str">
            <v>C1691</v>
          </cell>
          <cell r="E692" t="str">
            <v>Pune</v>
          </cell>
          <cell r="F692" t="str">
            <v>One year</v>
          </cell>
          <cell r="H692">
            <v>1299</v>
          </cell>
          <cell r="J692" t="str">
            <v>Fiber</v>
          </cell>
          <cell r="L692" t="str">
            <v>No</v>
          </cell>
          <cell r="M692" t="str">
            <v>25-48 mo</v>
          </cell>
          <cell r="N692" t="str">
            <v>36-45 yrs</v>
          </cell>
        </row>
        <row r="693">
          <cell r="A693" t="str">
            <v>C1692</v>
          </cell>
          <cell r="E693" t="str">
            <v>Bhopal</v>
          </cell>
          <cell r="F693" t="str">
            <v>Two year</v>
          </cell>
          <cell r="H693">
            <v>749</v>
          </cell>
          <cell r="J693" t="str">
            <v>DSL</v>
          </cell>
          <cell r="L693" t="str">
            <v>Yes</v>
          </cell>
          <cell r="M693" t="str">
            <v>13-24 mo</v>
          </cell>
          <cell r="N693" t="str">
            <v>18-25 yrs</v>
          </cell>
        </row>
        <row r="694">
          <cell r="A694" t="str">
            <v>C1693</v>
          </cell>
          <cell r="E694" t="str">
            <v>Ahmedabad</v>
          </cell>
          <cell r="F694" t="str">
            <v>One year</v>
          </cell>
          <cell r="H694">
            <v>449</v>
          </cell>
          <cell r="J694" t="str">
            <v>No Internet</v>
          </cell>
          <cell r="L694" t="str">
            <v>No</v>
          </cell>
          <cell r="M694" t="str">
            <v>25-48 mo</v>
          </cell>
          <cell r="N694" t="str">
            <v>46-60 yrs</v>
          </cell>
        </row>
        <row r="695">
          <cell r="A695" t="str">
            <v>C1694</v>
          </cell>
          <cell r="E695" t="str">
            <v>Bangalore</v>
          </cell>
          <cell r="F695" t="str">
            <v>Month-to-month</v>
          </cell>
          <cell r="H695">
            <v>849</v>
          </cell>
          <cell r="J695" t="str">
            <v>DSL</v>
          </cell>
          <cell r="L695" t="str">
            <v>Yes</v>
          </cell>
          <cell r="M695" t="str">
            <v>0-6 mo</v>
          </cell>
          <cell r="N695" t="str">
            <v>46-60 yrs</v>
          </cell>
        </row>
        <row r="696">
          <cell r="A696" t="str">
            <v>C1695</v>
          </cell>
          <cell r="E696" t="str">
            <v>Indore</v>
          </cell>
          <cell r="F696" t="str">
            <v>Two year</v>
          </cell>
          <cell r="H696">
            <v>1299</v>
          </cell>
          <cell r="J696" t="str">
            <v>Fiber</v>
          </cell>
          <cell r="L696" t="str">
            <v>No</v>
          </cell>
          <cell r="M696" t="str">
            <v>7-12 mo</v>
          </cell>
          <cell r="N696" t="str">
            <v>60+ yrs</v>
          </cell>
        </row>
        <row r="697">
          <cell r="A697" t="str">
            <v>C1696</v>
          </cell>
          <cell r="E697" t="str">
            <v>Bangalore</v>
          </cell>
          <cell r="F697" t="str">
            <v>Unknown</v>
          </cell>
          <cell r="H697">
            <v>899</v>
          </cell>
          <cell r="J697" t="str">
            <v>Unknown</v>
          </cell>
          <cell r="L697" t="str">
            <v>No</v>
          </cell>
          <cell r="M697" t="str">
            <v>25-48 mo</v>
          </cell>
          <cell r="N697" t="str">
            <v>60+ yrs</v>
          </cell>
        </row>
        <row r="698">
          <cell r="A698" t="str">
            <v>C1697</v>
          </cell>
          <cell r="E698" t="str">
            <v>Pune</v>
          </cell>
          <cell r="F698" t="str">
            <v>Month-to-month</v>
          </cell>
          <cell r="H698">
            <v>1099</v>
          </cell>
          <cell r="J698" t="str">
            <v>Fiber</v>
          </cell>
          <cell r="L698" t="str">
            <v>No</v>
          </cell>
          <cell r="M698" t="str">
            <v>13-24 mo</v>
          </cell>
          <cell r="N698" t="str">
            <v>18-25 yrs</v>
          </cell>
        </row>
        <row r="699">
          <cell r="A699" t="str">
            <v>C1698</v>
          </cell>
          <cell r="E699" t="str">
            <v>Ahmedabad</v>
          </cell>
          <cell r="F699" t="str">
            <v>Month-to-month</v>
          </cell>
          <cell r="H699">
            <v>1299</v>
          </cell>
          <cell r="J699" t="str">
            <v>Fiber</v>
          </cell>
          <cell r="L699" t="str">
            <v>Yes</v>
          </cell>
          <cell r="M699" t="str">
            <v>13-24 mo</v>
          </cell>
          <cell r="N699" t="str">
            <v>36-45 yrs</v>
          </cell>
        </row>
        <row r="700">
          <cell r="A700" t="str">
            <v>C1699</v>
          </cell>
          <cell r="E700" t="str">
            <v>Jaipur</v>
          </cell>
          <cell r="F700" t="str">
            <v>Month-to-month</v>
          </cell>
          <cell r="H700">
            <v>499</v>
          </cell>
          <cell r="J700" t="str">
            <v>No Internet</v>
          </cell>
          <cell r="L700" t="str">
            <v>Unknown</v>
          </cell>
          <cell r="M700" t="str">
            <v>13-24 mo</v>
          </cell>
          <cell r="N700" t="str">
            <v>36-45 yrs</v>
          </cell>
        </row>
        <row r="701">
          <cell r="A701" t="str">
            <v>C1700</v>
          </cell>
          <cell r="E701" t="str">
            <v>Delhi</v>
          </cell>
          <cell r="F701" t="str">
            <v>Month-to-month</v>
          </cell>
          <cell r="H701">
            <v>1099</v>
          </cell>
          <cell r="J701" t="str">
            <v>Fiber</v>
          </cell>
          <cell r="L701" t="str">
            <v>No</v>
          </cell>
          <cell r="M701" t="str">
            <v>13-24 mo</v>
          </cell>
          <cell r="N701" t="str">
            <v>36-45 yrs</v>
          </cell>
        </row>
        <row r="702">
          <cell r="A702" t="str">
            <v>C1701</v>
          </cell>
          <cell r="E702" t="str">
            <v>Ahmedabad</v>
          </cell>
          <cell r="F702" t="str">
            <v>Month-to-month</v>
          </cell>
          <cell r="H702">
            <v>749</v>
          </cell>
          <cell r="J702" t="str">
            <v>DSL</v>
          </cell>
          <cell r="L702" t="str">
            <v>No</v>
          </cell>
          <cell r="M702" t="str">
            <v>13-24 mo</v>
          </cell>
          <cell r="N702" t="str">
            <v>46-60 yrs</v>
          </cell>
        </row>
        <row r="703">
          <cell r="A703" t="str">
            <v>C1702</v>
          </cell>
          <cell r="E703" t="str">
            <v>Bhopal</v>
          </cell>
          <cell r="F703" t="str">
            <v>One year</v>
          </cell>
          <cell r="H703">
            <v>999</v>
          </cell>
          <cell r="J703" t="str">
            <v>Fiber</v>
          </cell>
          <cell r="L703" t="str">
            <v>No</v>
          </cell>
          <cell r="M703" t="str">
            <v>7-12 mo</v>
          </cell>
          <cell r="N703" t="str">
            <v>36-45 yrs</v>
          </cell>
        </row>
        <row r="704">
          <cell r="A704" t="str">
            <v>C1703</v>
          </cell>
          <cell r="E704" t="str">
            <v>Hyderabad</v>
          </cell>
          <cell r="F704" t="str">
            <v>One year</v>
          </cell>
          <cell r="H704">
            <v>399</v>
          </cell>
          <cell r="J704" t="str">
            <v>No Internet</v>
          </cell>
          <cell r="L704" t="str">
            <v>No</v>
          </cell>
          <cell r="M704" t="str">
            <v>13-24 mo</v>
          </cell>
          <cell r="N704" t="str">
            <v>26-35 yrs</v>
          </cell>
        </row>
        <row r="705">
          <cell r="A705" t="str">
            <v>C1704</v>
          </cell>
          <cell r="E705" t="str">
            <v>Mumbai</v>
          </cell>
          <cell r="F705" t="str">
            <v>One year</v>
          </cell>
          <cell r="H705">
            <v>749</v>
          </cell>
          <cell r="J705" t="str">
            <v>DSL</v>
          </cell>
          <cell r="L705" t="str">
            <v>No</v>
          </cell>
          <cell r="M705" t="str">
            <v>13-24 mo</v>
          </cell>
          <cell r="N705" t="str">
            <v>36-45 yrs</v>
          </cell>
        </row>
        <row r="706">
          <cell r="A706" t="str">
            <v>C1705</v>
          </cell>
          <cell r="E706" t="str">
            <v>Bangalore</v>
          </cell>
          <cell r="F706" t="str">
            <v>Two year</v>
          </cell>
          <cell r="H706">
            <v>499</v>
          </cell>
          <cell r="J706" t="str">
            <v>No Internet</v>
          </cell>
          <cell r="L706" t="str">
            <v>No</v>
          </cell>
          <cell r="M706" t="str">
            <v>13-24 mo</v>
          </cell>
          <cell r="N706" t="str">
            <v>60+ yrs</v>
          </cell>
        </row>
        <row r="707">
          <cell r="A707" t="str">
            <v>C1706</v>
          </cell>
          <cell r="E707" t="str">
            <v>Kochi</v>
          </cell>
          <cell r="F707" t="str">
            <v>Two year</v>
          </cell>
          <cell r="H707">
            <v>599</v>
          </cell>
          <cell r="J707" t="str">
            <v>DSL</v>
          </cell>
          <cell r="L707" t="str">
            <v>No</v>
          </cell>
          <cell r="M707" t="str">
            <v>49+ mo</v>
          </cell>
          <cell r="N707" t="str">
            <v>46-60 yrs</v>
          </cell>
        </row>
        <row r="708">
          <cell r="A708" t="str">
            <v>C1707</v>
          </cell>
          <cell r="E708" t="str">
            <v>Chennai</v>
          </cell>
          <cell r="F708" t="str">
            <v>One year</v>
          </cell>
          <cell r="H708">
            <v>1299</v>
          </cell>
          <cell r="J708" t="str">
            <v>Fiber</v>
          </cell>
          <cell r="L708" t="str">
            <v>Yes</v>
          </cell>
          <cell r="M708" t="str">
            <v>25-48 mo</v>
          </cell>
          <cell r="N708" t="str">
            <v>60+ yrs</v>
          </cell>
        </row>
        <row r="709">
          <cell r="A709" t="str">
            <v>C1708</v>
          </cell>
          <cell r="E709" t="str">
            <v>Hyderabad</v>
          </cell>
          <cell r="F709" t="str">
            <v>Month-to-month</v>
          </cell>
          <cell r="H709">
            <v>1299</v>
          </cell>
          <cell r="J709" t="str">
            <v>Fiber</v>
          </cell>
          <cell r="L709" t="str">
            <v>Yes</v>
          </cell>
          <cell r="M709" t="str">
            <v>0-6 mo</v>
          </cell>
          <cell r="N709" t="str">
            <v>60+ yrs</v>
          </cell>
        </row>
        <row r="710">
          <cell r="A710" t="str">
            <v>C1709</v>
          </cell>
          <cell r="E710" t="str">
            <v>Unknown</v>
          </cell>
          <cell r="F710" t="str">
            <v>One year</v>
          </cell>
          <cell r="H710">
            <v>1299</v>
          </cell>
          <cell r="J710" t="str">
            <v>Fiber</v>
          </cell>
          <cell r="L710" t="str">
            <v>No</v>
          </cell>
          <cell r="M710" t="str">
            <v>13-24 mo</v>
          </cell>
          <cell r="N710" t="str">
            <v>36-45 yrs</v>
          </cell>
        </row>
        <row r="711">
          <cell r="A711" t="str">
            <v>C1710</v>
          </cell>
          <cell r="E711" t="str">
            <v>Ahmedabad</v>
          </cell>
          <cell r="F711" t="str">
            <v>Two year</v>
          </cell>
          <cell r="H711">
            <v>1099</v>
          </cell>
          <cell r="J711" t="str">
            <v>Fiber</v>
          </cell>
          <cell r="L711" t="str">
            <v>No</v>
          </cell>
          <cell r="M711" t="str">
            <v>25-48 mo</v>
          </cell>
          <cell r="N711" t="str">
            <v>36-45 yrs</v>
          </cell>
        </row>
        <row r="712">
          <cell r="A712" t="str">
            <v>C1711</v>
          </cell>
          <cell r="E712" t="str">
            <v>Kolkata</v>
          </cell>
          <cell r="F712" t="str">
            <v>Two year</v>
          </cell>
          <cell r="H712">
            <v>749</v>
          </cell>
          <cell r="J712" t="str">
            <v>DSL</v>
          </cell>
          <cell r="L712" t="str">
            <v>No</v>
          </cell>
          <cell r="M712" t="str">
            <v>7-12 mo</v>
          </cell>
          <cell r="N712" t="str">
            <v>36-45 yrs</v>
          </cell>
        </row>
        <row r="713">
          <cell r="A713" t="str">
            <v>C1712</v>
          </cell>
          <cell r="E713" t="str">
            <v>Bhopal</v>
          </cell>
          <cell r="F713" t="str">
            <v>One year</v>
          </cell>
          <cell r="H713">
            <v>549</v>
          </cell>
          <cell r="J713" t="str">
            <v>No Internet</v>
          </cell>
          <cell r="L713" t="str">
            <v>No</v>
          </cell>
          <cell r="M713" t="str">
            <v>13-24 mo</v>
          </cell>
          <cell r="N713" t="str">
            <v>46-60 yrs</v>
          </cell>
        </row>
        <row r="714">
          <cell r="A714" t="str">
            <v>C1713</v>
          </cell>
          <cell r="E714" t="str">
            <v>Chennai</v>
          </cell>
          <cell r="F714" t="str">
            <v>Two year</v>
          </cell>
          <cell r="H714">
            <v>1099</v>
          </cell>
          <cell r="J714" t="str">
            <v>Fiber</v>
          </cell>
          <cell r="L714" t="str">
            <v>No</v>
          </cell>
          <cell r="M714" t="str">
            <v>13-24 mo</v>
          </cell>
          <cell r="N714" t="str">
            <v>46-60 yrs</v>
          </cell>
        </row>
        <row r="715">
          <cell r="A715" t="str">
            <v>C1714</v>
          </cell>
          <cell r="E715" t="str">
            <v>Kochi</v>
          </cell>
          <cell r="F715" t="str">
            <v>Month-to-month</v>
          </cell>
          <cell r="H715">
            <v>799</v>
          </cell>
          <cell r="J715" t="str">
            <v>DSL</v>
          </cell>
          <cell r="L715" t="str">
            <v>No</v>
          </cell>
          <cell r="M715" t="str">
            <v>0-6 mo</v>
          </cell>
          <cell r="N715" t="str">
            <v>36-45 yrs</v>
          </cell>
        </row>
        <row r="716">
          <cell r="A716" t="str">
            <v>C1715</v>
          </cell>
          <cell r="E716" t="str">
            <v>Hyderabad</v>
          </cell>
          <cell r="F716" t="str">
            <v>Month-to-month</v>
          </cell>
          <cell r="H716">
            <v>1299</v>
          </cell>
          <cell r="J716" t="str">
            <v>Unknown</v>
          </cell>
          <cell r="L716" t="str">
            <v>Yes</v>
          </cell>
          <cell r="M716" t="str">
            <v>13-24 mo</v>
          </cell>
          <cell r="N716" t="str">
            <v>36-45 yrs</v>
          </cell>
        </row>
        <row r="717">
          <cell r="A717" t="str">
            <v>C1716</v>
          </cell>
          <cell r="E717" t="str">
            <v>Kolkata</v>
          </cell>
          <cell r="F717" t="str">
            <v>Two year</v>
          </cell>
          <cell r="H717">
            <v>899</v>
          </cell>
          <cell r="J717" t="str">
            <v>DSL</v>
          </cell>
          <cell r="L717" t="str">
            <v>No</v>
          </cell>
          <cell r="M717" t="str">
            <v>7-12 mo</v>
          </cell>
          <cell r="N717" t="str">
            <v>60+ yrs</v>
          </cell>
        </row>
        <row r="718">
          <cell r="A718" t="str">
            <v>C1717</v>
          </cell>
          <cell r="E718" t="str">
            <v>Ahmedabad</v>
          </cell>
          <cell r="F718" t="str">
            <v>Month-to-month</v>
          </cell>
          <cell r="H718">
            <v>999</v>
          </cell>
          <cell r="J718" t="str">
            <v>Fiber</v>
          </cell>
          <cell r="L718" t="str">
            <v>No</v>
          </cell>
          <cell r="M718" t="str">
            <v>13-24 mo</v>
          </cell>
          <cell r="N718" t="str">
            <v>18-25 yrs</v>
          </cell>
        </row>
        <row r="719">
          <cell r="A719" t="str">
            <v>C1718</v>
          </cell>
          <cell r="E719" t="str">
            <v>Indore</v>
          </cell>
          <cell r="F719" t="str">
            <v>One year</v>
          </cell>
          <cell r="H719">
            <v>1099</v>
          </cell>
          <cell r="J719" t="str">
            <v>Fiber</v>
          </cell>
          <cell r="L719" t="str">
            <v>No</v>
          </cell>
          <cell r="M719" t="str">
            <v>7-12 mo</v>
          </cell>
          <cell r="N719" t="str">
            <v>36-45 yrs</v>
          </cell>
        </row>
        <row r="720">
          <cell r="A720" t="str">
            <v>C1719</v>
          </cell>
          <cell r="E720" t="str">
            <v>Chandigarh</v>
          </cell>
          <cell r="F720" t="str">
            <v>One year</v>
          </cell>
          <cell r="H720">
            <v>1099</v>
          </cell>
          <cell r="J720" t="str">
            <v>Fiber</v>
          </cell>
          <cell r="L720" t="str">
            <v>Yes</v>
          </cell>
          <cell r="M720" t="str">
            <v>7-12 mo</v>
          </cell>
          <cell r="N720" t="str">
            <v>26-35 yrs</v>
          </cell>
        </row>
        <row r="721">
          <cell r="A721" t="str">
            <v>C1720</v>
          </cell>
          <cell r="E721" t="str">
            <v>Ahmedabad</v>
          </cell>
          <cell r="F721" t="str">
            <v>Month-to-month</v>
          </cell>
          <cell r="H721">
            <v>1149</v>
          </cell>
          <cell r="J721" t="str">
            <v>Fiber</v>
          </cell>
          <cell r="L721" t="str">
            <v>No</v>
          </cell>
          <cell r="M721" t="str">
            <v>13-24 mo</v>
          </cell>
          <cell r="N721" t="str">
            <v>26-35 yrs</v>
          </cell>
        </row>
        <row r="722">
          <cell r="A722" t="str">
            <v>C1721</v>
          </cell>
          <cell r="E722" t="str">
            <v>Kolkata</v>
          </cell>
          <cell r="F722" t="str">
            <v>Two year</v>
          </cell>
          <cell r="H722">
            <v>1099</v>
          </cell>
          <cell r="J722" t="str">
            <v>Fiber</v>
          </cell>
          <cell r="L722" t="str">
            <v>No</v>
          </cell>
          <cell r="M722" t="str">
            <v>49+ mo</v>
          </cell>
          <cell r="N722" t="str">
            <v>46-60 yrs</v>
          </cell>
        </row>
        <row r="723">
          <cell r="A723" t="str">
            <v>C1722</v>
          </cell>
          <cell r="E723" t="str">
            <v>Jaipur</v>
          </cell>
          <cell r="F723" t="str">
            <v>Two year</v>
          </cell>
          <cell r="H723">
            <v>749</v>
          </cell>
          <cell r="J723" t="str">
            <v>DSL</v>
          </cell>
          <cell r="L723" t="str">
            <v>No</v>
          </cell>
          <cell r="M723" t="str">
            <v>25-48 mo</v>
          </cell>
          <cell r="N723" t="str">
            <v>60+ yrs</v>
          </cell>
        </row>
        <row r="724">
          <cell r="A724" t="str">
            <v>C1723</v>
          </cell>
          <cell r="E724" t="str">
            <v>Kolkata</v>
          </cell>
          <cell r="F724" t="str">
            <v>Month-to-month</v>
          </cell>
          <cell r="H724">
            <v>1149</v>
          </cell>
          <cell r="J724" t="str">
            <v>Fiber</v>
          </cell>
          <cell r="L724" t="str">
            <v>Yes</v>
          </cell>
          <cell r="M724" t="str">
            <v>7-12 mo</v>
          </cell>
          <cell r="N724" t="str">
            <v>60+ yrs</v>
          </cell>
        </row>
        <row r="725">
          <cell r="A725" t="str">
            <v>C1724</v>
          </cell>
          <cell r="E725" t="str">
            <v>Delhi</v>
          </cell>
          <cell r="F725" t="str">
            <v>One year</v>
          </cell>
          <cell r="H725">
            <v>749</v>
          </cell>
          <cell r="J725" t="str">
            <v>DSL</v>
          </cell>
          <cell r="L725" t="str">
            <v>No</v>
          </cell>
          <cell r="M725" t="str">
            <v>25-48 mo</v>
          </cell>
          <cell r="N725" t="str">
            <v>46-60 yrs</v>
          </cell>
        </row>
        <row r="726">
          <cell r="A726" t="str">
            <v>C1725</v>
          </cell>
          <cell r="E726" t="str">
            <v>Jaipur</v>
          </cell>
          <cell r="F726" t="str">
            <v>Month-to-month</v>
          </cell>
          <cell r="H726">
            <v>449</v>
          </cell>
          <cell r="J726" t="str">
            <v>No Internet</v>
          </cell>
          <cell r="L726" t="str">
            <v>No</v>
          </cell>
          <cell r="M726" t="str">
            <v>13-24 mo</v>
          </cell>
          <cell r="N726" t="str">
            <v>18-25 yrs</v>
          </cell>
        </row>
        <row r="727">
          <cell r="A727" t="str">
            <v>C1726</v>
          </cell>
          <cell r="E727" t="str">
            <v>Bhopal</v>
          </cell>
          <cell r="F727" t="str">
            <v>Two year</v>
          </cell>
          <cell r="H727">
            <v>799</v>
          </cell>
          <cell r="J727" t="str">
            <v>DSL</v>
          </cell>
          <cell r="L727" t="str">
            <v>No</v>
          </cell>
          <cell r="M727" t="str">
            <v>13-24 mo</v>
          </cell>
          <cell r="N727" t="str">
            <v>60+ yrs</v>
          </cell>
        </row>
        <row r="728">
          <cell r="A728" t="str">
            <v>C1727</v>
          </cell>
          <cell r="E728" t="str">
            <v>Mumbai</v>
          </cell>
          <cell r="F728" t="str">
            <v>One year</v>
          </cell>
          <cell r="H728">
            <v>999</v>
          </cell>
          <cell r="J728" t="str">
            <v>Fiber</v>
          </cell>
          <cell r="L728" t="str">
            <v>Unknown</v>
          </cell>
          <cell r="M728" t="str">
            <v>25-48 mo</v>
          </cell>
          <cell r="N728" t="str">
            <v>36-45 yrs</v>
          </cell>
        </row>
        <row r="729">
          <cell r="A729" t="str">
            <v>C1728</v>
          </cell>
          <cell r="E729" t="str">
            <v>Chandigarh</v>
          </cell>
          <cell r="F729" t="str">
            <v>Month-to-month</v>
          </cell>
          <cell r="H729">
            <v>899</v>
          </cell>
          <cell r="J729" t="str">
            <v>DSL</v>
          </cell>
          <cell r="L729" t="str">
            <v>No</v>
          </cell>
          <cell r="M729" t="str">
            <v>13-24 mo</v>
          </cell>
          <cell r="N729" t="str">
            <v>18-25 yrs</v>
          </cell>
        </row>
        <row r="730">
          <cell r="A730" t="str">
            <v>C1729</v>
          </cell>
          <cell r="E730" t="str">
            <v>Lucknow</v>
          </cell>
          <cell r="F730" t="str">
            <v>Unknown</v>
          </cell>
          <cell r="H730">
            <v>499</v>
          </cell>
          <cell r="J730" t="str">
            <v>No Internet</v>
          </cell>
          <cell r="L730" t="str">
            <v>No</v>
          </cell>
          <cell r="M730" t="str">
            <v>25-48 mo</v>
          </cell>
          <cell r="N730" t="str">
            <v>46-60 yrs</v>
          </cell>
        </row>
        <row r="731">
          <cell r="A731" t="str">
            <v>C1730</v>
          </cell>
          <cell r="E731" t="str">
            <v>Chennai</v>
          </cell>
          <cell r="F731" t="str">
            <v>One year</v>
          </cell>
          <cell r="H731">
            <v>749</v>
          </cell>
          <cell r="J731" t="str">
            <v>DSL</v>
          </cell>
          <cell r="L731" t="str">
            <v>No</v>
          </cell>
          <cell r="M731" t="str">
            <v>25-48 mo</v>
          </cell>
          <cell r="N731" t="str">
            <v>18-25 yrs</v>
          </cell>
        </row>
        <row r="732">
          <cell r="A732" t="str">
            <v>C1731</v>
          </cell>
          <cell r="E732" t="str">
            <v>Kolkata</v>
          </cell>
          <cell r="F732" t="str">
            <v>Month-to-month</v>
          </cell>
          <cell r="H732">
            <v>699</v>
          </cell>
          <cell r="J732" t="str">
            <v>DSL</v>
          </cell>
          <cell r="L732" t="str">
            <v>Yes</v>
          </cell>
          <cell r="M732" t="str">
            <v>13-24 mo</v>
          </cell>
          <cell r="N732" t="str">
            <v>36-45 yrs</v>
          </cell>
        </row>
        <row r="733">
          <cell r="A733" t="str">
            <v>C1732</v>
          </cell>
          <cell r="E733" t="str">
            <v>Chennai</v>
          </cell>
          <cell r="F733" t="str">
            <v>One year</v>
          </cell>
          <cell r="H733">
            <v>849</v>
          </cell>
          <cell r="J733" t="str">
            <v>DSL</v>
          </cell>
          <cell r="L733" t="str">
            <v>No</v>
          </cell>
          <cell r="M733" t="str">
            <v>25-48 mo</v>
          </cell>
          <cell r="N733" t="str">
            <v>26-35 yrs</v>
          </cell>
        </row>
        <row r="734">
          <cell r="A734" t="str">
            <v>C1733</v>
          </cell>
          <cell r="E734" t="str">
            <v>Chennai</v>
          </cell>
          <cell r="F734" t="str">
            <v>Month-to-month</v>
          </cell>
          <cell r="H734">
            <v>699</v>
          </cell>
          <cell r="J734" t="str">
            <v>DSL</v>
          </cell>
          <cell r="L734" t="str">
            <v>No</v>
          </cell>
          <cell r="M734" t="str">
            <v>13-24 mo</v>
          </cell>
          <cell r="N734" t="str">
            <v>18-25 yrs</v>
          </cell>
        </row>
        <row r="735">
          <cell r="A735" t="str">
            <v>C1734</v>
          </cell>
          <cell r="E735" t="str">
            <v>Kochi</v>
          </cell>
          <cell r="F735" t="str">
            <v>One year</v>
          </cell>
          <cell r="H735">
            <v>899</v>
          </cell>
          <cell r="J735" t="str">
            <v>DSL</v>
          </cell>
          <cell r="L735" t="str">
            <v>Unknown</v>
          </cell>
          <cell r="M735" t="str">
            <v>25-48 mo</v>
          </cell>
          <cell r="N735" t="str">
            <v>26-35 yrs</v>
          </cell>
        </row>
        <row r="736">
          <cell r="A736" t="str">
            <v>C1735</v>
          </cell>
          <cell r="E736" t="str">
            <v>Kolkata</v>
          </cell>
          <cell r="F736" t="str">
            <v>Month-to-month</v>
          </cell>
          <cell r="H736">
            <v>649</v>
          </cell>
          <cell r="J736" t="str">
            <v>DSL</v>
          </cell>
          <cell r="L736" t="str">
            <v>No</v>
          </cell>
          <cell r="M736" t="str">
            <v>13-24 mo</v>
          </cell>
          <cell r="N736" t="str">
            <v>46-60 yrs</v>
          </cell>
        </row>
        <row r="737">
          <cell r="A737" t="str">
            <v>C1736</v>
          </cell>
          <cell r="E737" t="str">
            <v>Kochi</v>
          </cell>
          <cell r="F737" t="str">
            <v>Month-to-month</v>
          </cell>
          <cell r="H737">
            <v>1299</v>
          </cell>
          <cell r="J737" t="str">
            <v>Fiber</v>
          </cell>
          <cell r="L737" t="str">
            <v>Yes</v>
          </cell>
          <cell r="M737" t="str">
            <v>13-24 mo</v>
          </cell>
          <cell r="N737" t="str">
            <v>46-60 yrs</v>
          </cell>
        </row>
        <row r="738">
          <cell r="A738" t="str">
            <v>C1737</v>
          </cell>
          <cell r="E738" t="str">
            <v>Hyderabad</v>
          </cell>
          <cell r="F738" t="str">
            <v>Month-to-month</v>
          </cell>
          <cell r="H738">
            <v>899</v>
          </cell>
          <cell r="J738" t="str">
            <v>Fiber</v>
          </cell>
          <cell r="L738" t="str">
            <v>No</v>
          </cell>
          <cell r="M738" t="str">
            <v>13-24 mo</v>
          </cell>
          <cell r="N738" t="str">
            <v>60+ yrs</v>
          </cell>
        </row>
        <row r="739">
          <cell r="A739" t="str">
            <v>C1738</v>
          </cell>
          <cell r="E739" t="str">
            <v>Ahmedabad</v>
          </cell>
          <cell r="F739" t="str">
            <v>Month-to-month</v>
          </cell>
          <cell r="H739">
            <v>749</v>
          </cell>
          <cell r="J739" t="str">
            <v>DSL</v>
          </cell>
          <cell r="L739" t="str">
            <v>No</v>
          </cell>
          <cell r="M739" t="str">
            <v>13-24 mo</v>
          </cell>
          <cell r="N739" t="str">
            <v>18-25 yrs</v>
          </cell>
        </row>
        <row r="740">
          <cell r="A740" t="str">
            <v>C1739</v>
          </cell>
          <cell r="E740" t="str">
            <v>Jaipur</v>
          </cell>
          <cell r="F740" t="str">
            <v>One year</v>
          </cell>
          <cell r="H740">
            <v>849</v>
          </cell>
          <cell r="J740" t="str">
            <v>DSL</v>
          </cell>
          <cell r="L740" t="str">
            <v>No</v>
          </cell>
          <cell r="M740" t="str">
            <v>25-48 mo</v>
          </cell>
          <cell r="N740" t="str">
            <v>60+ yrs</v>
          </cell>
        </row>
        <row r="741">
          <cell r="A741" t="str">
            <v>C1740</v>
          </cell>
          <cell r="E741" t="str">
            <v>Kochi</v>
          </cell>
          <cell r="F741" t="str">
            <v>Month-to-month</v>
          </cell>
          <cell r="H741">
            <v>1049</v>
          </cell>
          <cell r="J741" t="str">
            <v>Fiber</v>
          </cell>
          <cell r="L741" t="str">
            <v>Yes</v>
          </cell>
          <cell r="M741" t="str">
            <v>7-12 mo</v>
          </cell>
          <cell r="N741" t="str">
            <v>46-60 yrs</v>
          </cell>
        </row>
        <row r="742">
          <cell r="A742" t="str">
            <v>C1741</v>
          </cell>
          <cell r="E742" t="str">
            <v>Lucknow</v>
          </cell>
          <cell r="F742" t="str">
            <v>Month-to-month</v>
          </cell>
          <cell r="H742">
            <v>549</v>
          </cell>
          <cell r="J742" t="str">
            <v>No Internet</v>
          </cell>
          <cell r="L742" t="str">
            <v>Yes</v>
          </cell>
          <cell r="M742" t="str">
            <v>0-6 mo</v>
          </cell>
          <cell r="N742" t="str">
            <v>46-60 yrs</v>
          </cell>
        </row>
        <row r="743">
          <cell r="A743" t="str">
            <v>C1742</v>
          </cell>
          <cell r="E743" t="str">
            <v>Bhopal</v>
          </cell>
          <cell r="F743" t="str">
            <v>One year</v>
          </cell>
          <cell r="H743">
            <v>1299</v>
          </cell>
          <cell r="J743" t="str">
            <v>Fiber</v>
          </cell>
          <cell r="L743" t="str">
            <v>No</v>
          </cell>
          <cell r="M743" t="str">
            <v>25-48 mo</v>
          </cell>
          <cell r="N743" t="str">
            <v>46-60 yrs</v>
          </cell>
        </row>
        <row r="744">
          <cell r="A744" t="str">
            <v>C1743</v>
          </cell>
          <cell r="E744" t="str">
            <v>Kolkata</v>
          </cell>
          <cell r="F744" t="str">
            <v>Unknown</v>
          </cell>
          <cell r="J744" t="str">
            <v>Fiber</v>
          </cell>
          <cell r="L744" t="str">
            <v>No</v>
          </cell>
          <cell r="M744" t="str">
            <v>Unknown</v>
          </cell>
          <cell r="N744" t="str">
            <v>60+ yrs</v>
          </cell>
        </row>
        <row r="745">
          <cell r="A745" t="str">
            <v>C1744</v>
          </cell>
          <cell r="E745" t="str">
            <v>Unknown</v>
          </cell>
          <cell r="F745" t="str">
            <v>Month-to-month</v>
          </cell>
          <cell r="H745">
            <v>699</v>
          </cell>
          <cell r="J745" t="str">
            <v>DSL</v>
          </cell>
          <cell r="L745" t="str">
            <v>No</v>
          </cell>
          <cell r="M745" t="str">
            <v>13-24 mo</v>
          </cell>
          <cell r="N745" t="str">
            <v>26-35 yrs</v>
          </cell>
        </row>
        <row r="746">
          <cell r="A746" t="str">
            <v>C1745</v>
          </cell>
          <cell r="E746" t="str">
            <v>Pune</v>
          </cell>
          <cell r="F746" t="str">
            <v>Month-to-month</v>
          </cell>
          <cell r="H746">
            <v>1149</v>
          </cell>
          <cell r="J746" t="str">
            <v>Fiber</v>
          </cell>
          <cell r="L746" t="str">
            <v>Yes</v>
          </cell>
          <cell r="M746" t="str">
            <v>13-24 mo</v>
          </cell>
          <cell r="N746" t="str">
            <v>46-60 yrs</v>
          </cell>
        </row>
        <row r="747">
          <cell r="A747" t="str">
            <v>C1746</v>
          </cell>
          <cell r="E747" t="str">
            <v>Jaipur</v>
          </cell>
          <cell r="F747" t="str">
            <v>Month-to-month</v>
          </cell>
          <cell r="H747">
            <v>1149</v>
          </cell>
          <cell r="J747" t="str">
            <v>Fiber</v>
          </cell>
          <cell r="L747" t="str">
            <v>No</v>
          </cell>
          <cell r="M747" t="str">
            <v>13-24 mo</v>
          </cell>
          <cell r="N747" t="str">
            <v>46-60 yrs</v>
          </cell>
        </row>
        <row r="748">
          <cell r="A748" t="str">
            <v>C1747</v>
          </cell>
          <cell r="E748" t="str">
            <v>Lucknow</v>
          </cell>
          <cell r="F748" t="str">
            <v>Two year</v>
          </cell>
          <cell r="H748">
            <v>349</v>
          </cell>
          <cell r="J748" t="str">
            <v>No Internet</v>
          </cell>
          <cell r="L748" t="str">
            <v>No</v>
          </cell>
          <cell r="M748" t="str">
            <v>25-48 mo</v>
          </cell>
          <cell r="N748" t="str">
            <v>26-35 yrs</v>
          </cell>
        </row>
        <row r="749">
          <cell r="A749" t="str">
            <v>C1748</v>
          </cell>
          <cell r="E749" t="str">
            <v>Kolkata</v>
          </cell>
          <cell r="F749" t="str">
            <v>One year</v>
          </cell>
          <cell r="H749">
            <v>499</v>
          </cell>
          <cell r="J749" t="str">
            <v>No Internet</v>
          </cell>
          <cell r="L749" t="str">
            <v>No</v>
          </cell>
          <cell r="M749" t="str">
            <v>0-6 mo</v>
          </cell>
          <cell r="N749" t="str">
            <v>18-25 yrs</v>
          </cell>
        </row>
        <row r="750">
          <cell r="A750" t="str">
            <v>C1749</v>
          </cell>
          <cell r="E750" t="str">
            <v>Ahmedabad</v>
          </cell>
          <cell r="F750" t="str">
            <v>Month-to-month</v>
          </cell>
          <cell r="H750">
            <v>999</v>
          </cell>
          <cell r="J750" t="str">
            <v>Fiber</v>
          </cell>
          <cell r="L750" t="str">
            <v>Yes</v>
          </cell>
          <cell r="M750" t="str">
            <v>0-6 mo</v>
          </cell>
          <cell r="N750" t="str">
            <v>46-60 yrs</v>
          </cell>
        </row>
        <row r="751">
          <cell r="A751" t="str">
            <v>C1750</v>
          </cell>
          <cell r="E751" t="str">
            <v>Hyderabad</v>
          </cell>
          <cell r="F751" t="str">
            <v>Month-to-month</v>
          </cell>
          <cell r="H751">
            <v>499</v>
          </cell>
          <cell r="J751" t="str">
            <v>No Internet</v>
          </cell>
          <cell r="L751" t="str">
            <v>No</v>
          </cell>
          <cell r="M751" t="str">
            <v>0-6 mo</v>
          </cell>
          <cell r="N751" t="str">
            <v>36-45 yrs</v>
          </cell>
        </row>
        <row r="752">
          <cell r="A752" t="str">
            <v>C1751</v>
          </cell>
          <cell r="E752" t="str">
            <v>Chennai</v>
          </cell>
          <cell r="F752" t="str">
            <v>Month-to-month</v>
          </cell>
          <cell r="H752">
            <v>1099</v>
          </cell>
          <cell r="J752" t="str">
            <v>Fiber</v>
          </cell>
          <cell r="L752" t="str">
            <v>Yes</v>
          </cell>
          <cell r="M752" t="str">
            <v>0-6 mo</v>
          </cell>
          <cell r="N752" t="str">
            <v>36-45 yrs</v>
          </cell>
        </row>
        <row r="753">
          <cell r="A753" t="str">
            <v>C1752</v>
          </cell>
          <cell r="E753" t="str">
            <v>Ahmedabad</v>
          </cell>
          <cell r="F753" t="str">
            <v>Month-to-month</v>
          </cell>
          <cell r="H753">
            <v>899</v>
          </cell>
          <cell r="J753" t="str">
            <v>DSL</v>
          </cell>
          <cell r="L753" t="str">
            <v>No</v>
          </cell>
          <cell r="M753" t="str">
            <v>0-6 mo</v>
          </cell>
          <cell r="N753" t="str">
            <v>18-25 yrs</v>
          </cell>
        </row>
        <row r="754">
          <cell r="A754" t="str">
            <v>C1753</v>
          </cell>
          <cell r="E754" t="str">
            <v>Lucknow</v>
          </cell>
          <cell r="F754" t="str">
            <v>Month-to-month</v>
          </cell>
          <cell r="H754">
            <v>349</v>
          </cell>
          <cell r="J754" t="str">
            <v>No Internet</v>
          </cell>
          <cell r="L754" t="str">
            <v>No</v>
          </cell>
          <cell r="M754" t="str">
            <v>0-6 mo</v>
          </cell>
          <cell r="N754" t="str">
            <v>46-60 yrs</v>
          </cell>
        </row>
        <row r="755">
          <cell r="A755" t="str">
            <v>C1754</v>
          </cell>
          <cell r="E755" t="str">
            <v>Indore</v>
          </cell>
          <cell r="F755" t="str">
            <v>Month-to-month</v>
          </cell>
          <cell r="H755">
            <v>799</v>
          </cell>
          <cell r="J755" t="str">
            <v>DSL</v>
          </cell>
          <cell r="L755" t="str">
            <v>No</v>
          </cell>
          <cell r="M755" t="str">
            <v>0-6 mo</v>
          </cell>
          <cell r="N755" t="str">
            <v>46-60 yrs</v>
          </cell>
        </row>
        <row r="756">
          <cell r="A756" t="str">
            <v>C1755</v>
          </cell>
          <cell r="E756" t="str">
            <v>Chandigarh</v>
          </cell>
          <cell r="F756" t="str">
            <v>One year</v>
          </cell>
          <cell r="H756">
            <v>1099</v>
          </cell>
          <cell r="J756" t="str">
            <v>Fiber</v>
          </cell>
          <cell r="L756" t="str">
            <v>No</v>
          </cell>
          <cell r="M756" t="str">
            <v>0-6 mo</v>
          </cell>
          <cell r="N756" t="str">
            <v>26-35 yrs</v>
          </cell>
        </row>
        <row r="757">
          <cell r="A757" t="str">
            <v>C1756</v>
          </cell>
          <cell r="E757" t="str">
            <v>Kochi</v>
          </cell>
          <cell r="F757" t="str">
            <v>Month-to-month</v>
          </cell>
          <cell r="H757">
            <v>899</v>
          </cell>
          <cell r="J757" t="str">
            <v>Fiber</v>
          </cell>
          <cell r="L757" t="str">
            <v>Yes</v>
          </cell>
          <cell r="M757" t="str">
            <v>13-24 mo</v>
          </cell>
          <cell r="N757" t="str">
            <v>60+ yrs</v>
          </cell>
        </row>
        <row r="758">
          <cell r="A758" t="str">
            <v>C1757</v>
          </cell>
          <cell r="E758" t="str">
            <v>Lucknow</v>
          </cell>
          <cell r="F758" t="str">
            <v>Month-to-month</v>
          </cell>
          <cell r="H758">
            <v>1099</v>
          </cell>
          <cell r="J758" t="str">
            <v>Fiber</v>
          </cell>
          <cell r="L758" t="str">
            <v>Yes</v>
          </cell>
          <cell r="M758" t="str">
            <v>7-12 mo</v>
          </cell>
          <cell r="N758" t="str">
            <v>60+ yrs</v>
          </cell>
        </row>
        <row r="759">
          <cell r="A759" t="str">
            <v>C1758</v>
          </cell>
          <cell r="E759" t="str">
            <v>Chennai</v>
          </cell>
          <cell r="F759" t="str">
            <v>One year</v>
          </cell>
          <cell r="H759">
            <v>1149</v>
          </cell>
          <cell r="J759" t="str">
            <v>Fiber</v>
          </cell>
          <cell r="L759" t="str">
            <v>Unknown</v>
          </cell>
          <cell r="M759" t="str">
            <v>13-24 mo</v>
          </cell>
          <cell r="N759" t="str">
            <v>26-35 yrs</v>
          </cell>
        </row>
        <row r="760">
          <cell r="A760" t="str">
            <v>C1759</v>
          </cell>
          <cell r="E760" t="str">
            <v>Chennai</v>
          </cell>
          <cell r="F760" t="str">
            <v>Month-to-month</v>
          </cell>
          <cell r="H760">
            <v>849</v>
          </cell>
          <cell r="J760" t="str">
            <v>DSL</v>
          </cell>
          <cell r="L760" t="str">
            <v>Yes</v>
          </cell>
          <cell r="M760" t="str">
            <v>13-24 mo</v>
          </cell>
          <cell r="N760" t="str">
            <v>36-45 yrs</v>
          </cell>
        </row>
        <row r="761">
          <cell r="A761" t="str">
            <v>C1760</v>
          </cell>
          <cell r="E761" t="str">
            <v>Hyderabad</v>
          </cell>
          <cell r="F761" t="str">
            <v>One year</v>
          </cell>
          <cell r="H761">
            <v>699</v>
          </cell>
          <cell r="J761" t="str">
            <v>DSL</v>
          </cell>
          <cell r="L761" t="str">
            <v>No</v>
          </cell>
          <cell r="M761" t="str">
            <v>0-6 mo</v>
          </cell>
          <cell r="N761" t="str">
            <v>26-35 yrs</v>
          </cell>
        </row>
        <row r="762">
          <cell r="A762" t="str">
            <v>C1761</v>
          </cell>
          <cell r="E762" t="str">
            <v>Lucknow</v>
          </cell>
          <cell r="F762" t="str">
            <v>Month-to-month</v>
          </cell>
          <cell r="H762">
            <v>749</v>
          </cell>
          <cell r="J762" t="str">
            <v>DSL</v>
          </cell>
          <cell r="L762" t="str">
            <v>Yes</v>
          </cell>
          <cell r="M762" t="str">
            <v>0-6 mo</v>
          </cell>
          <cell r="N762" t="str">
            <v>36-45 yrs</v>
          </cell>
        </row>
        <row r="763">
          <cell r="A763" t="str">
            <v>C1762</v>
          </cell>
          <cell r="E763" t="str">
            <v>Ahmedabad</v>
          </cell>
          <cell r="F763" t="str">
            <v>One year</v>
          </cell>
          <cell r="H763">
            <v>899</v>
          </cell>
          <cell r="J763" t="str">
            <v>DSL</v>
          </cell>
          <cell r="L763" t="str">
            <v>No</v>
          </cell>
          <cell r="M763" t="str">
            <v>13-24 mo</v>
          </cell>
          <cell r="N763" t="str">
            <v>26-35 yrs</v>
          </cell>
        </row>
        <row r="764">
          <cell r="A764" t="str">
            <v>C1763</v>
          </cell>
          <cell r="E764" t="str">
            <v>Pune</v>
          </cell>
          <cell r="F764" t="str">
            <v>Month-to-month</v>
          </cell>
          <cell r="H764">
            <v>749</v>
          </cell>
          <cell r="J764" t="str">
            <v>DSL</v>
          </cell>
          <cell r="L764" t="str">
            <v>No</v>
          </cell>
          <cell r="M764" t="str">
            <v>7-12 mo</v>
          </cell>
          <cell r="N764" t="str">
            <v>18-25 yrs</v>
          </cell>
        </row>
        <row r="765">
          <cell r="A765" t="str">
            <v>C1764</v>
          </cell>
          <cell r="E765" t="str">
            <v>Chennai</v>
          </cell>
          <cell r="F765" t="str">
            <v>Month-to-month</v>
          </cell>
          <cell r="H765">
            <v>549</v>
          </cell>
          <cell r="J765" t="str">
            <v>No Internet</v>
          </cell>
          <cell r="L765" t="str">
            <v>Yes</v>
          </cell>
          <cell r="M765" t="str">
            <v>13-24 mo</v>
          </cell>
          <cell r="N765" t="str">
            <v>26-35 yrs</v>
          </cell>
        </row>
        <row r="766">
          <cell r="A766" t="str">
            <v>C1765</v>
          </cell>
          <cell r="E766" t="str">
            <v>Delhi</v>
          </cell>
          <cell r="F766" t="str">
            <v>Two year</v>
          </cell>
          <cell r="H766">
            <v>699</v>
          </cell>
          <cell r="J766" t="str">
            <v>DSL</v>
          </cell>
          <cell r="L766" t="str">
            <v>No</v>
          </cell>
          <cell r="M766" t="str">
            <v>13-24 mo</v>
          </cell>
          <cell r="N766" t="str">
            <v>18-25 yrs</v>
          </cell>
        </row>
        <row r="767">
          <cell r="A767" t="str">
            <v>C1766</v>
          </cell>
          <cell r="E767" t="str">
            <v>Lucknow</v>
          </cell>
          <cell r="F767" t="str">
            <v>Two year</v>
          </cell>
          <cell r="H767">
            <v>399</v>
          </cell>
          <cell r="J767" t="str">
            <v>No Internet</v>
          </cell>
          <cell r="L767" t="str">
            <v>No</v>
          </cell>
          <cell r="M767" t="str">
            <v>7-12 mo</v>
          </cell>
          <cell r="N767" t="str">
            <v>60+ yrs</v>
          </cell>
        </row>
        <row r="768">
          <cell r="A768" t="str">
            <v>C1767</v>
          </cell>
          <cell r="E768" t="str">
            <v>Kolkata</v>
          </cell>
          <cell r="F768" t="str">
            <v>Two year</v>
          </cell>
          <cell r="H768">
            <v>899</v>
          </cell>
          <cell r="J768" t="str">
            <v>DSL</v>
          </cell>
          <cell r="L768" t="str">
            <v>No</v>
          </cell>
          <cell r="M768" t="str">
            <v>0-6 mo</v>
          </cell>
          <cell r="N768" t="str">
            <v>46-60 yrs</v>
          </cell>
        </row>
        <row r="769">
          <cell r="A769" t="str">
            <v>C1768</v>
          </cell>
          <cell r="E769" t="str">
            <v>Delhi</v>
          </cell>
          <cell r="F769" t="str">
            <v>One year</v>
          </cell>
          <cell r="H769">
            <v>899</v>
          </cell>
          <cell r="J769" t="str">
            <v>DSL</v>
          </cell>
          <cell r="L769" t="str">
            <v>No</v>
          </cell>
          <cell r="M769" t="str">
            <v>7-12 mo</v>
          </cell>
          <cell r="N769" t="str">
            <v>26-35 yrs</v>
          </cell>
        </row>
        <row r="770">
          <cell r="A770" t="str">
            <v>C1769</v>
          </cell>
          <cell r="E770" t="str">
            <v>Mumbai</v>
          </cell>
          <cell r="F770" t="str">
            <v>Month-to-month</v>
          </cell>
          <cell r="H770">
            <v>1149</v>
          </cell>
          <cell r="J770" t="str">
            <v>Fiber</v>
          </cell>
          <cell r="L770" t="str">
            <v>No</v>
          </cell>
          <cell r="M770" t="str">
            <v>13-24 mo</v>
          </cell>
          <cell r="N770" t="str">
            <v>46-60 yrs</v>
          </cell>
        </row>
        <row r="771">
          <cell r="A771" t="str">
            <v>C1770</v>
          </cell>
          <cell r="E771" t="str">
            <v>Jaipur</v>
          </cell>
          <cell r="F771" t="str">
            <v>One year</v>
          </cell>
          <cell r="H771">
            <v>1049</v>
          </cell>
          <cell r="J771" t="str">
            <v>Fiber</v>
          </cell>
          <cell r="L771" t="str">
            <v>No</v>
          </cell>
          <cell r="M771" t="str">
            <v>25-48 mo</v>
          </cell>
          <cell r="N771" t="str">
            <v>36-45 yrs</v>
          </cell>
        </row>
        <row r="772">
          <cell r="A772" t="str">
            <v>C1771</v>
          </cell>
          <cell r="E772" t="str">
            <v>Hyderabad</v>
          </cell>
          <cell r="F772" t="str">
            <v>Month-to-month</v>
          </cell>
          <cell r="H772">
            <v>699</v>
          </cell>
          <cell r="J772" t="str">
            <v>DSL</v>
          </cell>
          <cell r="L772" t="str">
            <v>No</v>
          </cell>
          <cell r="M772" t="str">
            <v>7-12 mo</v>
          </cell>
          <cell r="N772" t="str">
            <v>60+ yrs</v>
          </cell>
        </row>
        <row r="773">
          <cell r="A773" t="str">
            <v>C1772</v>
          </cell>
          <cell r="E773" t="str">
            <v>Bangalore</v>
          </cell>
          <cell r="F773" t="str">
            <v>One year</v>
          </cell>
          <cell r="H773">
            <v>699</v>
          </cell>
          <cell r="J773" t="str">
            <v>DSL</v>
          </cell>
          <cell r="L773" t="str">
            <v>Yes</v>
          </cell>
          <cell r="M773" t="str">
            <v>25-48 mo</v>
          </cell>
          <cell r="N773" t="str">
            <v>18-25 yrs</v>
          </cell>
        </row>
        <row r="774">
          <cell r="A774" t="str">
            <v>C1773</v>
          </cell>
          <cell r="E774" t="str">
            <v>Kolkata</v>
          </cell>
          <cell r="F774" t="str">
            <v>Month-to-month</v>
          </cell>
          <cell r="H774">
            <v>349</v>
          </cell>
          <cell r="J774" t="str">
            <v>No Internet</v>
          </cell>
          <cell r="L774" t="str">
            <v>Yes</v>
          </cell>
          <cell r="M774" t="str">
            <v>7-12 mo</v>
          </cell>
          <cell r="N774" t="str">
            <v>46-60 yrs</v>
          </cell>
        </row>
        <row r="775">
          <cell r="A775" t="str">
            <v>C1774</v>
          </cell>
          <cell r="E775" t="str">
            <v>Mumbai</v>
          </cell>
          <cell r="F775" t="str">
            <v>Month-to-month</v>
          </cell>
          <cell r="H775">
            <v>899</v>
          </cell>
          <cell r="J775" t="str">
            <v>Fiber</v>
          </cell>
          <cell r="L775" t="str">
            <v>No</v>
          </cell>
          <cell r="M775" t="str">
            <v>13-24 mo</v>
          </cell>
          <cell r="N775" t="str">
            <v>60+ yrs</v>
          </cell>
        </row>
        <row r="776">
          <cell r="A776" t="str">
            <v>C1775</v>
          </cell>
          <cell r="E776" t="str">
            <v>Jaipur</v>
          </cell>
          <cell r="F776" t="str">
            <v>Month-to-month</v>
          </cell>
          <cell r="H776">
            <v>699</v>
          </cell>
          <cell r="J776" t="str">
            <v>DSL</v>
          </cell>
          <cell r="L776" t="str">
            <v>Yes</v>
          </cell>
          <cell r="M776" t="str">
            <v>7-12 mo</v>
          </cell>
          <cell r="N776" t="str">
            <v>18-25 yrs</v>
          </cell>
        </row>
        <row r="777">
          <cell r="A777" t="str">
            <v>C1776</v>
          </cell>
          <cell r="E777" t="str">
            <v>Kochi</v>
          </cell>
          <cell r="F777" t="str">
            <v>Month-to-month</v>
          </cell>
          <cell r="H777">
            <v>549</v>
          </cell>
          <cell r="J777" t="str">
            <v>No Internet</v>
          </cell>
          <cell r="L777" t="str">
            <v>No</v>
          </cell>
          <cell r="M777" t="str">
            <v>13-24 mo</v>
          </cell>
          <cell r="N777" t="str">
            <v>18-25 yrs</v>
          </cell>
        </row>
        <row r="778">
          <cell r="A778" t="str">
            <v>C1777</v>
          </cell>
          <cell r="E778" t="str">
            <v>Kolkata</v>
          </cell>
          <cell r="F778" t="str">
            <v>Month-to-month</v>
          </cell>
          <cell r="H778">
            <v>999</v>
          </cell>
          <cell r="J778" t="str">
            <v>Fiber</v>
          </cell>
          <cell r="L778" t="str">
            <v>No</v>
          </cell>
          <cell r="M778" t="str">
            <v>7-12 mo</v>
          </cell>
          <cell r="N778" t="str">
            <v>60+ yrs</v>
          </cell>
        </row>
        <row r="779">
          <cell r="A779" t="str">
            <v>C1778</v>
          </cell>
          <cell r="E779" t="str">
            <v>Mumbai</v>
          </cell>
          <cell r="F779" t="str">
            <v>Month-to-month</v>
          </cell>
          <cell r="H779">
            <v>749</v>
          </cell>
          <cell r="J779" t="str">
            <v>DSL</v>
          </cell>
          <cell r="L779" t="str">
            <v>No</v>
          </cell>
          <cell r="M779" t="str">
            <v>13-24 mo</v>
          </cell>
          <cell r="N779" t="str">
            <v>60+ yrs</v>
          </cell>
        </row>
        <row r="780">
          <cell r="A780" t="str">
            <v>C1779</v>
          </cell>
          <cell r="E780" t="str">
            <v>Chandigarh</v>
          </cell>
          <cell r="F780" t="str">
            <v>Month-to-month</v>
          </cell>
          <cell r="H780">
            <v>449</v>
          </cell>
          <cell r="J780" t="str">
            <v>No Internet</v>
          </cell>
          <cell r="L780" t="str">
            <v>Yes</v>
          </cell>
          <cell r="M780" t="str">
            <v>0-6 mo</v>
          </cell>
          <cell r="N780" t="str">
            <v>46-60 yrs</v>
          </cell>
        </row>
        <row r="781">
          <cell r="A781" t="str">
            <v>C1780</v>
          </cell>
          <cell r="E781" t="str">
            <v>Unknown</v>
          </cell>
          <cell r="F781" t="str">
            <v>Month-to-month</v>
          </cell>
          <cell r="H781">
            <v>649</v>
          </cell>
          <cell r="J781" t="str">
            <v>DSL</v>
          </cell>
          <cell r="L781" t="str">
            <v>Yes</v>
          </cell>
          <cell r="M781" t="str">
            <v>0-6 mo</v>
          </cell>
          <cell r="N781" t="str">
            <v>46-60 yrs</v>
          </cell>
        </row>
        <row r="782">
          <cell r="A782" t="str">
            <v>C1781</v>
          </cell>
          <cell r="E782" t="str">
            <v>Mumbai</v>
          </cell>
          <cell r="F782" t="str">
            <v>Month-to-month</v>
          </cell>
          <cell r="H782">
            <v>699</v>
          </cell>
          <cell r="J782" t="str">
            <v>DSL</v>
          </cell>
          <cell r="L782" t="str">
            <v>No</v>
          </cell>
          <cell r="M782" t="str">
            <v>0-6 mo</v>
          </cell>
          <cell r="N782" t="str">
            <v>36-45 yrs</v>
          </cell>
        </row>
        <row r="783">
          <cell r="A783" t="str">
            <v>C1782</v>
          </cell>
          <cell r="E783" t="str">
            <v>Jaipur</v>
          </cell>
          <cell r="F783" t="str">
            <v>Month-to-month</v>
          </cell>
          <cell r="H783">
            <v>399</v>
          </cell>
          <cell r="J783" t="str">
            <v>No Internet</v>
          </cell>
          <cell r="L783" t="str">
            <v>Yes</v>
          </cell>
          <cell r="M783" t="str">
            <v>13-24 mo</v>
          </cell>
          <cell r="N783" t="str">
            <v>60+ yrs</v>
          </cell>
        </row>
        <row r="784">
          <cell r="A784" t="str">
            <v>C1783</v>
          </cell>
          <cell r="E784" t="str">
            <v>Chennai</v>
          </cell>
          <cell r="F784" t="str">
            <v>One year</v>
          </cell>
          <cell r="H784">
            <v>699</v>
          </cell>
          <cell r="J784" t="str">
            <v>DSL</v>
          </cell>
          <cell r="L784" t="str">
            <v>Yes</v>
          </cell>
          <cell r="M784" t="str">
            <v>0-6 mo</v>
          </cell>
          <cell r="N784" t="str">
            <v>26-35 yrs</v>
          </cell>
        </row>
        <row r="785">
          <cell r="A785" t="str">
            <v>C1784</v>
          </cell>
          <cell r="E785" t="str">
            <v>Bangalore</v>
          </cell>
          <cell r="F785" t="str">
            <v>Month-to-month</v>
          </cell>
          <cell r="H785">
            <v>1299</v>
          </cell>
          <cell r="J785" t="str">
            <v>Fiber</v>
          </cell>
          <cell r="L785" t="str">
            <v>Yes</v>
          </cell>
          <cell r="M785" t="str">
            <v>0-6 mo</v>
          </cell>
          <cell r="N785" t="str">
            <v>18-25 yrs</v>
          </cell>
        </row>
        <row r="786">
          <cell r="A786" t="str">
            <v>C1785</v>
          </cell>
          <cell r="E786" t="str">
            <v>Ahmedabad</v>
          </cell>
          <cell r="F786" t="str">
            <v>Month-to-month</v>
          </cell>
          <cell r="H786">
            <v>999</v>
          </cell>
          <cell r="J786" t="str">
            <v>Fiber</v>
          </cell>
          <cell r="L786" t="str">
            <v>No</v>
          </cell>
          <cell r="M786" t="str">
            <v>7-12 mo</v>
          </cell>
          <cell r="N786" t="str">
            <v>46-60 yrs</v>
          </cell>
        </row>
        <row r="787">
          <cell r="A787" t="str">
            <v>C1786</v>
          </cell>
          <cell r="E787" t="str">
            <v>Ahmedabad</v>
          </cell>
          <cell r="F787" t="str">
            <v>Month-to-month</v>
          </cell>
          <cell r="H787">
            <v>1049</v>
          </cell>
          <cell r="J787" t="str">
            <v>Fiber</v>
          </cell>
          <cell r="L787" t="str">
            <v>No</v>
          </cell>
          <cell r="M787" t="str">
            <v>7-12 mo</v>
          </cell>
          <cell r="N787" t="str">
            <v>26-35 yrs</v>
          </cell>
        </row>
        <row r="788">
          <cell r="A788" t="str">
            <v>C1787</v>
          </cell>
          <cell r="E788" t="str">
            <v>Mumbai</v>
          </cell>
          <cell r="F788" t="str">
            <v>Month-to-month</v>
          </cell>
          <cell r="H788">
            <v>449</v>
          </cell>
          <cell r="J788" t="str">
            <v>No Internet</v>
          </cell>
          <cell r="L788" t="str">
            <v>Yes</v>
          </cell>
          <cell r="M788" t="str">
            <v>13-24 mo</v>
          </cell>
          <cell r="N788" t="str">
            <v>60+ yrs</v>
          </cell>
        </row>
        <row r="789">
          <cell r="A789" t="str">
            <v>C1788</v>
          </cell>
          <cell r="E789" t="str">
            <v>Unknown</v>
          </cell>
          <cell r="F789" t="str">
            <v>One year</v>
          </cell>
          <cell r="H789">
            <v>1149</v>
          </cell>
          <cell r="J789" t="str">
            <v>Fiber</v>
          </cell>
          <cell r="L789" t="str">
            <v>No</v>
          </cell>
          <cell r="M789" t="str">
            <v>7-12 mo</v>
          </cell>
          <cell r="N789" t="str">
            <v>26-35 yrs</v>
          </cell>
        </row>
        <row r="790">
          <cell r="A790" t="str">
            <v>C1789</v>
          </cell>
          <cell r="E790" t="str">
            <v>Indore</v>
          </cell>
          <cell r="F790" t="str">
            <v>Month-to-month</v>
          </cell>
          <cell r="H790">
            <v>1199</v>
          </cell>
          <cell r="J790" t="str">
            <v>Fiber</v>
          </cell>
          <cell r="L790" t="str">
            <v>No</v>
          </cell>
          <cell r="M790" t="str">
            <v>0-6 mo</v>
          </cell>
          <cell r="N790" t="str">
            <v>60+ yrs</v>
          </cell>
        </row>
        <row r="791">
          <cell r="A791" t="str">
            <v>C1790</v>
          </cell>
          <cell r="E791" t="str">
            <v>Mumbai</v>
          </cell>
          <cell r="F791" t="str">
            <v>Month-to-month</v>
          </cell>
          <cell r="H791">
            <v>999</v>
          </cell>
          <cell r="J791" t="str">
            <v>Fiber</v>
          </cell>
          <cell r="L791" t="str">
            <v>Yes</v>
          </cell>
          <cell r="M791" t="str">
            <v>13-24 mo</v>
          </cell>
          <cell r="N791" t="str">
            <v>60+ yrs</v>
          </cell>
        </row>
        <row r="792">
          <cell r="A792" t="str">
            <v>C1791</v>
          </cell>
          <cell r="E792" t="str">
            <v>Bhopal</v>
          </cell>
          <cell r="F792" t="str">
            <v>One year</v>
          </cell>
          <cell r="H792">
            <v>1099</v>
          </cell>
          <cell r="J792" t="str">
            <v>Fiber</v>
          </cell>
          <cell r="L792" t="str">
            <v>No</v>
          </cell>
          <cell r="M792" t="str">
            <v>13-24 mo</v>
          </cell>
          <cell r="N792" t="str">
            <v>46-60 yrs</v>
          </cell>
        </row>
        <row r="793">
          <cell r="A793" t="str">
            <v>C1792</v>
          </cell>
          <cell r="E793" t="str">
            <v>Pune</v>
          </cell>
          <cell r="F793" t="str">
            <v>One year</v>
          </cell>
          <cell r="H793">
            <v>899</v>
          </cell>
          <cell r="J793" t="str">
            <v>Fiber</v>
          </cell>
          <cell r="L793" t="str">
            <v>No</v>
          </cell>
          <cell r="M793" t="str">
            <v>25-48 mo</v>
          </cell>
          <cell r="N793" t="str">
            <v>26-35 yrs</v>
          </cell>
        </row>
        <row r="794">
          <cell r="A794" t="str">
            <v>C1793</v>
          </cell>
          <cell r="E794" t="str">
            <v>Chennai</v>
          </cell>
          <cell r="F794" t="str">
            <v>Two year</v>
          </cell>
          <cell r="H794">
            <v>799</v>
          </cell>
          <cell r="J794" t="str">
            <v>DSL</v>
          </cell>
          <cell r="L794" t="str">
            <v>No</v>
          </cell>
          <cell r="M794" t="str">
            <v>0-6 mo</v>
          </cell>
          <cell r="N794" t="str">
            <v>60+ yrs</v>
          </cell>
        </row>
        <row r="795">
          <cell r="A795" t="str">
            <v>C1794</v>
          </cell>
          <cell r="E795" t="str">
            <v>Kochi</v>
          </cell>
          <cell r="F795" t="str">
            <v>Month-to-month</v>
          </cell>
          <cell r="H795">
            <v>699</v>
          </cell>
          <cell r="J795" t="str">
            <v>DSL</v>
          </cell>
          <cell r="L795" t="str">
            <v>No</v>
          </cell>
          <cell r="M795" t="str">
            <v>13-24 mo</v>
          </cell>
          <cell r="N795" t="str">
            <v>46-60 yrs</v>
          </cell>
        </row>
        <row r="796">
          <cell r="A796" t="str">
            <v>C1795</v>
          </cell>
          <cell r="E796" t="str">
            <v>Chandigarh</v>
          </cell>
          <cell r="F796" t="str">
            <v>One year</v>
          </cell>
          <cell r="H796">
            <v>1199</v>
          </cell>
          <cell r="J796" t="str">
            <v>Fiber</v>
          </cell>
          <cell r="L796" t="str">
            <v>No</v>
          </cell>
          <cell r="M796" t="str">
            <v>7-12 mo</v>
          </cell>
          <cell r="N796" t="str">
            <v>18-25 yrs</v>
          </cell>
        </row>
        <row r="797">
          <cell r="A797" t="str">
            <v>C1796</v>
          </cell>
          <cell r="E797" t="str">
            <v>Hyderabad</v>
          </cell>
          <cell r="F797" t="str">
            <v>Two year</v>
          </cell>
          <cell r="H797">
            <v>899</v>
          </cell>
          <cell r="J797" t="str">
            <v>Fiber</v>
          </cell>
          <cell r="L797" t="str">
            <v>No</v>
          </cell>
          <cell r="M797" t="str">
            <v>25-48 mo</v>
          </cell>
          <cell r="N797" t="str">
            <v>60+ yrs</v>
          </cell>
        </row>
        <row r="798">
          <cell r="A798" t="str">
            <v>C1797</v>
          </cell>
          <cell r="E798" t="str">
            <v>Mumbai</v>
          </cell>
          <cell r="F798" t="str">
            <v>Month-to-month</v>
          </cell>
          <cell r="H798">
            <v>399</v>
          </cell>
          <cell r="J798" t="str">
            <v>No Internet</v>
          </cell>
          <cell r="L798" t="str">
            <v>Yes</v>
          </cell>
          <cell r="M798" t="str">
            <v>13-24 mo</v>
          </cell>
          <cell r="N798" t="str">
            <v>46-60 yrs</v>
          </cell>
        </row>
        <row r="799">
          <cell r="A799" t="str">
            <v>C1798</v>
          </cell>
          <cell r="E799" t="str">
            <v>Indore</v>
          </cell>
          <cell r="F799" t="str">
            <v>Month-to-month</v>
          </cell>
          <cell r="H799">
            <v>749</v>
          </cell>
          <cell r="J799" t="str">
            <v>DSL</v>
          </cell>
          <cell r="L799" t="str">
            <v>Yes</v>
          </cell>
          <cell r="M799" t="str">
            <v>13-24 mo</v>
          </cell>
          <cell r="N799" t="str">
            <v>46-60 yrs</v>
          </cell>
        </row>
        <row r="800">
          <cell r="A800" t="str">
            <v>C1799</v>
          </cell>
          <cell r="E800" t="str">
            <v>Kolkata</v>
          </cell>
          <cell r="F800" t="str">
            <v>One year</v>
          </cell>
          <cell r="H800">
            <v>749</v>
          </cell>
          <cell r="J800" t="str">
            <v>DSL</v>
          </cell>
          <cell r="L800" t="str">
            <v>No</v>
          </cell>
          <cell r="M800" t="str">
            <v>13-24 mo</v>
          </cell>
          <cell r="N800" t="str">
            <v>18-25 yrs</v>
          </cell>
        </row>
        <row r="801">
          <cell r="A801" t="str">
            <v>C1800</v>
          </cell>
          <cell r="E801" t="str">
            <v>Hyderabad</v>
          </cell>
          <cell r="F801" t="str">
            <v>Month-to-month</v>
          </cell>
          <cell r="H801">
            <v>1199</v>
          </cell>
          <cell r="J801" t="str">
            <v>Fiber</v>
          </cell>
          <cell r="L801" t="str">
            <v>No</v>
          </cell>
          <cell r="M801" t="str">
            <v>13-24 mo</v>
          </cell>
          <cell r="N801" t="str">
            <v>60+ yrs</v>
          </cell>
        </row>
        <row r="802">
          <cell r="A802" t="str">
            <v>C1801</v>
          </cell>
          <cell r="E802" t="str">
            <v>Pune</v>
          </cell>
          <cell r="F802" t="str">
            <v>Two year</v>
          </cell>
          <cell r="H802">
            <v>999</v>
          </cell>
          <cell r="J802" t="str">
            <v>Fiber</v>
          </cell>
          <cell r="L802" t="str">
            <v>No</v>
          </cell>
          <cell r="M802" t="str">
            <v>13-24 mo</v>
          </cell>
          <cell r="N802" t="str">
            <v>46-60 yrs</v>
          </cell>
        </row>
        <row r="803">
          <cell r="A803" t="str">
            <v>C1802</v>
          </cell>
          <cell r="E803" t="str">
            <v>Lucknow</v>
          </cell>
          <cell r="F803" t="str">
            <v>Two year</v>
          </cell>
          <cell r="H803">
            <v>1199</v>
          </cell>
          <cell r="J803" t="str">
            <v>Fiber</v>
          </cell>
          <cell r="L803" t="str">
            <v>No</v>
          </cell>
          <cell r="M803" t="str">
            <v>49+ mo</v>
          </cell>
          <cell r="N803" t="str">
            <v>18-25 yrs</v>
          </cell>
        </row>
        <row r="804">
          <cell r="A804" t="str">
            <v>C1803</v>
          </cell>
          <cell r="E804" t="str">
            <v>Kochi</v>
          </cell>
          <cell r="F804" t="str">
            <v>Two year</v>
          </cell>
          <cell r="H804">
            <v>899</v>
          </cell>
          <cell r="J804" t="str">
            <v>DSL</v>
          </cell>
          <cell r="L804" t="str">
            <v>No</v>
          </cell>
          <cell r="M804" t="str">
            <v>49+ mo</v>
          </cell>
          <cell r="N804" t="str">
            <v>46-60 yrs</v>
          </cell>
        </row>
        <row r="805">
          <cell r="A805" t="str">
            <v>C1804</v>
          </cell>
          <cell r="E805" t="str">
            <v>Bangalore</v>
          </cell>
          <cell r="F805" t="str">
            <v>Month-to-month</v>
          </cell>
          <cell r="H805">
            <v>1149</v>
          </cell>
          <cell r="J805" t="str">
            <v>Fiber</v>
          </cell>
          <cell r="L805" t="str">
            <v>No</v>
          </cell>
          <cell r="M805" t="str">
            <v>7-12 mo</v>
          </cell>
          <cell r="N805" t="str">
            <v>26-35 yrs</v>
          </cell>
        </row>
        <row r="806">
          <cell r="A806" t="str">
            <v>C1805</v>
          </cell>
          <cell r="E806" t="str">
            <v>Kochi</v>
          </cell>
          <cell r="F806" t="str">
            <v>One year</v>
          </cell>
          <cell r="H806">
            <v>1299</v>
          </cell>
          <cell r="J806" t="str">
            <v>Fiber</v>
          </cell>
          <cell r="L806" t="str">
            <v>No</v>
          </cell>
          <cell r="M806" t="str">
            <v>25-48 mo</v>
          </cell>
          <cell r="N806" t="str">
            <v>46-60 yrs</v>
          </cell>
        </row>
        <row r="807">
          <cell r="A807" t="str">
            <v>C1806</v>
          </cell>
          <cell r="E807" t="str">
            <v>Jaipur</v>
          </cell>
          <cell r="F807" t="str">
            <v>Month-to-month</v>
          </cell>
          <cell r="H807">
            <v>399</v>
          </cell>
          <cell r="J807" t="str">
            <v>No Internet</v>
          </cell>
          <cell r="L807" t="str">
            <v>No</v>
          </cell>
          <cell r="M807" t="str">
            <v>7-12 mo</v>
          </cell>
          <cell r="N807" t="str">
            <v>26-35 yrs</v>
          </cell>
        </row>
        <row r="808">
          <cell r="A808" t="str">
            <v>C1807</v>
          </cell>
          <cell r="E808" t="str">
            <v>Delhi</v>
          </cell>
          <cell r="F808" t="str">
            <v>Month-to-month</v>
          </cell>
          <cell r="H808">
            <v>1199</v>
          </cell>
          <cell r="J808" t="str">
            <v>Fiber</v>
          </cell>
          <cell r="L808" t="str">
            <v>No</v>
          </cell>
          <cell r="M808" t="str">
            <v>7-12 mo</v>
          </cell>
          <cell r="N808" t="str">
            <v>46-60 yrs</v>
          </cell>
        </row>
        <row r="809">
          <cell r="A809" t="str">
            <v>C1808</v>
          </cell>
          <cell r="E809" t="str">
            <v>Chandigarh</v>
          </cell>
          <cell r="F809" t="str">
            <v>One year</v>
          </cell>
          <cell r="H809">
            <v>599</v>
          </cell>
          <cell r="J809" t="str">
            <v>Unknown</v>
          </cell>
          <cell r="L809" t="str">
            <v>No</v>
          </cell>
          <cell r="M809" t="str">
            <v>25-48 mo</v>
          </cell>
          <cell r="N809" t="str">
            <v>46-60 yrs</v>
          </cell>
        </row>
        <row r="810">
          <cell r="A810" t="str">
            <v>C1809</v>
          </cell>
          <cell r="E810" t="str">
            <v>Lucknow</v>
          </cell>
          <cell r="F810" t="str">
            <v>Month-to-month</v>
          </cell>
          <cell r="H810">
            <v>849</v>
          </cell>
          <cell r="J810" t="str">
            <v>DSL</v>
          </cell>
          <cell r="L810" t="str">
            <v>No</v>
          </cell>
          <cell r="M810" t="str">
            <v>13-24 mo</v>
          </cell>
          <cell r="N810" t="str">
            <v>26-35 yrs</v>
          </cell>
        </row>
        <row r="811">
          <cell r="A811" t="str">
            <v>C1810</v>
          </cell>
          <cell r="E811" t="str">
            <v>Bangalore</v>
          </cell>
          <cell r="F811" t="str">
            <v>Month-to-month</v>
          </cell>
          <cell r="H811">
            <v>1099</v>
          </cell>
          <cell r="J811" t="str">
            <v>Fiber</v>
          </cell>
          <cell r="L811" t="str">
            <v>No</v>
          </cell>
          <cell r="M811" t="str">
            <v>13-24 mo</v>
          </cell>
          <cell r="N811" t="str">
            <v>36-45 yrs</v>
          </cell>
        </row>
        <row r="812">
          <cell r="A812" t="str">
            <v>C1811</v>
          </cell>
          <cell r="E812" t="str">
            <v>Chandigarh</v>
          </cell>
          <cell r="F812" t="str">
            <v>Month-to-month</v>
          </cell>
          <cell r="H812">
            <v>399</v>
          </cell>
          <cell r="J812" t="str">
            <v>No Internet</v>
          </cell>
          <cell r="L812" t="str">
            <v>No</v>
          </cell>
          <cell r="M812" t="str">
            <v>7-12 mo</v>
          </cell>
          <cell r="N812" t="str">
            <v>36-45 yrs</v>
          </cell>
        </row>
        <row r="813">
          <cell r="A813" t="str">
            <v>C1812</v>
          </cell>
          <cell r="E813" t="str">
            <v>Ahmedabad</v>
          </cell>
          <cell r="F813" t="str">
            <v>Month-to-month</v>
          </cell>
          <cell r="H813">
            <v>1049</v>
          </cell>
          <cell r="J813" t="str">
            <v>Fiber</v>
          </cell>
          <cell r="L813" t="str">
            <v>No</v>
          </cell>
          <cell r="M813" t="str">
            <v>13-24 mo</v>
          </cell>
          <cell r="N813" t="str">
            <v>46-60 yrs</v>
          </cell>
        </row>
        <row r="814">
          <cell r="A814" t="str">
            <v>C1813</v>
          </cell>
          <cell r="E814" t="str">
            <v>Chandigarh</v>
          </cell>
          <cell r="F814" t="str">
            <v>Month-to-month</v>
          </cell>
          <cell r="H814">
            <v>1099</v>
          </cell>
          <cell r="J814" t="str">
            <v>Fiber</v>
          </cell>
          <cell r="L814" t="str">
            <v>No</v>
          </cell>
          <cell r="M814" t="str">
            <v>13-24 mo</v>
          </cell>
          <cell r="N814" t="str">
            <v>18-25 yrs</v>
          </cell>
        </row>
        <row r="815">
          <cell r="A815" t="str">
            <v>C1814</v>
          </cell>
          <cell r="E815" t="str">
            <v>Lucknow</v>
          </cell>
          <cell r="F815" t="str">
            <v>Month-to-month</v>
          </cell>
          <cell r="H815">
            <v>399</v>
          </cell>
          <cell r="J815" t="str">
            <v>No Internet</v>
          </cell>
          <cell r="L815" t="str">
            <v>Yes</v>
          </cell>
          <cell r="M815" t="str">
            <v>0-6 mo</v>
          </cell>
          <cell r="N815" t="str">
            <v>46-60 yrs</v>
          </cell>
        </row>
        <row r="816">
          <cell r="A816" t="str">
            <v>C1815</v>
          </cell>
          <cell r="E816" t="str">
            <v>Unknown</v>
          </cell>
          <cell r="F816" t="str">
            <v>One year</v>
          </cell>
          <cell r="H816">
            <v>1099</v>
          </cell>
          <cell r="J816" t="str">
            <v>Fiber</v>
          </cell>
          <cell r="L816" t="str">
            <v>No</v>
          </cell>
          <cell r="M816" t="str">
            <v>0-6 mo</v>
          </cell>
          <cell r="N816" t="str">
            <v>60+ yrs</v>
          </cell>
        </row>
        <row r="817">
          <cell r="A817" t="str">
            <v>C1816</v>
          </cell>
          <cell r="E817" t="str">
            <v>Bhopal</v>
          </cell>
          <cell r="F817" t="str">
            <v>One year</v>
          </cell>
          <cell r="H817">
            <v>1149</v>
          </cell>
          <cell r="J817" t="str">
            <v>Fiber</v>
          </cell>
          <cell r="L817" t="str">
            <v>No</v>
          </cell>
          <cell r="M817" t="str">
            <v>7-12 mo</v>
          </cell>
          <cell r="N817" t="str">
            <v>46-60 yrs</v>
          </cell>
        </row>
        <row r="818">
          <cell r="A818" t="str">
            <v>C1817</v>
          </cell>
          <cell r="E818" t="str">
            <v>Indore</v>
          </cell>
          <cell r="F818" t="str">
            <v>Two year</v>
          </cell>
          <cell r="H818">
            <v>849</v>
          </cell>
          <cell r="J818" t="str">
            <v>DSL</v>
          </cell>
          <cell r="L818" t="str">
            <v>No</v>
          </cell>
          <cell r="M818" t="str">
            <v>7-12 mo</v>
          </cell>
          <cell r="N818" t="str">
            <v>46-60 yrs</v>
          </cell>
        </row>
        <row r="819">
          <cell r="A819" t="str">
            <v>C1818</v>
          </cell>
          <cell r="E819" t="str">
            <v>Kolkata</v>
          </cell>
          <cell r="F819" t="str">
            <v>Month-to-month</v>
          </cell>
          <cell r="H819">
            <v>1149</v>
          </cell>
          <cell r="J819" t="str">
            <v>Fiber</v>
          </cell>
          <cell r="L819" t="str">
            <v>No</v>
          </cell>
          <cell r="M819" t="str">
            <v>13-24 mo</v>
          </cell>
          <cell r="N819" t="str">
            <v>60+ yrs</v>
          </cell>
        </row>
        <row r="820">
          <cell r="A820" t="str">
            <v>C1819</v>
          </cell>
          <cell r="E820" t="str">
            <v>Mumbai</v>
          </cell>
          <cell r="F820" t="str">
            <v>Month-to-month</v>
          </cell>
          <cell r="H820">
            <v>999</v>
          </cell>
          <cell r="J820" t="str">
            <v>Fiber</v>
          </cell>
          <cell r="L820" t="str">
            <v>No</v>
          </cell>
          <cell r="M820" t="str">
            <v>7-12 mo</v>
          </cell>
          <cell r="N820" t="str">
            <v>46-60 yrs</v>
          </cell>
        </row>
        <row r="821">
          <cell r="A821" t="str">
            <v>C1820</v>
          </cell>
          <cell r="E821" t="str">
            <v>Chandigarh</v>
          </cell>
          <cell r="F821" t="str">
            <v>Month-to-month</v>
          </cell>
          <cell r="H821">
            <v>749</v>
          </cell>
          <cell r="J821" t="str">
            <v>DSL</v>
          </cell>
          <cell r="L821" t="str">
            <v>No</v>
          </cell>
          <cell r="M821" t="str">
            <v>13-24 mo</v>
          </cell>
          <cell r="N821" t="str">
            <v>26-35 yrs</v>
          </cell>
        </row>
        <row r="822">
          <cell r="A822" t="str">
            <v>C1821</v>
          </cell>
          <cell r="E822" t="str">
            <v>Bangalore</v>
          </cell>
          <cell r="F822" t="str">
            <v>One year</v>
          </cell>
          <cell r="H822">
            <v>799</v>
          </cell>
          <cell r="J822" t="str">
            <v>DSL</v>
          </cell>
          <cell r="L822" t="str">
            <v>No</v>
          </cell>
          <cell r="M822" t="str">
            <v>7-12 mo</v>
          </cell>
          <cell r="N822" t="str">
            <v>36-45 yrs</v>
          </cell>
        </row>
        <row r="823">
          <cell r="A823" t="str">
            <v>C1822</v>
          </cell>
          <cell r="E823" t="str">
            <v>Bangalore</v>
          </cell>
          <cell r="F823" t="str">
            <v>Two year</v>
          </cell>
          <cell r="H823">
            <v>749</v>
          </cell>
          <cell r="J823" t="str">
            <v>DSL</v>
          </cell>
          <cell r="L823" t="str">
            <v>No</v>
          </cell>
          <cell r="M823" t="str">
            <v>49+ mo</v>
          </cell>
          <cell r="N823" t="str">
            <v>60+ yrs</v>
          </cell>
        </row>
        <row r="824">
          <cell r="A824" t="str">
            <v>C1823</v>
          </cell>
          <cell r="E824" t="str">
            <v>Kolkata</v>
          </cell>
          <cell r="F824" t="str">
            <v>Month-to-month</v>
          </cell>
          <cell r="H824">
            <v>799</v>
          </cell>
          <cell r="J824" t="str">
            <v>DSL</v>
          </cell>
          <cell r="L824" t="str">
            <v>Yes</v>
          </cell>
          <cell r="M824" t="str">
            <v>0-6 mo</v>
          </cell>
          <cell r="N824" t="str">
            <v>18-25 yrs</v>
          </cell>
        </row>
        <row r="825">
          <cell r="A825" t="str">
            <v>C1824</v>
          </cell>
          <cell r="E825" t="str">
            <v>Kochi</v>
          </cell>
          <cell r="F825" t="str">
            <v>Two year</v>
          </cell>
          <cell r="H825">
            <v>999</v>
          </cell>
          <cell r="J825" t="str">
            <v>Fiber</v>
          </cell>
          <cell r="L825" t="str">
            <v>Unknown</v>
          </cell>
          <cell r="M825" t="str">
            <v>0-6 mo</v>
          </cell>
          <cell r="N825" t="str">
            <v>26-35 yrs</v>
          </cell>
        </row>
        <row r="826">
          <cell r="A826" t="str">
            <v>C1825</v>
          </cell>
          <cell r="E826" t="str">
            <v>Pune</v>
          </cell>
          <cell r="F826" t="str">
            <v>One year</v>
          </cell>
          <cell r="H826">
            <v>699</v>
          </cell>
          <cell r="J826" t="str">
            <v>DSL</v>
          </cell>
          <cell r="L826" t="str">
            <v>No</v>
          </cell>
          <cell r="M826" t="str">
            <v>13-24 mo</v>
          </cell>
          <cell r="N826" t="str">
            <v>60+ yrs</v>
          </cell>
        </row>
        <row r="827">
          <cell r="A827" t="str">
            <v>C1826</v>
          </cell>
          <cell r="E827" t="str">
            <v>Pune</v>
          </cell>
          <cell r="F827" t="str">
            <v>Two year</v>
          </cell>
          <cell r="H827">
            <v>499</v>
          </cell>
          <cell r="J827" t="str">
            <v>No Internet</v>
          </cell>
          <cell r="L827" t="str">
            <v>No</v>
          </cell>
          <cell r="M827" t="str">
            <v>0-6 mo</v>
          </cell>
          <cell r="N827" t="str">
            <v>18-25 yrs</v>
          </cell>
        </row>
        <row r="828">
          <cell r="A828" t="str">
            <v>C1827</v>
          </cell>
          <cell r="E828" t="str">
            <v>Chandigarh</v>
          </cell>
          <cell r="F828" t="str">
            <v>Month-to-month</v>
          </cell>
          <cell r="H828">
            <v>549</v>
          </cell>
          <cell r="J828" t="str">
            <v>No Internet</v>
          </cell>
          <cell r="L828" t="str">
            <v>No</v>
          </cell>
          <cell r="M828" t="str">
            <v>7-12 mo</v>
          </cell>
          <cell r="N828" t="str">
            <v>18-25 yrs</v>
          </cell>
        </row>
        <row r="829">
          <cell r="A829" t="str">
            <v>C1828</v>
          </cell>
          <cell r="E829" t="str">
            <v>Hyderabad</v>
          </cell>
          <cell r="F829" t="str">
            <v>Month-to-month</v>
          </cell>
          <cell r="H829">
            <v>1199</v>
          </cell>
          <cell r="J829" t="str">
            <v>Fiber</v>
          </cell>
          <cell r="L829" t="str">
            <v>No</v>
          </cell>
          <cell r="M829" t="str">
            <v>7-12 mo</v>
          </cell>
          <cell r="N829" t="str">
            <v>46-60 yrs</v>
          </cell>
        </row>
        <row r="830">
          <cell r="A830" t="str">
            <v>C1829</v>
          </cell>
          <cell r="E830" t="str">
            <v>Ahmedabad</v>
          </cell>
          <cell r="F830" t="str">
            <v>Month-to-month</v>
          </cell>
          <cell r="H830">
            <v>1099</v>
          </cell>
          <cell r="J830" t="str">
            <v>Fiber</v>
          </cell>
          <cell r="L830" t="str">
            <v>No</v>
          </cell>
          <cell r="M830" t="str">
            <v>0-6 mo</v>
          </cell>
          <cell r="N830" t="str">
            <v>46-60 yrs</v>
          </cell>
        </row>
        <row r="831">
          <cell r="A831" t="str">
            <v>C1830</v>
          </cell>
          <cell r="E831" t="str">
            <v>Hyderabad</v>
          </cell>
          <cell r="F831" t="str">
            <v>One year</v>
          </cell>
          <cell r="H831">
            <v>549</v>
          </cell>
          <cell r="J831" t="str">
            <v>No Internet</v>
          </cell>
          <cell r="L831" t="str">
            <v>Yes</v>
          </cell>
          <cell r="M831" t="str">
            <v>25-48 mo</v>
          </cell>
          <cell r="N831" t="str">
            <v>46-60 yrs</v>
          </cell>
        </row>
        <row r="832">
          <cell r="A832" t="str">
            <v>C1831</v>
          </cell>
          <cell r="E832" t="str">
            <v>Chandigarh</v>
          </cell>
          <cell r="F832" t="str">
            <v>Month-to-month</v>
          </cell>
          <cell r="H832">
            <v>549</v>
          </cell>
          <cell r="J832" t="str">
            <v>No Internet</v>
          </cell>
          <cell r="L832" t="str">
            <v>Yes</v>
          </cell>
          <cell r="M832" t="str">
            <v>0-6 mo</v>
          </cell>
          <cell r="N832" t="str">
            <v>46-60 yrs</v>
          </cell>
        </row>
        <row r="833">
          <cell r="A833" t="str">
            <v>C1832</v>
          </cell>
          <cell r="E833" t="str">
            <v>Bhopal</v>
          </cell>
          <cell r="F833" t="str">
            <v>Month-to-month</v>
          </cell>
          <cell r="H833">
            <v>449</v>
          </cell>
          <cell r="J833" t="str">
            <v>No Internet</v>
          </cell>
          <cell r="L833" t="str">
            <v>Yes</v>
          </cell>
          <cell r="M833" t="str">
            <v>7-12 mo</v>
          </cell>
          <cell r="N833" t="str">
            <v>36-45 yrs</v>
          </cell>
        </row>
        <row r="834">
          <cell r="A834" t="str">
            <v>C1833</v>
          </cell>
          <cell r="E834" t="str">
            <v>Jaipur</v>
          </cell>
          <cell r="F834" t="str">
            <v>One year</v>
          </cell>
          <cell r="H834">
            <v>999</v>
          </cell>
          <cell r="J834" t="str">
            <v>Fiber</v>
          </cell>
          <cell r="L834" t="str">
            <v>No</v>
          </cell>
          <cell r="M834" t="str">
            <v>13-24 mo</v>
          </cell>
          <cell r="N834" t="str">
            <v>26-35 yrs</v>
          </cell>
        </row>
        <row r="835">
          <cell r="A835" t="str">
            <v>C1834</v>
          </cell>
          <cell r="E835" t="str">
            <v>Bhopal</v>
          </cell>
          <cell r="F835" t="str">
            <v>One year</v>
          </cell>
          <cell r="H835">
            <v>1099</v>
          </cell>
          <cell r="J835" t="str">
            <v>Fiber</v>
          </cell>
          <cell r="L835" t="str">
            <v>No</v>
          </cell>
          <cell r="M835" t="str">
            <v>25-48 mo</v>
          </cell>
          <cell r="N835" t="str">
            <v>60+ yrs</v>
          </cell>
        </row>
        <row r="836">
          <cell r="A836" t="str">
            <v>C1835</v>
          </cell>
          <cell r="E836" t="str">
            <v>Pune</v>
          </cell>
          <cell r="F836" t="str">
            <v>One year</v>
          </cell>
          <cell r="H836">
            <v>399</v>
          </cell>
          <cell r="J836" t="str">
            <v>No Internet</v>
          </cell>
          <cell r="L836" t="str">
            <v>No</v>
          </cell>
          <cell r="M836" t="str">
            <v>7-12 mo</v>
          </cell>
          <cell r="N836" t="str">
            <v>18-25 yrs</v>
          </cell>
        </row>
        <row r="837">
          <cell r="A837" t="str">
            <v>C1836</v>
          </cell>
          <cell r="E837" t="str">
            <v>Jaipur</v>
          </cell>
          <cell r="F837" t="str">
            <v>Month-to-month</v>
          </cell>
          <cell r="H837">
            <v>1299</v>
          </cell>
          <cell r="J837" t="str">
            <v>Fiber</v>
          </cell>
          <cell r="L837" t="str">
            <v>No</v>
          </cell>
          <cell r="M837" t="str">
            <v>13-24 mo</v>
          </cell>
          <cell r="N837" t="str">
            <v>46-60 yrs</v>
          </cell>
        </row>
        <row r="838">
          <cell r="A838" t="str">
            <v>C1837</v>
          </cell>
          <cell r="E838" t="str">
            <v>Lucknow</v>
          </cell>
          <cell r="F838" t="str">
            <v>Month-to-month</v>
          </cell>
          <cell r="H838">
            <v>1099</v>
          </cell>
          <cell r="J838" t="str">
            <v>Fiber</v>
          </cell>
          <cell r="L838" t="str">
            <v>Yes</v>
          </cell>
          <cell r="M838" t="str">
            <v>13-24 mo</v>
          </cell>
          <cell r="N838" t="str">
            <v>46-60 yrs</v>
          </cell>
        </row>
        <row r="839">
          <cell r="A839" t="str">
            <v>C1838</v>
          </cell>
          <cell r="E839" t="str">
            <v>Bangalore</v>
          </cell>
          <cell r="F839" t="str">
            <v>One year</v>
          </cell>
          <cell r="H839">
            <v>799</v>
          </cell>
          <cell r="J839" t="str">
            <v>DSL</v>
          </cell>
          <cell r="L839" t="str">
            <v>No</v>
          </cell>
          <cell r="M839" t="str">
            <v>0-6 mo</v>
          </cell>
          <cell r="N839" t="str">
            <v>46-60 yrs</v>
          </cell>
        </row>
        <row r="840">
          <cell r="A840" t="str">
            <v>C1839</v>
          </cell>
          <cell r="E840" t="str">
            <v>Ahmedabad</v>
          </cell>
          <cell r="F840" t="str">
            <v>One year</v>
          </cell>
          <cell r="H840">
            <v>849</v>
          </cell>
          <cell r="J840" t="str">
            <v>DSL</v>
          </cell>
          <cell r="L840" t="str">
            <v>No</v>
          </cell>
          <cell r="M840" t="str">
            <v>Unknown</v>
          </cell>
          <cell r="N840" t="str">
            <v>46-60 yrs</v>
          </cell>
        </row>
        <row r="841">
          <cell r="A841" t="str">
            <v>C1840</v>
          </cell>
          <cell r="E841" t="str">
            <v>Hyderabad</v>
          </cell>
          <cell r="F841" t="str">
            <v>One year</v>
          </cell>
          <cell r="H841">
            <v>899</v>
          </cell>
          <cell r="J841" t="str">
            <v>DSL</v>
          </cell>
          <cell r="L841" t="str">
            <v>No</v>
          </cell>
          <cell r="M841" t="str">
            <v>7-12 mo</v>
          </cell>
          <cell r="N841" t="str">
            <v>60+ yrs</v>
          </cell>
        </row>
        <row r="842">
          <cell r="A842" t="str">
            <v>C1841</v>
          </cell>
          <cell r="E842" t="str">
            <v>Pune</v>
          </cell>
          <cell r="F842" t="str">
            <v>Month-to-month</v>
          </cell>
          <cell r="H842">
            <v>1099</v>
          </cell>
          <cell r="J842" t="str">
            <v>Fiber</v>
          </cell>
          <cell r="L842" t="str">
            <v>Yes</v>
          </cell>
          <cell r="M842" t="str">
            <v>7-12 mo</v>
          </cell>
          <cell r="N842" t="str">
            <v>36-45 yrs</v>
          </cell>
        </row>
        <row r="843">
          <cell r="A843" t="str">
            <v>C1842</v>
          </cell>
          <cell r="E843" t="str">
            <v>Bhopal</v>
          </cell>
          <cell r="F843" t="str">
            <v>Two year</v>
          </cell>
          <cell r="H843">
            <v>1299</v>
          </cell>
          <cell r="J843" t="str">
            <v>Fiber</v>
          </cell>
          <cell r="L843" t="str">
            <v>No</v>
          </cell>
          <cell r="M843" t="str">
            <v>13-24 mo</v>
          </cell>
          <cell r="N843" t="str">
            <v>26-35 yrs</v>
          </cell>
        </row>
        <row r="844">
          <cell r="A844" t="str">
            <v>C1843</v>
          </cell>
          <cell r="E844" t="str">
            <v>Lucknow</v>
          </cell>
          <cell r="F844" t="str">
            <v>Month-to-month</v>
          </cell>
          <cell r="H844">
            <v>999</v>
          </cell>
          <cell r="J844" t="str">
            <v>Fiber</v>
          </cell>
          <cell r="L844" t="str">
            <v>No</v>
          </cell>
          <cell r="M844" t="str">
            <v>7-12 mo</v>
          </cell>
          <cell r="N844" t="str">
            <v>26-35 yrs</v>
          </cell>
        </row>
        <row r="845">
          <cell r="A845" t="str">
            <v>C1844</v>
          </cell>
          <cell r="E845" t="str">
            <v>Lucknow</v>
          </cell>
          <cell r="F845" t="str">
            <v>Month-to-month</v>
          </cell>
          <cell r="H845">
            <v>1099</v>
          </cell>
          <cell r="J845" t="str">
            <v>Fiber</v>
          </cell>
          <cell r="L845" t="str">
            <v>No</v>
          </cell>
          <cell r="M845" t="str">
            <v>0-6 mo</v>
          </cell>
          <cell r="N845" t="str">
            <v>60+ yrs</v>
          </cell>
        </row>
        <row r="846">
          <cell r="A846" t="str">
            <v>C1845</v>
          </cell>
          <cell r="E846" t="str">
            <v>Mumbai</v>
          </cell>
          <cell r="F846" t="str">
            <v>Two year</v>
          </cell>
          <cell r="H846">
            <v>1199</v>
          </cell>
          <cell r="J846" t="str">
            <v>Fiber</v>
          </cell>
          <cell r="L846" t="str">
            <v>No</v>
          </cell>
          <cell r="M846" t="str">
            <v>49+ mo</v>
          </cell>
          <cell r="N846" t="str">
            <v>18-25 yrs</v>
          </cell>
        </row>
        <row r="847">
          <cell r="A847" t="str">
            <v>C1846</v>
          </cell>
          <cell r="E847" t="str">
            <v>Bhopal</v>
          </cell>
          <cell r="F847" t="str">
            <v>One year</v>
          </cell>
          <cell r="H847">
            <v>899</v>
          </cell>
          <cell r="J847" t="str">
            <v>DSL</v>
          </cell>
          <cell r="L847" t="str">
            <v>No</v>
          </cell>
          <cell r="M847" t="str">
            <v>25-48 mo</v>
          </cell>
          <cell r="N847" t="str">
            <v>36-45 yrs</v>
          </cell>
        </row>
        <row r="848">
          <cell r="A848" t="str">
            <v>C1847</v>
          </cell>
          <cell r="E848" t="str">
            <v>Ahmedabad</v>
          </cell>
          <cell r="F848" t="str">
            <v>Month-to-month</v>
          </cell>
          <cell r="H848">
            <v>599</v>
          </cell>
          <cell r="J848" t="str">
            <v>Unknown</v>
          </cell>
          <cell r="L848" t="str">
            <v>Yes</v>
          </cell>
          <cell r="M848" t="str">
            <v>0-6 mo</v>
          </cell>
          <cell r="N848" t="str">
            <v>46-60 yrs</v>
          </cell>
        </row>
        <row r="849">
          <cell r="A849" t="str">
            <v>C1848</v>
          </cell>
          <cell r="E849" t="str">
            <v>Mumbai</v>
          </cell>
          <cell r="F849" t="str">
            <v>One year</v>
          </cell>
          <cell r="H849">
            <v>849</v>
          </cell>
          <cell r="J849" t="str">
            <v>DSL</v>
          </cell>
          <cell r="L849" t="str">
            <v>No</v>
          </cell>
          <cell r="M849" t="str">
            <v>25-48 mo</v>
          </cell>
          <cell r="N849" t="str">
            <v>60+ yrs</v>
          </cell>
        </row>
        <row r="850">
          <cell r="A850" t="str">
            <v>C1849</v>
          </cell>
          <cell r="E850" t="str">
            <v>Chandigarh</v>
          </cell>
          <cell r="F850" t="str">
            <v>One year</v>
          </cell>
          <cell r="H850">
            <v>749</v>
          </cell>
          <cell r="J850" t="str">
            <v>DSL</v>
          </cell>
          <cell r="L850" t="str">
            <v>No</v>
          </cell>
          <cell r="M850" t="str">
            <v>0-6 mo</v>
          </cell>
          <cell r="N850" t="str">
            <v>60+ yrs</v>
          </cell>
        </row>
        <row r="851">
          <cell r="A851" t="str">
            <v>C1850</v>
          </cell>
          <cell r="E851" t="str">
            <v>Lucknow</v>
          </cell>
          <cell r="F851" t="str">
            <v>Month-to-month</v>
          </cell>
          <cell r="H851">
            <v>399</v>
          </cell>
          <cell r="J851" t="str">
            <v>No Internet</v>
          </cell>
          <cell r="L851" t="str">
            <v>No</v>
          </cell>
          <cell r="M851" t="str">
            <v>13-24 mo</v>
          </cell>
          <cell r="N851" t="str">
            <v>60+ yrs</v>
          </cell>
        </row>
        <row r="852">
          <cell r="A852" t="str">
            <v>C1851</v>
          </cell>
          <cell r="E852" t="str">
            <v>Bangalore</v>
          </cell>
          <cell r="F852" t="str">
            <v>Month-to-month</v>
          </cell>
          <cell r="H852">
            <v>899</v>
          </cell>
          <cell r="J852" t="str">
            <v>Fiber</v>
          </cell>
          <cell r="L852" t="str">
            <v>No</v>
          </cell>
          <cell r="M852" t="str">
            <v>7-12 mo</v>
          </cell>
          <cell r="N852" t="str">
            <v>60+ yrs</v>
          </cell>
        </row>
        <row r="853">
          <cell r="A853" t="str">
            <v>C1852</v>
          </cell>
          <cell r="E853" t="str">
            <v>Chandigarh</v>
          </cell>
          <cell r="F853" t="str">
            <v>One year</v>
          </cell>
          <cell r="H853">
            <v>799</v>
          </cell>
          <cell r="J853" t="str">
            <v>DSL</v>
          </cell>
          <cell r="L853" t="str">
            <v>No</v>
          </cell>
          <cell r="M853" t="str">
            <v>7-12 mo</v>
          </cell>
          <cell r="N853" t="str">
            <v>26-35 yrs</v>
          </cell>
        </row>
        <row r="854">
          <cell r="A854" t="str">
            <v>C1853</v>
          </cell>
          <cell r="E854" t="str">
            <v>Delhi</v>
          </cell>
          <cell r="F854" t="str">
            <v>Two year</v>
          </cell>
          <cell r="H854">
            <v>1149</v>
          </cell>
          <cell r="J854" t="str">
            <v>Fiber</v>
          </cell>
          <cell r="L854" t="str">
            <v>No</v>
          </cell>
          <cell r="M854" t="str">
            <v>25-48 mo</v>
          </cell>
          <cell r="N854" t="str">
            <v>36-45 yrs</v>
          </cell>
        </row>
        <row r="855">
          <cell r="A855" t="str">
            <v>C1854</v>
          </cell>
          <cell r="E855" t="str">
            <v>Unknown</v>
          </cell>
          <cell r="F855" t="str">
            <v>Month-to-month</v>
          </cell>
          <cell r="H855">
            <v>899</v>
          </cell>
          <cell r="J855" t="str">
            <v>Fiber</v>
          </cell>
          <cell r="L855" t="str">
            <v>Yes</v>
          </cell>
          <cell r="M855" t="str">
            <v>13-24 mo</v>
          </cell>
          <cell r="N855" t="str">
            <v>46-60 yrs</v>
          </cell>
        </row>
        <row r="856">
          <cell r="A856" t="str">
            <v>C1855</v>
          </cell>
          <cell r="E856" t="str">
            <v>Jaipur</v>
          </cell>
          <cell r="F856" t="str">
            <v>Month-to-month</v>
          </cell>
          <cell r="H856">
            <v>1149</v>
          </cell>
          <cell r="J856" t="str">
            <v>Fiber</v>
          </cell>
          <cell r="L856" t="str">
            <v>Yes</v>
          </cell>
          <cell r="M856" t="str">
            <v>0-6 mo</v>
          </cell>
          <cell r="N856" t="str">
            <v>46-60 yrs</v>
          </cell>
        </row>
        <row r="857">
          <cell r="A857" t="str">
            <v>C1856</v>
          </cell>
          <cell r="E857" t="str">
            <v>Bangalore</v>
          </cell>
          <cell r="F857" t="str">
            <v>Month-to-month</v>
          </cell>
          <cell r="H857">
            <v>849</v>
          </cell>
          <cell r="J857" t="str">
            <v>DSL</v>
          </cell>
          <cell r="L857" t="str">
            <v>No</v>
          </cell>
          <cell r="M857" t="str">
            <v>7-12 mo</v>
          </cell>
          <cell r="N857" t="str">
            <v>60+ yrs</v>
          </cell>
        </row>
        <row r="858">
          <cell r="A858" t="str">
            <v>C1857</v>
          </cell>
          <cell r="E858" t="str">
            <v>Lucknow</v>
          </cell>
          <cell r="F858" t="str">
            <v>One year</v>
          </cell>
          <cell r="H858">
            <v>399</v>
          </cell>
          <cell r="J858" t="str">
            <v>No Internet</v>
          </cell>
          <cell r="L858" t="str">
            <v>No</v>
          </cell>
          <cell r="M858" t="str">
            <v>25-48 mo</v>
          </cell>
          <cell r="N858" t="str">
            <v>36-45 yrs</v>
          </cell>
        </row>
        <row r="859">
          <cell r="A859" t="str">
            <v>C1858</v>
          </cell>
          <cell r="E859" t="str">
            <v>Hyderabad</v>
          </cell>
          <cell r="F859" t="str">
            <v>Month-to-month</v>
          </cell>
          <cell r="H859">
            <v>849</v>
          </cell>
          <cell r="J859" t="str">
            <v>DSL</v>
          </cell>
          <cell r="L859" t="str">
            <v>Yes</v>
          </cell>
          <cell r="M859" t="str">
            <v>0-6 mo</v>
          </cell>
          <cell r="N859" t="str">
            <v>46-60 yrs</v>
          </cell>
        </row>
        <row r="860">
          <cell r="A860" t="str">
            <v>C1859</v>
          </cell>
          <cell r="E860" t="str">
            <v>Chennai</v>
          </cell>
          <cell r="F860" t="str">
            <v>Month-to-month</v>
          </cell>
          <cell r="H860">
            <v>899</v>
          </cell>
          <cell r="J860" t="str">
            <v>Fiber</v>
          </cell>
          <cell r="L860" t="str">
            <v>No</v>
          </cell>
          <cell r="M860" t="str">
            <v>7-12 mo</v>
          </cell>
          <cell r="N860" t="str">
            <v>60+ yrs</v>
          </cell>
        </row>
        <row r="861">
          <cell r="A861" t="str">
            <v>C1860</v>
          </cell>
          <cell r="E861" t="str">
            <v>Jaipur</v>
          </cell>
          <cell r="F861" t="str">
            <v>One year</v>
          </cell>
          <cell r="H861">
            <v>599</v>
          </cell>
          <cell r="J861" t="str">
            <v>DSL</v>
          </cell>
          <cell r="L861" t="str">
            <v>No</v>
          </cell>
          <cell r="M861" t="str">
            <v>25-48 mo</v>
          </cell>
          <cell r="N861" t="str">
            <v>26-35 yrs</v>
          </cell>
        </row>
        <row r="862">
          <cell r="A862" t="str">
            <v>C1861</v>
          </cell>
          <cell r="E862" t="str">
            <v>Mumbai</v>
          </cell>
          <cell r="F862" t="str">
            <v>Two year</v>
          </cell>
          <cell r="H862">
            <v>649</v>
          </cell>
          <cell r="J862" t="str">
            <v>DSL</v>
          </cell>
          <cell r="L862" t="str">
            <v>No</v>
          </cell>
          <cell r="M862" t="str">
            <v>49+ mo</v>
          </cell>
          <cell r="N862" t="str">
            <v>46-60 yrs</v>
          </cell>
        </row>
        <row r="863">
          <cell r="A863" t="str">
            <v>C1862</v>
          </cell>
          <cell r="E863" t="str">
            <v>Chennai</v>
          </cell>
          <cell r="F863" t="str">
            <v>Month-to-month</v>
          </cell>
          <cell r="H863">
            <v>999</v>
          </cell>
          <cell r="J863" t="str">
            <v>Fiber</v>
          </cell>
          <cell r="L863" t="str">
            <v>Yes</v>
          </cell>
          <cell r="M863" t="str">
            <v>0-6 mo</v>
          </cell>
          <cell r="N863" t="str">
            <v>26-35 yrs</v>
          </cell>
        </row>
        <row r="864">
          <cell r="A864" t="str">
            <v>C1863</v>
          </cell>
          <cell r="E864" t="str">
            <v>Pune</v>
          </cell>
          <cell r="F864" t="str">
            <v>One year</v>
          </cell>
          <cell r="H864">
            <v>749</v>
          </cell>
          <cell r="J864" t="str">
            <v>DSL</v>
          </cell>
          <cell r="L864" t="str">
            <v>No</v>
          </cell>
          <cell r="M864" t="str">
            <v>25-48 mo</v>
          </cell>
          <cell r="N864" t="str">
            <v>46-60 yrs</v>
          </cell>
        </row>
        <row r="865">
          <cell r="A865" t="str">
            <v>C1864</v>
          </cell>
          <cell r="E865" t="str">
            <v>Kolkata</v>
          </cell>
          <cell r="F865" t="str">
            <v>Month-to-month</v>
          </cell>
          <cell r="H865">
            <v>1199</v>
          </cell>
          <cell r="J865" t="str">
            <v>Fiber</v>
          </cell>
          <cell r="L865" t="str">
            <v>No</v>
          </cell>
          <cell r="M865" t="str">
            <v>7-12 mo</v>
          </cell>
          <cell r="N865" t="str">
            <v>26-35 yrs</v>
          </cell>
        </row>
        <row r="866">
          <cell r="A866" t="str">
            <v>C1865</v>
          </cell>
          <cell r="E866" t="str">
            <v>Mumbai</v>
          </cell>
          <cell r="F866" t="str">
            <v>One year</v>
          </cell>
          <cell r="H866">
            <v>349</v>
          </cell>
          <cell r="J866" t="str">
            <v>No Internet</v>
          </cell>
          <cell r="L866" t="str">
            <v>No</v>
          </cell>
          <cell r="M866" t="str">
            <v>7-12 mo</v>
          </cell>
          <cell r="N866" t="str">
            <v>18-25 yrs</v>
          </cell>
        </row>
        <row r="867">
          <cell r="A867" t="str">
            <v>C1866</v>
          </cell>
          <cell r="E867" t="str">
            <v>Jaipur</v>
          </cell>
          <cell r="F867" t="str">
            <v>Two year</v>
          </cell>
          <cell r="H867">
            <v>799</v>
          </cell>
          <cell r="J867" t="str">
            <v>DSL</v>
          </cell>
          <cell r="L867" t="str">
            <v>No</v>
          </cell>
          <cell r="M867" t="str">
            <v>49+ mo</v>
          </cell>
          <cell r="N867" t="str">
            <v>60+ yrs</v>
          </cell>
        </row>
        <row r="868">
          <cell r="A868" t="str">
            <v>C1867</v>
          </cell>
          <cell r="E868" t="str">
            <v>Bhopal</v>
          </cell>
          <cell r="F868" t="str">
            <v>Month-to-month</v>
          </cell>
          <cell r="H868">
            <v>1049</v>
          </cell>
          <cell r="J868" t="str">
            <v>Fiber</v>
          </cell>
          <cell r="L868" t="str">
            <v>No</v>
          </cell>
          <cell r="M868" t="str">
            <v>13-24 mo</v>
          </cell>
          <cell r="N868" t="str">
            <v>60+ yrs</v>
          </cell>
        </row>
        <row r="869">
          <cell r="A869" t="str">
            <v>C1868</v>
          </cell>
          <cell r="E869" t="str">
            <v>Indore</v>
          </cell>
          <cell r="F869" t="str">
            <v>Two year</v>
          </cell>
          <cell r="H869">
            <v>899</v>
          </cell>
          <cell r="J869" t="str">
            <v>Fiber</v>
          </cell>
          <cell r="L869" t="str">
            <v>No</v>
          </cell>
          <cell r="M869" t="str">
            <v>25-48 mo</v>
          </cell>
          <cell r="N869" t="str">
            <v>26-35 yrs</v>
          </cell>
        </row>
        <row r="870">
          <cell r="A870" t="str">
            <v>C1869</v>
          </cell>
          <cell r="E870" t="str">
            <v>Kolkata</v>
          </cell>
          <cell r="F870" t="str">
            <v>Month-to-month</v>
          </cell>
          <cell r="H870">
            <v>549</v>
          </cell>
          <cell r="J870" t="str">
            <v>No Internet</v>
          </cell>
          <cell r="L870" t="str">
            <v>No</v>
          </cell>
          <cell r="M870" t="str">
            <v>7-12 mo</v>
          </cell>
          <cell r="N870" t="str">
            <v>46-60 yrs</v>
          </cell>
        </row>
        <row r="871">
          <cell r="A871" t="str">
            <v>C1870</v>
          </cell>
          <cell r="E871" t="str">
            <v>Chennai</v>
          </cell>
          <cell r="F871" t="str">
            <v>Month-to-month</v>
          </cell>
          <cell r="H871">
            <v>799</v>
          </cell>
          <cell r="J871" t="str">
            <v>DSL</v>
          </cell>
          <cell r="L871" t="str">
            <v>No</v>
          </cell>
          <cell r="M871" t="str">
            <v>13-24 mo</v>
          </cell>
          <cell r="N871" t="str">
            <v>46-60 yrs</v>
          </cell>
        </row>
        <row r="872">
          <cell r="A872" t="str">
            <v>C1871</v>
          </cell>
          <cell r="E872" t="str">
            <v>Ahmedabad</v>
          </cell>
          <cell r="F872" t="str">
            <v>Month-to-month</v>
          </cell>
          <cell r="H872">
            <v>699</v>
          </cell>
          <cell r="J872" t="str">
            <v>DSL</v>
          </cell>
          <cell r="L872" t="str">
            <v>Yes</v>
          </cell>
          <cell r="M872" t="str">
            <v>13-24 mo</v>
          </cell>
          <cell r="N872" t="str">
            <v>60+ yrs</v>
          </cell>
        </row>
        <row r="873">
          <cell r="A873" t="str">
            <v>C1872</v>
          </cell>
          <cell r="E873" t="str">
            <v>Mumbai</v>
          </cell>
          <cell r="F873" t="str">
            <v>Month-to-month</v>
          </cell>
          <cell r="H873">
            <v>799</v>
          </cell>
          <cell r="J873" t="str">
            <v>DSL</v>
          </cell>
          <cell r="L873" t="str">
            <v>Yes</v>
          </cell>
          <cell r="M873" t="str">
            <v>13-24 mo</v>
          </cell>
          <cell r="N873" t="str">
            <v>18-25 yrs</v>
          </cell>
        </row>
        <row r="874">
          <cell r="A874" t="str">
            <v>C1873</v>
          </cell>
          <cell r="E874" t="str">
            <v>Hyderabad</v>
          </cell>
          <cell r="F874" t="str">
            <v>Month-to-month</v>
          </cell>
          <cell r="H874">
            <v>999</v>
          </cell>
          <cell r="J874" t="str">
            <v>Fiber</v>
          </cell>
          <cell r="L874" t="str">
            <v>No</v>
          </cell>
          <cell r="M874" t="str">
            <v>7-12 mo</v>
          </cell>
          <cell r="N874" t="str">
            <v>26-35 yrs</v>
          </cell>
        </row>
        <row r="875">
          <cell r="A875" t="str">
            <v>C1874</v>
          </cell>
          <cell r="E875" t="str">
            <v>Pune</v>
          </cell>
          <cell r="F875" t="str">
            <v>One year</v>
          </cell>
          <cell r="H875">
            <v>599</v>
          </cell>
          <cell r="J875" t="str">
            <v>DSL</v>
          </cell>
          <cell r="L875" t="str">
            <v>Yes</v>
          </cell>
          <cell r="M875" t="str">
            <v>13-24 mo</v>
          </cell>
          <cell r="N875" t="str">
            <v>26-35 yrs</v>
          </cell>
        </row>
        <row r="876">
          <cell r="A876" t="str">
            <v>C1875</v>
          </cell>
          <cell r="E876" t="str">
            <v>Indore</v>
          </cell>
          <cell r="F876" t="str">
            <v>Month-to-month</v>
          </cell>
          <cell r="H876">
            <v>899</v>
          </cell>
          <cell r="J876" t="str">
            <v>Fiber</v>
          </cell>
          <cell r="L876" t="str">
            <v>No</v>
          </cell>
          <cell r="M876" t="str">
            <v>13-24 mo</v>
          </cell>
          <cell r="N876" t="str">
            <v>26-35 yrs</v>
          </cell>
        </row>
        <row r="877">
          <cell r="A877" t="str">
            <v>C1876</v>
          </cell>
          <cell r="E877" t="str">
            <v>Bhopal</v>
          </cell>
          <cell r="F877" t="str">
            <v>Two year</v>
          </cell>
          <cell r="H877">
            <v>349</v>
          </cell>
          <cell r="J877" t="str">
            <v>No Internet</v>
          </cell>
          <cell r="L877" t="str">
            <v>No</v>
          </cell>
          <cell r="M877" t="str">
            <v>49+ mo</v>
          </cell>
          <cell r="N877" t="str">
            <v>46-60 yrs</v>
          </cell>
        </row>
        <row r="878">
          <cell r="A878" t="str">
            <v>C1877</v>
          </cell>
          <cell r="E878" t="str">
            <v>Kochi</v>
          </cell>
          <cell r="F878" t="str">
            <v>One year</v>
          </cell>
          <cell r="H878">
            <v>749</v>
          </cell>
          <cell r="J878" t="str">
            <v>DSL</v>
          </cell>
          <cell r="L878" t="str">
            <v>No</v>
          </cell>
          <cell r="M878" t="str">
            <v>13-24 mo</v>
          </cell>
          <cell r="N878" t="str">
            <v>18-25 yrs</v>
          </cell>
        </row>
        <row r="879">
          <cell r="A879" t="str">
            <v>C1878</v>
          </cell>
          <cell r="E879" t="str">
            <v>Kolkata</v>
          </cell>
          <cell r="F879" t="str">
            <v>Month-to-month</v>
          </cell>
          <cell r="H879">
            <v>649</v>
          </cell>
          <cell r="J879" t="str">
            <v>DSL</v>
          </cell>
          <cell r="L879" t="str">
            <v>No</v>
          </cell>
          <cell r="M879" t="str">
            <v>13-24 mo</v>
          </cell>
          <cell r="N879" t="str">
            <v>60+ yrs</v>
          </cell>
        </row>
        <row r="880">
          <cell r="A880" t="str">
            <v>C1879</v>
          </cell>
          <cell r="E880" t="str">
            <v>Kolkata</v>
          </cell>
          <cell r="F880" t="str">
            <v>Unknown</v>
          </cell>
          <cell r="H880">
            <v>1199</v>
          </cell>
          <cell r="J880" t="str">
            <v>Fiber</v>
          </cell>
          <cell r="L880" t="str">
            <v>Yes</v>
          </cell>
          <cell r="M880" t="str">
            <v>0-6 mo</v>
          </cell>
          <cell r="N880" t="str">
            <v>60+ yrs</v>
          </cell>
        </row>
        <row r="881">
          <cell r="A881" t="str">
            <v>C1880</v>
          </cell>
          <cell r="E881" t="str">
            <v>Kolkata</v>
          </cell>
          <cell r="F881" t="str">
            <v>Month-to-month</v>
          </cell>
          <cell r="H881">
            <v>549</v>
          </cell>
          <cell r="J881" t="str">
            <v>No Internet</v>
          </cell>
          <cell r="L881" t="str">
            <v>Yes</v>
          </cell>
          <cell r="M881" t="str">
            <v>0-6 mo</v>
          </cell>
          <cell r="N881" t="str">
            <v>26-35 yrs</v>
          </cell>
        </row>
        <row r="882">
          <cell r="A882" t="str">
            <v>C1881</v>
          </cell>
          <cell r="E882" t="str">
            <v>Chennai</v>
          </cell>
          <cell r="F882" t="str">
            <v>One year</v>
          </cell>
          <cell r="H882">
            <v>499</v>
          </cell>
          <cell r="J882" t="str">
            <v>No Internet</v>
          </cell>
          <cell r="L882" t="str">
            <v>Yes</v>
          </cell>
          <cell r="M882" t="str">
            <v>13-24 mo</v>
          </cell>
          <cell r="N882" t="str">
            <v>46-60 yrs</v>
          </cell>
        </row>
        <row r="883">
          <cell r="A883" t="str">
            <v>C1882</v>
          </cell>
          <cell r="E883" t="str">
            <v>Pune</v>
          </cell>
          <cell r="F883" t="str">
            <v>Month-to-month</v>
          </cell>
          <cell r="H883">
            <v>1049</v>
          </cell>
          <cell r="J883" t="str">
            <v>Fiber</v>
          </cell>
          <cell r="L883" t="str">
            <v>Yes</v>
          </cell>
          <cell r="M883" t="str">
            <v>13-24 mo</v>
          </cell>
          <cell r="N883" t="str">
            <v>26-35 yrs</v>
          </cell>
        </row>
        <row r="884">
          <cell r="A884" t="str">
            <v>C1883</v>
          </cell>
          <cell r="E884" t="str">
            <v>Ahmedabad</v>
          </cell>
          <cell r="F884" t="str">
            <v>Month-to-month</v>
          </cell>
          <cell r="H884">
            <v>1049</v>
          </cell>
          <cell r="J884" t="str">
            <v>Fiber</v>
          </cell>
          <cell r="L884" t="str">
            <v>Yes</v>
          </cell>
          <cell r="M884" t="str">
            <v>13-24 mo</v>
          </cell>
          <cell r="N884" t="str">
            <v>46-60 yrs</v>
          </cell>
        </row>
        <row r="885">
          <cell r="A885" t="str">
            <v>C1884</v>
          </cell>
          <cell r="E885" t="str">
            <v>Indore</v>
          </cell>
          <cell r="F885" t="str">
            <v>One year</v>
          </cell>
          <cell r="H885">
            <v>449</v>
          </cell>
          <cell r="J885" t="str">
            <v>No Internet</v>
          </cell>
          <cell r="L885" t="str">
            <v>No</v>
          </cell>
          <cell r="M885" t="str">
            <v>13-24 mo</v>
          </cell>
          <cell r="N885" t="str">
            <v>18-25 yrs</v>
          </cell>
        </row>
        <row r="886">
          <cell r="A886" t="str">
            <v>C1885</v>
          </cell>
          <cell r="E886" t="str">
            <v>Hyderabad</v>
          </cell>
          <cell r="F886" t="str">
            <v>One year</v>
          </cell>
          <cell r="H886">
            <v>649</v>
          </cell>
          <cell r="J886" t="str">
            <v>DSL</v>
          </cell>
          <cell r="L886" t="str">
            <v>Yes</v>
          </cell>
          <cell r="M886" t="str">
            <v>7-12 mo</v>
          </cell>
          <cell r="N886" t="str">
            <v>26-35 yrs</v>
          </cell>
        </row>
        <row r="887">
          <cell r="A887" t="str">
            <v>C1886</v>
          </cell>
          <cell r="E887" t="str">
            <v>Mumbai</v>
          </cell>
          <cell r="F887" t="str">
            <v>Month-to-month</v>
          </cell>
          <cell r="H887">
            <v>1199</v>
          </cell>
          <cell r="J887" t="str">
            <v>Fiber</v>
          </cell>
          <cell r="L887" t="str">
            <v>Unknown</v>
          </cell>
          <cell r="M887" t="str">
            <v>7-12 mo</v>
          </cell>
          <cell r="N887" t="str">
            <v>46-60 yrs</v>
          </cell>
        </row>
        <row r="888">
          <cell r="A888" t="str">
            <v>C1887</v>
          </cell>
          <cell r="E888" t="str">
            <v>Kolkata</v>
          </cell>
          <cell r="F888" t="str">
            <v>One year</v>
          </cell>
          <cell r="H888">
            <v>699</v>
          </cell>
          <cell r="J888" t="str">
            <v>DSL</v>
          </cell>
          <cell r="L888" t="str">
            <v>No</v>
          </cell>
          <cell r="M888" t="str">
            <v>25-48 mo</v>
          </cell>
          <cell r="N888" t="str">
            <v>26-35 yrs</v>
          </cell>
        </row>
        <row r="889">
          <cell r="A889" t="str">
            <v>C1888</v>
          </cell>
          <cell r="E889" t="str">
            <v>Jaipur</v>
          </cell>
          <cell r="F889" t="str">
            <v>Two year</v>
          </cell>
          <cell r="H889">
            <v>1149</v>
          </cell>
          <cell r="J889" t="str">
            <v>Fiber</v>
          </cell>
          <cell r="L889" t="str">
            <v>No</v>
          </cell>
          <cell r="M889" t="str">
            <v>0-6 mo</v>
          </cell>
          <cell r="N889" t="str">
            <v>36-45 yrs</v>
          </cell>
        </row>
        <row r="890">
          <cell r="A890" t="str">
            <v>C1889</v>
          </cell>
          <cell r="E890" t="str">
            <v>Kochi</v>
          </cell>
          <cell r="F890" t="str">
            <v>Two year</v>
          </cell>
          <cell r="H890">
            <v>749</v>
          </cell>
          <cell r="J890" t="str">
            <v>DSL</v>
          </cell>
          <cell r="L890" t="str">
            <v>No</v>
          </cell>
          <cell r="M890" t="str">
            <v>49+ mo</v>
          </cell>
          <cell r="N890" t="str">
            <v>18-25 yrs</v>
          </cell>
        </row>
        <row r="891">
          <cell r="A891" t="str">
            <v>C1890</v>
          </cell>
          <cell r="E891" t="str">
            <v>Jaipur</v>
          </cell>
          <cell r="F891" t="str">
            <v>One year</v>
          </cell>
          <cell r="H891">
            <v>999</v>
          </cell>
          <cell r="J891" t="str">
            <v>Fiber</v>
          </cell>
          <cell r="L891" t="str">
            <v>Yes</v>
          </cell>
          <cell r="M891" t="str">
            <v>13-24 mo</v>
          </cell>
          <cell r="N891" t="str">
            <v>36-45 yrs</v>
          </cell>
        </row>
        <row r="892">
          <cell r="A892" t="str">
            <v>C1891</v>
          </cell>
          <cell r="E892" t="str">
            <v>Bhopal</v>
          </cell>
          <cell r="F892" t="str">
            <v>One year</v>
          </cell>
          <cell r="H892">
            <v>699</v>
          </cell>
          <cell r="J892" t="str">
            <v>DSL</v>
          </cell>
          <cell r="L892" t="str">
            <v>No</v>
          </cell>
          <cell r="M892" t="str">
            <v>13-24 mo</v>
          </cell>
          <cell r="N892" t="str">
            <v>46-60 yrs</v>
          </cell>
        </row>
        <row r="893">
          <cell r="A893" t="str">
            <v>C1892</v>
          </cell>
          <cell r="E893" t="str">
            <v>Chennai</v>
          </cell>
          <cell r="F893" t="str">
            <v>Month-to-month</v>
          </cell>
          <cell r="H893">
            <v>649</v>
          </cell>
          <cell r="J893" t="str">
            <v>DSL</v>
          </cell>
          <cell r="L893" t="str">
            <v>No</v>
          </cell>
          <cell r="M893" t="str">
            <v>7-12 mo</v>
          </cell>
          <cell r="N893" t="str">
            <v>26-35 yrs</v>
          </cell>
        </row>
        <row r="894">
          <cell r="A894" t="str">
            <v>C1893</v>
          </cell>
          <cell r="E894" t="str">
            <v>Indore</v>
          </cell>
          <cell r="F894" t="str">
            <v>Month-to-month</v>
          </cell>
          <cell r="H894">
            <v>899</v>
          </cell>
          <cell r="J894" t="str">
            <v>Unknown</v>
          </cell>
          <cell r="L894" t="str">
            <v>Yes</v>
          </cell>
          <cell r="M894" t="str">
            <v>7-12 mo</v>
          </cell>
          <cell r="N894" t="str">
            <v>18-25 yrs</v>
          </cell>
        </row>
        <row r="895">
          <cell r="A895" t="str">
            <v>C1894</v>
          </cell>
          <cell r="E895" t="str">
            <v>Delhi</v>
          </cell>
          <cell r="F895" t="str">
            <v>One year</v>
          </cell>
          <cell r="H895">
            <v>649</v>
          </cell>
          <cell r="J895" t="str">
            <v>DSL</v>
          </cell>
          <cell r="L895" t="str">
            <v>No</v>
          </cell>
          <cell r="M895" t="str">
            <v>13-24 mo</v>
          </cell>
          <cell r="N895" t="str">
            <v>36-45 yrs</v>
          </cell>
        </row>
        <row r="896">
          <cell r="A896" t="str">
            <v>C1895</v>
          </cell>
          <cell r="E896" t="str">
            <v>Chandigarh</v>
          </cell>
          <cell r="F896" t="str">
            <v>One year</v>
          </cell>
          <cell r="H896">
            <v>1099</v>
          </cell>
          <cell r="J896" t="str">
            <v>Fiber</v>
          </cell>
          <cell r="L896" t="str">
            <v>No</v>
          </cell>
          <cell r="M896" t="str">
            <v>13-24 mo</v>
          </cell>
          <cell r="N896" t="str">
            <v>26-35 yrs</v>
          </cell>
        </row>
        <row r="897">
          <cell r="A897" t="str">
            <v>C1896</v>
          </cell>
          <cell r="E897" t="str">
            <v>Bhopal</v>
          </cell>
          <cell r="F897" t="str">
            <v>One year</v>
          </cell>
          <cell r="H897">
            <v>1099</v>
          </cell>
          <cell r="J897" t="str">
            <v>Fiber</v>
          </cell>
          <cell r="L897" t="str">
            <v>No</v>
          </cell>
          <cell r="M897" t="str">
            <v>25-48 mo</v>
          </cell>
          <cell r="N897" t="str">
            <v>26-35 yrs</v>
          </cell>
        </row>
        <row r="898">
          <cell r="A898" t="str">
            <v>C1897</v>
          </cell>
          <cell r="E898" t="str">
            <v>Bhopal</v>
          </cell>
          <cell r="F898" t="str">
            <v>Month-to-month</v>
          </cell>
          <cell r="H898">
            <v>649</v>
          </cell>
          <cell r="J898" t="str">
            <v>DSL</v>
          </cell>
          <cell r="L898" t="str">
            <v>No</v>
          </cell>
          <cell r="M898" t="str">
            <v>7-12 mo</v>
          </cell>
          <cell r="N898" t="str">
            <v>46-60 yrs</v>
          </cell>
        </row>
        <row r="899">
          <cell r="A899" t="str">
            <v>C1898</v>
          </cell>
          <cell r="E899" t="str">
            <v>Hyderabad</v>
          </cell>
          <cell r="F899" t="str">
            <v>Month-to-month</v>
          </cell>
          <cell r="H899">
            <v>1199</v>
          </cell>
          <cell r="J899" t="str">
            <v>Fiber</v>
          </cell>
          <cell r="L899" t="str">
            <v>Yes</v>
          </cell>
          <cell r="M899" t="str">
            <v>13-24 mo</v>
          </cell>
          <cell r="N899" t="str">
            <v>36-45 yrs</v>
          </cell>
        </row>
        <row r="900">
          <cell r="A900" t="str">
            <v>C1899</v>
          </cell>
          <cell r="E900" t="str">
            <v>Kolkata</v>
          </cell>
          <cell r="F900" t="str">
            <v>Month-to-month</v>
          </cell>
          <cell r="H900">
            <v>399</v>
          </cell>
          <cell r="J900" t="str">
            <v>No Internet</v>
          </cell>
          <cell r="L900" t="str">
            <v>No</v>
          </cell>
          <cell r="M900" t="str">
            <v>13-24 mo</v>
          </cell>
          <cell r="N900" t="str">
            <v>36-45 yrs</v>
          </cell>
        </row>
        <row r="901">
          <cell r="A901" t="str">
            <v>C1900</v>
          </cell>
          <cell r="E901" t="str">
            <v>Delhi</v>
          </cell>
          <cell r="F901" t="str">
            <v>Two year</v>
          </cell>
          <cell r="H901">
            <v>899</v>
          </cell>
          <cell r="J901" t="str">
            <v>DSL</v>
          </cell>
          <cell r="L901" t="str">
            <v>No</v>
          </cell>
          <cell r="M901" t="str">
            <v>25-48 mo</v>
          </cell>
          <cell r="N901" t="str">
            <v>60+ yrs</v>
          </cell>
        </row>
        <row r="902">
          <cell r="A902" t="str">
            <v>C1901</v>
          </cell>
          <cell r="E902" t="str">
            <v>Ahmedabad</v>
          </cell>
          <cell r="F902" t="str">
            <v>Month-to-month</v>
          </cell>
          <cell r="H902">
            <v>699</v>
          </cell>
          <cell r="J902" t="str">
            <v>DSL</v>
          </cell>
          <cell r="L902" t="str">
            <v>Yes</v>
          </cell>
          <cell r="M902" t="str">
            <v>13-24 mo</v>
          </cell>
          <cell r="N902" t="str">
            <v>36-45 yrs</v>
          </cell>
        </row>
        <row r="903">
          <cell r="A903" t="str">
            <v>C1902</v>
          </cell>
          <cell r="E903" t="str">
            <v>Mumbai</v>
          </cell>
          <cell r="F903" t="str">
            <v>Month-to-month</v>
          </cell>
          <cell r="H903">
            <v>349</v>
          </cell>
          <cell r="J903" t="str">
            <v>No Internet</v>
          </cell>
          <cell r="L903" t="str">
            <v>Yes</v>
          </cell>
          <cell r="M903" t="str">
            <v>0-6 mo</v>
          </cell>
          <cell r="N903" t="str">
            <v>36-45 yrs</v>
          </cell>
        </row>
        <row r="904">
          <cell r="A904" t="str">
            <v>C1903</v>
          </cell>
          <cell r="E904" t="str">
            <v>Hyderabad</v>
          </cell>
          <cell r="F904" t="str">
            <v>Two year</v>
          </cell>
          <cell r="H904">
            <v>999</v>
          </cell>
          <cell r="J904" t="str">
            <v>Fiber</v>
          </cell>
          <cell r="L904" t="str">
            <v>No</v>
          </cell>
          <cell r="M904" t="str">
            <v>13-24 mo</v>
          </cell>
          <cell r="N904" t="str">
            <v>36-45 yrs</v>
          </cell>
        </row>
        <row r="905">
          <cell r="A905" t="str">
            <v>C1904</v>
          </cell>
          <cell r="E905" t="str">
            <v>Mumbai</v>
          </cell>
          <cell r="F905" t="str">
            <v>Month-to-month</v>
          </cell>
          <cell r="H905">
            <v>399</v>
          </cell>
          <cell r="J905" t="str">
            <v>No Internet</v>
          </cell>
          <cell r="L905" t="str">
            <v>Unknown</v>
          </cell>
          <cell r="M905" t="str">
            <v>0-6 mo</v>
          </cell>
          <cell r="N905" t="str">
            <v>36-45 yrs</v>
          </cell>
        </row>
        <row r="906">
          <cell r="A906" t="str">
            <v>C1905</v>
          </cell>
          <cell r="E906" t="str">
            <v>Kolkata</v>
          </cell>
          <cell r="F906" t="str">
            <v>Month-to-month</v>
          </cell>
          <cell r="H906">
            <v>1299</v>
          </cell>
          <cell r="J906" t="str">
            <v>Fiber</v>
          </cell>
          <cell r="L906" t="str">
            <v>Yes</v>
          </cell>
          <cell r="M906" t="str">
            <v>7-12 mo</v>
          </cell>
          <cell r="N906" t="str">
            <v>60+ yrs</v>
          </cell>
        </row>
        <row r="907">
          <cell r="A907" t="str">
            <v>C1906</v>
          </cell>
          <cell r="E907" t="str">
            <v>Chennai</v>
          </cell>
          <cell r="F907" t="str">
            <v>Two year</v>
          </cell>
          <cell r="H907">
            <v>899</v>
          </cell>
          <cell r="J907" t="str">
            <v>Fiber</v>
          </cell>
          <cell r="L907" t="str">
            <v>No</v>
          </cell>
          <cell r="M907" t="str">
            <v>7-12 mo</v>
          </cell>
          <cell r="N907" t="str">
            <v>36-45 yrs</v>
          </cell>
        </row>
        <row r="908">
          <cell r="A908" t="str">
            <v>C1907</v>
          </cell>
          <cell r="E908" t="str">
            <v>Bhopal</v>
          </cell>
          <cell r="F908" t="str">
            <v>One year</v>
          </cell>
          <cell r="H908">
            <v>499</v>
          </cell>
          <cell r="J908" t="str">
            <v>No Internet</v>
          </cell>
          <cell r="L908" t="str">
            <v>No</v>
          </cell>
          <cell r="M908" t="str">
            <v>0-6 mo</v>
          </cell>
          <cell r="N908" t="str">
            <v>46-60 yrs</v>
          </cell>
        </row>
        <row r="909">
          <cell r="A909" t="str">
            <v>C1908</v>
          </cell>
          <cell r="E909" t="str">
            <v>Bangalore</v>
          </cell>
          <cell r="F909" t="str">
            <v>One year</v>
          </cell>
          <cell r="H909">
            <v>1099</v>
          </cell>
          <cell r="J909" t="str">
            <v>Fiber</v>
          </cell>
          <cell r="L909" t="str">
            <v>No</v>
          </cell>
          <cell r="M909" t="str">
            <v>25-48 mo</v>
          </cell>
          <cell r="N909" t="str">
            <v>26-35 yrs</v>
          </cell>
        </row>
        <row r="910">
          <cell r="A910" t="str">
            <v>C1909</v>
          </cell>
          <cell r="E910" t="str">
            <v>Kolkata</v>
          </cell>
          <cell r="F910" t="str">
            <v>Month-to-month</v>
          </cell>
          <cell r="H910">
            <v>1149</v>
          </cell>
          <cell r="J910" t="str">
            <v>Fiber</v>
          </cell>
          <cell r="L910" t="str">
            <v>No</v>
          </cell>
          <cell r="M910" t="str">
            <v>13-24 mo</v>
          </cell>
          <cell r="N910" t="str">
            <v>26-35 yrs</v>
          </cell>
        </row>
        <row r="911">
          <cell r="A911" t="str">
            <v>C1910</v>
          </cell>
          <cell r="E911" t="str">
            <v>Jaipur</v>
          </cell>
          <cell r="F911" t="str">
            <v>One year</v>
          </cell>
          <cell r="H911">
            <v>899</v>
          </cell>
          <cell r="J911" t="str">
            <v>Fiber</v>
          </cell>
          <cell r="L911" t="str">
            <v>No</v>
          </cell>
          <cell r="M911" t="str">
            <v>13-24 mo</v>
          </cell>
          <cell r="N911" t="str">
            <v>36-45 yrs</v>
          </cell>
        </row>
        <row r="912">
          <cell r="A912" t="str">
            <v>C1911</v>
          </cell>
          <cell r="E912" t="str">
            <v>Bangalore</v>
          </cell>
          <cell r="F912" t="str">
            <v>Two year</v>
          </cell>
          <cell r="H912">
            <v>699</v>
          </cell>
          <cell r="J912" t="str">
            <v>DSL</v>
          </cell>
          <cell r="L912" t="str">
            <v>No</v>
          </cell>
          <cell r="M912" t="str">
            <v>25-48 mo</v>
          </cell>
          <cell r="N912" t="str">
            <v>46-60 yrs</v>
          </cell>
        </row>
        <row r="913">
          <cell r="A913" t="str">
            <v>C1912</v>
          </cell>
          <cell r="E913" t="str">
            <v>Hyderabad</v>
          </cell>
          <cell r="F913" t="str">
            <v>Month-to-month</v>
          </cell>
          <cell r="H913">
            <v>849</v>
          </cell>
          <cell r="J913" t="str">
            <v>DSL</v>
          </cell>
          <cell r="L913" t="str">
            <v>No</v>
          </cell>
          <cell r="M913" t="str">
            <v>13-24 mo</v>
          </cell>
          <cell r="N913" t="str">
            <v>60+ yrs</v>
          </cell>
        </row>
        <row r="914">
          <cell r="A914" t="str">
            <v>C1913</v>
          </cell>
          <cell r="E914" t="str">
            <v>Mumbai</v>
          </cell>
          <cell r="F914" t="str">
            <v>One year</v>
          </cell>
          <cell r="H914">
            <v>899</v>
          </cell>
          <cell r="J914" t="str">
            <v>DSL</v>
          </cell>
          <cell r="L914" t="str">
            <v>Yes</v>
          </cell>
          <cell r="M914" t="str">
            <v>25-48 mo</v>
          </cell>
          <cell r="N914" t="str">
            <v>60+ yrs</v>
          </cell>
        </row>
        <row r="915">
          <cell r="A915" t="str">
            <v>C1914</v>
          </cell>
          <cell r="E915" t="str">
            <v>Lucknow</v>
          </cell>
          <cell r="F915" t="str">
            <v>Two year</v>
          </cell>
          <cell r="H915">
            <v>1199</v>
          </cell>
          <cell r="J915" t="str">
            <v>Fiber</v>
          </cell>
          <cell r="L915" t="str">
            <v>No</v>
          </cell>
          <cell r="M915" t="str">
            <v>13-24 mo</v>
          </cell>
          <cell r="N915" t="str">
            <v>18-25 yrs</v>
          </cell>
        </row>
        <row r="916">
          <cell r="A916" t="str">
            <v>C1915</v>
          </cell>
          <cell r="E916" t="str">
            <v>Pune</v>
          </cell>
          <cell r="F916" t="str">
            <v>Month-to-month</v>
          </cell>
          <cell r="H916">
            <v>899</v>
          </cell>
          <cell r="J916" t="str">
            <v>Fiber</v>
          </cell>
          <cell r="L916" t="str">
            <v>Yes</v>
          </cell>
          <cell r="M916" t="str">
            <v>0-6 mo</v>
          </cell>
          <cell r="N916" t="str">
            <v>60+ yrs</v>
          </cell>
        </row>
        <row r="917">
          <cell r="A917" t="str">
            <v>C1916</v>
          </cell>
          <cell r="E917" t="str">
            <v>Bangalore</v>
          </cell>
          <cell r="F917" t="str">
            <v>Month-to-month</v>
          </cell>
          <cell r="H917">
            <v>449</v>
          </cell>
          <cell r="J917" t="str">
            <v>No Internet</v>
          </cell>
          <cell r="L917" t="str">
            <v>No</v>
          </cell>
          <cell r="M917" t="str">
            <v>13-24 mo</v>
          </cell>
          <cell r="N917" t="str">
            <v>46-60 yrs</v>
          </cell>
        </row>
        <row r="918">
          <cell r="A918" t="str">
            <v>C1917</v>
          </cell>
          <cell r="E918" t="str">
            <v>Unknown</v>
          </cell>
          <cell r="F918" t="str">
            <v>Two year</v>
          </cell>
          <cell r="H918">
            <v>999</v>
          </cell>
          <cell r="J918" t="str">
            <v>Fiber</v>
          </cell>
          <cell r="L918" t="str">
            <v>No</v>
          </cell>
          <cell r="M918" t="str">
            <v>13-24 mo</v>
          </cell>
          <cell r="N918" t="str">
            <v>26-35 yrs</v>
          </cell>
        </row>
        <row r="919">
          <cell r="A919" t="str">
            <v>C1918</v>
          </cell>
          <cell r="E919" t="str">
            <v>Lucknow</v>
          </cell>
          <cell r="F919" t="str">
            <v>Two year</v>
          </cell>
          <cell r="H919">
            <v>499</v>
          </cell>
          <cell r="J919" t="str">
            <v>No Internet</v>
          </cell>
          <cell r="L919" t="str">
            <v>No</v>
          </cell>
          <cell r="M919" t="str">
            <v>49+ mo</v>
          </cell>
          <cell r="N919" t="str">
            <v>46-60 yrs</v>
          </cell>
        </row>
        <row r="920">
          <cell r="A920" t="str">
            <v>C1919</v>
          </cell>
          <cell r="E920" t="str">
            <v>Hyderabad</v>
          </cell>
          <cell r="F920" t="str">
            <v>Month-to-month</v>
          </cell>
          <cell r="H920">
            <v>799</v>
          </cell>
          <cell r="J920" t="str">
            <v>DSL</v>
          </cell>
          <cell r="L920" t="str">
            <v>Yes</v>
          </cell>
          <cell r="M920" t="str">
            <v>7-12 mo</v>
          </cell>
          <cell r="N920" t="str">
            <v>36-45 yrs</v>
          </cell>
        </row>
        <row r="921">
          <cell r="A921" t="str">
            <v>C1920</v>
          </cell>
          <cell r="E921" t="str">
            <v>Hyderabad</v>
          </cell>
          <cell r="F921" t="str">
            <v>One year</v>
          </cell>
          <cell r="H921">
            <v>1149</v>
          </cell>
          <cell r="J921" t="str">
            <v>Fiber</v>
          </cell>
          <cell r="L921" t="str">
            <v>No</v>
          </cell>
          <cell r="M921" t="str">
            <v>13-24 mo</v>
          </cell>
          <cell r="N921" t="str">
            <v>18-25 yrs</v>
          </cell>
        </row>
        <row r="922">
          <cell r="A922" t="str">
            <v>C1921</v>
          </cell>
          <cell r="E922" t="str">
            <v>Lucknow</v>
          </cell>
          <cell r="F922" t="str">
            <v>Month-to-month</v>
          </cell>
          <cell r="H922">
            <v>449</v>
          </cell>
          <cell r="J922" t="str">
            <v>No Internet</v>
          </cell>
          <cell r="L922" t="str">
            <v>Yes</v>
          </cell>
          <cell r="M922" t="str">
            <v>13-24 mo</v>
          </cell>
          <cell r="N922" t="str">
            <v>46-60 yrs</v>
          </cell>
        </row>
        <row r="923">
          <cell r="A923" t="str">
            <v>C1922</v>
          </cell>
          <cell r="E923" t="str">
            <v>Jaipur</v>
          </cell>
          <cell r="F923" t="str">
            <v>Month-to-month</v>
          </cell>
          <cell r="H923">
            <v>999</v>
          </cell>
          <cell r="J923" t="str">
            <v>Fiber</v>
          </cell>
          <cell r="L923" t="str">
            <v>Yes</v>
          </cell>
          <cell r="M923" t="str">
            <v>13-24 mo</v>
          </cell>
          <cell r="N923" t="str">
            <v>36-45 yrs</v>
          </cell>
        </row>
        <row r="924">
          <cell r="A924" t="str">
            <v>C1923</v>
          </cell>
          <cell r="E924" t="str">
            <v>Lucknow</v>
          </cell>
          <cell r="F924" t="str">
            <v>One year</v>
          </cell>
          <cell r="H924">
            <v>999</v>
          </cell>
          <cell r="J924" t="str">
            <v>Fiber</v>
          </cell>
          <cell r="L924" t="str">
            <v>No</v>
          </cell>
          <cell r="M924" t="str">
            <v>0-6 mo</v>
          </cell>
          <cell r="N924" t="str">
            <v>18-25 yrs</v>
          </cell>
        </row>
        <row r="925">
          <cell r="A925" t="str">
            <v>C1924</v>
          </cell>
          <cell r="E925" t="str">
            <v>Indore</v>
          </cell>
          <cell r="F925" t="str">
            <v>One year</v>
          </cell>
          <cell r="H925">
            <v>1149</v>
          </cell>
          <cell r="J925" t="str">
            <v>Fiber</v>
          </cell>
          <cell r="L925" t="str">
            <v>No</v>
          </cell>
          <cell r="M925" t="str">
            <v>7-12 mo</v>
          </cell>
          <cell r="N925" t="str">
            <v>60+ yrs</v>
          </cell>
        </row>
        <row r="926">
          <cell r="A926" t="str">
            <v>C1925</v>
          </cell>
          <cell r="E926" t="str">
            <v>Chennai</v>
          </cell>
          <cell r="F926" t="str">
            <v>Month-to-month</v>
          </cell>
          <cell r="H926">
            <v>499</v>
          </cell>
          <cell r="J926" t="str">
            <v>No Internet</v>
          </cell>
          <cell r="L926" t="str">
            <v>Yes</v>
          </cell>
          <cell r="M926" t="str">
            <v>13-24 mo</v>
          </cell>
          <cell r="N926" t="str">
            <v>36-45 yrs</v>
          </cell>
        </row>
        <row r="927">
          <cell r="A927" t="str">
            <v>C1926</v>
          </cell>
          <cell r="E927" t="str">
            <v>Ahmedabad</v>
          </cell>
          <cell r="F927" t="str">
            <v>Month-to-month</v>
          </cell>
          <cell r="H927">
            <v>799</v>
          </cell>
          <cell r="J927" t="str">
            <v>DSL</v>
          </cell>
          <cell r="L927" t="str">
            <v>No</v>
          </cell>
          <cell r="M927" t="str">
            <v>7-12 mo</v>
          </cell>
          <cell r="N927" t="str">
            <v>46-60 yrs</v>
          </cell>
        </row>
        <row r="928">
          <cell r="A928" t="str">
            <v>C1927</v>
          </cell>
          <cell r="E928" t="str">
            <v>Mumbai</v>
          </cell>
          <cell r="F928" t="str">
            <v>Month-to-month</v>
          </cell>
          <cell r="J928" t="str">
            <v>Fiber</v>
          </cell>
          <cell r="L928" t="str">
            <v>Yes</v>
          </cell>
          <cell r="M928" t="str">
            <v>Unknown</v>
          </cell>
          <cell r="N928" t="str">
            <v>26-35 yrs</v>
          </cell>
        </row>
        <row r="929">
          <cell r="A929" t="str">
            <v>C1928</v>
          </cell>
          <cell r="E929" t="str">
            <v>Mumbai</v>
          </cell>
          <cell r="F929" t="str">
            <v>Two year</v>
          </cell>
          <cell r="H929">
            <v>1049</v>
          </cell>
          <cell r="J929" t="str">
            <v>Fiber</v>
          </cell>
          <cell r="L929" t="str">
            <v>No</v>
          </cell>
          <cell r="M929" t="str">
            <v>25-48 mo</v>
          </cell>
          <cell r="N929" t="str">
            <v>26-35 yrs</v>
          </cell>
        </row>
        <row r="930">
          <cell r="A930" t="str">
            <v>C1929</v>
          </cell>
          <cell r="E930" t="str">
            <v>Chandigarh</v>
          </cell>
          <cell r="F930" t="str">
            <v>One year</v>
          </cell>
          <cell r="H930">
            <v>849</v>
          </cell>
          <cell r="J930" t="str">
            <v>DSL</v>
          </cell>
          <cell r="L930" t="str">
            <v>No</v>
          </cell>
          <cell r="M930" t="str">
            <v>0-6 mo</v>
          </cell>
          <cell r="N930" t="str">
            <v>46-60 yrs</v>
          </cell>
        </row>
        <row r="931">
          <cell r="A931" t="str">
            <v>C1930</v>
          </cell>
          <cell r="E931" t="str">
            <v>Bhopal</v>
          </cell>
          <cell r="F931" t="str">
            <v>One year</v>
          </cell>
          <cell r="H931">
            <v>999</v>
          </cell>
          <cell r="J931" t="str">
            <v>Fiber</v>
          </cell>
          <cell r="L931" t="str">
            <v>No</v>
          </cell>
          <cell r="M931" t="str">
            <v>25-48 mo</v>
          </cell>
          <cell r="N931" t="str">
            <v>18-25 yrs</v>
          </cell>
        </row>
        <row r="932">
          <cell r="A932" t="str">
            <v>C1931</v>
          </cell>
          <cell r="E932" t="str">
            <v>Chandigarh</v>
          </cell>
          <cell r="F932" t="str">
            <v>Month-to-month</v>
          </cell>
          <cell r="H932">
            <v>749</v>
          </cell>
          <cell r="J932" t="str">
            <v>DSL</v>
          </cell>
          <cell r="L932" t="str">
            <v>No</v>
          </cell>
          <cell r="M932" t="str">
            <v>13-24 mo</v>
          </cell>
          <cell r="N932" t="str">
            <v>36-45 yrs</v>
          </cell>
        </row>
        <row r="933">
          <cell r="A933" t="str">
            <v>C1932</v>
          </cell>
          <cell r="E933" t="str">
            <v>Mumbai</v>
          </cell>
          <cell r="F933" t="str">
            <v>Two year</v>
          </cell>
          <cell r="H933">
            <v>449</v>
          </cell>
          <cell r="J933" t="str">
            <v>No Internet</v>
          </cell>
          <cell r="L933" t="str">
            <v>Yes</v>
          </cell>
          <cell r="M933" t="str">
            <v>49+ mo</v>
          </cell>
          <cell r="N933" t="str">
            <v>60+ yrs</v>
          </cell>
        </row>
        <row r="934">
          <cell r="A934" t="str">
            <v>C1933</v>
          </cell>
          <cell r="E934" t="str">
            <v>Ahmedabad</v>
          </cell>
          <cell r="F934" t="str">
            <v>Month-to-month</v>
          </cell>
          <cell r="H934">
            <v>1099</v>
          </cell>
          <cell r="J934" t="str">
            <v>Fiber</v>
          </cell>
          <cell r="L934" t="str">
            <v>No</v>
          </cell>
          <cell r="M934" t="str">
            <v>13-24 mo</v>
          </cell>
          <cell r="N934" t="str">
            <v>60+ yrs</v>
          </cell>
        </row>
        <row r="935">
          <cell r="A935" t="str">
            <v>C1934</v>
          </cell>
          <cell r="E935" t="str">
            <v>Kochi</v>
          </cell>
          <cell r="F935" t="str">
            <v>Month-to-month</v>
          </cell>
          <cell r="H935">
            <v>899</v>
          </cell>
          <cell r="J935" t="str">
            <v>Fiber</v>
          </cell>
          <cell r="L935" t="str">
            <v>No</v>
          </cell>
          <cell r="M935" t="str">
            <v>13-24 mo</v>
          </cell>
          <cell r="N935" t="str">
            <v>18-25 yrs</v>
          </cell>
        </row>
        <row r="936">
          <cell r="A936" t="str">
            <v>C1935</v>
          </cell>
          <cell r="E936" t="str">
            <v>Bangalore</v>
          </cell>
          <cell r="F936" t="str">
            <v>Month-to-month</v>
          </cell>
          <cell r="H936">
            <v>599</v>
          </cell>
          <cell r="J936" t="str">
            <v>DSL</v>
          </cell>
          <cell r="L936" t="str">
            <v>No</v>
          </cell>
          <cell r="M936" t="str">
            <v>13-24 mo</v>
          </cell>
          <cell r="N936" t="str">
            <v>46-60 yrs</v>
          </cell>
        </row>
        <row r="937">
          <cell r="A937" t="str">
            <v>C1936</v>
          </cell>
          <cell r="E937" t="str">
            <v>Delhi</v>
          </cell>
          <cell r="F937" t="str">
            <v>Month-to-month</v>
          </cell>
          <cell r="H937">
            <v>399</v>
          </cell>
          <cell r="J937" t="str">
            <v>No Internet</v>
          </cell>
          <cell r="L937" t="str">
            <v>Yes</v>
          </cell>
          <cell r="M937" t="str">
            <v>7-12 mo</v>
          </cell>
          <cell r="N937" t="str">
            <v>60+ yrs</v>
          </cell>
        </row>
        <row r="938">
          <cell r="A938" t="str">
            <v>C1937</v>
          </cell>
          <cell r="E938" t="str">
            <v>Kochi</v>
          </cell>
          <cell r="F938" t="str">
            <v>Month-to-month</v>
          </cell>
          <cell r="H938">
            <v>1149</v>
          </cell>
          <cell r="J938" t="str">
            <v>Fiber</v>
          </cell>
          <cell r="L938" t="str">
            <v>No</v>
          </cell>
          <cell r="M938" t="str">
            <v>7-12 mo</v>
          </cell>
          <cell r="N938" t="str">
            <v>60+ yrs</v>
          </cell>
        </row>
        <row r="939">
          <cell r="A939" t="str">
            <v>C1938</v>
          </cell>
          <cell r="E939" t="str">
            <v>Lucknow</v>
          </cell>
          <cell r="F939" t="str">
            <v>One year</v>
          </cell>
          <cell r="H939">
            <v>599</v>
          </cell>
          <cell r="J939" t="str">
            <v>DSL</v>
          </cell>
          <cell r="L939" t="str">
            <v>No</v>
          </cell>
          <cell r="M939" t="str">
            <v>13-24 mo</v>
          </cell>
          <cell r="N939" t="str">
            <v>46-60 yrs</v>
          </cell>
        </row>
        <row r="940">
          <cell r="A940" t="str">
            <v>C1939</v>
          </cell>
          <cell r="E940" t="str">
            <v>Chennai</v>
          </cell>
          <cell r="F940" t="str">
            <v>Month-to-month</v>
          </cell>
          <cell r="H940">
            <v>899</v>
          </cell>
          <cell r="J940" t="str">
            <v>DSL</v>
          </cell>
          <cell r="L940" t="str">
            <v>No</v>
          </cell>
          <cell r="M940" t="str">
            <v>13-24 mo</v>
          </cell>
          <cell r="N940" t="str">
            <v>36-45 yrs</v>
          </cell>
        </row>
        <row r="941">
          <cell r="A941" t="str">
            <v>C1940</v>
          </cell>
          <cell r="E941" t="str">
            <v>Hyderabad</v>
          </cell>
          <cell r="F941" t="str">
            <v>Month-to-month</v>
          </cell>
          <cell r="H941">
            <v>1099</v>
          </cell>
          <cell r="J941" t="str">
            <v>Fiber</v>
          </cell>
          <cell r="L941" t="str">
            <v>Yes</v>
          </cell>
          <cell r="M941" t="str">
            <v>0-6 mo</v>
          </cell>
          <cell r="N941" t="str">
            <v>60+ yrs</v>
          </cell>
        </row>
        <row r="942">
          <cell r="A942" t="str">
            <v>C1941</v>
          </cell>
          <cell r="E942" t="str">
            <v>Chennai</v>
          </cell>
          <cell r="F942" t="str">
            <v>Two year</v>
          </cell>
          <cell r="H942">
            <v>1099</v>
          </cell>
          <cell r="J942" t="str">
            <v>Fiber</v>
          </cell>
          <cell r="L942" t="str">
            <v>No</v>
          </cell>
          <cell r="M942" t="str">
            <v>13-24 mo</v>
          </cell>
          <cell r="N942" t="str">
            <v>18-25 yrs</v>
          </cell>
        </row>
        <row r="943">
          <cell r="A943" t="str">
            <v>C1942</v>
          </cell>
          <cell r="E943" t="str">
            <v>Kochi</v>
          </cell>
          <cell r="F943" t="str">
            <v>Month-to-month</v>
          </cell>
          <cell r="H943">
            <v>399</v>
          </cell>
          <cell r="J943" t="str">
            <v>No Internet</v>
          </cell>
          <cell r="L943" t="str">
            <v>No</v>
          </cell>
          <cell r="M943" t="str">
            <v>13-24 mo</v>
          </cell>
          <cell r="N943" t="str">
            <v>46-60 yrs</v>
          </cell>
        </row>
        <row r="944">
          <cell r="A944" t="str">
            <v>C1943</v>
          </cell>
          <cell r="E944" t="str">
            <v>Indore</v>
          </cell>
          <cell r="F944" t="str">
            <v>One year</v>
          </cell>
          <cell r="H944">
            <v>1149</v>
          </cell>
          <cell r="J944" t="str">
            <v>Fiber</v>
          </cell>
          <cell r="L944" t="str">
            <v>No</v>
          </cell>
          <cell r="M944" t="str">
            <v>13-24 mo</v>
          </cell>
          <cell r="N944" t="str">
            <v>60+ yrs</v>
          </cell>
        </row>
        <row r="945">
          <cell r="A945" t="str">
            <v>C1944</v>
          </cell>
          <cell r="E945" t="str">
            <v>Lucknow</v>
          </cell>
          <cell r="F945" t="str">
            <v>Two year</v>
          </cell>
          <cell r="H945">
            <v>599</v>
          </cell>
          <cell r="J945" t="str">
            <v>Unknown</v>
          </cell>
          <cell r="L945" t="str">
            <v>No</v>
          </cell>
          <cell r="M945" t="str">
            <v>49+ mo</v>
          </cell>
          <cell r="N945" t="str">
            <v>18-25 yrs</v>
          </cell>
        </row>
        <row r="946">
          <cell r="A946" t="str">
            <v>C1945</v>
          </cell>
          <cell r="E946" t="str">
            <v>Hyderabad</v>
          </cell>
          <cell r="F946" t="str">
            <v>One year</v>
          </cell>
          <cell r="H946">
            <v>1299</v>
          </cell>
          <cell r="J946" t="str">
            <v>Fiber</v>
          </cell>
          <cell r="L946" t="str">
            <v>Unknown</v>
          </cell>
          <cell r="M946" t="str">
            <v>7-12 mo</v>
          </cell>
          <cell r="N946" t="str">
            <v>26-35 yrs</v>
          </cell>
        </row>
        <row r="947">
          <cell r="A947" t="str">
            <v>C1946</v>
          </cell>
          <cell r="E947" t="str">
            <v>Kochi</v>
          </cell>
          <cell r="F947" t="str">
            <v>One year</v>
          </cell>
          <cell r="H947">
            <v>899</v>
          </cell>
          <cell r="J947" t="str">
            <v>DSL</v>
          </cell>
          <cell r="L947" t="str">
            <v>No</v>
          </cell>
          <cell r="M947" t="str">
            <v>13-24 mo</v>
          </cell>
          <cell r="N947" t="str">
            <v>60+ yrs</v>
          </cell>
        </row>
        <row r="948">
          <cell r="A948" t="str">
            <v>C1947</v>
          </cell>
          <cell r="E948" t="str">
            <v>Hyderabad</v>
          </cell>
          <cell r="F948" t="str">
            <v>Month-to-month</v>
          </cell>
          <cell r="H948">
            <v>399</v>
          </cell>
          <cell r="J948" t="str">
            <v>Unknown</v>
          </cell>
          <cell r="L948" t="str">
            <v>No</v>
          </cell>
          <cell r="M948" t="str">
            <v>0-6 mo</v>
          </cell>
          <cell r="N948" t="str">
            <v>60+ yrs</v>
          </cell>
        </row>
        <row r="949">
          <cell r="A949" t="str">
            <v>C1948</v>
          </cell>
          <cell r="E949" t="str">
            <v>Kolkata</v>
          </cell>
          <cell r="F949" t="str">
            <v>Month-to-month</v>
          </cell>
          <cell r="H949">
            <v>499</v>
          </cell>
          <cell r="J949" t="str">
            <v>No Internet</v>
          </cell>
          <cell r="L949" t="str">
            <v>No</v>
          </cell>
          <cell r="M949" t="str">
            <v>7-12 mo</v>
          </cell>
          <cell r="N949" t="str">
            <v>46-60 yrs</v>
          </cell>
        </row>
        <row r="950">
          <cell r="A950" t="str">
            <v>C1949</v>
          </cell>
          <cell r="E950" t="str">
            <v>Bhopal</v>
          </cell>
          <cell r="F950" t="str">
            <v>Month-to-month</v>
          </cell>
          <cell r="H950">
            <v>399</v>
          </cell>
          <cell r="J950" t="str">
            <v>No Internet</v>
          </cell>
          <cell r="L950" t="str">
            <v>Yes</v>
          </cell>
          <cell r="M950" t="str">
            <v>13-24 mo</v>
          </cell>
          <cell r="N950" t="str">
            <v>36-45 yrs</v>
          </cell>
        </row>
        <row r="951">
          <cell r="A951" t="str">
            <v>C1950</v>
          </cell>
          <cell r="E951" t="str">
            <v>Lucknow</v>
          </cell>
          <cell r="F951" t="str">
            <v>One year</v>
          </cell>
          <cell r="H951">
            <v>399</v>
          </cell>
          <cell r="J951" t="str">
            <v>No Internet</v>
          </cell>
          <cell r="L951" t="str">
            <v>No</v>
          </cell>
          <cell r="M951" t="str">
            <v>13-24 mo</v>
          </cell>
          <cell r="N951" t="str">
            <v>46-60 yrs</v>
          </cell>
        </row>
        <row r="952">
          <cell r="A952" t="str">
            <v>C1951</v>
          </cell>
          <cell r="E952" t="str">
            <v>Delhi</v>
          </cell>
          <cell r="F952" t="str">
            <v>One year</v>
          </cell>
          <cell r="H952">
            <v>1199</v>
          </cell>
          <cell r="J952" t="str">
            <v>Fiber</v>
          </cell>
          <cell r="L952" t="str">
            <v>No</v>
          </cell>
          <cell r="M952" t="str">
            <v>0-6 mo</v>
          </cell>
          <cell r="N952" t="str">
            <v>36-45 yrs</v>
          </cell>
        </row>
        <row r="953">
          <cell r="A953" t="str">
            <v>C1952</v>
          </cell>
          <cell r="E953" t="str">
            <v>Bangalore</v>
          </cell>
          <cell r="F953" t="str">
            <v>Two year</v>
          </cell>
          <cell r="H953">
            <v>999</v>
          </cell>
          <cell r="J953" t="str">
            <v>Fiber</v>
          </cell>
          <cell r="L953" t="str">
            <v>No</v>
          </cell>
          <cell r="M953" t="str">
            <v>25-48 mo</v>
          </cell>
          <cell r="N953" t="str">
            <v>60+ yrs</v>
          </cell>
        </row>
        <row r="954">
          <cell r="A954" t="str">
            <v>C1953</v>
          </cell>
          <cell r="E954" t="str">
            <v>Delhi</v>
          </cell>
          <cell r="F954" t="str">
            <v>Month-to-month</v>
          </cell>
          <cell r="H954">
            <v>549</v>
          </cell>
          <cell r="J954" t="str">
            <v>No Internet</v>
          </cell>
          <cell r="L954" t="str">
            <v>No</v>
          </cell>
          <cell r="M954" t="str">
            <v>13-24 mo</v>
          </cell>
          <cell r="N954" t="str">
            <v>46-60 yrs</v>
          </cell>
        </row>
        <row r="955">
          <cell r="A955" t="str">
            <v>C1954</v>
          </cell>
          <cell r="E955" t="str">
            <v>Bangalore</v>
          </cell>
          <cell r="F955" t="str">
            <v>Month-to-month</v>
          </cell>
          <cell r="H955">
            <v>449</v>
          </cell>
          <cell r="J955" t="str">
            <v>No Internet</v>
          </cell>
          <cell r="L955" t="str">
            <v>No</v>
          </cell>
          <cell r="M955" t="str">
            <v>0-6 mo</v>
          </cell>
          <cell r="N955" t="str">
            <v>18-25 yrs</v>
          </cell>
        </row>
        <row r="956">
          <cell r="A956" t="str">
            <v>C1955</v>
          </cell>
          <cell r="E956" t="str">
            <v>Delhi</v>
          </cell>
          <cell r="F956" t="str">
            <v>Month-to-month</v>
          </cell>
          <cell r="H956">
            <v>999</v>
          </cell>
          <cell r="J956" t="str">
            <v>Fiber</v>
          </cell>
          <cell r="L956" t="str">
            <v>Yes</v>
          </cell>
          <cell r="M956" t="str">
            <v>13-24 mo</v>
          </cell>
          <cell r="N956" t="str">
            <v>60+ yrs</v>
          </cell>
        </row>
        <row r="957">
          <cell r="A957" t="str">
            <v>C1956</v>
          </cell>
          <cell r="E957" t="str">
            <v>Delhi</v>
          </cell>
          <cell r="F957" t="str">
            <v>Two year</v>
          </cell>
          <cell r="H957">
            <v>1049</v>
          </cell>
          <cell r="J957" t="str">
            <v>Fiber</v>
          </cell>
          <cell r="L957" t="str">
            <v>No</v>
          </cell>
          <cell r="M957" t="str">
            <v>0-6 mo</v>
          </cell>
          <cell r="N957" t="str">
            <v>36-45 yrs</v>
          </cell>
        </row>
        <row r="958">
          <cell r="A958" t="str">
            <v>C1957</v>
          </cell>
          <cell r="E958" t="str">
            <v>Chennai</v>
          </cell>
          <cell r="F958" t="str">
            <v>Two year</v>
          </cell>
          <cell r="H958">
            <v>799</v>
          </cell>
          <cell r="J958" t="str">
            <v>DSL</v>
          </cell>
          <cell r="L958" t="str">
            <v>No</v>
          </cell>
          <cell r="M958" t="str">
            <v>0-6 mo</v>
          </cell>
          <cell r="N958" t="str">
            <v>60+ yrs</v>
          </cell>
        </row>
        <row r="959">
          <cell r="A959" t="str">
            <v>C1958</v>
          </cell>
          <cell r="E959" t="str">
            <v>Hyderabad</v>
          </cell>
          <cell r="F959" t="str">
            <v>Month-to-month</v>
          </cell>
          <cell r="H959">
            <v>849</v>
          </cell>
          <cell r="J959" t="str">
            <v>DSL</v>
          </cell>
          <cell r="L959" t="str">
            <v>Yes</v>
          </cell>
          <cell r="M959" t="str">
            <v>0-6 mo</v>
          </cell>
          <cell r="N959" t="str">
            <v>60+ yrs</v>
          </cell>
        </row>
        <row r="960">
          <cell r="A960" t="str">
            <v>C1959</v>
          </cell>
          <cell r="E960" t="str">
            <v>Jaipur</v>
          </cell>
          <cell r="F960" t="str">
            <v>One year</v>
          </cell>
          <cell r="H960">
            <v>1149</v>
          </cell>
          <cell r="J960" t="str">
            <v>Fiber</v>
          </cell>
          <cell r="L960" t="str">
            <v>No</v>
          </cell>
          <cell r="M960" t="str">
            <v>25-48 mo</v>
          </cell>
          <cell r="N960" t="str">
            <v>60+ yrs</v>
          </cell>
        </row>
        <row r="961">
          <cell r="A961" t="str">
            <v>C1960</v>
          </cell>
          <cell r="E961" t="str">
            <v>Bhopal</v>
          </cell>
          <cell r="F961" t="str">
            <v>Month-to-month</v>
          </cell>
          <cell r="H961">
            <v>1299</v>
          </cell>
          <cell r="J961" t="str">
            <v>Fiber</v>
          </cell>
          <cell r="L961" t="str">
            <v>Yes</v>
          </cell>
          <cell r="M961" t="str">
            <v>13-24 mo</v>
          </cell>
          <cell r="N961" t="str">
            <v>60+ yrs</v>
          </cell>
        </row>
        <row r="962">
          <cell r="A962" t="str">
            <v>C1961</v>
          </cell>
          <cell r="E962" t="str">
            <v>Ahmedabad</v>
          </cell>
          <cell r="F962" t="str">
            <v>Month-to-month</v>
          </cell>
          <cell r="H962">
            <v>899</v>
          </cell>
          <cell r="J962" t="str">
            <v>Fiber</v>
          </cell>
          <cell r="L962" t="str">
            <v>Yes</v>
          </cell>
          <cell r="M962" t="str">
            <v>7-12 mo</v>
          </cell>
          <cell r="N962" t="str">
            <v>60+ yrs</v>
          </cell>
        </row>
        <row r="963">
          <cell r="A963" t="str">
            <v>C1962</v>
          </cell>
          <cell r="E963" t="str">
            <v>Mumbai</v>
          </cell>
          <cell r="F963" t="str">
            <v>Month-to-month</v>
          </cell>
          <cell r="H963">
            <v>499</v>
          </cell>
          <cell r="J963" t="str">
            <v>No Internet</v>
          </cell>
          <cell r="L963" t="str">
            <v>Yes</v>
          </cell>
          <cell r="M963" t="str">
            <v>13-24 mo</v>
          </cell>
          <cell r="N963" t="str">
            <v>60+ yrs</v>
          </cell>
        </row>
        <row r="964">
          <cell r="A964" t="str">
            <v>C1963</v>
          </cell>
          <cell r="E964" t="str">
            <v>Bangalore</v>
          </cell>
          <cell r="F964" t="str">
            <v>Two year</v>
          </cell>
          <cell r="H964">
            <v>999</v>
          </cell>
          <cell r="J964" t="str">
            <v>Fiber</v>
          </cell>
          <cell r="L964" t="str">
            <v>No</v>
          </cell>
          <cell r="M964" t="str">
            <v>13-24 mo</v>
          </cell>
          <cell r="N964" t="str">
            <v>18-25 yrs</v>
          </cell>
        </row>
        <row r="965">
          <cell r="A965" t="str">
            <v>C1964</v>
          </cell>
          <cell r="E965" t="str">
            <v>Delhi</v>
          </cell>
          <cell r="F965" t="str">
            <v>Month-to-month</v>
          </cell>
          <cell r="H965">
            <v>649</v>
          </cell>
          <cell r="J965" t="str">
            <v>DSL</v>
          </cell>
          <cell r="L965" t="str">
            <v>No</v>
          </cell>
          <cell r="M965" t="str">
            <v>7-12 mo</v>
          </cell>
          <cell r="N965" t="str">
            <v>18-25 yrs</v>
          </cell>
        </row>
        <row r="966">
          <cell r="A966" t="str">
            <v>C1965</v>
          </cell>
          <cell r="E966" t="str">
            <v>Chennai</v>
          </cell>
          <cell r="F966" t="str">
            <v>One year</v>
          </cell>
          <cell r="H966">
            <v>1049</v>
          </cell>
          <cell r="J966" t="str">
            <v>Fiber</v>
          </cell>
          <cell r="L966" t="str">
            <v>No</v>
          </cell>
          <cell r="M966" t="str">
            <v>7-12 mo</v>
          </cell>
          <cell r="N966" t="str">
            <v>36-45 yrs</v>
          </cell>
        </row>
        <row r="967">
          <cell r="A967" t="str">
            <v>C1966</v>
          </cell>
          <cell r="E967" t="str">
            <v>Indore</v>
          </cell>
          <cell r="F967" t="str">
            <v>One year</v>
          </cell>
          <cell r="H967">
            <v>649</v>
          </cell>
          <cell r="J967" t="str">
            <v>DSL</v>
          </cell>
          <cell r="L967" t="str">
            <v>No</v>
          </cell>
          <cell r="M967" t="str">
            <v>13-24 mo</v>
          </cell>
          <cell r="N967" t="str">
            <v>36-45 yrs</v>
          </cell>
        </row>
        <row r="968">
          <cell r="A968" t="str">
            <v>C1967</v>
          </cell>
          <cell r="E968" t="str">
            <v>Mumbai</v>
          </cell>
          <cell r="F968" t="str">
            <v>Month-to-month</v>
          </cell>
          <cell r="H968">
            <v>999</v>
          </cell>
          <cell r="J968" t="str">
            <v>Fiber</v>
          </cell>
          <cell r="L968" t="str">
            <v>Yes</v>
          </cell>
          <cell r="M968" t="str">
            <v>13-24 mo</v>
          </cell>
          <cell r="N968" t="str">
            <v>18-25 yrs</v>
          </cell>
        </row>
        <row r="969">
          <cell r="A969" t="str">
            <v>C1968</v>
          </cell>
          <cell r="E969" t="str">
            <v>Chandigarh</v>
          </cell>
          <cell r="F969" t="str">
            <v>Two year</v>
          </cell>
          <cell r="H969">
            <v>799</v>
          </cell>
          <cell r="J969" t="str">
            <v>DSL</v>
          </cell>
          <cell r="L969" t="str">
            <v>No</v>
          </cell>
          <cell r="M969" t="str">
            <v>49+ mo</v>
          </cell>
          <cell r="N969" t="str">
            <v>26-35 yrs</v>
          </cell>
        </row>
        <row r="970">
          <cell r="A970" t="str">
            <v>C1969</v>
          </cell>
          <cell r="E970" t="str">
            <v>Chennai</v>
          </cell>
          <cell r="F970" t="str">
            <v>Month-to-month</v>
          </cell>
          <cell r="H970">
            <v>1149</v>
          </cell>
          <cell r="J970" t="str">
            <v>Fiber</v>
          </cell>
          <cell r="L970" t="str">
            <v>No</v>
          </cell>
          <cell r="M970" t="str">
            <v>13-24 mo</v>
          </cell>
          <cell r="N970" t="str">
            <v>60+ yrs</v>
          </cell>
        </row>
        <row r="971">
          <cell r="A971" t="str">
            <v>C1970</v>
          </cell>
          <cell r="E971" t="str">
            <v>Ahmedabad</v>
          </cell>
          <cell r="F971" t="str">
            <v>Two year</v>
          </cell>
          <cell r="H971">
            <v>549</v>
          </cell>
          <cell r="J971" t="str">
            <v>No Internet</v>
          </cell>
          <cell r="L971" t="str">
            <v>No</v>
          </cell>
          <cell r="M971" t="str">
            <v>13-24 mo</v>
          </cell>
          <cell r="N971" t="str">
            <v>46-60 yrs</v>
          </cell>
        </row>
        <row r="972">
          <cell r="A972" t="str">
            <v>C1971</v>
          </cell>
          <cell r="E972" t="str">
            <v>Pune</v>
          </cell>
          <cell r="F972" t="str">
            <v>Two year</v>
          </cell>
          <cell r="H972">
            <v>899</v>
          </cell>
          <cell r="J972" t="str">
            <v>Fiber</v>
          </cell>
          <cell r="L972" t="str">
            <v>No</v>
          </cell>
          <cell r="M972" t="str">
            <v>25-48 mo</v>
          </cell>
          <cell r="N972" t="str">
            <v>18-25 yrs</v>
          </cell>
        </row>
        <row r="973">
          <cell r="A973" t="str">
            <v>C1972</v>
          </cell>
          <cell r="E973" t="str">
            <v>Chandigarh</v>
          </cell>
          <cell r="F973" t="str">
            <v>Month-to-month</v>
          </cell>
          <cell r="H973">
            <v>449</v>
          </cell>
          <cell r="J973" t="str">
            <v>No Internet</v>
          </cell>
          <cell r="L973" t="str">
            <v>Yes</v>
          </cell>
          <cell r="M973" t="str">
            <v>0-6 mo</v>
          </cell>
          <cell r="N973" t="str">
            <v>60+ yrs</v>
          </cell>
        </row>
        <row r="974">
          <cell r="A974" t="str">
            <v>C1973</v>
          </cell>
          <cell r="E974" t="str">
            <v>Bangalore</v>
          </cell>
          <cell r="F974" t="str">
            <v>One year</v>
          </cell>
          <cell r="H974">
            <v>899</v>
          </cell>
          <cell r="J974" t="str">
            <v>DSL</v>
          </cell>
          <cell r="L974" t="str">
            <v>No</v>
          </cell>
          <cell r="M974" t="str">
            <v>13-24 mo</v>
          </cell>
          <cell r="N974" t="str">
            <v>46-60 yrs</v>
          </cell>
        </row>
        <row r="975">
          <cell r="A975" t="str">
            <v>C1974</v>
          </cell>
          <cell r="E975" t="str">
            <v>Jaipur</v>
          </cell>
          <cell r="F975" t="str">
            <v>Month-to-month</v>
          </cell>
          <cell r="H975">
            <v>1049</v>
          </cell>
          <cell r="J975" t="str">
            <v>Fiber</v>
          </cell>
          <cell r="L975" t="str">
            <v>No</v>
          </cell>
          <cell r="M975" t="str">
            <v>13-24 mo</v>
          </cell>
          <cell r="N975" t="str">
            <v>18-25 yrs</v>
          </cell>
        </row>
        <row r="976">
          <cell r="A976" t="str">
            <v>C1975</v>
          </cell>
          <cell r="E976" t="str">
            <v>Chennai</v>
          </cell>
          <cell r="F976" t="str">
            <v>One year</v>
          </cell>
          <cell r="H976">
            <v>1199</v>
          </cell>
          <cell r="J976" t="str">
            <v>Fiber</v>
          </cell>
          <cell r="L976" t="str">
            <v>No</v>
          </cell>
          <cell r="M976" t="str">
            <v>13-24 mo</v>
          </cell>
          <cell r="N976" t="str">
            <v>60+ yrs</v>
          </cell>
        </row>
        <row r="977">
          <cell r="A977" t="str">
            <v>C1976</v>
          </cell>
          <cell r="E977" t="str">
            <v>Indore</v>
          </cell>
          <cell r="F977" t="str">
            <v>Month-to-month</v>
          </cell>
          <cell r="H977">
            <v>449</v>
          </cell>
          <cell r="J977" t="str">
            <v>No Internet</v>
          </cell>
          <cell r="L977" t="str">
            <v>Yes</v>
          </cell>
          <cell r="M977" t="str">
            <v>7-12 mo</v>
          </cell>
          <cell r="N977" t="str">
            <v>18-25 yrs</v>
          </cell>
        </row>
        <row r="978">
          <cell r="A978" t="str">
            <v>C1977</v>
          </cell>
          <cell r="E978" t="str">
            <v>Indore</v>
          </cell>
          <cell r="F978" t="str">
            <v>Month-to-month</v>
          </cell>
          <cell r="H978">
            <v>1049</v>
          </cell>
          <cell r="J978" t="str">
            <v>Fiber</v>
          </cell>
          <cell r="L978" t="str">
            <v>No</v>
          </cell>
          <cell r="M978" t="str">
            <v>0-6 mo</v>
          </cell>
          <cell r="N978" t="str">
            <v>46-60 yrs</v>
          </cell>
        </row>
        <row r="979">
          <cell r="A979" t="str">
            <v>C1978</v>
          </cell>
          <cell r="E979" t="str">
            <v>Chennai</v>
          </cell>
          <cell r="F979" t="str">
            <v>Month-to-month</v>
          </cell>
          <cell r="H979">
            <v>899</v>
          </cell>
          <cell r="J979" t="str">
            <v>Fiber</v>
          </cell>
          <cell r="L979" t="str">
            <v>Yes</v>
          </cell>
          <cell r="M979" t="str">
            <v>13-24 mo</v>
          </cell>
          <cell r="N979" t="str">
            <v>18-25 yrs</v>
          </cell>
        </row>
        <row r="980">
          <cell r="A980" t="str">
            <v>C1979</v>
          </cell>
          <cell r="E980" t="str">
            <v>Ahmedabad</v>
          </cell>
          <cell r="F980" t="str">
            <v>Month-to-month</v>
          </cell>
          <cell r="H980">
            <v>799</v>
          </cell>
          <cell r="J980" t="str">
            <v>DSL</v>
          </cell>
          <cell r="L980" t="str">
            <v>Yes</v>
          </cell>
          <cell r="M980" t="str">
            <v>13-24 mo</v>
          </cell>
          <cell r="N980" t="str">
            <v>60+ yrs</v>
          </cell>
        </row>
        <row r="981">
          <cell r="A981" t="str">
            <v>C1980</v>
          </cell>
          <cell r="E981" t="str">
            <v>Bangalore</v>
          </cell>
          <cell r="F981" t="str">
            <v>Month-to-month</v>
          </cell>
          <cell r="H981">
            <v>1099</v>
          </cell>
          <cell r="J981" t="str">
            <v>Fiber</v>
          </cell>
          <cell r="L981" t="str">
            <v>Yes</v>
          </cell>
          <cell r="M981" t="str">
            <v>7-12 mo</v>
          </cell>
          <cell r="N981" t="str">
            <v>26-35 yrs</v>
          </cell>
        </row>
        <row r="982">
          <cell r="A982" t="str">
            <v>C1981</v>
          </cell>
          <cell r="E982" t="str">
            <v>Hyderabad</v>
          </cell>
          <cell r="F982" t="str">
            <v>Month-to-month</v>
          </cell>
          <cell r="H982">
            <v>1099</v>
          </cell>
          <cell r="J982" t="str">
            <v>Fiber</v>
          </cell>
          <cell r="L982" t="str">
            <v>Yes</v>
          </cell>
          <cell r="M982" t="str">
            <v>13-24 mo</v>
          </cell>
          <cell r="N982" t="str">
            <v>36-45 yrs</v>
          </cell>
        </row>
        <row r="983">
          <cell r="A983" t="str">
            <v>C1982</v>
          </cell>
          <cell r="E983" t="str">
            <v>Mumbai</v>
          </cell>
          <cell r="F983" t="str">
            <v>Unknown</v>
          </cell>
          <cell r="H983">
            <v>649</v>
          </cell>
          <cell r="J983" t="str">
            <v>DSL</v>
          </cell>
          <cell r="L983" t="str">
            <v>Yes</v>
          </cell>
          <cell r="M983" t="str">
            <v>7-12 mo</v>
          </cell>
          <cell r="N983" t="str">
            <v>26-35 yrs</v>
          </cell>
        </row>
        <row r="984">
          <cell r="A984" t="str">
            <v>C1983</v>
          </cell>
          <cell r="E984" t="str">
            <v>Hyderabad</v>
          </cell>
          <cell r="F984" t="str">
            <v>One year</v>
          </cell>
          <cell r="H984">
            <v>399</v>
          </cell>
          <cell r="J984" t="str">
            <v>No Internet</v>
          </cell>
          <cell r="L984" t="str">
            <v>No</v>
          </cell>
          <cell r="M984" t="str">
            <v>13-24 mo</v>
          </cell>
          <cell r="N984" t="str">
            <v>46-60 yrs</v>
          </cell>
        </row>
        <row r="985">
          <cell r="A985" t="str">
            <v>C1984</v>
          </cell>
          <cell r="E985" t="str">
            <v>Delhi</v>
          </cell>
          <cell r="F985" t="str">
            <v>Month-to-month</v>
          </cell>
          <cell r="H985">
            <v>1099</v>
          </cell>
          <cell r="J985" t="str">
            <v>Fiber</v>
          </cell>
          <cell r="L985" t="str">
            <v>No</v>
          </cell>
          <cell r="M985" t="str">
            <v>13-24 mo</v>
          </cell>
          <cell r="N985" t="str">
            <v>60+ yrs</v>
          </cell>
        </row>
        <row r="986">
          <cell r="A986" t="str">
            <v>C1985</v>
          </cell>
          <cell r="E986" t="str">
            <v>Mumbai</v>
          </cell>
          <cell r="F986" t="str">
            <v>Month-to-month</v>
          </cell>
          <cell r="H986">
            <v>649</v>
          </cell>
          <cell r="J986" t="str">
            <v>DSL</v>
          </cell>
          <cell r="L986" t="str">
            <v>No</v>
          </cell>
          <cell r="M986" t="str">
            <v>13-24 mo</v>
          </cell>
          <cell r="N986" t="str">
            <v>60+ yrs</v>
          </cell>
        </row>
        <row r="987">
          <cell r="A987" t="str">
            <v>C1986</v>
          </cell>
          <cell r="E987" t="str">
            <v>Indore</v>
          </cell>
          <cell r="F987" t="str">
            <v>One year</v>
          </cell>
          <cell r="H987">
            <v>749</v>
          </cell>
          <cell r="J987" t="str">
            <v>DSL</v>
          </cell>
          <cell r="L987" t="str">
            <v>No</v>
          </cell>
          <cell r="M987" t="str">
            <v>13-24 mo</v>
          </cell>
          <cell r="N987" t="str">
            <v>26-35 yrs</v>
          </cell>
        </row>
        <row r="988">
          <cell r="A988" t="str">
            <v>C1987</v>
          </cell>
          <cell r="E988" t="str">
            <v>Delhi</v>
          </cell>
          <cell r="F988" t="str">
            <v>One year</v>
          </cell>
          <cell r="H988">
            <v>399</v>
          </cell>
          <cell r="J988" t="str">
            <v>No Internet</v>
          </cell>
          <cell r="L988" t="str">
            <v>Unknown</v>
          </cell>
          <cell r="M988" t="str">
            <v>13-24 mo</v>
          </cell>
          <cell r="N988" t="str">
            <v>60+ yrs</v>
          </cell>
        </row>
        <row r="989">
          <cell r="A989" t="str">
            <v>C1988</v>
          </cell>
          <cell r="E989" t="str">
            <v>Bhopal</v>
          </cell>
          <cell r="F989" t="str">
            <v>Month-to-month</v>
          </cell>
          <cell r="H989">
            <v>1049</v>
          </cell>
          <cell r="J989" t="str">
            <v>Fiber</v>
          </cell>
          <cell r="L989" t="str">
            <v>Yes</v>
          </cell>
          <cell r="M989" t="str">
            <v>7-12 mo</v>
          </cell>
          <cell r="N989" t="str">
            <v>60+ yrs</v>
          </cell>
        </row>
        <row r="990">
          <cell r="A990" t="str">
            <v>C1989</v>
          </cell>
          <cell r="E990" t="str">
            <v>Pune</v>
          </cell>
          <cell r="F990" t="str">
            <v>Two year</v>
          </cell>
          <cell r="H990">
            <v>1049</v>
          </cell>
          <cell r="J990" t="str">
            <v>Fiber</v>
          </cell>
          <cell r="L990" t="str">
            <v>No</v>
          </cell>
          <cell r="M990" t="str">
            <v>49+ mo</v>
          </cell>
          <cell r="N990" t="str">
            <v>60+ yrs</v>
          </cell>
        </row>
        <row r="991">
          <cell r="A991" t="str">
            <v>C1990</v>
          </cell>
          <cell r="E991" t="str">
            <v>Bangalore</v>
          </cell>
          <cell r="F991" t="str">
            <v>Month-to-month</v>
          </cell>
          <cell r="H991">
            <v>849</v>
          </cell>
          <cell r="J991" t="str">
            <v>DSL</v>
          </cell>
          <cell r="L991" t="str">
            <v>Yes</v>
          </cell>
          <cell r="M991" t="str">
            <v>13-24 mo</v>
          </cell>
          <cell r="N991" t="str">
            <v>46-60 yrs</v>
          </cell>
        </row>
        <row r="992">
          <cell r="A992" t="str">
            <v>C1991</v>
          </cell>
          <cell r="E992" t="str">
            <v>Mumbai</v>
          </cell>
          <cell r="F992" t="str">
            <v>Two year</v>
          </cell>
          <cell r="H992">
            <v>399</v>
          </cell>
          <cell r="J992" t="str">
            <v>No Internet</v>
          </cell>
          <cell r="L992" t="str">
            <v>No</v>
          </cell>
          <cell r="M992" t="str">
            <v>49+ mo</v>
          </cell>
          <cell r="N992" t="str">
            <v>46-60 yrs</v>
          </cell>
        </row>
        <row r="993">
          <cell r="A993" t="str">
            <v>C1992</v>
          </cell>
          <cell r="E993" t="str">
            <v>Kolkata</v>
          </cell>
          <cell r="F993" t="str">
            <v>Two year</v>
          </cell>
          <cell r="H993">
            <v>599</v>
          </cell>
          <cell r="J993" t="str">
            <v>DSL</v>
          </cell>
          <cell r="L993" t="str">
            <v>No</v>
          </cell>
          <cell r="M993" t="str">
            <v>25-48 mo</v>
          </cell>
          <cell r="N993" t="str">
            <v>46-60 yrs</v>
          </cell>
        </row>
        <row r="994">
          <cell r="A994" t="str">
            <v>C1993</v>
          </cell>
          <cell r="E994" t="str">
            <v>Kochi</v>
          </cell>
          <cell r="F994" t="str">
            <v>One year</v>
          </cell>
          <cell r="H994">
            <v>749</v>
          </cell>
          <cell r="J994" t="str">
            <v>DSL</v>
          </cell>
          <cell r="L994" t="str">
            <v>No</v>
          </cell>
          <cell r="M994" t="str">
            <v>0-6 mo</v>
          </cell>
          <cell r="N994" t="str">
            <v>46-60 yrs</v>
          </cell>
        </row>
        <row r="995">
          <cell r="A995" t="str">
            <v>C1994</v>
          </cell>
          <cell r="E995" t="str">
            <v>Bangalore</v>
          </cell>
          <cell r="F995" t="str">
            <v>Unknown</v>
          </cell>
          <cell r="H995">
            <v>599</v>
          </cell>
          <cell r="J995" t="str">
            <v>DSL</v>
          </cell>
          <cell r="L995" t="str">
            <v>Yes</v>
          </cell>
          <cell r="M995" t="str">
            <v>7-12 mo</v>
          </cell>
          <cell r="N995" t="str">
            <v>46-60 yrs</v>
          </cell>
        </row>
        <row r="996">
          <cell r="A996" t="str">
            <v>C1995</v>
          </cell>
          <cell r="E996" t="str">
            <v>Delhi</v>
          </cell>
          <cell r="F996" t="str">
            <v>Month-to-month</v>
          </cell>
          <cell r="H996">
            <v>1049</v>
          </cell>
          <cell r="J996" t="str">
            <v>Fiber</v>
          </cell>
          <cell r="L996" t="str">
            <v>Yes</v>
          </cell>
          <cell r="M996" t="str">
            <v>0-6 mo</v>
          </cell>
          <cell r="N996" t="str">
            <v>36-45 yrs</v>
          </cell>
        </row>
        <row r="997">
          <cell r="A997" t="str">
            <v>C1996</v>
          </cell>
          <cell r="E997" t="str">
            <v>Bangalore</v>
          </cell>
          <cell r="F997" t="str">
            <v>Two year</v>
          </cell>
          <cell r="H997">
            <v>699</v>
          </cell>
          <cell r="J997" t="str">
            <v>DSL</v>
          </cell>
          <cell r="L997" t="str">
            <v>No</v>
          </cell>
          <cell r="M997" t="str">
            <v>7-12 mo</v>
          </cell>
          <cell r="N997" t="str">
            <v>26-35 yrs</v>
          </cell>
        </row>
        <row r="998">
          <cell r="A998" t="str">
            <v>C1997</v>
          </cell>
          <cell r="E998" t="str">
            <v>Mumbai</v>
          </cell>
          <cell r="F998" t="str">
            <v>Two year</v>
          </cell>
          <cell r="H998">
            <v>499</v>
          </cell>
          <cell r="J998" t="str">
            <v>No Internet</v>
          </cell>
          <cell r="L998" t="str">
            <v>No</v>
          </cell>
          <cell r="M998" t="str">
            <v>25-48 mo</v>
          </cell>
          <cell r="N998" t="str">
            <v>36-45 yrs</v>
          </cell>
        </row>
        <row r="999">
          <cell r="A999" t="str">
            <v>C1998</v>
          </cell>
          <cell r="E999" t="str">
            <v>Kolkata</v>
          </cell>
          <cell r="F999" t="str">
            <v>One year</v>
          </cell>
          <cell r="H999">
            <v>699</v>
          </cell>
          <cell r="J999" t="str">
            <v>Unknown</v>
          </cell>
          <cell r="L999" t="str">
            <v>No</v>
          </cell>
          <cell r="M999" t="str">
            <v>0-6 mo</v>
          </cell>
          <cell r="N999" t="str">
            <v>26-35 yrs</v>
          </cell>
        </row>
        <row r="1000">
          <cell r="A1000" t="str">
            <v>C1999</v>
          </cell>
          <cell r="E1000" t="str">
            <v>Ahmedabad</v>
          </cell>
          <cell r="F1000" t="str">
            <v>One year</v>
          </cell>
          <cell r="H1000">
            <v>1049</v>
          </cell>
          <cell r="J1000" t="str">
            <v>Fiber</v>
          </cell>
          <cell r="L1000" t="str">
            <v>No</v>
          </cell>
          <cell r="M1000" t="str">
            <v>13-24 mo</v>
          </cell>
          <cell r="N1000" t="str">
            <v>46-60 yrs</v>
          </cell>
        </row>
        <row r="1001">
          <cell r="A1001" t="str">
            <v>C2000</v>
          </cell>
          <cell r="E1001" t="str">
            <v>Kochi</v>
          </cell>
          <cell r="F1001" t="str">
            <v>Month-to-month</v>
          </cell>
          <cell r="H1001">
            <v>1299</v>
          </cell>
          <cell r="J1001" t="str">
            <v>Fiber</v>
          </cell>
          <cell r="L1001" t="str">
            <v>No</v>
          </cell>
          <cell r="M1001" t="str">
            <v>13-24 mo</v>
          </cell>
          <cell r="N1001" t="str">
            <v>46-60 yrs</v>
          </cell>
        </row>
        <row r="1002">
          <cell r="A1002" t="str">
            <v>C2001</v>
          </cell>
          <cell r="E1002" t="str">
            <v>Lucknow</v>
          </cell>
          <cell r="F1002" t="str">
            <v>Two year</v>
          </cell>
          <cell r="H1002">
            <v>649</v>
          </cell>
          <cell r="J1002" t="str">
            <v>DSL</v>
          </cell>
          <cell r="L1002" t="str">
            <v>No</v>
          </cell>
          <cell r="M1002" t="str">
            <v>49+ mo</v>
          </cell>
          <cell r="N1002" t="str">
            <v>60+ yrs</v>
          </cell>
        </row>
        <row r="1003">
          <cell r="A1003" t="str">
            <v>C2002</v>
          </cell>
          <cell r="E1003" t="str">
            <v>Chennai</v>
          </cell>
          <cell r="F1003" t="str">
            <v>Two year</v>
          </cell>
          <cell r="H1003">
            <v>899</v>
          </cell>
          <cell r="J1003" t="str">
            <v>Fiber</v>
          </cell>
          <cell r="L1003" t="str">
            <v>No</v>
          </cell>
          <cell r="M1003" t="str">
            <v>25-48 mo</v>
          </cell>
          <cell r="N1003" t="str">
            <v>18-25 yrs</v>
          </cell>
        </row>
        <row r="1004">
          <cell r="A1004" t="str">
            <v>C2003</v>
          </cell>
          <cell r="E1004" t="str">
            <v>Lucknow</v>
          </cell>
          <cell r="F1004" t="str">
            <v>One year</v>
          </cell>
          <cell r="H1004">
            <v>999</v>
          </cell>
          <cell r="J1004" t="str">
            <v>Fiber</v>
          </cell>
          <cell r="L1004" t="str">
            <v>Yes</v>
          </cell>
          <cell r="M1004" t="str">
            <v>0-6 mo</v>
          </cell>
          <cell r="N1004" t="str">
            <v>60+ yrs</v>
          </cell>
        </row>
        <row r="1005">
          <cell r="A1005" t="str">
            <v>C2004</v>
          </cell>
          <cell r="E1005" t="str">
            <v>Indore</v>
          </cell>
          <cell r="F1005" t="str">
            <v>One year</v>
          </cell>
          <cell r="H1005">
            <v>849</v>
          </cell>
          <cell r="J1005" t="str">
            <v>DSL</v>
          </cell>
          <cell r="L1005" t="str">
            <v>No</v>
          </cell>
          <cell r="M1005" t="str">
            <v>13-24 mo</v>
          </cell>
          <cell r="N1005" t="str">
            <v>60+ yrs</v>
          </cell>
        </row>
        <row r="1006">
          <cell r="A1006" t="str">
            <v>C2005</v>
          </cell>
          <cell r="E1006" t="str">
            <v>Lucknow</v>
          </cell>
          <cell r="F1006" t="str">
            <v>Two year</v>
          </cell>
          <cell r="H1006">
            <v>899</v>
          </cell>
          <cell r="J1006" t="str">
            <v>Fiber</v>
          </cell>
          <cell r="L1006" t="str">
            <v>Yes</v>
          </cell>
          <cell r="M1006" t="str">
            <v>25-48 mo</v>
          </cell>
          <cell r="N1006" t="str">
            <v>26-35 yrs</v>
          </cell>
        </row>
        <row r="1007">
          <cell r="A1007" t="str">
            <v>C2006</v>
          </cell>
          <cell r="E1007" t="str">
            <v>Chennai</v>
          </cell>
          <cell r="F1007" t="str">
            <v>Month-to-month</v>
          </cell>
          <cell r="H1007">
            <v>549</v>
          </cell>
          <cell r="J1007" t="str">
            <v>No Internet</v>
          </cell>
          <cell r="L1007" t="str">
            <v>Yes</v>
          </cell>
          <cell r="M1007" t="str">
            <v>7-12 mo</v>
          </cell>
          <cell r="N1007" t="str">
            <v>18-25 yrs</v>
          </cell>
        </row>
        <row r="1008">
          <cell r="A1008" t="str">
            <v>C2007</v>
          </cell>
          <cell r="E1008" t="str">
            <v>Bangalore</v>
          </cell>
          <cell r="F1008" t="str">
            <v>One year</v>
          </cell>
          <cell r="H1008">
            <v>649</v>
          </cell>
          <cell r="J1008" t="str">
            <v>DSL</v>
          </cell>
          <cell r="L1008" t="str">
            <v>No</v>
          </cell>
          <cell r="M1008" t="str">
            <v>13-24 mo</v>
          </cell>
          <cell r="N1008" t="str">
            <v>36-45 yrs</v>
          </cell>
        </row>
        <row r="1009">
          <cell r="A1009" t="str">
            <v>C2008</v>
          </cell>
          <cell r="E1009" t="str">
            <v>Lucknow</v>
          </cell>
          <cell r="F1009" t="str">
            <v>Month-to-month</v>
          </cell>
          <cell r="H1009">
            <v>1199</v>
          </cell>
          <cell r="J1009" t="str">
            <v>Fiber</v>
          </cell>
          <cell r="L1009" t="str">
            <v>Yes</v>
          </cell>
          <cell r="M1009" t="str">
            <v>13-24 mo</v>
          </cell>
          <cell r="N1009" t="str">
            <v>18-25 yrs</v>
          </cell>
        </row>
        <row r="1010">
          <cell r="A1010" t="str">
            <v>C2009</v>
          </cell>
          <cell r="E1010" t="str">
            <v>Ahmedabad</v>
          </cell>
          <cell r="F1010" t="str">
            <v>Month-to-month</v>
          </cell>
          <cell r="H1010">
            <v>899</v>
          </cell>
          <cell r="J1010" t="str">
            <v>Fiber</v>
          </cell>
          <cell r="L1010" t="str">
            <v>Yes</v>
          </cell>
          <cell r="M1010" t="str">
            <v>13-24 mo</v>
          </cell>
          <cell r="N1010" t="str">
            <v>36-45 yrs</v>
          </cell>
        </row>
        <row r="1011">
          <cell r="A1011" t="str">
            <v>C2010</v>
          </cell>
          <cell r="E1011" t="str">
            <v>Bhopal</v>
          </cell>
          <cell r="F1011" t="str">
            <v>Month-to-month</v>
          </cell>
          <cell r="H1011">
            <v>699</v>
          </cell>
          <cell r="J1011" t="str">
            <v>DSL</v>
          </cell>
          <cell r="L1011" t="str">
            <v>Yes</v>
          </cell>
          <cell r="M1011" t="str">
            <v>0-6 mo</v>
          </cell>
          <cell r="N1011" t="str">
            <v>60+ yrs</v>
          </cell>
        </row>
        <row r="1012">
          <cell r="A1012" t="str">
            <v>C2011</v>
          </cell>
          <cell r="E1012" t="str">
            <v>Indore</v>
          </cell>
          <cell r="F1012" t="str">
            <v>Month-to-month</v>
          </cell>
          <cell r="H1012">
            <v>1099</v>
          </cell>
          <cell r="J1012" t="str">
            <v>Fiber</v>
          </cell>
          <cell r="L1012" t="str">
            <v>Yes</v>
          </cell>
          <cell r="M1012" t="str">
            <v>13-24 mo</v>
          </cell>
          <cell r="N1012" t="str">
            <v>26-35 yrs</v>
          </cell>
        </row>
        <row r="1013">
          <cell r="A1013" t="str">
            <v>C2012</v>
          </cell>
          <cell r="E1013" t="str">
            <v>Indore</v>
          </cell>
          <cell r="F1013" t="str">
            <v>Month-to-month</v>
          </cell>
          <cell r="H1013">
            <v>549</v>
          </cell>
          <cell r="J1013" t="str">
            <v>No Internet</v>
          </cell>
          <cell r="L1013" t="str">
            <v>No</v>
          </cell>
          <cell r="M1013" t="str">
            <v>13-24 mo</v>
          </cell>
          <cell r="N1013" t="str">
            <v>60+ yrs</v>
          </cell>
        </row>
        <row r="1014">
          <cell r="A1014" t="str">
            <v>C2013</v>
          </cell>
          <cell r="E1014" t="str">
            <v>Lucknow</v>
          </cell>
          <cell r="F1014" t="str">
            <v>Two year</v>
          </cell>
          <cell r="H1014">
            <v>599</v>
          </cell>
          <cell r="J1014" t="str">
            <v>DSL</v>
          </cell>
          <cell r="L1014" t="str">
            <v>No</v>
          </cell>
          <cell r="M1014" t="str">
            <v>49+ mo</v>
          </cell>
          <cell r="N1014" t="str">
            <v>36-45 yrs</v>
          </cell>
        </row>
        <row r="1015">
          <cell r="A1015" t="str">
            <v>C2014</v>
          </cell>
          <cell r="E1015" t="str">
            <v>Ahmedabad</v>
          </cell>
          <cell r="F1015" t="str">
            <v>Two year</v>
          </cell>
          <cell r="H1015">
            <v>1299</v>
          </cell>
          <cell r="J1015" t="str">
            <v>Fiber</v>
          </cell>
          <cell r="L1015" t="str">
            <v>Yes</v>
          </cell>
          <cell r="M1015" t="str">
            <v>25-48 mo</v>
          </cell>
          <cell r="N1015" t="str">
            <v>18-25 yrs</v>
          </cell>
        </row>
        <row r="1016">
          <cell r="A1016" t="str">
            <v>C2015</v>
          </cell>
          <cell r="E1016" t="str">
            <v>Delhi</v>
          </cell>
          <cell r="F1016" t="str">
            <v>One year</v>
          </cell>
          <cell r="H1016">
            <v>749</v>
          </cell>
          <cell r="J1016" t="str">
            <v>DSL</v>
          </cell>
          <cell r="L1016" t="str">
            <v>No</v>
          </cell>
          <cell r="M1016" t="str">
            <v>0-6 mo</v>
          </cell>
          <cell r="N1016" t="str">
            <v>18-25 yrs</v>
          </cell>
        </row>
        <row r="1017">
          <cell r="A1017" t="str">
            <v>C2016</v>
          </cell>
          <cell r="E1017" t="str">
            <v>Bhopal</v>
          </cell>
          <cell r="F1017" t="str">
            <v>Month-to-month</v>
          </cell>
          <cell r="H1017">
            <v>799</v>
          </cell>
          <cell r="J1017" t="str">
            <v>DSL</v>
          </cell>
          <cell r="L1017" t="str">
            <v>Yes</v>
          </cell>
          <cell r="M1017" t="str">
            <v>13-24 mo</v>
          </cell>
          <cell r="N1017" t="str">
            <v>18-25 yrs</v>
          </cell>
        </row>
        <row r="1018">
          <cell r="A1018" t="str">
            <v>C2017</v>
          </cell>
          <cell r="E1018" t="str">
            <v>Bhopal</v>
          </cell>
          <cell r="F1018" t="str">
            <v>Month-to-month</v>
          </cell>
          <cell r="H1018">
            <v>349</v>
          </cell>
          <cell r="J1018" t="str">
            <v>No Internet</v>
          </cell>
          <cell r="L1018" t="str">
            <v>No</v>
          </cell>
          <cell r="M1018" t="str">
            <v>7-12 mo</v>
          </cell>
          <cell r="N1018" t="str">
            <v>26-35 yrs</v>
          </cell>
        </row>
        <row r="1019">
          <cell r="A1019" t="str">
            <v>C2018</v>
          </cell>
          <cell r="E1019" t="str">
            <v>Bangalore</v>
          </cell>
          <cell r="F1019" t="str">
            <v>Two year</v>
          </cell>
          <cell r="H1019">
            <v>1149</v>
          </cell>
          <cell r="J1019" t="str">
            <v>Fiber</v>
          </cell>
          <cell r="L1019" t="str">
            <v>No</v>
          </cell>
          <cell r="M1019" t="str">
            <v>49+ mo</v>
          </cell>
          <cell r="N1019" t="str">
            <v>60+ yrs</v>
          </cell>
        </row>
        <row r="1020">
          <cell r="A1020" t="str">
            <v>C2019</v>
          </cell>
          <cell r="E1020" t="str">
            <v>Chandigarh</v>
          </cell>
          <cell r="F1020" t="str">
            <v>Month-to-month</v>
          </cell>
          <cell r="H1020">
            <v>1299</v>
          </cell>
          <cell r="J1020" t="str">
            <v>Fiber</v>
          </cell>
          <cell r="L1020" t="str">
            <v>No</v>
          </cell>
          <cell r="M1020" t="str">
            <v>13-24 mo</v>
          </cell>
          <cell r="N1020" t="str">
            <v>46-60 yrs</v>
          </cell>
        </row>
        <row r="1021">
          <cell r="A1021" t="str">
            <v>C2020</v>
          </cell>
          <cell r="E1021" t="str">
            <v>Unknown</v>
          </cell>
          <cell r="F1021" t="str">
            <v>Month-to-month</v>
          </cell>
          <cell r="H1021">
            <v>1099</v>
          </cell>
          <cell r="J1021" t="str">
            <v>Fiber</v>
          </cell>
          <cell r="L1021" t="str">
            <v>Yes</v>
          </cell>
          <cell r="M1021" t="str">
            <v>0-6 mo</v>
          </cell>
          <cell r="N1021" t="str">
            <v>46-60 yrs</v>
          </cell>
        </row>
        <row r="1022">
          <cell r="A1022" t="str">
            <v>C2021</v>
          </cell>
          <cell r="E1022" t="str">
            <v>Chennai</v>
          </cell>
          <cell r="F1022" t="str">
            <v>Two year</v>
          </cell>
          <cell r="H1022">
            <v>599</v>
          </cell>
          <cell r="J1022" t="str">
            <v>DSL</v>
          </cell>
          <cell r="L1022" t="str">
            <v>No</v>
          </cell>
          <cell r="M1022" t="str">
            <v>25-48 mo</v>
          </cell>
          <cell r="N1022" t="str">
            <v>60+ yrs</v>
          </cell>
        </row>
        <row r="1023">
          <cell r="A1023" t="str">
            <v>C2022</v>
          </cell>
          <cell r="E1023" t="str">
            <v>Chennai</v>
          </cell>
          <cell r="F1023" t="str">
            <v>Month-to-month</v>
          </cell>
          <cell r="H1023">
            <v>599</v>
          </cell>
          <cell r="J1023" t="str">
            <v>DSL</v>
          </cell>
          <cell r="L1023" t="str">
            <v>Unknown</v>
          </cell>
          <cell r="M1023" t="str">
            <v>13-24 mo</v>
          </cell>
          <cell r="N1023" t="str">
            <v>46-60 yrs</v>
          </cell>
        </row>
        <row r="1024">
          <cell r="A1024" t="str">
            <v>C2023</v>
          </cell>
          <cell r="E1024" t="str">
            <v>Chennai</v>
          </cell>
          <cell r="F1024" t="str">
            <v>Month-to-month</v>
          </cell>
          <cell r="H1024">
            <v>549</v>
          </cell>
          <cell r="J1024" t="str">
            <v>No Internet</v>
          </cell>
          <cell r="L1024" t="str">
            <v>No</v>
          </cell>
          <cell r="M1024" t="str">
            <v>0-6 mo</v>
          </cell>
          <cell r="N1024" t="str">
            <v>36-45 yrs</v>
          </cell>
        </row>
        <row r="1025">
          <cell r="A1025" t="str">
            <v>C2024</v>
          </cell>
          <cell r="E1025" t="str">
            <v>Kochi</v>
          </cell>
          <cell r="F1025" t="str">
            <v>Two year</v>
          </cell>
          <cell r="H1025">
            <v>499</v>
          </cell>
          <cell r="J1025" t="str">
            <v>No Internet</v>
          </cell>
          <cell r="L1025" t="str">
            <v>No</v>
          </cell>
          <cell r="M1025" t="str">
            <v>0-6 mo</v>
          </cell>
          <cell r="N1025" t="str">
            <v>18-25 yrs</v>
          </cell>
        </row>
        <row r="1026">
          <cell r="A1026" t="str">
            <v>C2025</v>
          </cell>
          <cell r="E1026" t="str">
            <v>Chennai</v>
          </cell>
          <cell r="F1026" t="str">
            <v>One year</v>
          </cell>
          <cell r="H1026">
            <v>799</v>
          </cell>
          <cell r="J1026" t="str">
            <v>DSL</v>
          </cell>
          <cell r="L1026" t="str">
            <v>No</v>
          </cell>
          <cell r="M1026" t="str">
            <v>25-48 mo</v>
          </cell>
          <cell r="N1026" t="str">
            <v>26-35 yrs</v>
          </cell>
        </row>
        <row r="1027">
          <cell r="A1027" t="str">
            <v>C2026</v>
          </cell>
          <cell r="E1027" t="str">
            <v>Kochi</v>
          </cell>
          <cell r="F1027" t="str">
            <v>One year</v>
          </cell>
          <cell r="H1027">
            <v>899</v>
          </cell>
          <cell r="J1027" t="str">
            <v>DSL</v>
          </cell>
          <cell r="L1027" t="str">
            <v>No</v>
          </cell>
          <cell r="M1027" t="str">
            <v>25-48 mo</v>
          </cell>
          <cell r="N1027" t="str">
            <v>18-25 yrs</v>
          </cell>
        </row>
        <row r="1028">
          <cell r="A1028" t="str">
            <v>C2027</v>
          </cell>
          <cell r="E1028" t="str">
            <v>Kolkata</v>
          </cell>
          <cell r="F1028" t="str">
            <v>One year</v>
          </cell>
          <cell r="H1028">
            <v>899</v>
          </cell>
          <cell r="J1028" t="str">
            <v>Fiber</v>
          </cell>
          <cell r="L1028" t="str">
            <v>No</v>
          </cell>
          <cell r="M1028" t="str">
            <v>7-12 mo</v>
          </cell>
          <cell r="N1028" t="str">
            <v>26-35 yrs</v>
          </cell>
        </row>
        <row r="1029">
          <cell r="A1029" t="str">
            <v>C2028</v>
          </cell>
          <cell r="E1029" t="str">
            <v>Delhi</v>
          </cell>
          <cell r="F1029" t="str">
            <v>Month-to-month</v>
          </cell>
          <cell r="H1029">
            <v>649</v>
          </cell>
          <cell r="J1029" t="str">
            <v>DSL</v>
          </cell>
          <cell r="L1029" t="str">
            <v>Yes</v>
          </cell>
          <cell r="M1029" t="str">
            <v>0-6 mo</v>
          </cell>
          <cell r="N1029" t="str">
            <v>36-45 yrs</v>
          </cell>
        </row>
        <row r="1030">
          <cell r="A1030" t="str">
            <v>C2029</v>
          </cell>
          <cell r="E1030" t="str">
            <v>Delhi</v>
          </cell>
          <cell r="F1030" t="str">
            <v>Month-to-month</v>
          </cell>
          <cell r="H1030">
            <v>699</v>
          </cell>
          <cell r="J1030" t="str">
            <v>DSL</v>
          </cell>
          <cell r="L1030" t="str">
            <v>No</v>
          </cell>
          <cell r="M1030" t="str">
            <v>0-6 mo</v>
          </cell>
          <cell r="N1030" t="str">
            <v>18-25 yrs</v>
          </cell>
        </row>
        <row r="1031">
          <cell r="A1031" t="str">
            <v>C2030</v>
          </cell>
          <cell r="E1031" t="str">
            <v>Ahmedabad</v>
          </cell>
          <cell r="F1031" t="str">
            <v>One year</v>
          </cell>
          <cell r="H1031">
            <v>1149</v>
          </cell>
          <cell r="J1031" t="str">
            <v>Fiber</v>
          </cell>
          <cell r="L1031" t="str">
            <v>No</v>
          </cell>
          <cell r="M1031" t="str">
            <v>0-6 mo</v>
          </cell>
          <cell r="N1031" t="str">
            <v>36-45 yrs</v>
          </cell>
        </row>
        <row r="1032">
          <cell r="A1032" t="str">
            <v>C2031</v>
          </cell>
          <cell r="E1032" t="str">
            <v>Chennai</v>
          </cell>
          <cell r="F1032" t="str">
            <v>Two year</v>
          </cell>
          <cell r="H1032">
            <v>1199</v>
          </cell>
          <cell r="J1032" t="str">
            <v>Fiber</v>
          </cell>
          <cell r="L1032" t="str">
            <v>No</v>
          </cell>
          <cell r="M1032" t="str">
            <v>25-48 mo</v>
          </cell>
          <cell r="N1032" t="str">
            <v>60+ yrs</v>
          </cell>
        </row>
        <row r="1033">
          <cell r="A1033" t="str">
            <v>C2032</v>
          </cell>
          <cell r="E1033" t="str">
            <v>Delhi</v>
          </cell>
          <cell r="F1033" t="str">
            <v>Month-to-month</v>
          </cell>
          <cell r="H1033">
            <v>1049</v>
          </cell>
          <cell r="J1033" t="str">
            <v>Fiber</v>
          </cell>
          <cell r="L1033" t="str">
            <v>Yes</v>
          </cell>
          <cell r="M1033" t="str">
            <v>13-24 mo</v>
          </cell>
          <cell r="N1033" t="str">
            <v>18-25 yrs</v>
          </cell>
        </row>
        <row r="1034">
          <cell r="A1034" t="str">
            <v>C2033</v>
          </cell>
          <cell r="E1034" t="str">
            <v>Hyderabad</v>
          </cell>
          <cell r="F1034" t="str">
            <v>Month-to-month</v>
          </cell>
          <cell r="H1034">
            <v>999</v>
          </cell>
          <cell r="J1034" t="str">
            <v>Fiber</v>
          </cell>
          <cell r="L1034" t="str">
            <v>No</v>
          </cell>
          <cell r="M1034" t="str">
            <v>0-6 mo</v>
          </cell>
          <cell r="N1034" t="str">
            <v>46-60 yrs</v>
          </cell>
        </row>
        <row r="1035">
          <cell r="A1035" t="str">
            <v>C2034</v>
          </cell>
          <cell r="E1035" t="str">
            <v>Delhi</v>
          </cell>
          <cell r="F1035" t="str">
            <v>Month-to-month</v>
          </cell>
          <cell r="H1035">
            <v>899</v>
          </cell>
          <cell r="J1035" t="str">
            <v>Fiber</v>
          </cell>
          <cell r="L1035" t="str">
            <v>Yes</v>
          </cell>
          <cell r="M1035" t="str">
            <v>7-12 mo</v>
          </cell>
          <cell r="N1035" t="str">
            <v>60+ yrs</v>
          </cell>
        </row>
        <row r="1036">
          <cell r="A1036" t="str">
            <v>C2035</v>
          </cell>
          <cell r="E1036" t="str">
            <v>Kolkata</v>
          </cell>
          <cell r="F1036" t="str">
            <v>Month-to-month</v>
          </cell>
          <cell r="H1036">
            <v>749</v>
          </cell>
          <cell r="J1036" t="str">
            <v>DSL</v>
          </cell>
          <cell r="L1036" t="str">
            <v>No</v>
          </cell>
          <cell r="M1036" t="str">
            <v>7-12 mo</v>
          </cell>
          <cell r="N1036" t="str">
            <v>60+ yrs</v>
          </cell>
        </row>
        <row r="1037">
          <cell r="A1037" t="str">
            <v>C2036</v>
          </cell>
          <cell r="E1037" t="str">
            <v>Pune</v>
          </cell>
          <cell r="F1037" t="str">
            <v>Two year</v>
          </cell>
          <cell r="H1037">
            <v>549</v>
          </cell>
          <cell r="J1037" t="str">
            <v>No Internet</v>
          </cell>
          <cell r="L1037" t="str">
            <v>No</v>
          </cell>
          <cell r="M1037" t="str">
            <v>25-48 mo</v>
          </cell>
          <cell r="N1037" t="str">
            <v>60+ yrs</v>
          </cell>
        </row>
        <row r="1038">
          <cell r="A1038" t="str">
            <v>C2037</v>
          </cell>
          <cell r="E1038" t="str">
            <v>Kolkata</v>
          </cell>
          <cell r="F1038" t="str">
            <v>One year</v>
          </cell>
          <cell r="H1038">
            <v>549</v>
          </cell>
          <cell r="J1038" t="str">
            <v>No Internet</v>
          </cell>
          <cell r="L1038" t="str">
            <v>No</v>
          </cell>
          <cell r="M1038" t="str">
            <v>0-6 mo</v>
          </cell>
          <cell r="N1038" t="str">
            <v>60+ yrs</v>
          </cell>
        </row>
        <row r="1039">
          <cell r="A1039" t="str">
            <v>C2038</v>
          </cell>
          <cell r="E1039" t="str">
            <v>Lucknow</v>
          </cell>
          <cell r="F1039" t="str">
            <v>One year</v>
          </cell>
          <cell r="H1039">
            <v>1099</v>
          </cell>
          <cell r="J1039" t="str">
            <v>Fiber</v>
          </cell>
          <cell r="L1039" t="str">
            <v>No</v>
          </cell>
          <cell r="M1039" t="str">
            <v>13-24 mo</v>
          </cell>
          <cell r="N1039" t="str">
            <v>36-45 yrs</v>
          </cell>
        </row>
        <row r="1040">
          <cell r="A1040" t="str">
            <v>C2039</v>
          </cell>
          <cell r="E1040" t="str">
            <v>Kochi</v>
          </cell>
          <cell r="F1040" t="str">
            <v>One year</v>
          </cell>
          <cell r="H1040">
            <v>899</v>
          </cell>
          <cell r="J1040" t="str">
            <v>Unknown</v>
          </cell>
          <cell r="L1040" t="str">
            <v>No</v>
          </cell>
          <cell r="M1040" t="str">
            <v>13-24 mo</v>
          </cell>
          <cell r="N1040" t="str">
            <v>26-35 yrs</v>
          </cell>
        </row>
        <row r="1041">
          <cell r="A1041" t="str">
            <v>C2040</v>
          </cell>
          <cell r="E1041" t="str">
            <v>Unknown</v>
          </cell>
          <cell r="F1041" t="str">
            <v>One year</v>
          </cell>
          <cell r="H1041">
            <v>899</v>
          </cell>
          <cell r="J1041" t="str">
            <v>Fiber</v>
          </cell>
          <cell r="L1041" t="str">
            <v>No</v>
          </cell>
          <cell r="M1041" t="str">
            <v>25-48 mo</v>
          </cell>
          <cell r="N1041" t="str">
            <v>36-45 yrs</v>
          </cell>
        </row>
        <row r="1042">
          <cell r="A1042" t="str">
            <v>C2041</v>
          </cell>
          <cell r="E1042" t="str">
            <v>Delhi</v>
          </cell>
          <cell r="F1042" t="str">
            <v>Month-to-month</v>
          </cell>
          <cell r="H1042">
            <v>1199</v>
          </cell>
          <cell r="J1042" t="str">
            <v>Fiber</v>
          </cell>
          <cell r="L1042" t="str">
            <v>Yes</v>
          </cell>
          <cell r="M1042" t="str">
            <v>7-12 mo</v>
          </cell>
          <cell r="N1042" t="str">
            <v>46-60 yrs</v>
          </cell>
        </row>
        <row r="1043">
          <cell r="A1043" t="str">
            <v>C2042</v>
          </cell>
          <cell r="E1043" t="str">
            <v>Pune</v>
          </cell>
          <cell r="F1043" t="str">
            <v>Two year</v>
          </cell>
          <cell r="H1043">
            <v>1299</v>
          </cell>
          <cell r="J1043" t="str">
            <v>Fiber</v>
          </cell>
          <cell r="L1043" t="str">
            <v>No</v>
          </cell>
          <cell r="M1043" t="str">
            <v>25-48 mo</v>
          </cell>
          <cell r="N1043" t="str">
            <v>46-60 yrs</v>
          </cell>
        </row>
        <row r="1044">
          <cell r="A1044" t="str">
            <v>C2043</v>
          </cell>
          <cell r="E1044" t="str">
            <v>Bangalore</v>
          </cell>
          <cell r="F1044" t="str">
            <v>Two year</v>
          </cell>
          <cell r="H1044">
            <v>1199</v>
          </cell>
          <cell r="J1044" t="str">
            <v>Fiber</v>
          </cell>
          <cell r="L1044" t="str">
            <v>No</v>
          </cell>
          <cell r="M1044" t="str">
            <v>25-48 mo</v>
          </cell>
          <cell r="N1044" t="str">
            <v>26-35 yrs</v>
          </cell>
        </row>
        <row r="1045">
          <cell r="A1045" t="str">
            <v>C2044</v>
          </cell>
          <cell r="E1045" t="str">
            <v>Jaipur</v>
          </cell>
          <cell r="F1045" t="str">
            <v>One year</v>
          </cell>
          <cell r="H1045">
            <v>699</v>
          </cell>
          <cell r="J1045" t="str">
            <v>DSL</v>
          </cell>
          <cell r="L1045" t="str">
            <v>No</v>
          </cell>
          <cell r="M1045" t="str">
            <v>13-24 mo</v>
          </cell>
          <cell r="N1045" t="str">
            <v>18-25 yrs</v>
          </cell>
        </row>
        <row r="1046">
          <cell r="A1046" t="str">
            <v>C2045</v>
          </cell>
          <cell r="E1046" t="str">
            <v>Jaipur</v>
          </cell>
          <cell r="F1046" t="str">
            <v>Month-to-month</v>
          </cell>
          <cell r="H1046">
            <v>1049</v>
          </cell>
          <cell r="J1046" t="str">
            <v>Fiber</v>
          </cell>
          <cell r="L1046" t="str">
            <v>Yes</v>
          </cell>
          <cell r="M1046" t="str">
            <v>7-12 mo</v>
          </cell>
          <cell r="N1046" t="str">
            <v>18-25 yrs</v>
          </cell>
        </row>
        <row r="1047">
          <cell r="A1047" t="str">
            <v>C2046</v>
          </cell>
          <cell r="E1047" t="str">
            <v>Unknown</v>
          </cell>
          <cell r="F1047" t="str">
            <v>Month-to-month</v>
          </cell>
          <cell r="H1047">
            <v>699</v>
          </cell>
          <cell r="J1047" t="str">
            <v>DSL</v>
          </cell>
          <cell r="L1047" t="str">
            <v>No</v>
          </cell>
          <cell r="M1047" t="str">
            <v>7-12 mo</v>
          </cell>
          <cell r="N1047" t="str">
            <v>36-45 yrs</v>
          </cell>
        </row>
        <row r="1048">
          <cell r="A1048" t="str">
            <v>C2047</v>
          </cell>
          <cell r="E1048" t="str">
            <v>Chennai</v>
          </cell>
          <cell r="F1048" t="str">
            <v>Two year</v>
          </cell>
          <cell r="H1048">
            <v>399</v>
          </cell>
          <cell r="J1048" t="str">
            <v>No Internet</v>
          </cell>
          <cell r="L1048" t="str">
            <v>No</v>
          </cell>
          <cell r="M1048" t="str">
            <v>0-6 mo</v>
          </cell>
          <cell r="N1048" t="str">
            <v>18-25 yrs</v>
          </cell>
        </row>
        <row r="1049">
          <cell r="A1049" t="str">
            <v>C2048</v>
          </cell>
          <cell r="E1049" t="str">
            <v>Lucknow</v>
          </cell>
          <cell r="F1049" t="str">
            <v>Month-to-month</v>
          </cell>
          <cell r="H1049">
            <v>1199</v>
          </cell>
          <cell r="J1049" t="str">
            <v>Fiber</v>
          </cell>
          <cell r="L1049" t="str">
            <v>No</v>
          </cell>
          <cell r="M1049" t="str">
            <v>13-24 mo</v>
          </cell>
          <cell r="N1049" t="str">
            <v>60+ yrs</v>
          </cell>
        </row>
        <row r="1050">
          <cell r="A1050" t="str">
            <v>C2049</v>
          </cell>
          <cell r="E1050" t="str">
            <v>Indore</v>
          </cell>
          <cell r="F1050" t="str">
            <v>Month-to-month</v>
          </cell>
          <cell r="H1050">
            <v>1299</v>
          </cell>
          <cell r="J1050" t="str">
            <v>Fiber</v>
          </cell>
          <cell r="L1050" t="str">
            <v>No</v>
          </cell>
          <cell r="M1050" t="str">
            <v>13-24 mo</v>
          </cell>
          <cell r="N1050" t="str">
            <v>46-60 yrs</v>
          </cell>
        </row>
        <row r="1051">
          <cell r="A1051" t="str">
            <v>C2050</v>
          </cell>
          <cell r="E1051" t="str">
            <v>Pune</v>
          </cell>
          <cell r="F1051" t="str">
            <v>Month-to-month</v>
          </cell>
          <cell r="H1051">
            <v>399</v>
          </cell>
          <cell r="J1051" t="str">
            <v>No Internet</v>
          </cell>
          <cell r="L1051" t="str">
            <v>No</v>
          </cell>
          <cell r="M1051" t="str">
            <v>7-12 mo</v>
          </cell>
          <cell r="N1051" t="str">
            <v>46-60 yrs</v>
          </cell>
        </row>
        <row r="1052">
          <cell r="A1052" t="str">
            <v>C2051</v>
          </cell>
          <cell r="E1052" t="str">
            <v>Mumbai</v>
          </cell>
          <cell r="F1052" t="str">
            <v>One year</v>
          </cell>
          <cell r="H1052">
            <v>899</v>
          </cell>
          <cell r="J1052" t="str">
            <v>Fiber</v>
          </cell>
          <cell r="L1052" t="str">
            <v>No</v>
          </cell>
          <cell r="M1052" t="str">
            <v>25-48 mo</v>
          </cell>
          <cell r="N1052" t="str">
            <v>60+ yrs</v>
          </cell>
        </row>
        <row r="1053">
          <cell r="A1053" t="str">
            <v>C2052</v>
          </cell>
          <cell r="E1053" t="str">
            <v>Ahmedabad</v>
          </cell>
          <cell r="F1053" t="str">
            <v>One year</v>
          </cell>
          <cell r="H1053">
            <v>799</v>
          </cell>
          <cell r="J1053" t="str">
            <v>DSL</v>
          </cell>
          <cell r="L1053" t="str">
            <v>No</v>
          </cell>
          <cell r="M1053" t="str">
            <v>7-12 mo</v>
          </cell>
          <cell r="N1053" t="str">
            <v>26-35 yrs</v>
          </cell>
        </row>
        <row r="1054">
          <cell r="A1054" t="str">
            <v>C2053</v>
          </cell>
          <cell r="E1054" t="str">
            <v>Chennai</v>
          </cell>
          <cell r="F1054" t="str">
            <v>Month-to-month</v>
          </cell>
          <cell r="H1054">
            <v>749</v>
          </cell>
          <cell r="J1054" t="str">
            <v>DSL</v>
          </cell>
          <cell r="L1054" t="str">
            <v>No</v>
          </cell>
          <cell r="M1054" t="str">
            <v>13-24 mo</v>
          </cell>
          <cell r="N1054" t="str">
            <v>60+ yrs</v>
          </cell>
        </row>
        <row r="1055">
          <cell r="A1055" t="str">
            <v>C2054</v>
          </cell>
          <cell r="E1055" t="str">
            <v>Bangalore</v>
          </cell>
          <cell r="F1055" t="str">
            <v>Month-to-month</v>
          </cell>
          <cell r="H1055">
            <v>849</v>
          </cell>
          <cell r="J1055" t="str">
            <v>DSL</v>
          </cell>
          <cell r="L1055" t="str">
            <v>Yes</v>
          </cell>
          <cell r="M1055" t="str">
            <v>13-24 mo</v>
          </cell>
          <cell r="N1055" t="str">
            <v>18-25 yrs</v>
          </cell>
        </row>
        <row r="1056">
          <cell r="A1056" t="str">
            <v>C2055</v>
          </cell>
          <cell r="E1056" t="str">
            <v>Mumbai</v>
          </cell>
          <cell r="F1056" t="str">
            <v>Month-to-month</v>
          </cell>
          <cell r="H1056">
            <v>399</v>
          </cell>
          <cell r="J1056" t="str">
            <v>No Internet</v>
          </cell>
          <cell r="L1056" t="str">
            <v>Yes</v>
          </cell>
          <cell r="M1056" t="str">
            <v>13-24 mo</v>
          </cell>
          <cell r="N1056" t="str">
            <v>26-35 yrs</v>
          </cell>
        </row>
        <row r="1057">
          <cell r="A1057" t="str">
            <v>C2056</v>
          </cell>
          <cell r="E1057" t="str">
            <v>Chandigarh</v>
          </cell>
          <cell r="F1057" t="str">
            <v>Two year</v>
          </cell>
          <cell r="H1057">
            <v>899</v>
          </cell>
          <cell r="J1057" t="str">
            <v>Fiber</v>
          </cell>
          <cell r="L1057" t="str">
            <v>No</v>
          </cell>
          <cell r="M1057" t="str">
            <v>13-24 mo</v>
          </cell>
          <cell r="N1057" t="str">
            <v>36-45 yrs</v>
          </cell>
        </row>
        <row r="1058">
          <cell r="A1058" t="str">
            <v>C2057</v>
          </cell>
          <cell r="E1058" t="str">
            <v>Unknown</v>
          </cell>
          <cell r="F1058" t="str">
            <v>Two year</v>
          </cell>
          <cell r="H1058">
            <v>849</v>
          </cell>
          <cell r="J1058" t="str">
            <v>DSL</v>
          </cell>
          <cell r="L1058" t="str">
            <v>No</v>
          </cell>
          <cell r="M1058" t="str">
            <v>49+ mo</v>
          </cell>
          <cell r="N1058" t="str">
            <v>46-60 yrs</v>
          </cell>
        </row>
        <row r="1059">
          <cell r="A1059" t="str">
            <v>C2058</v>
          </cell>
          <cell r="E1059" t="str">
            <v>Lucknow</v>
          </cell>
          <cell r="F1059" t="str">
            <v>Month-to-month</v>
          </cell>
          <cell r="H1059">
            <v>1099</v>
          </cell>
          <cell r="J1059" t="str">
            <v>Fiber</v>
          </cell>
          <cell r="L1059" t="str">
            <v>No</v>
          </cell>
          <cell r="M1059" t="str">
            <v>13-24 mo</v>
          </cell>
          <cell r="N1059" t="str">
            <v>46-60 yrs</v>
          </cell>
        </row>
        <row r="1060">
          <cell r="A1060" t="str">
            <v>C2059</v>
          </cell>
          <cell r="E1060" t="str">
            <v>Ahmedabad</v>
          </cell>
          <cell r="F1060" t="str">
            <v>Month-to-month</v>
          </cell>
          <cell r="H1060">
            <v>1149</v>
          </cell>
          <cell r="J1060" t="str">
            <v>Fiber</v>
          </cell>
          <cell r="L1060" t="str">
            <v>Yes</v>
          </cell>
          <cell r="M1060" t="str">
            <v>13-24 mo</v>
          </cell>
          <cell r="N1060" t="str">
            <v>36-45 yrs</v>
          </cell>
        </row>
        <row r="1061">
          <cell r="A1061" t="str">
            <v>C2060</v>
          </cell>
          <cell r="E1061" t="str">
            <v>Chandigarh</v>
          </cell>
          <cell r="F1061" t="str">
            <v>Two year</v>
          </cell>
          <cell r="H1061">
            <v>449</v>
          </cell>
          <cell r="J1061" t="str">
            <v>No Internet</v>
          </cell>
          <cell r="L1061" t="str">
            <v>No</v>
          </cell>
          <cell r="M1061" t="str">
            <v>25-48 mo</v>
          </cell>
          <cell r="N1061" t="str">
            <v>18-25 yrs</v>
          </cell>
        </row>
        <row r="1062">
          <cell r="A1062" t="str">
            <v>C2061</v>
          </cell>
          <cell r="E1062" t="str">
            <v>Bangalore</v>
          </cell>
          <cell r="F1062" t="str">
            <v>Month-to-month</v>
          </cell>
          <cell r="H1062">
            <v>649</v>
          </cell>
          <cell r="J1062" t="str">
            <v>DSL</v>
          </cell>
          <cell r="L1062" t="str">
            <v>No</v>
          </cell>
          <cell r="M1062" t="str">
            <v>13-24 mo</v>
          </cell>
          <cell r="N1062" t="str">
            <v>36-45 yrs</v>
          </cell>
        </row>
        <row r="1063">
          <cell r="A1063" t="str">
            <v>C2062</v>
          </cell>
          <cell r="E1063" t="str">
            <v>Bangalore</v>
          </cell>
          <cell r="F1063" t="str">
            <v>Month-to-month</v>
          </cell>
          <cell r="H1063">
            <v>999</v>
          </cell>
          <cell r="J1063" t="str">
            <v>Fiber</v>
          </cell>
          <cell r="L1063" t="str">
            <v>No</v>
          </cell>
          <cell r="M1063" t="str">
            <v>13-24 mo</v>
          </cell>
          <cell r="N1063" t="str">
            <v>26-35 yrs</v>
          </cell>
        </row>
        <row r="1064">
          <cell r="A1064" t="str">
            <v>C2063</v>
          </cell>
          <cell r="E1064" t="str">
            <v>Chandigarh</v>
          </cell>
          <cell r="F1064" t="str">
            <v>Month-to-month</v>
          </cell>
          <cell r="H1064">
            <v>749</v>
          </cell>
          <cell r="J1064" t="str">
            <v>DSL</v>
          </cell>
          <cell r="L1064" t="str">
            <v>No</v>
          </cell>
          <cell r="M1064" t="str">
            <v>13-24 mo</v>
          </cell>
          <cell r="N1064" t="str">
            <v>60+ yrs</v>
          </cell>
        </row>
        <row r="1065">
          <cell r="A1065" t="str">
            <v>C2064</v>
          </cell>
          <cell r="E1065" t="str">
            <v>Bhopal</v>
          </cell>
          <cell r="F1065" t="str">
            <v>Two year</v>
          </cell>
          <cell r="H1065">
            <v>749</v>
          </cell>
          <cell r="J1065" t="str">
            <v>DSL</v>
          </cell>
          <cell r="L1065" t="str">
            <v>No</v>
          </cell>
          <cell r="M1065" t="str">
            <v>49+ mo</v>
          </cell>
          <cell r="N1065" t="str">
            <v>60+ yrs</v>
          </cell>
        </row>
        <row r="1066">
          <cell r="A1066" t="str">
            <v>C2065</v>
          </cell>
          <cell r="E1066" t="str">
            <v>Kochi</v>
          </cell>
          <cell r="F1066" t="str">
            <v>Month-to-month</v>
          </cell>
          <cell r="H1066">
            <v>799</v>
          </cell>
          <cell r="J1066" t="str">
            <v>DSL</v>
          </cell>
          <cell r="L1066" t="str">
            <v>No</v>
          </cell>
          <cell r="M1066" t="str">
            <v>0-6 mo</v>
          </cell>
          <cell r="N1066" t="str">
            <v>60+ yrs</v>
          </cell>
        </row>
        <row r="1067">
          <cell r="A1067" t="str">
            <v>C2066</v>
          </cell>
          <cell r="E1067" t="str">
            <v>Mumbai</v>
          </cell>
          <cell r="F1067" t="str">
            <v>Two year</v>
          </cell>
          <cell r="H1067">
            <v>1299</v>
          </cell>
          <cell r="J1067" t="str">
            <v>Fiber</v>
          </cell>
          <cell r="L1067" t="str">
            <v>No</v>
          </cell>
          <cell r="M1067" t="str">
            <v>25-48 mo</v>
          </cell>
          <cell r="N1067" t="str">
            <v>36-45 yrs</v>
          </cell>
        </row>
        <row r="1068">
          <cell r="A1068" t="str">
            <v>C2067</v>
          </cell>
          <cell r="E1068" t="str">
            <v>Lucknow</v>
          </cell>
          <cell r="F1068" t="str">
            <v>Month-to-month</v>
          </cell>
          <cell r="H1068">
            <v>499</v>
          </cell>
          <cell r="J1068" t="str">
            <v>No Internet</v>
          </cell>
          <cell r="L1068" t="str">
            <v>Yes</v>
          </cell>
          <cell r="M1068" t="str">
            <v>13-24 mo</v>
          </cell>
          <cell r="N1068" t="str">
            <v>26-35 yrs</v>
          </cell>
        </row>
        <row r="1069">
          <cell r="A1069" t="str">
            <v>C2068</v>
          </cell>
          <cell r="E1069" t="str">
            <v>Hyderabad</v>
          </cell>
          <cell r="F1069" t="str">
            <v>One year</v>
          </cell>
          <cell r="H1069">
            <v>899</v>
          </cell>
          <cell r="J1069" t="str">
            <v>DSL</v>
          </cell>
          <cell r="L1069" t="str">
            <v>Yes</v>
          </cell>
          <cell r="M1069" t="str">
            <v>25-48 mo</v>
          </cell>
          <cell r="N1069" t="str">
            <v>26-35 yrs</v>
          </cell>
        </row>
        <row r="1070">
          <cell r="A1070" t="str">
            <v>C2069</v>
          </cell>
          <cell r="E1070" t="str">
            <v>Bhopal</v>
          </cell>
          <cell r="F1070" t="str">
            <v>Month-to-month</v>
          </cell>
          <cell r="H1070">
            <v>1099</v>
          </cell>
          <cell r="J1070" t="str">
            <v>Fiber</v>
          </cell>
          <cell r="L1070" t="str">
            <v>Yes</v>
          </cell>
          <cell r="M1070" t="str">
            <v>7-12 mo</v>
          </cell>
          <cell r="N1070" t="str">
            <v>26-35 yrs</v>
          </cell>
        </row>
        <row r="1071">
          <cell r="A1071" t="str">
            <v>C2070</v>
          </cell>
          <cell r="E1071" t="str">
            <v>Unknown</v>
          </cell>
          <cell r="F1071" t="str">
            <v>Two year</v>
          </cell>
          <cell r="H1071">
            <v>499</v>
          </cell>
          <cell r="J1071" t="str">
            <v>No Internet</v>
          </cell>
          <cell r="L1071" t="str">
            <v>No</v>
          </cell>
          <cell r="M1071" t="str">
            <v>49+ mo</v>
          </cell>
          <cell r="N1071" t="str">
            <v>26-35 yrs</v>
          </cell>
        </row>
        <row r="1072">
          <cell r="A1072" t="str">
            <v>C2071</v>
          </cell>
          <cell r="E1072" t="str">
            <v>Mumbai</v>
          </cell>
          <cell r="F1072" t="str">
            <v>Two year</v>
          </cell>
          <cell r="H1072">
            <v>449</v>
          </cell>
          <cell r="J1072" t="str">
            <v>No Internet</v>
          </cell>
          <cell r="L1072" t="str">
            <v>No</v>
          </cell>
          <cell r="M1072" t="str">
            <v>25-48 mo</v>
          </cell>
          <cell r="N1072" t="str">
            <v>26-35 yrs</v>
          </cell>
        </row>
        <row r="1073">
          <cell r="A1073" t="str">
            <v>C2072</v>
          </cell>
          <cell r="E1073" t="str">
            <v>Indore</v>
          </cell>
          <cell r="F1073" t="str">
            <v>Month-to-month</v>
          </cell>
          <cell r="H1073">
            <v>1299</v>
          </cell>
          <cell r="J1073" t="str">
            <v>Fiber</v>
          </cell>
          <cell r="L1073" t="str">
            <v>No</v>
          </cell>
          <cell r="M1073" t="str">
            <v>13-24 mo</v>
          </cell>
          <cell r="N1073" t="str">
            <v>36-45 yrs</v>
          </cell>
        </row>
        <row r="1074">
          <cell r="A1074" t="str">
            <v>C2073</v>
          </cell>
          <cell r="E1074" t="str">
            <v>Hyderabad</v>
          </cell>
          <cell r="F1074" t="str">
            <v>Month-to-month</v>
          </cell>
          <cell r="H1074">
            <v>899</v>
          </cell>
          <cell r="J1074" t="str">
            <v>DSL</v>
          </cell>
          <cell r="L1074" t="str">
            <v>Yes</v>
          </cell>
          <cell r="M1074" t="str">
            <v>7-12 mo</v>
          </cell>
          <cell r="N1074" t="str">
            <v>60+ yrs</v>
          </cell>
        </row>
        <row r="1075">
          <cell r="A1075" t="str">
            <v>C2074</v>
          </cell>
          <cell r="E1075" t="str">
            <v>Kolkata</v>
          </cell>
          <cell r="F1075" t="str">
            <v>Month-to-month</v>
          </cell>
          <cell r="H1075">
            <v>899</v>
          </cell>
          <cell r="J1075" t="str">
            <v>Fiber</v>
          </cell>
          <cell r="L1075" t="str">
            <v>No</v>
          </cell>
          <cell r="M1075" t="str">
            <v>13-24 mo</v>
          </cell>
          <cell r="N1075" t="str">
            <v>36-45 yrs</v>
          </cell>
        </row>
        <row r="1076">
          <cell r="A1076" t="str">
            <v>C2075</v>
          </cell>
          <cell r="E1076" t="str">
            <v>Kolkata</v>
          </cell>
          <cell r="F1076" t="str">
            <v>Month-to-month</v>
          </cell>
          <cell r="H1076">
            <v>349</v>
          </cell>
          <cell r="J1076" t="str">
            <v>No Internet</v>
          </cell>
          <cell r="L1076" t="str">
            <v>No</v>
          </cell>
          <cell r="M1076" t="str">
            <v>13-24 mo</v>
          </cell>
          <cell r="N1076" t="str">
            <v>46-60 yrs</v>
          </cell>
        </row>
        <row r="1077">
          <cell r="A1077" t="str">
            <v>C2076</v>
          </cell>
          <cell r="E1077" t="str">
            <v>Delhi</v>
          </cell>
          <cell r="F1077" t="str">
            <v>Two year</v>
          </cell>
          <cell r="H1077">
            <v>599</v>
          </cell>
          <cell r="J1077" t="str">
            <v>DSL</v>
          </cell>
          <cell r="L1077" t="str">
            <v>No</v>
          </cell>
          <cell r="M1077" t="str">
            <v>49+ mo</v>
          </cell>
          <cell r="N1077" t="str">
            <v>46-60 yrs</v>
          </cell>
        </row>
        <row r="1078">
          <cell r="A1078" t="str">
            <v>C2077</v>
          </cell>
          <cell r="E1078" t="str">
            <v>Pune</v>
          </cell>
          <cell r="F1078" t="str">
            <v>Month-to-month</v>
          </cell>
          <cell r="H1078">
            <v>399</v>
          </cell>
          <cell r="J1078" t="str">
            <v>No Internet</v>
          </cell>
          <cell r="L1078" t="str">
            <v>Yes</v>
          </cell>
          <cell r="M1078" t="str">
            <v>13-24 mo</v>
          </cell>
          <cell r="N1078" t="str">
            <v>26-35 yrs</v>
          </cell>
        </row>
        <row r="1079">
          <cell r="A1079" t="str">
            <v>C2078</v>
          </cell>
          <cell r="E1079" t="str">
            <v>Jaipur</v>
          </cell>
          <cell r="F1079" t="str">
            <v>One year</v>
          </cell>
          <cell r="H1079">
            <v>549</v>
          </cell>
          <cell r="J1079" t="str">
            <v>No Internet</v>
          </cell>
          <cell r="L1079" t="str">
            <v>Yes</v>
          </cell>
          <cell r="M1079" t="str">
            <v>0-6 mo</v>
          </cell>
          <cell r="N1079" t="str">
            <v>26-35 yrs</v>
          </cell>
        </row>
        <row r="1080">
          <cell r="A1080" t="str">
            <v>C2079</v>
          </cell>
          <cell r="E1080" t="str">
            <v>Chennai</v>
          </cell>
          <cell r="F1080" t="str">
            <v>Month-to-month</v>
          </cell>
          <cell r="H1080">
            <v>899</v>
          </cell>
          <cell r="J1080" t="str">
            <v>Fiber</v>
          </cell>
          <cell r="L1080" t="str">
            <v>No</v>
          </cell>
          <cell r="M1080" t="str">
            <v>13-24 mo</v>
          </cell>
          <cell r="N1080" t="str">
            <v>36-45 yrs</v>
          </cell>
        </row>
        <row r="1081">
          <cell r="A1081" t="str">
            <v>C2080</v>
          </cell>
          <cell r="E1081" t="str">
            <v>Bhopal</v>
          </cell>
          <cell r="F1081" t="str">
            <v>Two year</v>
          </cell>
          <cell r="H1081">
            <v>499</v>
          </cell>
          <cell r="J1081" t="str">
            <v>No Internet</v>
          </cell>
          <cell r="L1081" t="str">
            <v>Yes</v>
          </cell>
          <cell r="M1081" t="str">
            <v>7-12 mo</v>
          </cell>
          <cell r="N1081" t="str">
            <v>60+ yrs</v>
          </cell>
        </row>
        <row r="1082">
          <cell r="A1082" t="str">
            <v>C2081</v>
          </cell>
          <cell r="E1082" t="str">
            <v>Kochi</v>
          </cell>
          <cell r="F1082" t="str">
            <v>Month-to-month</v>
          </cell>
          <cell r="H1082">
            <v>499</v>
          </cell>
          <cell r="J1082" t="str">
            <v>No Internet</v>
          </cell>
          <cell r="L1082" t="str">
            <v>No</v>
          </cell>
          <cell r="M1082" t="str">
            <v>7-12 mo</v>
          </cell>
          <cell r="N1082" t="str">
            <v>46-60 yrs</v>
          </cell>
        </row>
        <row r="1083">
          <cell r="A1083" t="str">
            <v>C2082</v>
          </cell>
          <cell r="E1083" t="str">
            <v>Mumbai</v>
          </cell>
          <cell r="F1083" t="str">
            <v>Month-to-month</v>
          </cell>
          <cell r="H1083">
            <v>1049</v>
          </cell>
          <cell r="J1083" t="str">
            <v>Fiber</v>
          </cell>
          <cell r="L1083" t="str">
            <v>Yes</v>
          </cell>
          <cell r="M1083" t="str">
            <v>13-24 mo</v>
          </cell>
          <cell r="N1083" t="str">
            <v>26-35 yrs</v>
          </cell>
        </row>
        <row r="1084">
          <cell r="A1084" t="str">
            <v>C2083</v>
          </cell>
          <cell r="E1084" t="str">
            <v>Jaipur</v>
          </cell>
          <cell r="F1084" t="str">
            <v>Month-to-month</v>
          </cell>
          <cell r="H1084">
            <v>1099</v>
          </cell>
          <cell r="J1084" t="str">
            <v>Fiber</v>
          </cell>
          <cell r="L1084" t="str">
            <v>No</v>
          </cell>
          <cell r="M1084" t="str">
            <v>13-24 mo</v>
          </cell>
          <cell r="N1084" t="str">
            <v>60+ yrs</v>
          </cell>
        </row>
        <row r="1085">
          <cell r="A1085" t="str">
            <v>C2084</v>
          </cell>
          <cell r="E1085" t="str">
            <v>Unknown</v>
          </cell>
          <cell r="F1085" t="str">
            <v>Month-to-month</v>
          </cell>
          <cell r="H1085">
            <v>749</v>
          </cell>
          <cell r="J1085" t="str">
            <v>DSL</v>
          </cell>
          <cell r="L1085" t="str">
            <v>Unknown</v>
          </cell>
          <cell r="M1085" t="str">
            <v>7-12 mo</v>
          </cell>
          <cell r="N1085" t="str">
            <v>46-60 yrs</v>
          </cell>
        </row>
        <row r="1086">
          <cell r="A1086" t="str">
            <v>C2085</v>
          </cell>
          <cell r="E1086" t="str">
            <v>Bangalore</v>
          </cell>
          <cell r="F1086" t="str">
            <v>Month-to-month</v>
          </cell>
          <cell r="H1086">
            <v>399</v>
          </cell>
          <cell r="J1086" t="str">
            <v>No Internet</v>
          </cell>
          <cell r="L1086" t="str">
            <v>Yes</v>
          </cell>
          <cell r="M1086" t="str">
            <v>13-24 mo</v>
          </cell>
          <cell r="N1086" t="str">
            <v>46-60 yrs</v>
          </cell>
        </row>
        <row r="1087">
          <cell r="A1087" t="str">
            <v>C2086</v>
          </cell>
          <cell r="E1087" t="str">
            <v>Lucknow</v>
          </cell>
          <cell r="F1087" t="str">
            <v>One year</v>
          </cell>
          <cell r="H1087">
            <v>699</v>
          </cell>
          <cell r="J1087" t="str">
            <v>DSL</v>
          </cell>
          <cell r="L1087" t="str">
            <v>No</v>
          </cell>
          <cell r="M1087" t="str">
            <v>25-48 mo</v>
          </cell>
          <cell r="N1087" t="str">
            <v>60+ yrs</v>
          </cell>
        </row>
        <row r="1088">
          <cell r="A1088" t="str">
            <v>C2087</v>
          </cell>
          <cell r="E1088" t="str">
            <v>Lucknow</v>
          </cell>
          <cell r="F1088" t="str">
            <v>One year</v>
          </cell>
          <cell r="H1088">
            <v>549</v>
          </cell>
          <cell r="J1088" t="str">
            <v>No Internet</v>
          </cell>
          <cell r="L1088" t="str">
            <v>No</v>
          </cell>
          <cell r="M1088" t="str">
            <v>13-24 mo</v>
          </cell>
          <cell r="N1088" t="str">
            <v>60+ yrs</v>
          </cell>
        </row>
        <row r="1089">
          <cell r="A1089" t="str">
            <v>C2088</v>
          </cell>
          <cell r="E1089" t="str">
            <v>Pune</v>
          </cell>
          <cell r="F1089" t="str">
            <v>Month-to-month</v>
          </cell>
          <cell r="H1089">
            <v>1199</v>
          </cell>
          <cell r="J1089" t="str">
            <v>Fiber</v>
          </cell>
          <cell r="L1089" t="str">
            <v>No</v>
          </cell>
          <cell r="M1089" t="str">
            <v>13-24 mo</v>
          </cell>
          <cell r="N1089" t="str">
            <v>26-35 yrs</v>
          </cell>
        </row>
        <row r="1090">
          <cell r="A1090" t="str">
            <v>C2089</v>
          </cell>
          <cell r="E1090" t="str">
            <v>Delhi</v>
          </cell>
          <cell r="F1090" t="str">
            <v>Month-to-month</v>
          </cell>
          <cell r="H1090">
            <v>1099</v>
          </cell>
          <cell r="J1090" t="str">
            <v>Fiber</v>
          </cell>
          <cell r="L1090" t="str">
            <v>Yes</v>
          </cell>
          <cell r="M1090" t="str">
            <v>0-6 mo</v>
          </cell>
          <cell r="N1090" t="str">
            <v>60+ yrs</v>
          </cell>
        </row>
        <row r="1091">
          <cell r="A1091" t="str">
            <v>C2090</v>
          </cell>
          <cell r="E1091" t="str">
            <v>Jaipur</v>
          </cell>
          <cell r="F1091" t="str">
            <v>Month-to-month</v>
          </cell>
          <cell r="H1091">
            <v>1099</v>
          </cell>
          <cell r="J1091" t="str">
            <v>Fiber</v>
          </cell>
          <cell r="L1091" t="str">
            <v>Yes</v>
          </cell>
          <cell r="M1091" t="str">
            <v>13-24 mo</v>
          </cell>
          <cell r="N1091" t="str">
            <v>60+ yrs</v>
          </cell>
        </row>
        <row r="1092">
          <cell r="A1092" t="str">
            <v>C2091</v>
          </cell>
          <cell r="E1092" t="str">
            <v>Lucknow</v>
          </cell>
          <cell r="F1092" t="str">
            <v>Two year</v>
          </cell>
          <cell r="H1092">
            <v>1049</v>
          </cell>
          <cell r="J1092" t="str">
            <v>Fiber</v>
          </cell>
          <cell r="L1092" t="str">
            <v>No</v>
          </cell>
          <cell r="M1092" t="str">
            <v>13-24 mo</v>
          </cell>
          <cell r="N1092" t="str">
            <v>36-45 yrs</v>
          </cell>
        </row>
        <row r="1093">
          <cell r="A1093" t="str">
            <v>C2092</v>
          </cell>
          <cell r="E1093" t="str">
            <v>Ahmedabad</v>
          </cell>
          <cell r="F1093" t="str">
            <v>Month-to-month</v>
          </cell>
          <cell r="H1093">
            <v>399</v>
          </cell>
          <cell r="J1093" t="str">
            <v>No Internet</v>
          </cell>
          <cell r="L1093" t="str">
            <v>Yes</v>
          </cell>
          <cell r="M1093" t="str">
            <v>13-24 mo</v>
          </cell>
          <cell r="N1093" t="str">
            <v>26-35 yrs</v>
          </cell>
        </row>
        <row r="1094">
          <cell r="A1094" t="str">
            <v>C2093</v>
          </cell>
          <cell r="E1094" t="str">
            <v>Bangalore</v>
          </cell>
          <cell r="F1094" t="str">
            <v>Month-to-month</v>
          </cell>
          <cell r="H1094">
            <v>699</v>
          </cell>
          <cell r="J1094" t="str">
            <v>DSL</v>
          </cell>
          <cell r="L1094" t="str">
            <v>Yes</v>
          </cell>
          <cell r="M1094" t="str">
            <v>0-6 mo</v>
          </cell>
          <cell r="N1094" t="str">
            <v>36-45 yrs</v>
          </cell>
        </row>
        <row r="1095">
          <cell r="A1095" t="str">
            <v>C2094</v>
          </cell>
          <cell r="E1095" t="str">
            <v>Lucknow</v>
          </cell>
          <cell r="F1095" t="str">
            <v>Month-to-month</v>
          </cell>
          <cell r="H1095">
            <v>849</v>
          </cell>
          <cell r="J1095" t="str">
            <v>DSL</v>
          </cell>
          <cell r="L1095" t="str">
            <v>Yes</v>
          </cell>
          <cell r="M1095" t="str">
            <v>7-12 mo</v>
          </cell>
          <cell r="N1095" t="str">
            <v>18-25 yrs</v>
          </cell>
        </row>
        <row r="1096">
          <cell r="A1096" t="str">
            <v>C2095</v>
          </cell>
          <cell r="E1096" t="str">
            <v>Chandigarh</v>
          </cell>
          <cell r="F1096" t="str">
            <v>Month-to-month</v>
          </cell>
          <cell r="H1096">
            <v>1299</v>
          </cell>
          <cell r="J1096" t="str">
            <v>Fiber</v>
          </cell>
          <cell r="L1096" t="str">
            <v>No</v>
          </cell>
          <cell r="M1096" t="str">
            <v>7-12 mo</v>
          </cell>
          <cell r="N1096" t="str">
            <v>60+ yrs</v>
          </cell>
        </row>
        <row r="1097">
          <cell r="A1097" t="str">
            <v>C2096</v>
          </cell>
          <cell r="E1097" t="str">
            <v>Mumbai</v>
          </cell>
          <cell r="F1097" t="str">
            <v>One year</v>
          </cell>
          <cell r="H1097">
            <v>799</v>
          </cell>
          <cell r="J1097" t="str">
            <v>DSL</v>
          </cell>
          <cell r="L1097" t="str">
            <v>No</v>
          </cell>
          <cell r="M1097" t="str">
            <v>13-24 mo</v>
          </cell>
          <cell r="N1097" t="str">
            <v>26-35 yrs</v>
          </cell>
        </row>
        <row r="1098">
          <cell r="A1098" t="str">
            <v>C2097</v>
          </cell>
          <cell r="E1098" t="str">
            <v>Chandigarh</v>
          </cell>
          <cell r="F1098" t="str">
            <v>One year</v>
          </cell>
          <cell r="H1098">
            <v>849</v>
          </cell>
          <cell r="J1098" t="str">
            <v>DSL</v>
          </cell>
          <cell r="L1098" t="str">
            <v>No</v>
          </cell>
          <cell r="M1098" t="str">
            <v>25-48 mo</v>
          </cell>
          <cell r="N1098" t="str">
            <v>60+ yrs</v>
          </cell>
        </row>
        <row r="1099">
          <cell r="A1099" t="str">
            <v>C2098</v>
          </cell>
          <cell r="E1099" t="str">
            <v>Lucknow</v>
          </cell>
          <cell r="F1099" t="str">
            <v>Month-to-month</v>
          </cell>
          <cell r="H1099">
            <v>699</v>
          </cell>
          <cell r="J1099" t="str">
            <v>DSL</v>
          </cell>
          <cell r="L1099" t="str">
            <v>Yes</v>
          </cell>
          <cell r="M1099" t="str">
            <v>0-6 mo</v>
          </cell>
          <cell r="N1099" t="str">
            <v>60+ yrs</v>
          </cell>
        </row>
        <row r="1100">
          <cell r="A1100" t="str">
            <v>C2099</v>
          </cell>
          <cell r="E1100" t="str">
            <v>Pune</v>
          </cell>
          <cell r="F1100" t="str">
            <v>Month-to-month</v>
          </cell>
          <cell r="H1100">
            <v>1099</v>
          </cell>
          <cell r="J1100" t="str">
            <v>Fiber</v>
          </cell>
          <cell r="L1100" t="str">
            <v>No</v>
          </cell>
          <cell r="M1100" t="str">
            <v>7-12 mo</v>
          </cell>
          <cell r="N1100" t="str">
            <v>46-60 yrs</v>
          </cell>
        </row>
        <row r="1101">
          <cell r="A1101" t="str">
            <v>C2100</v>
          </cell>
          <cell r="E1101" t="str">
            <v>Jaipur</v>
          </cell>
          <cell r="F1101" t="str">
            <v>Month-to-month</v>
          </cell>
          <cell r="H1101">
            <v>899</v>
          </cell>
          <cell r="J1101" t="str">
            <v>DSL</v>
          </cell>
          <cell r="L1101" t="str">
            <v>No</v>
          </cell>
          <cell r="M1101" t="str">
            <v>13-24 mo</v>
          </cell>
          <cell r="N1101" t="str">
            <v>60+ yrs</v>
          </cell>
        </row>
        <row r="1102">
          <cell r="A1102" t="str">
            <v>C2101</v>
          </cell>
          <cell r="E1102" t="str">
            <v>Ahmedabad</v>
          </cell>
          <cell r="F1102" t="str">
            <v>Month-to-month</v>
          </cell>
          <cell r="H1102">
            <v>1149</v>
          </cell>
          <cell r="J1102" t="str">
            <v>Fiber</v>
          </cell>
          <cell r="L1102" t="str">
            <v>No</v>
          </cell>
          <cell r="M1102" t="str">
            <v>13-24 mo</v>
          </cell>
          <cell r="N1102" t="str">
            <v>46-60 yrs</v>
          </cell>
        </row>
        <row r="1103">
          <cell r="A1103" t="str">
            <v>C2102</v>
          </cell>
          <cell r="E1103" t="str">
            <v>Indore</v>
          </cell>
          <cell r="F1103" t="str">
            <v>Month-to-month</v>
          </cell>
          <cell r="H1103">
            <v>999</v>
          </cell>
          <cell r="J1103" t="str">
            <v>Fiber</v>
          </cell>
          <cell r="L1103" t="str">
            <v>Yes</v>
          </cell>
          <cell r="M1103" t="str">
            <v>13-24 mo</v>
          </cell>
          <cell r="N1103" t="str">
            <v>60+ yrs</v>
          </cell>
        </row>
        <row r="1104">
          <cell r="A1104" t="str">
            <v>C2103</v>
          </cell>
          <cell r="E1104" t="str">
            <v>Jaipur</v>
          </cell>
          <cell r="F1104" t="str">
            <v>Month-to-month</v>
          </cell>
          <cell r="H1104">
            <v>1049</v>
          </cell>
          <cell r="J1104" t="str">
            <v>Fiber</v>
          </cell>
          <cell r="L1104" t="str">
            <v>No</v>
          </cell>
          <cell r="M1104" t="str">
            <v>7-12 mo</v>
          </cell>
          <cell r="N1104" t="str">
            <v>36-45 yrs</v>
          </cell>
        </row>
        <row r="1105">
          <cell r="A1105" t="str">
            <v>C2104</v>
          </cell>
          <cell r="E1105" t="str">
            <v>Indore</v>
          </cell>
          <cell r="F1105" t="str">
            <v>Month-to-month</v>
          </cell>
          <cell r="H1105">
            <v>849</v>
          </cell>
          <cell r="J1105" t="str">
            <v>DSL</v>
          </cell>
          <cell r="L1105" t="str">
            <v>No</v>
          </cell>
          <cell r="M1105" t="str">
            <v>13-24 mo</v>
          </cell>
          <cell r="N1105" t="str">
            <v>26-35 yrs</v>
          </cell>
        </row>
        <row r="1106">
          <cell r="A1106" t="str">
            <v>C2105</v>
          </cell>
          <cell r="E1106" t="str">
            <v>Ahmedabad</v>
          </cell>
          <cell r="F1106" t="str">
            <v>Month-to-month</v>
          </cell>
          <cell r="H1106">
            <v>1149</v>
          </cell>
          <cell r="J1106" t="str">
            <v>Fiber</v>
          </cell>
          <cell r="L1106" t="str">
            <v>Yes</v>
          </cell>
          <cell r="M1106" t="str">
            <v>13-24 mo</v>
          </cell>
          <cell r="N1106" t="str">
            <v>46-60 yrs</v>
          </cell>
        </row>
        <row r="1107">
          <cell r="A1107" t="str">
            <v>C2106</v>
          </cell>
          <cell r="E1107" t="str">
            <v>Kolkata</v>
          </cell>
          <cell r="F1107" t="str">
            <v>Two year</v>
          </cell>
          <cell r="H1107">
            <v>849</v>
          </cell>
          <cell r="J1107" t="str">
            <v>DSL</v>
          </cell>
          <cell r="L1107" t="str">
            <v>No</v>
          </cell>
          <cell r="M1107" t="str">
            <v>49+ mo</v>
          </cell>
          <cell r="N1107" t="str">
            <v>18-25 yrs</v>
          </cell>
        </row>
        <row r="1108">
          <cell r="A1108" t="str">
            <v>C2107</v>
          </cell>
          <cell r="E1108" t="str">
            <v>Bhopal</v>
          </cell>
          <cell r="F1108" t="str">
            <v>Month-to-month</v>
          </cell>
          <cell r="H1108">
            <v>549</v>
          </cell>
          <cell r="J1108" t="str">
            <v>No Internet</v>
          </cell>
          <cell r="L1108" t="str">
            <v>No</v>
          </cell>
          <cell r="M1108" t="str">
            <v>7-12 mo</v>
          </cell>
          <cell r="N1108" t="str">
            <v>46-60 yrs</v>
          </cell>
        </row>
        <row r="1109">
          <cell r="A1109" t="str">
            <v>C2108</v>
          </cell>
          <cell r="E1109" t="str">
            <v>Indore</v>
          </cell>
          <cell r="F1109" t="str">
            <v>One year</v>
          </cell>
          <cell r="H1109">
            <v>649</v>
          </cell>
          <cell r="J1109" t="str">
            <v>DSL</v>
          </cell>
          <cell r="L1109" t="str">
            <v>Yes</v>
          </cell>
          <cell r="M1109" t="str">
            <v>25-48 mo</v>
          </cell>
          <cell r="N1109" t="str">
            <v>60+ yrs</v>
          </cell>
        </row>
        <row r="1110">
          <cell r="A1110" t="str">
            <v>C2109</v>
          </cell>
          <cell r="E1110" t="str">
            <v>Bhopal</v>
          </cell>
          <cell r="F1110" t="str">
            <v>Month-to-month</v>
          </cell>
          <cell r="H1110">
            <v>899</v>
          </cell>
          <cell r="J1110" t="str">
            <v>DSL</v>
          </cell>
          <cell r="L1110" t="str">
            <v>Yes</v>
          </cell>
          <cell r="M1110" t="str">
            <v>13-24 mo</v>
          </cell>
          <cell r="N1110" t="str">
            <v>26-35 yrs</v>
          </cell>
        </row>
        <row r="1111">
          <cell r="A1111" t="str">
            <v>C2110</v>
          </cell>
          <cell r="E1111" t="str">
            <v>Lucknow</v>
          </cell>
          <cell r="F1111" t="str">
            <v>Two year</v>
          </cell>
          <cell r="H1111">
            <v>599</v>
          </cell>
          <cell r="J1111" t="str">
            <v>DSL</v>
          </cell>
          <cell r="L1111" t="str">
            <v>No</v>
          </cell>
          <cell r="M1111" t="str">
            <v>49+ mo</v>
          </cell>
          <cell r="N1111" t="str">
            <v>46-60 yrs</v>
          </cell>
        </row>
        <row r="1112">
          <cell r="A1112" t="str">
            <v>C2111</v>
          </cell>
          <cell r="E1112" t="str">
            <v>Delhi</v>
          </cell>
          <cell r="F1112" t="str">
            <v>One year</v>
          </cell>
          <cell r="H1112">
            <v>1049</v>
          </cell>
          <cell r="J1112" t="str">
            <v>Fiber</v>
          </cell>
          <cell r="L1112" t="str">
            <v>Yes</v>
          </cell>
          <cell r="M1112" t="str">
            <v>13-24 mo</v>
          </cell>
          <cell r="N1112" t="str">
            <v>46-60 yrs</v>
          </cell>
        </row>
        <row r="1113">
          <cell r="A1113" t="str">
            <v>C2112</v>
          </cell>
          <cell r="E1113" t="str">
            <v>Chandigarh</v>
          </cell>
          <cell r="F1113" t="str">
            <v>Month-to-month</v>
          </cell>
          <cell r="H1113">
            <v>899</v>
          </cell>
          <cell r="J1113" t="str">
            <v>Fiber</v>
          </cell>
          <cell r="L1113" t="str">
            <v>No</v>
          </cell>
          <cell r="M1113" t="str">
            <v>0-6 mo</v>
          </cell>
          <cell r="N1113" t="str">
            <v>46-60 yrs</v>
          </cell>
        </row>
        <row r="1114">
          <cell r="A1114" t="str">
            <v>C2113</v>
          </cell>
          <cell r="E1114" t="str">
            <v>Kolkata</v>
          </cell>
          <cell r="F1114" t="str">
            <v>Month-to-month</v>
          </cell>
          <cell r="H1114">
            <v>649</v>
          </cell>
          <cell r="J1114" t="str">
            <v>DSL</v>
          </cell>
          <cell r="L1114" t="str">
            <v>No</v>
          </cell>
          <cell r="M1114" t="str">
            <v>7-12 mo</v>
          </cell>
          <cell r="N1114" t="str">
            <v>36-45 yrs</v>
          </cell>
        </row>
        <row r="1115">
          <cell r="A1115" t="str">
            <v>C2114</v>
          </cell>
          <cell r="E1115" t="str">
            <v>Pune</v>
          </cell>
          <cell r="F1115" t="str">
            <v>Month-to-month</v>
          </cell>
          <cell r="H1115">
            <v>1199</v>
          </cell>
          <cell r="J1115" t="str">
            <v>Fiber</v>
          </cell>
          <cell r="L1115" t="str">
            <v>Yes</v>
          </cell>
          <cell r="M1115" t="str">
            <v>13-24 mo</v>
          </cell>
          <cell r="N1115" t="str">
            <v>46-60 yrs</v>
          </cell>
        </row>
        <row r="1116">
          <cell r="A1116" t="str">
            <v>C2115</v>
          </cell>
          <cell r="E1116" t="str">
            <v>Hyderabad</v>
          </cell>
          <cell r="F1116" t="str">
            <v>Two year</v>
          </cell>
          <cell r="H1116">
            <v>1049</v>
          </cell>
          <cell r="J1116" t="str">
            <v>Fiber</v>
          </cell>
          <cell r="L1116" t="str">
            <v>No</v>
          </cell>
          <cell r="M1116" t="str">
            <v>25-48 mo</v>
          </cell>
          <cell r="N1116" t="str">
            <v>46-60 yrs</v>
          </cell>
        </row>
        <row r="1117">
          <cell r="A1117" t="str">
            <v>C2116</v>
          </cell>
          <cell r="E1117" t="str">
            <v>Hyderabad</v>
          </cell>
          <cell r="F1117" t="str">
            <v>Month-to-month</v>
          </cell>
          <cell r="H1117">
            <v>1149</v>
          </cell>
          <cell r="J1117" t="str">
            <v>Fiber</v>
          </cell>
          <cell r="L1117" t="str">
            <v>Yes</v>
          </cell>
          <cell r="M1117" t="str">
            <v>0-6 mo</v>
          </cell>
          <cell r="N1117" t="str">
            <v>60+ yrs</v>
          </cell>
        </row>
        <row r="1118">
          <cell r="A1118" t="str">
            <v>C2117</v>
          </cell>
          <cell r="E1118" t="str">
            <v>Indore</v>
          </cell>
          <cell r="F1118" t="str">
            <v>One year</v>
          </cell>
          <cell r="H1118">
            <v>849</v>
          </cell>
          <cell r="J1118" t="str">
            <v>DSL</v>
          </cell>
          <cell r="L1118" t="str">
            <v>No</v>
          </cell>
          <cell r="M1118" t="str">
            <v>7-12 mo</v>
          </cell>
          <cell r="N1118" t="str">
            <v>36-45 yrs</v>
          </cell>
        </row>
        <row r="1119">
          <cell r="A1119" t="str">
            <v>C2118</v>
          </cell>
          <cell r="E1119" t="str">
            <v>Mumbai</v>
          </cell>
          <cell r="F1119" t="str">
            <v>Month-to-month</v>
          </cell>
          <cell r="H1119">
            <v>1149</v>
          </cell>
          <cell r="J1119" t="str">
            <v>Fiber</v>
          </cell>
          <cell r="L1119" t="str">
            <v>No</v>
          </cell>
          <cell r="M1119" t="str">
            <v>0-6 mo</v>
          </cell>
          <cell r="N1119" t="str">
            <v>60+ yrs</v>
          </cell>
        </row>
        <row r="1120">
          <cell r="A1120" t="str">
            <v>C2119</v>
          </cell>
          <cell r="E1120" t="str">
            <v>Kolkata</v>
          </cell>
          <cell r="F1120" t="str">
            <v>One year</v>
          </cell>
          <cell r="H1120">
            <v>1199</v>
          </cell>
          <cell r="J1120" t="str">
            <v>Fiber</v>
          </cell>
          <cell r="L1120" t="str">
            <v>No</v>
          </cell>
          <cell r="M1120" t="str">
            <v>13-24 mo</v>
          </cell>
          <cell r="N1120" t="str">
            <v>60+ yrs</v>
          </cell>
        </row>
        <row r="1121">
          <cell r="A1121" t="str">
            <v>C2120</v>
          </cell>
          <cell r="E1121" t="str">
            <v>Hyderabad</v>
          </cell>
          <cell r="F1121" t="str">
            <v>One year</v>
          </cell>
          <cell r="H1121">
            <v>499</v>
          </cell>
          <cell r="J1121" t="str">
            <v>No Internet</v>
          </cell>
          <cell r="L1121" t="str">
            <v>No</v>
          </cell>
          <cell r="M1121" t="str">
            <v>25-48 mo</v>
          </cell>
          <cell r="N1121" t="str">
            <v>60+ yrs</v>
          </cell>
        </row>
        <row r="1122">
          <cell r="A1122" t="str">
            <v>C2121</v>
          </cell>
          <cell r="E1122" t="str">
            <v>Jaipur</v>
          </cell>
          <cell r="F1122" t="str">
            <v>Month-to-month</v>
          </cell>
          <cell r="J1122" t="str">
            <v>DSL</v>
          </cell>
          <cell r="L1122" t="str">
            <v>No</v>
          </cell>
          <cell r="M1122" t="str">
            <v>Unknown</v>
          </cell>
          <cell r="N1122" t="str">
            <v>26-35 yrs</v>
          </cell>
        </row>
        <row r="1123">
          <cell r="A1123" t="str">
            <v>C2122</v>
          </cell>
          <cell r="E1123" t="str">
            <v>Kochi</v>
          </cell>
          <cell r="F1123" t="str">
            <v>Two year</v>
          </cell>
          <cell r="H1123">
            <v>399</v>
          </cell>
          <cell r="J1123" t="str">
            <v>No Internet</v>
          </cell>
          <cell r="L1123" t="str">
            <v>No</v>
          </cell>
          <cell r="M1123" t="str">
            <v>25-48 mo</v>
          </cell>
          <cell r="N1123" t="str">
            <v>36-45 yrs</v>
          </cell>
        </row>
        <row r="1124">
          <cell r="A1124" t="str">
            <v>C2123</v>
          </cell>
          <cell r="E1124" t="str">
            <v>Indore</v>
          </cell>
          <cell r="F1124" t="str">
            <v>Month-to-month</v>
          </cell>
          <cell r="H1124">
            <v>399</v>
          </cell>
          <cell r="J1124" t="str">
            <v>No Internet</v>
          </cell>
          <cell r="L1124" t="str">
            <v>Yes</v>
          </cell>
          <cell r="M1124" t="str">
            <v>7-12 mo</v>
          </cell>
          <cell r="N1124" t="str">
            <v>18-25 yrs</v>
          </cell>
        </row>
        <row r="1125">
          <cell r="A1125" t="str">
            <v>C2124</v>
          </cell>
          <cell r="E1125" t="str">
            <v>Bangalore</v>
          </cell>
          <cell r="F1125" t="str">
            <v>One year</v>
          </cell>
          <cell r="H1125">
            <v>399</v>
          </cell>
          <cell r="J1125" t="str">
            <v>No Internet</v>
          </cell>
          <cell r="L1125" t="str">
            <v>No</v>
          </cell>
          <cell r="M1125" t="str">
            <v>13-24 mo</v>
          </cell>
          <cell r="N1125" t="str">
            <v>26-35 yrs</v>
          </cell>
        </row>
        <row r="1126">
          <cell r="A1126" t="str">
            <v>C2125</v>
          </cell>
          <cell r="E1126" t="str">
            <v>Kolkata</v>
          </cell>
          <cell r="F1126" t="str">
            <v>Two year</v>
          </cell>
          <cell r="H1126">
            <v>999</v>
          </cell>
          <cell r="J1126" t="str">
            <v>Fiber</v>
          </cell>
          <cell r="L1126" t="str">
            <v>No</v>
          </cell>
          <cell r="M1126" t="str">
            <v>13-24 mo</v>
          </cell>
          <cell r="N1126" t="str">
            <v>46-60 yrs</v>
          </cell>
        </row>
        <row r="1127">
          <cell r="A1127" t="str">
            <v>C2126</v>
          </cell>
          <cell r="E1127" t="str">
            <v>Indore</v>
          </cell>
          <cell r="F1127" t="str">
            <v>One year</v>
          </cell>
          <cell r="H1127">
            <v>899</v>
          </cell>
          <cell r="J1127" t="str">
            <v>Fiber</v>
          </cell>
          <cell r="L1127" t="str">
            <v>No</v>
          </cell>
          <cell r="M1127" t="str">
            <v>25-48 mo</v>
          </cell>
          <cell r="N1127" t="str">
            <v>46-60 yrs</v>
          </cell>
        </row>
        <row r="1128">
          <cell r="A1128" t="str">
            <v>C2127</v>
          </cell>
          <cell r="E1128" t="str">
            <v>Unknown</v>
          </cell>
          <cell r="F1128" t="str">
            <v>Month-to-month</v>
          </cell>
          <cell r="H1128">
            <v>899</v>
          </cell>
          <cell r="J1128" t="str">
            <v>Fiber</v>
          </cell>
          <cell r="L1128" t="str">
            <v>No</v>
          </cell>
          <cell r="M1128" t="str">
            <v>13-24 mo</v>
          </cell>
          <cell r="N1128" t="str">
            <v>26-35 yrs</v>
          </cell>
        </row>
        <row r="1129">
          <cell r="A1129" t="str">
            <v>C2128</v>
          </cell>
          <cell r="E1129" t="str">
            <v>Hyderabad</v>
          </cell>
          <cell r="F1129" t="str">
            <v>Month-to-month</v>
          </cell>
          <cell r="H1129">
            <v>699</v>
          </cell>
          <cell r="J1129" t="str">
            <v>DSL</v>
          </cell>
          <cell r="L1129" t="str">
            <v>Yes</v>
          </cell>
          <cell r="M1129" t="str">
            <v>0-6 mo</v>
          </cell>
          <cell r="N1129" t="str">
            <v>46-60 yrs</v>
          </cell>
        </row>
        <row r="1130">
          <cell r="A1130" t="str">
            <v>C2129</v>
          </cell>
          <cell r="E1130" t="str">
            <v>Ahmedabad</v>
          </cell>
          <cell r="F1130" t="str">
            <v>Month-to-month</v>
          </cell>
          <cell r="H1130">
            <v>499</v>
          </cell>
          <cell r="J1130" t="str">
            <v>No Internet</v>
          </cell>
          <cell r="L1130" t="str">
            <v>No</v>
          </cell>
          <cell r="M1130" t="str">
            <v>13-24 mo</v>
          </cell>
          <cell r="N1130" t="str">
            <v>60+ yrs</v>
          </cell>
        </row>
        <row r="1131">
          <cell r="A1131" t="str">
            <v>C2130</v>
          </cell>
          <cell r="E1131" t="str">
            <v>Indore</v>
          </cell>
          <cell r="F1131" t="str">
            <v>One year</v>
          </cell>
          <cell r="H1131">
            <v>1299</v>
          </cell>
          <cell r="J1131" t="str">
            <v>Fiber</v>
          </cell>
          <cell r="L1131" t="str">
            <v>Yes</v>
          </cell>
          <cell r="M1131" t="str">
            <v>25-48 mo</v>
          </cell>
          <cell r="N1131" t="str">
            <v>36-45 yrs</v>
          </cell>
        </row>
        <row r="1132">
          <cell r="A1132" t="str">
            <v>C2131</v>
          </cell>
          <cell r="E1132" t="str">
            <v>Indore</v>
          </cell>
          <cell r="F1132" t="str">
            <v>Two year</v>
          </cell>
          <cell r="H1132">
            <v>1099</v>
          </cell>
          <cell r="J1132" t="str">
            <v>Fiber</v>
          </cell>
          <cell r="L1132" t="str">
            <v>No</v>
          </cell>
          <cell r="M1132" t="str">
            <v>7-12 mo</v>
          </cell>
          <cell r="N1132" t="str">
            <v>46-60 yrs</v>
          </cell>
        </row>
        <row r="1133">
          <cell r="A1133" t="str">
            <v>C2132</v>
          </cell>
          <cell r="E1133" t="str">
            <v>Ahmedabad</v>
          </cell>
          <cell r="F1133" t="str">
            <v>One year</v>
          </cell>
          <cell r="H1133">
            <v>399</v>
          </cell>
          <cell r="J1133" t="str">
            <v>No Internet</v>
          </cell>
          <cell r="L1133" t="str">
            <v>No</v>
          </cell>
          <cell r="M1133" t="str">
            <v>13-24 mo</v>
          </cell>
          <cell r="N1133" t="str">
            <v>60+ yrs</v>
          </cell>
        </row>
        <row r="1134">
          <cell r="A1134" t="str">
            <v>C2133</v>
          </cell>
          <cell r="E1134" t="str">
            <v>Pune</v>
          </cell>
          <cell r="F1134" t="str">
            <v>Two year</v>
          </cell>
          <cell r="H1134">
            <v>1149</v>
          </cell>
          <cell r="J1134" t="str">
            <v>Fiber</v>
          </cell>
          <cell r="L1134" t="str">
            <v>No</v>
          </cell>
          <cell r="M1134" t="str">
            <v>25-48 mo</v>
          </cell>
          <cell r="N1134" t="str">
            <v>18-25 yrs</v>
          </cell>
        </row>
        <row r="1135">
          <cell r="A1135" t="str">
            <v>C2134</v>
          </cell>
          <cell r="E1135" t="str">
            <v>Delhi</v>
          </cell>
          <cell r="F1135" t="str">
            <v>Month-to-month</v>
          </cell>
          <cell r="H1135">
            <v>1149</v>
          </cell>
          <cell r="J1135" t="str">
            <v>Fiber</v>
          </cell>
          <cell r="L1135" t="str">
            <v>Yes</v>
          </cell>
          <cell r="M1135" t="str">
            <v>7-12 mo</v>
          </cell>
          <cell r="N1135" t="str">
            <v>36-45 yrs</v>
          </cell>
        </row>
        <row r="1136">
          <cell r="A1136" t="str">
            <v>C2135</v>
          </cell>
          <cell r="E1136" t="str">
            <v>Bangalore</v>
          </cell>
          <cell r="F1136" t="str">
            <v>Month-to-month</v>
          </cell>
          <cell r="H1136">
            <v>1049</v>
          </cell>
          <cell r="J1136" t="str">
            <v>Fiber</v>
          </cell>
          <cell r="L1136" t="str">
            <v>No</v>
          </cell>
          <cell r="M1136" t="str">
            <v>13-24 mo</v>
          </cell>
          <cell r="N1136" t="str">
            <v>26-35 yrs</v>
          </cell>
        </row>
        <row r="1137">
          <cell r="A1137" t="str">
            <v>C2136</v>
          </cell>
          <cell r="E1137" t="str">
            <v>Hyderabad</v>
          </cell>
          <cell r="F1137" t="str">
            <v>Month-to-month</v>
          </cell>
          <cell r="H1137">
            <v>999</v>
          </cell>
          <cell r="J1137" t="str">
            <v>Fiber</v>
          </cell>
          <cell r="L1137" t="str">
            <v>Yes</v>
          </cell>
          <cell r="M1137" t="str">
            <v>0-6 mo</v>
          </cell>
          <cell r="N1137" t="str">
            <v>36-45 yrs</v>
          </cell>
        </row>
        <row r="1138">
          <cell r="A1138" t="str">
            <v>C2137</v>
          </cell>
          <cell r="E1138" t="str">
            <v>Hyderabad</v>
          </cell>
          <cell r="F1138" t="str">
            <v>Two year</v>
          </cell>
          <cell r="H1138">
            <v>349</v>
          </cell>
          <cell r="J1138" t="str">
            <v>No Internet</v>
          </cell>
          <cell r="L1138" t="str">
            <v>No</v>
          </cell>
          <cell r="M1138" t="str">
            <v>49+ mo</v>
          </cell>
          <cell r="N1138" t="str">
            <v>46-60 yrs</v>
          </cell>
        </row>
        <row r="1139">
          <cell r="A1139" t="str">
            <v>C2138</v>
          </cell>
          <cell r="E1139" t="str">
            <v>Indore</v>
          </cell>
          <cell r="F1139" t="str">
            <v>Two year</v>
          </cell>
          <cell r="H1139">
            <v>849</v>
          </cell>
          <cell r="J1139" t="str">
            <v>DSL</v>
          </cell>
          <cell r="L1139" t="str">
            <v>No</v>
          </cell>
          <cell r="M1139" t="str">
            <v>49+ mo</v>
          </cell>
          <cell r="N1139" t="str">
            <v>60+ yrs</v>
          </cell>
        </row>
        <row r="1140">
          <cell r="A1140" t="str">
            <v>C2139</v>
          </cell>
          <cell r="E1140" t="str">
            <v>Bangalore</v>
          </cell>
          <cell r="F1140" t="str">
            <v>Two year</v>
          </cell>
          <cell r="H1140">
            <v>899</v>
          </cell>
          <cell r="J1140" t="str">
            <v>DSL</v>
          </cell>
          <cell r="L1140" t="str">
            <v>No</v>
          </cell>
          <cell r="M1140" t="str">
            <v>7-12 mo</v>
          </cell>
          <cell r="N1140" t="str">
            <v>18-25 yrs</v>
          </cell>
        </row>
        <row r="1141">
          <cell r="A1141" t="str">
            <v>C2140</v>
          </cell>
          <cell r="E1141" t="str">
            <v>Jaipur</v>
          </cell>
          <cell r="F1141" t="str">
            <v>Two year</v>
          </cell>
          <cell r="H1141">
            <v>699</v>
          </cell>
          <cell r="J1141" t="str">
            <v>DSL</v>
          </cell>
          <cell r="L1141" t="str">
            <v>No</v>
          </cell>
          <cell r="M1141" t="str">
            <v>7-12 mo</v>
          </cell>
          <cell r="N1141" t="str">
            <v>46-60 yrs</v>
          </cell>
        </row>
        <row r="1142">
          <cell r="A1142" t="str">
            <v>C2141</v>
          </cell>
          <cell r="E1142" t="str">
            <v>Kochi</v>
          </cell>
          <cell r="F1142" t="str">
            <v>Month-to-month</v>
          </cell>
          <cell r="H1142">
            <v>1099</v>
          </cell>
          <cell r="J1142" t="str">
            <v>Fiber</v>
          </cell>
          <cell r="L1142" t="str">
            <v>No</v>
          </cell>
          <cell r="M1142" t="str">
            <v>0-6 mo</v>
          </cell>
          <cell r="N1142" t="str">
            <v>60+ yrs</v>
          </cell>
        </row>
        <row r="1143">
          <cell r="A1143" t="str">
            <v>C2142</v>
          </cell>
          <cell r="E1143" t="str">
            <v>Kochi</v>
          </cell>
          <cell r="F1143" t="str">
            <v>Month-to-month</v>
          </cell>
          <cell r="H1143">
            <v>749</v>
          </cell>
          <cell r="J1143" t="str">
            <v>DSL</v>
          </cell>
          <cell r="L1143" t="str">
            <v>Yes</v>
          </cell>
          <cell r="M1143" t="str">
            <v>7-12 mo</v>
          </cell>
          <cell r="N1143" t="str">
            <v>18-25 yrs</v>
          </cell>
        </row>
        <row r="1144">
          <cell r="A1144" t="str">
            <v>C2143</v>
          </cell>
          <cell r="E1144" t="str">
            <v>Lucknow</v>
          </cell>
          <cell r="F1144" t="str">
            <v>Month-to-month</v>
          </cell>
          <cell r="H1144">
            <v>1099</v>
          </cell>
          <cell r="J1144" t="str">
            <v>Fiber</v>
          </cell>
          <cell r="L1144" t="str">
            <v>Yes</v>
          </cell>
          <cell r="M1144" t="str">
            <v>13-24 mo</v>
          </cell>
          <cell r="N1144" t="str">
            <v>18-25 yrs</v>
          </cell>
        </row>
        <row r="1145">
          <cell r="A1145" t="str">
            <v>C2144</v>
          </cell>
          <cell r="E1145" t="str">
            <v>Pune</v>
          </cell>
          <cell r="F1145" t="str">
            <v>Month-to-month</v>
          </cell>
          <cell r="H1145">
            <v>499</v>
          </cell>
          <cell r="J1145" t="str">
            <v>No Internet</v>
          </cell>
          <cell r="L1145" t="str">
            <v>Yes</v>
          </cell>
          <cell r="M1145" t="str">
            <v>0-6 mo</v>
          </cell>
          <cell r="N1145" t="str">
            <v>36-45 yrs</v>
          </cell>
        </row>
        <row r="1146">
          <cell r="A1146" t="str">
            <v>C2145</v>
          </cell>
          <cell r="E1146" t="str">
            <v>Delhi</v>
          </cell>
          <cell r="F1146" t="str">
            <v>One year</v>
          </cell>
          <cell r="J1146" t="str">
            <v>Fiber</v>
          </cell>
          <cell r="L1146" t="str">
            <v>No</v>
          </cell>
          <cell r="M1146" t="str">
            <v>0-6 mo</v>
          </cell>
          <cell r="N1146" t="str">
            <v>36-45 yrs</v>
          </cell>
        </row>
        <row r="1147">
          <cell r="A1147" t="str">
            <v>C2146</v>
          </cell>
          <cell r="E1147" t="str">
            <v>Chennai</v>
          </cell>
          <cell r="F1147" t="str">
            <v>One year</v>
          </cell>
          <cell r="H1147">
            <v>999</v>
          </cell>
          <cell r="J1147" t="str">
            <v>Fiber</v>
          </cell>
          <cell r="L1147" t="str">
            <v>No</v>
          </cell>
          <cell r="M1147" t="str">
            <v>25-48 mo</v>
          </cell>
          <cell r="N1147" t="str">
            <v>36-45 yrs</v>
          </cell>
        </row>
        <row r="1148">
          <cell r="A1148" t="str">
            <v>C2147</v>
          </cell>
          <cell r="E1148" t="str">
            <v>Kochi</v>
          </cell>
          <cell r="F1148" t="str">
            <v>Month-to-month</v>
          </cell>
          <cell r="H1148">
            <v>399</v>
          </cell>
          <cell r="J1148" t="str">
            <v>No Internet</v>
          </cell>
          <cell r="L1148" t="str">
            <v>Yes</v>
          </cell>
          <cell r="M1148" t="str">
            <v>13-24 mo</v>
          </cell>
          <cell r="N1148" t="str">
            <v>36-45 yrs</v>
          </cell>
        </row>
        <row r="1149">
          <cell r="A1149" t="str">
            <v>C2148</v>
          </cell>
          <cell r="E1149" t="str">
            <v>Mumbai</v>
          </cell>
          <cell r="F1149" t="str">
            <v>Month-to-month</v>
          </cell>
          <cell r="H1149">
            <v>799</v>
          </cell>
          <cell r="J1149" t="str">
            <v>DSL</v>
          </cell>
          <cell r="L1149" t="str">
            <v>No</v>
          </cell>
          <cell r="M1149" t="str">
            <v>0-6 mo</v>
          </cell>
          <cell r="N1149" t="str">
            <v>46-60 yrs</v>
          </cell>
        </row>
        <row r="1150">
          <cell r="A1150" t="str">
            <v>C2149</v>
          </cell>
          <cell r="E1150" t="str">
            <v>Kochi</v>
          </cell>
          <cell r="F1150" t="str">
            <v>Month-to-month</v>
          </cell>
          <cell r="H1150">
            <v>449</v>
          </cell>
          <cell r="J1150" t="str">
            <v>No Internet</v>
          </cell>
          <cell r="L1150" t="str">
            <v>No</v>
          </cell>
          <cell r="M1150" t="str">
            <v>7-12 mo</v>
          </cell>
          <cell r="N1150" t="str">
            <v>36-45 yrs</v>
          </cell>
        </row>
        <row r="1151">
          <cell r="A1151" t="str">
            <v>C2150</v>
          </cell>
          <cell r="E1151" t="str">
            <v>Kolkata</v>
          </cell>
          <cell r="F1151" t="str">
            <v>Month-to-month</v>
          </cell>
          <cell r="H1151">
            <v>1299</v>
          </cell>
          <cell r="J1151" t="str">
            <v>Fiber</v>
          </cell>
          <cell r="L1151" t="str">
            <v>Yes</v>
          </cell>
          <cell r="M1151" t="str">
            <v>13-24 mo</v>
          </cell>
          <cell r="N1151" t="str">
            <v>46-60 yrs</v>
          </cell>
        </row>
        <row r="1152">
          <cell r="A1152" t="str">
            <v>C2151</v>
          </cell>
          <cell r="E1152" t="str">
            <v>Jaipur</v>
          </cell>
          <cell r="F1152" t="str">
            <v>Two year</v>
          </cell>
          <cell r="H1152">
            <v>899</v>
          </cell>
          <cell r="J1152" t="str">
            <v>Fiber</v>
          </cell>
          <cell r="L1152" t="str">
            <v>No</v>
          </cell>
          <cell r="M1152" t="str">
            <v>13-24 mo</v>
          </cell>
          <cell r="N1152" t="str">
            <v>18-25 yrs</v>
          </cell>
        </row>
        <row r="1153">
          <cell r="A1153" t="str">
            <v>C2152</v>
          </cell>
          <cell r="E1153" t="str">
            <v>Delhi</v>
          </cell>
          <cell r="F1153" t="str">
            <v>One year</v>
          </cell>
          <cell r="H1153">
            <v>799</v>
          </cell>
          <cell r="J1153" t="str">
            <v>DSL</v>
          </cell>
          <cell r="L1153" t="str">
            <v>No</v>
          </cell>
          <cell r="M1153" t="str">
            <v>25-48 mo</v>
          </cell>
          <cell r="N1153" t="str">
            <v>46-60 yrs</v>
          </cell>
        </row>
        <row r="1154">
          <cell r="A1154" t="str">
            <v>C2153</v>
          </cell>
          <cell r="E1154" t="str">
            <v>Bangalore</v>
          </cell>
          <cell r="F1154" t="str">
            <v>One year</v>
          </cell>
          <cell r="H1154">
            <v>899</v>
          </cell>
          <cell r="J1154" t="str">
            <v>Fiber</v>
          </cell>
          <cell r="L1154" t="str">
            <v>No</v>
          </cell>
          <cell r="M1154" t="str">
            <v>0-6 mo</v>
          </cell>
          <cell r="N1154" t="str">
            <v>26-35 yrs</v>
          </cell>
        </row>
        <row r="1155">
          <cell r="A1155" t="str">
            <v>C2154</v>
          </cell>
          <cell r="E1155" t="str">
            <v>Hyderabad</v>
          </cell>
          <cell r="F1155" t="str">
            <v>Two year</v>
          </cell>
          <cell r="H1155">
            <v>849</v>
          </cell>
          <cell r="J1155" t="str">
            <v>DSL</v>
          </cell>
          <cell r="L1155" t="str">
            <v>No</v>
          </cell>
          <cell r="M1155" t="str">
            <v>25-48 mo</v>
          </cell>
          <cell r="N1155" t="str">
            <v>60+ yrs</v>
          </cell>
        </row>
        <row r="1156">
          <cell r="A1156" t="str">
            <v>C2155</v>
          </cell>
          <cell r="E1156" t="str">
            <v>Mumbai</v>
          </cell>
          <cell r="F1156" t="str">
            <v>Two year</v>
          </cell>
          <cell r="H1156">
            <v>749</v>
          </cell>
          <cell r="J1156" t="str">
            <v>DSL</v>
          </cell>
          <cell r="L1156" t="str">
            <v>No</v>
          </cell>
          <cell r="M1156" t="str">
            <v>49+ mo</v>
          </cell>
          <cell r="N1156" t="str">
            <v>46-60 yrs</v>
          </cell>
        </row>
        <row r="1157">
          <cell r="A1157" t="str">
            <v>C2156</v>
          </cell>
          <cell r="E1157" t="str">
            <v>Mumbai</v>
          </cell>
          <cell r="F1157" t="str">
            <v>Unknown</v>
          </cell>
          <cell r="H1157">
            <v>349</v>
          </cell>
          <cell r="J1157" t="str">
            <v>No Internet</v>
          </cell>
          <cell r="L1157" t="str">
            <v>Yes</v>
          </cell>
          <cell r="M1157" t="str">
            <v>13-24 mo</v>
          </cell>
          <cell r="N1157" t="str">
            <v>46-60 yrs</v>
          </cell>
        </row>
        <row r="1158">
          <cell r="A1158" t="str">
            <v>C2157</v>
          </cell>
          <cell r="E1158" t="str">
            <v>Kolkata</v>
          </cell>
          <cell r="F1158" t="str">
            <v>Month-to-month</v>
          </cell>
          <cell r="H1158">
            <v>1149</v>
          </cell>
          <cell r="J1158" t="str">
            <v>Fiber</v>
          </cell>
          <cell r="L1158" t="str">
            <v>No</v>
          </cell>
          <cell r="M1158" t="str">
            <v>7-12 mo</v>
          </cell>
          <cell r="N1158" t="str">
            <v>60+ yrs</v>
          </cell>
        </row>
        <row r="1159">
          <cell r="A1159" t="str">
            <v>C2158</v>
          </cell>
          <cell r="E1159" t="str">
            <v>Bhopal</v>
          </cell>
          <cell r="F1159" t="str">
            <v>Month-to-month</v>
          </cell>
          <cell r="H1159">
            <v>449</v>
          </cell>
          <cell r="J1159" t="str">
            <v>No Internet</v>
          </cell>
          <cell r="L1159" t="str">
            <v>Yes</v>
          </cell>
          <cell r="M1159" t="str">
            <v>13-24 mo</v>
          </cell>
          <cell r="N1159" t="str">
            <v>60+ yrs</v>
          </cell>
        </row>
        <row r="1160">
          <cell r="A1160" t="str">
            <v>C2159</v>
          </cell>
          <cell r="E1160" t="str">
            <v>Bangalore</v>
          </cell>
          <cell r="F1160" t="str">
            <v>Two year</v>
          </cell>
          <cell r="H1160">
            <v>999</v>
          </cell>
          <cell r="J1160" t="str">
            <v>Fiber</v>
          </cell>
          <cell r="L1160" t="str">
            <v>No</v>
          </cell>
          <cell r="M1160" t="str">
            <v>13-24 mo</v>
          </cell>
          <cell r="N1160" t="str">
            <v>18-25 yrs</v>
          </cell>
        </row>
        <row r="1161">
          <cell r="A1161" t="str">
            <v>C2160</v>
          </cell>
          <cell r="E1161" t="str">
            <v>Chennai</v>
          </cell>
          <cell r="F1161" t="str">
            <v>Month-to-month</v>
          </cell>
          <cell r="H1161">
            <v>1199</v>
          </cell>
          <cell r="J1161" t="str">
            <v>Fiber</v>
          </cell>
          <cell r="L1161" t="str">
            <v>No</v>
          </cell>
          <cell r="M1161" t="str">
            <v>0-6 mo</v>
          </cell>
          <cell r="N1161" t="str">
            <v>26-35 yrs</v>
          </cell>
        </row>
        <row r="1162">
          <cell r="A1162" t="str">
            <v>C2161</v>
          </cell>
          <cell r="E1162" t="str">
            <v>Ahmedabad</v>
          </cell>
          <cell r="F1162" t="str">
            <v>Month-to-month</v>
          </cell>
          <cell r="H1162">
            <v>1049</v>
          </cell>
          <cell r="J1162" t="str">
            <v>Fiber</v>
          </cell>
          <cell r="L1162" t="str">
            <v>Yes</v>
          </cell>
          <cell r="M1162" t="str">
            <v>7-12 mo</v>
          </cell>
          <cell r="N1162" t="str">
            <v>60+ yrs</v>
          </cell>
        </row>
        <row r="1163">
          <cell r="A1163" t="str">
            <v>C2162</v>
          </cell>
          <cell r="E1163" t="str">
            <v>Hyderabad</v>
          </cell>
          <cell r="F1163" t="str">
            <v>Two year</v>
          </cell>
          <cell r="H1163">
            <v>1199</v>
          </cell>
          <cell r="J1163" t="str">
            <v>Fiber</v>
          </cell>
          <cell r="L1163" t="str">
            <v>No</v>
          </cell>
          <cell r="M1163" t="str">
            <v>25-48 mo</v>
          </cell>
          <cell r="N1163" t="str">
            <v>18-25 yrs</v>
          </cell>
        </row>
        <row r="1164">
          <cell r="A1164" t="str">
            <v>C2163</v>
          </cell>
          <cell r="E1164" t="str">
            <v>Bangalore</v>
          </cell>
          <cell r="F1164" t="str">
            <v>One year</v>
          </cell>
          <cell r="H1164">
            <v>1049</v>
          </cell>
          <cell r="J1164" t="str">
            <v>Unknown</v>
          </cell>
          <cell r="L1164" t="str">
            <v>No</v>
          </cell>
          <cell r="M1164" t="str">
            <v>7-12 mo</v>
          </cell>
          <cell r="N1164" t="str">
            <v>36-45 yrs</v>
          </cell>
        </row>
        <row r="1165">
          <cell r="A1165" t="str">
            <v>C2164</v>
          </cell>
          <cell r="E1165" t="str">
            <v>Bangalore</v>
          </cell>
          <cell r="F1165" t="str">
            <v>One year</v>
          </cell>
          <cell r="H1165">
            <v>849</v>
          </cell>
          <cell r="J1165" t="str">
            <v>DSL</v>
          </cell>
          <cell r="L1165" t="str">
            <v>No</v>
          </cell>
          <cell r="M1165" t="str">
            <v>25-48 mo</v>
          </cell>
          <cell r="N1165" t="str">
            <v>36-45 yrs</v>
          </cell>
        </row>
        <row r="1166">
          <cell r="A1166" t="str">
            <v>C2165</v>
          </cell>
          <cell r="E1166" t="str">
            <v>Lucknow</v>
          </cell>
          <cell r="F1166" t="str">
            <v>Two year</v>
          </cell>
          <cell r="H1166">
            <v>749</v>
          </cell>
          <cell r="J1166" t="str">
            <v>DSL</v>
          </cell>
          <cell r="L1166" t="str">
            <v>No</v>
          </cell>
          <cell r="M1166" t="str">
            <v>25-48 mo</v>
          </cell>
          <cell r="N1166" t="str">
            <v>26-35 yrs</v>
          </cell>
        </row>
        <row r="1167">
          <cell r="A1167" t="str">
            <v>C2166</v>
          </cell>
          <cell r="E1167" t="str">
            <v>Kolkata</v>
          </cell>
          <cell r="F1167" t="str">
            <v>Month-to-month</v>
          </cell>
          <cell r="H1167">
            <v>399</v>
          </cell>
          <cell r="J1167" t="str">
            <v>No Internet</v>
          </cell>
          <cell r="L1167" t="str">
            <v>Yes</v>
          </cell>
          <cell r="M1167" t="str">
            <v>7-12 mo</v>
          </cell>
          <cell r="N1167" t="str">
            <v>60+ yrs</v>
          </cell>
        </row>
        <row r="1168">
          <cell r="A1168" t="str">
            <v>C2167</v>
          </cell>
          <cell r="E1168" t="str">
            <v>Ahmedabad</v>
          </cell>
          <cell r="F1168" t="str">
            <v>One year</v>
          </cell>
          <cell r="H1168">
            <v>1199</v>
          </cell>
          <cell r="J1168" t="str">
            <v>Fiber</v>
          </cell>
          <cell r="L1168" t="str">
            <v>No</v>
          </cell>
          <cell r="M1168" t="str">
            <v>0-6 mo</v>
          </cell>
          <cell r="N1168" t="str">
            <v>46-60 yrs</v>
          </cell>
        </row>
        <row r="1169">
          <cell r="A1169" t="str">
            <v>C2168</v>
          </cell>
          <cell r="E1169" t="str">
            <v>Kolkata</v>
          </cell>
          <cell r="F1169" t="str">
            <v>One year</v>
          </cell>
          <cell r="H1169">
            <v>549</v>
          </cell>
          <cell r="J1169" t="str">
            <v>No Internet</v>
          </cell>
          <cell r="L1169" t="str">
            <v>No</v>
          </cell>
          <cell r="M1169" t="str">
            <v>25-48 mo</v>
          </cell>
          <cell r="N1169" t="str">
            <v>18-25 yrs</v>
          </cell>
        </row>
        <row r="1170">
          <cell r="A1170" t="str">
            <v>C2169</v>
          </cell>
          <cell r="E1170" t="str">
            <v>Jaipur</v>
          </cell>
          <cell r="F1170" t="str">
            <v>Month-to-month</v>
          </cell>
          <cell r="H1170">
            <v>649</v>
          </cell>
          <cell r="J1170" t="str">
            <v>DSL</v>
          </cell>
          <cell r="L1170" t="str">
            <v>Yes</v>
          </cell>
          <cell r="M1170" t="str">
            <v>13-24 mo</v>
          </cell>
          <cell r="N1170" t="str">
            <v>46-60 yrs</v>
          </cell>
        </row>
        <row r="1171">
          <cell r="A1171" t="str">
            <v>C2170</v>
          </cell>
          <cell r="E1171" t="str">
            <v>Chennai</v>
          </cell>
          <cell r="F1171" t="str">
            <v>One year</v>
          </cell>
          <cell r="H1171">
            <v>849</v>
          </cell>
          <cell r="J1171" t="str">
            <v>DSL</v>
          </cell>
          <cell r="L1171" t="str">
            <v>No</v>
          </cell>
          <cell r="M1171" t="str">
            <v>13-24 mo</v>
          </cell>
          <cell r="N1171" t="str">
            <v>46-60 yrs</v>
          </cell>
        </row>
        <row r="1172">
          <cell r="A1172" t="str">
            <v>C2171</v>
          </cell>
          <cell r="E1172" t="str">
            <v>Hyderabad</v>
          </cell>
          <cell r="F1172" t="str">
            <v>One year</v>
          </cell>
          <cell r="H1172">
            <v>1149</v>
          </cell>
          <cell r="J1172" t="str">
            <v>Fiber</v>
          </cell>
          <cell r="L1172" t="str">
            <v>No</v>
          </cell>
          <cell r="M1172" t="str">
            <v>25-48 mo</v>
          </cell>
          <cell r="N1172" t="str">
            <v>26-35 yrs</v>
          </cell>
        </row>
        <row r="1173">
          <cell r="A1173" t="str">
            <v>C2172</v>
          </cell>
          <cell r="E1173" t="str">
            <v>Ahmedabad</v>
          </cell>
          <cell r="F1173" t="str">
            <v>Month-to-month</v>
          </cell>
          <cell r="H1173">
            <v>799</v>
          </cell>
          <cell r="J1173" t="str">
            <v>DSL</v>
          </cell>
          <cell r="L1173" t="str">
            <v>No</v>
          </cell>
          <cell r="M1173" t="str">
            <v>13-24 mo</v>
          </cell>
          <cell r="N1173" t="str">
            <v>18-25 yrs</v>
          </cell>
        </row>
        <row r="1174">
          <cell r="A1174" t="str">
            <v>C2173</v>
          </cell>
          <cell r="E1174" t="str">
            <v>Mumbai</v>
          </cell>
          <cell r="F1174" t="str">
            <v>One year</v>
          </cell>
          <cell r="H1174">
            <v>1299</v>
          </cell>
          <cell r="J1174" t="str">
            <v>Fiber</v>
          </cell>
          <cell r="L1174" t="str">
            <v>No</v>
          </cell>
          <cell r="M1174" t="str">
            <v>13-24 mo</v>
          </cell>
          <cell r="N1174" t="str">
            <v>60+ yrs</v>
          </cell>
        </row>
        <row r="1175">
          <cell r="A1175" t="str">
            <v>C2174</v>
          </cell>
          <cell r="E1175" t="str">
            <v>Ahmedabad</v>
          </cell>
          <cell r="F1175" t="str">
            <v>One year</v>
          </cell>
          <cell r="H1175">
            <v>799</v>
          </cell>
          <cell r="J1175" t="str">
            <v>DSL</v>
          </cell>
          <cell r="L1175" t="str">
            <v>No</v>
          </cell>
          <cell r="M1175" t="str">
            <v>25-48 mo</v>
          </cell>
          <cell r="N1175" t="str">
            <v>26-35 yrs</v>
          </cell>
        </row>
        <row r="1176">
          <cell r="A1176" t="str">
            <v>C2175</v>
          </cell>
          <cell r="E1176" t="str">
            <v>Jaipur</v>
          </cell>
          <cell r="F1176" t="str">
            <v>Month-to-month</v>
          </cell>
          <cell r="H1176">
            <v>999</v>
          </cell>
          <cell r="J1176" t="str">
            <v>Fiber</v>
          </cell>
          <cell r="L1176" t="str">
            <v>Yes</v>
          </cell>
          <cell r="M1176" t="str">
            <v>0-6 mo</v>
          </cell>
          <cell r="N1176" t="str">
            <v>60+ yrs</v>
          </cell>
        </row>
        <row r="1177">
          <cell r="A1177" t="str">
            <v>C2176</v>
          </cell>
          <cell r="E1177" t="str">
            <v>Mumbai</v>
          </cell>
          <cell r="F1177" t="str">
            <v>One year</v>
          </cell>
          <cell r="H1177">
            <v>1099</v>
          </cell>
          <cell r="J1177" t="str">
            <v>Fiber</v>
          </cell>
          <cell r="L1177" t="str">
            <v>No</v>
          </cell>
          <cell r="M1177" t="str">
            <v>7-12 mo</v>
          </cell>
          <cell r="N1177" t="str">
            <v>26-35 yrs</v>
          </cell>
        </row>
        <row r="1178">
          <cell r="A1178" t="str">
            <v>C2177</v>
          </cell>
          <cell r="E1178" t="str">
            <v>Hyderabad</v>
          </cell>
          <cell r="F1178" t="str">
            <v>Month-to-month</v>
          </cell>
          <cell r="H1178">
            <v>1149</v>
          </cell>
          <cell r="J1178" t="str">
            <v>Fiber</v>
          </cell>
          <cell r="L1178" t="str">
            <v>Unknown</v>
          </cell>
          <cell r="M1178" t="str">
            <v>7-12 mo</v>
          </cell>
          <cell r="N1178" t="str">
            <v>60+ yrs</v>
          </cell>
        </row>
        <row r="1179">
          <cell r="A1179" t="str">
            <v>C2178</v>
          </cell>
          <cell r="E1179" t="str">
            <v>Pune</v>
          </cell>
          <cell r="F1179" t="str">
            <v>Month-to-month</v>
          </cell>
          <cell r="H1179">
            <v>999</v>
          </cell>
          <cell r="J1179" t="str">
            <v>Fiber</v>
          </cell>
          <cell r="L1179" t="str">
            <v>No</v>
          </cell>
          <cell r="M1179" t="str">
            <v>0-6 mo</v>
          </cell>
          <cell r="N1179" t="str">
            <v>26-35 yrs</v>
          </cell>
        </row>
        <row r="1180">
          <cell r="A1180" t="str">
            <v>C2179</v>
          </cell>
          <cell r="E1180" t="str">
            <v>Bhopal</v>
          </cell>
          <cell r="F1180" t="str">
            <v>Month-to-month</v>
          </cell>
          <cell r="H1180">
            <v>449</v>
          </cell>
          <cell r="J1180" t="str">
            <v>No Internet</v>
          </cell>
          <cell r="L1180" t="str">
            <v>Yes</v>
          </cell>
          <cell r="M1180" t="str">
            <v>13-24 mo</v>
          </cell>
          <cell r="N1180" t="str">
            <v>60+ yrs</v>
          </cell>
        </row>
        <row r="1181">
          <cell r="A1181" t="str">
            <v>C2180</v>
          </cell>
          <cell r="E1181" t="str">
            <v>Ahmedabad</v>
          </cell>
          <cell r="F1181" t="str">
            <v>Month-to-month</v>
          </cell>
          <cell r="H1181">
            <v>1299</v>
          </cell>
          <cell r="J1181" t="str">
            <v>Fiber</v>
          </cell>
          <cell r="L1181" t="str">
            <v>Yes</v>
          </cell>
          <cell r="M1181" t="str">
            <v>13-24 mo</v>
          </cell>
          <cell r="N1181" t="str">
            <v>36-45 yrs</v>
          </cell>
        </row>
        <row r="1182">
          <cell r="A1182" t="str">
            <v>C2181</v>
          </cell>
          <cell r="E1182" t="str">
            <v>Chennai</v>
          </cell>
          <cell r="F1182" t="str">
            <v>Month-to-month</v>
          </cell>
          <cell r="H1182">
            <v>1199</v>
          </cell>
          <cell r="J1182" t="str">
            <v>Fiber</v>
          </cell>
          <cell r="L1182" t="str">
            <v>Yes</v>
          </cell>
          <cell r="M1182" t="str">
            <v>7-12 mo</v>
          </cell>
          <cell r="N1182" t="str">
            <v>60+ yrs</v>
          </cell>
        </row>
        <row r="1183">
          <cell r="A1183" t="str">
            <v>C2182</v>
          </cell>
          <cell r="E1183" t="str">
            <v>Kolkata</v>
          </cell>
          <cell r="F1183" t="str">
            <v>Month-to-month</v>
          </cell>
          <cell r="H1183">
            <v>999</v>
          </cell>
          <cell r="J1183" t="str">
            <v>Fiber</v>
          </cell>
          <cell r="L1183" t="str">
            <v>No</v>
          </cell>
          <cell r="M1183" t="str">
            <v>7-12 mo</v>
          </cell>
          <cell r="N1183" t="str">
            <v>60+ yrs</v>
          </cell>
        </row>
        <row r="1184">
          <cell r="A1184" t="str">
            <v>C2183</v>
          </cell>
          <cell r="E1184" t="str">
            <v>Bangalore</v>
          </cell>
          <cell r="F1184" t="str">
            <v>Unknown</v>
          </cell>
          <cell r="H1184">
            <v>1099</v>
          </cell>
          <cell r="J1184" t="str">
            <v>Fiber</v>
          </cell>
          <cell r="L1184" t="str">
            <v>No</v>
          </cell>
          <cell r="M1184" t="str">
            <v>13-24 mo</v>
          </cell>
          <cell r="N1184" t="str">
            <v>26-35 yrs</v>
          </cell>
        </row>
        <row r="1185">
          <cell r="A1185" t="str">
            <v>C2184</v>
          </cell>
          <cell r="E1185" t="str">
            <v>Lucknow</v>
          </cell>
          <cell r="F1185" t="str">
            <v>Month-to-month</v>
          </cell>
          <cell r="H1185">
            <v>699</v>
          </cell>
          <cell r="J1185" t="str">
            <v>DSL</v>
          </cell>
          <cell r="L1185" t="str">
            <v>Yes</v>
          </cell>
          <cell r="M1185" t="str">
            <v>13-24 mo</v>
          </cell>
          <cell r="N1185" t="str">
            <v>46-60 yrs</v>
          </cell>
        </row>
        <row r="1186">
          <cell r="A1186" t="str">
            <v>C2185</v>
          </cell>
          <cell r="E1186" t="str">
            <v>Bhopal</v>
          </cell>
          <cell r="F1186" t="str">
            <v>Month-to-month</v>
          </cell>
          <cell r="H1186">
            <v>399</v>
          </cell>
          <cell r="J1186" t="str">
            <v>No Internet</v>
          </cell>
          <cell r="L1186" t="str">
            <v>No</v>
          </cell>
          <cell r="M1186" t="str">
            <v>13-24 mo</v>
          </cell>
          <cell r="N1186" t="str">
            <v>46-60 yrs</v>
          </cell>
        </row>
        <row r="1187">
          <cell r="A1187" t="str">
            <v>C2186</v>
          </cell>
          <cell r="E1187" t="str">
            <v>Mumbai</v>
          </cell>
          <cell r="F1187" t="str">
            <v>Month-to-month</v>
          </cell>
          <cell r="H1187">
            <v>899</v>
          </cell>
          <cell r="J1187" t="str">
            <v>DSL</v>
          </cell>
          <cell r="L1187" t="str">
            <v>No</v>
          </cell>
          <cell r="M1187" t="str">
            <v>13-24 mo</v>
          </cell>
          <cell r="N1187" t="str">
            <v>46-60 yrs</v>
          </cell>
        </row>
        <row r="1188">
          <cell r="A1188" t="str">
            <v>C2187</v>
          </cell>
          <cell r="E1188" t="str">
            <v>Kochi</v>
          </cell>
          <cell r="F1188" t="str">
            <v>Month-to-month</v>
          </cell>
          <cell r="H1188">
            <v>1049</v>
          </cell>
          <cell r="J1188" t="str">
            <v>Fiber</v>
          </cell>
          <cell r="L1188" t="str">
            <v>No</v>
          </cell>
          <cell r="M1188" t="str">
            <v>13-24 mo</v>
          </cell>
          <cell r="N1188" t="str">
            <v>60+ yrs</v>
          </cell>
        </row>
        <row r="1189">
          <cell r="A1189" t="str">
            <v>C2188</v>
          </cell>
          <cell r="E1189" t="str">
            <v>Hyderabad</v>
          </cell>
          <cell r="F1189" t="str">
            <v>Month-to-month</v>
          </cell>
          <cell r="H1189">
            <v>849</v>
          </cell>
          <cell r="J1189" t="str">
            <v>DSL</v>
          </cell>
          <cell r="L1189" t="str">
            <v>No</v>
          </cell>
          <cell r="M1189" t="str">
            <v>13-24 mo</v>
          </cell>
          <cell r="N1189" t="str">
            <v>46-60 yrs</v>
          </cell>
        </row>
        <row r="1190">
          <cell r="A1190" t="str">
            <v>C2189</v>
          </cell>
          <cell r="E1190" t="str">
            <v>Kolkata</v>
          </cell>
          <cell r="F1190" t="str">
            <v>Month-to-month</v>
          </cell>
          <cell r="H1190">
            <v>349</v>
          </cell>
          <cell r="J1190" t="str">
            <v>No Internet</v>
          </cell>
          <cell r="L1190" t="str">
            <v>No</v>
          </cell>
          <cell r="M1190" t="str">
            <v>0-6 mo</v>
          </cell>
          <cell r="N1190" t="str">
            <v>46-60 yrs</v>
          </cell>
        </row>
        <row r="1191">
          <cell r="A1191" t="str">
            <v>C2190</v>
          </cell>
          <cell r="E1191" t="str">
            <v>Delhi</v>
          </cell>
          <cell r="F1191" t="str">
            <v>Two year</v>
          </cell>
          <cell r="H1191">
            <v>499</v>
          </cell>
          <cell r="J1191" t="str">
            <v>No Internet</v>
          </cell>
          <cell r="L1191" t="str">
            <v>No</v>
          </cell>
          <cell r="M1191" t="str">
            <v>25-48 mo</v>
          </cell>
          <cell r="N1191" t="str">
            <v>36-45 yrs</v>
          </cell>
        </row>
        <row r="1192">
          <cell r="A1192" t="str">
            <v>C2191</v>
          </cell>
          <cell r="E1192" t="str">
            <v>Jaipur</v>
          </cell>
          <cell r="F1192" t="str">
            <v>One year</v>
          </cell>
          <cell r="H1192">
            <v>1299</v>
          </cell>
          <cell r="J1192" t="str">
            <v>Fiber</v>
          </cell>
          <cell r="L1192" t="str">
            <v>No</v>
          </cell>
          <cell r="M1192" t="str">
            <v>25-48 mo</v>
          </cell>
          <cell r="N1192" t="str">
            <v>18-25 yrs</v>
          </cell>
        </row>
        <row r="1193">
          <cell r="A1193" t="str">
            <v>C2192</v>
          </cell>
          <cell r="E1193" t="str">
            <v>Chandigarh</v>
          </cell>
          <cell r="F1193" t="str">
            <v>Month-to-month</v>
          </cell>
          <cell r="H1193">
            <v>1199</v>
          </cell>
          <cell r="J1193" t="str">
            <v>Fiber</v>
          </cell>
          <cell r="L1193" t="str">
            <v>Yes</v>
          </cell>
          <cell r="M1193" t="str">
            <v>13-24 mo</v>
          </cell>
          <cell r="N1193" t="str">
            <v>36-45 yrs</v>
          </cell>
        </row>
        <row r="1194">
          <cell r="A1194" t="str">
            <v>C2193</v>
          </cell>
          <cell r="E1194" t="str">
            <v>Bhopal</v>
          </cell>
          <cell r="F1194" t="str">
            <v>One year</v>
          </cell>
          <cell r="H1194">
            <v>449</v>
          </cell>
          <cell r="J1194" t="str">
            <v>No Internet</v>
          </cell>
          <cell r="L1194" t="str">
            <v>Yes</v>
          </cell>
          <cell r="M1194" t="str">
            <v>0-6 mo</v>
          </cell>
          <cell r="N1194" t="str">
            <v>60+ yrs</v>
          </cell>
        </row>
        <row r="1195">
          <cell r="A1195" t="str">
            <v>C2194</v>
          </cell>
          <cell r="E1195" t="str">
            <v>Pune</v>
          </cell>
          <cell r="F1195" t="str">
            <v>Month-to-month</v>
          </cell>
          <cell r="H1195">
            <v>799</v>
          </cell>
          <cell r="J1195" t="str">
            <v>DSL</v>
          </cell>
          <cell r="L1195" t="str">
            <v>No</v>
          </cell>
          <cell r="M1195" t="str">
            <v>7-12 mo</v>
          </cell>
          <cell r="N1195" t="str">
            <v>26-35 yrs</v>
          </cell>
        </row>
        <row r="1196">
          <cell r="A1196" t="str">
            <v>C2195</v>
          </cell>
          <cell r="E1196" t="str">
            <v>Bhopal</v>
          </cell>
          <cell r="F1196" t="str">
            <v>Two year</v>
          </cell>
          <cell r="H1196">
            <v>649</v>
          </cell>
          <cell r="J1196" t="str">
            <v>DSL</v>
          </cell>
          <cell r="L1196" t="str">
            <v>No</v>
          </cell>
          <cell r="M1196" t="str">
            <v>13-24 mo</v>
          </cell>
          <cell r="N1196" t="str">
            <v>46-60 yrs</v>
          </cell>
        </row>
        <row r="1197">
          <cell r="A1197" t="str">
            <v>C2196</v>
          </cell>
          <cell r="E1197" t="str">
            <v>Mumbai</v>
          </cell>
          <cell r="F1197" t="str">
            <v>Month-to-month</v>
          </cell>
          <cell r="H1197">
            <v>849</v>
          </cell>
          <cell r="J1197" t="str">
            <v>DSL</v>
          </cell>
          <cell r="L1197" t="str">
            <v>Yes</v>
          </cell>
          <cell r="M1197" t="str">
            <v>7-12 mo</v>
          </cell>
          <cell r="N1197" t="str">
            <v>36-45 yrs</v>
          </cell>
        </row>
        <row r="1198">
          <cell r="A1198" t="str">
            <v>C2197</v>
          </cell>
          <cell r="E1198" t="str">
            <v>Pune</v>
          </cell>
          <cell r="F1198" t="str">
            <v>Month-to-month</v>
          </cell>
          <cell r="H1198">
            <v>499</v>
          </cell>
          <cell r="J1198" t="str">
            <v>No Internet</v>
          </cell>
          <cell r="L1198" t="str">
            <v>Yes</v>
          </cell>
          <cell r="M1198" t="str">
            <v>13-24 mo</v>
          </cell>
          <cell r="N1198" t="str">
            <v>60+ yrs</v>
          </cell>
        </row>
        <row r="1199">
          <cell r="A1199" t="str">
            <v>C2198</v>
          </cell>
          <cell r="E1199" t="str">
            <v>Ahmedabad</v>
          </cell>
          <cell r="F1199" t="str">
            <v>Month-to-month</v>
          </cell>
          <cell r="H1199">
            <v>799</v>
          </cell>
          <cell r="J1199" t="str">
            <v>DSL</v>
          </cell>
          <cell r="L1199" t="str">
            <v>Yes</v>
          </cell>
          <cell r="M1199" t="str">
            <v>13-24 mo</v>
          </cell>
          <cell r="N1199" t="str">
            <v>46-60 yrs</v>
          </cell>
        </row>
        <row r="1200">
          <cell r="A1200" t="str">
            <v>C2199</v>
          </cell>
          <cell r="E1200" t="str">
            <v>Ahmedabad</v>
          </cell>
          <cell r="F1200" t="str">
            <v>One year</v>
          </cell>
          <cell r="H1200">
            <v>999</v>
          </cell>
          <cell r="J1200" t="str">
            <v>Fiber</v>
          </cell>
          <cell r="L1200" t="str">
            <v>No</v>
          </cell>
          <cell r="M1200" t="str">
            <v>13-24 mo</v>
          </cell>
          <cell r="N1200" t="str">
            <v>18-25 yrs</v>
          </cell>
        </row>
        <row r="1201">
          <cell r="A1201" t="str">
            <v>C2200</v>
          </cell>
          <cell r="E1201" t="str">
            <v>Mumbai</v>
          </cell>
          <cell r="F1201" t="str">
            <v>Two year</v>
          </cell>
          <cell r="H1201">
            <v>899</v>
          </cell>
          <cell r="J1201" t="str">
            <v>DSL</v>
          </cell>
          <cell r="L1201" t="str">
            <v>No</v>
          </cell>
          <cell r="M1201" t="str">
            <v>49+ mo</v>
          </cell>
          <cell r="N1201" t="str">
            <v>46-60 yrs</v>
          </cell>
        </row>
        <row r="1202">
          <cell r="A1202" t="str">
            <v>C2201</v>
          </cell>
          <cell r="E1202" t="str">
            <v>Mumbai</v>
          </cell>
          <cell r="F1202" t="str">
            <v>Month-to-month</v>
          </cell>
          <cell r="H1202">
            <v>349</v>
          </cell>
          <cell r="J1202" t="str">
            <v>No Internet</v>
          </cell>
          <cell r="L1202" t="str">
            <v>Unknown</v>
          </cell>
          <cell r="M1202" t="str">
            <v>7-12 mo</v>
          </cell>
          <cell r="N1202" t="str">
            <v>60+ yrs</v>
          </cell>
        </row>
        <row r="1203">
          <cell r="A1203" t="str">
            <v>C2202</v>
          </cell>
          <cell r="E1203" t="str">
            <v>Bhopal</v>
          </cell>
          <cell r="F1203" t="str">
            <v>One year</v>
          </cell>
          <cell r="H1203">
            <v>899</v>
          </cell>
          <cell r="J1203" t="str">
            <v>DSL</v>
          </cell>
          <cell r="L1203" t="str">
            <v>No</v>
          </cell>
          <cell r="M1203" t="str">
            <v>7-12 mo</v>
          </cell>
          <cell r="N1203" t="str">
            <v>26-35 yrs</v>
          </cell>
        </row>
        <row r="1204">
          <cell r="A1204" t="str">
            <v>C2203</v>
          </cell>
          <cell r="E1204" t="str">
            <v>Kochi</v>
          </cell>
          <cell r="F1204" t="str">
            <v>Month-to-month</v>
          </cell>
          <cell r="H1204">
            <v>1199</v>
          </cell>
          <cell r="J1204" t="str">
            <v>Fiber</v>
          </cell>
          <cell r="L1204" t="str">
            <v>Yes</v>
          </cell>
          <cell r="M1204" t="str">
            <v>7-12 mo</v>
          </cell>
          <cell r="N1204" t="str">
            <v>46-60 yrs</v>
          </cell>
        </row>
        <row r="1205">
          <cell r="A1205" t="str">
            <v>C2204</v>
          </cell>
          <cell r="E1205" t="str">
            <v>Jaipur</v>
          </cell>
          <cell r="F1205" t="str">
            <v>Two year</v>
          </cell>
          <cell r="H1205">
            <v>899</v>
          </cell>
          <cell r="J1205" t="str">
            <v>Fiber</v>
          </cell>
          <cell r="L1205" t="str">
            <v>Yes</v>
          </cell>
          <cell r="M1205" t="str">
            <v>13-24 mo</v>
          </cell>
          <cell r="N1205" t="str">
            <v>26-35 yrs</v>
          </cell>
        </row>
        <row r="1206">
          <cell r="A1206" t="str">
            <v>C2205</v>
          </cell>
          <cell r="E1206" t="str">
            <v>Chandigarh</v>
          </cell>
          <cell r="F1206" t="str">
            <v>Month-to-month</v>
          </cell>
          <cell r="H1206">
            <v>699</v>
          </cell>
          <cell r="J1206" t="str">
            <v>DSL</v>
          </cell>
          <cell r="L1206" t="str">
            <v>Yes</v>
          </cell>
          <cell r="M1206" t="str">
            <v>0-6 mo</v>
          </cell>
          <cell r="N1206" t="str">
            <v>36-45 yrs</v>
          </cell>
        </row>
        <row r="1207">
          <cell r="A1207" t="str">
            <v>C2206</v>
          </cell>
          <cell r="E1207" t="str">
            <v>Kolkata</v>
          </cell>
          <cell r="F1207" t="str">
            <v>One year</v>
          </cell>
          <cell r="H1207">
            <v>899</v>
          </cell>
          <cell r="J1207" t="str">
            <v>Fiber</v>
          </cell>
          <cell r="L1207" t="str">
            <v>No</v>
          </cell>
          <cell r="M1207" t="str">
            <v>7-12 mo</v>
          </cell>
          <cell r="N1207" t="str">
            <v>46-60 yrs</v>
          </cell>
        </row>
        <row r="1208">
          <cell r="A1208" t="str">
            <v>C2207</v>
          </cell>
          <cell r="E1208" t="str">
            <v>Ahmedabad</v>
          </cell>
          <cell r="F1208" t="str">
            <v>Month-to-month</v>
          </cell>
          <cell r="H1208">
            <v>999</v>
          </cell>
          <cell r="J1208" t="str">
            <v>Fiber</v>
          </cell>
          <cell r="L1208" t="str">
            <v>No</v>
          </cell>
          <cell r="M1208" t="str">
            <v>13-24 mo</v>
          </cell>
          <cell r="N1208" t="str">
            <v>18-25 yrs</v>
          </cell>
        </row>
        <row r="1209">
          <cell r="A1209" t="str">
            <v>C2208</v>
          </cell>
          <cell r="E1209" t="str">
            <v>Chennai</v>
          </cell>
          <cell r="F1209" t="str">
            <v>Month-to-month</v>
          </cell>
          <cell r="H1209">
            <v>1199</v>
          </cell>
          <cell r="J1209" t="str">
            <v>Fiber</v>
          </cell>
          <cell r="L1209" t="str">
            <v>No</v>
          </cell>
          <cell r="M1209" t="str">
            <v>7-12 mo</v>
          </cell>
          <cell r="N1209" t="str">
            <v>60+ yrs</v>
          </cell>
        </row>
        <row r="1210">
          <cell r="A1210" t="str">
            <v>C2209</v>
          </cell>
          <cell r="E1210" t="str">
            <v>Bangalore</v>
          </cell>
          <cell r="F1210" t="str">
            <v>Two year</v>
          </cell>
          <cell r="H1210">
            <v>849</v>
          </cell>
          <cell r="J1210" t="str">
            <v>DSL</v>
          </cell>
          <cell r="L1210" t="str">
            <v>No</v>
          </cell>
          <cell r="M1210" t="str">
            <v>7-12 mo</v>
          </cell>
          <cell r="N1210" t="str">
            <v>46-60 yrs</v>
          </cell>
        </row>
        <row r="1211">
          <cell r="A1211" t="str">
            <v>C2210</v>
          </cell>
          <cell r="E1211" t="str">
            <v>Bangalore</v>
          </cell>
          <cell r="F1211" t="str">
            <v>One year</v>
          </cell>
          <cell r="H1211">
            <v>849</v>
          </cell>
          <cell r="J1211" t="str">
            <v>DSL</v>
          </cell>
          <cell r="L1211" t="str">
            <v>No</v>
          </cell>
          <cell r="M1211" t="str">
            <v>25-48 mo</v>
          </cell>
          <cell r="N1211" t="str">
            <v>26-35 yrs</v>
          </cell>
        </row>
        <row r="1212">
          <cell r="A1212" t="str">
            <v>C2211</v>
          </cell>
          <cell r="E1212" t="str">
            <v>Pune</v>
          </cell>
          <cell r="F1212" t="str">
            <v>One year</v>
          </cell>
          <cell r="H1212">
            <v>1299</v>
          </cell>
          <cell r="J1212" t="str">
            <v>Fiber</v>
          </cell>
          <cell r="L1212" t="str">
            <v>No</v>
          </cell>
          <cell r="M1212" t="str">
            <v>0-6 mo</v>
          </cell>
          <cell r="N1212" t="str">
            <v>36-45 yrs</v>
          </cell>
        </row>
        <row r="1213">
          <cell r="A1213" t="str">
            <v>C2212</v>
          </cell>
          <cell r="E1213" t="str">
            <v>Indore</v>
          </cell>
          <cell r="F1213" t="str">
            <v>Month-to-month</v>
          </cell>
          <cell r="H1213">
            <v>1049</v>
          </cell>
          <cell r="J1213" t="str">
            <v>Fiber</v>
          </cell>
          <cell r="L1213" t="str">
            <v>No</v>
          </cell>
          <cell r="M1213" t="str">
            <v>0-6 mo</v>
          </cell>
          <cell r="N1213" t="str">
            <v>26-35 yrs</v>
          </cell>
        </row>
        <row r="1214">
          <cell r="A1214" t="str">
            <v>C2213</v>
          </cell>
          <cell r="E1214" t="str">
            <v>Chandigarh</v>
          </cell>
          <cell r="F1214" t="str">
            <v>Two year</v>
          </cell>
          <cell r="H1214">
            <v>1149</v>
          </cell>
          <cell r="J1214" t="str">
            <v>Fiber</v>
          </cell>
          <cell r="L1214" t="str">
            <v>No</v>
          </cell>
          <cell r="M1214" t="str">
            <v>25-48 mo</v>
          </cell>
          <cell r="N1214" t="str">
            <v>60+ yrs</v>
          </cell>
        </row>
        <row r="1215">
          <cell r="A1215" t="str">
            <v>C2214</v>
          </cell>
          <cell r="E1215" t="str">
            <v>Bangalore</v>
          </cell>
          <cell r="F1215" t="str">
            <v>Month-to-month</v>
          </cell>
          <cell r="H1215">
            <v>499</v>
          </cell>
          <cell r="J1215" t="str">
            <v>No Internet</v>
          </cell>
          <cell r="L1215" t="str">
            <v>No</v>
          </cell>
          <cell r="M1215" t="str">
            <v>13-24 mo</v>
          </cell>
          <cell r="N1215" t="str">
            <v>36-45 yrs</v>
          </cell>
        </row>
        <row r="1216">
          <cell r="A1216" t="str">
            <v>C2215</v>
          </cell>
          <cell r="E1216" t="str">
            <v>Kochi</v>
          </cell>
          <cell r="F1216" t="str">
            <v>Month-to-month</v>
          </cell>
          <cell r="H1216">
            <v>899</v>
          </cell>
          <cell r="J1216" t="str">
            <v>Fiber</v>
          </cell>
          <cell r="L1216" t="str">
            <v>No</v>
          </cell>
          <cell r="M1216" t="str">
            <v>13-24 mo</v>
          </cell>
          <cell r="N1216" t="str">
            <v>18-25 yrs</v>
          </cell>
        </row>
        <row r="1217">
          <cell r="A1217" t="str">
            <v>C2216</v>
          </cell>
          <cell r="E1217" t="str">
            <v>Chennai</v>
          </cell>
          <cell r="F1217" t="str">
            <v>Month-to-month</v>
          </cell>
          <cell r="H1217">
            <v>749</v>
          </cell>
          <cell r="J1217" t="str">
            <v>DSL</v>
          </cell>
          <cell r="L1217" t="str">
            <v>No</v>
          </cell>
          <cell r="M1217" t="str">
            <v>13-24 mo</v>
          </cell>
          <cell r="N1217" t="str">
            <v>60+ yrs</v>
          </cell>
        </row>
        <row r="1218">
          <cell r="A1218" t="str">
            <v>C2217</v>
          </cell>
          <cell r="E1218" t="str">
            <v>Unknown</v>
          </cell>
          <cell r="F1218" t="str">
            <v>Two year</v>
          </cell>
          <cell r="H1218">
            <v>649</v>
          </cell>
          <cell r="J1218" t="str">
            <v>DSL</v>
          </cell>
          <cell r="L1218" t="str">
            <v>Unknown</v>
          </cell>
          <cell r="M1218" t="str">
            <v>0-6 mo</v>
          </cell>
          <cell r="N1218" t="str">
            <v>26-35 yrs</v>
          </cell>
        </row>
        <row r="1219">
          <cell r="A1219" t="str">
            <v>C2218</v>
          </cell>
          <cell r="E1219" t="str">
            <v>Delhi</v>
          </cell>
          <cell r="F1219" t="str">
            <v>Two year</v>
          </cell>
          <cell r="J1219" t="str">
            <v>Fiber</v>
          </cell>
          <cell r="L1219" t="str">
            <v>No</v>
          </cell>
          <cell r="M1219" t="str">
            <v>Unknown</v>
          </cell>
          <cell r="N1219" t="str">
            <v>46-60 yrs</v>
          </cell>
        </row>
        <row r="1220">
          <cell r="A1220" t="str">
            <v>C2219</v>
          </cell>
          <cell r="E1220" t="str">
            <v>Kochi</v>
          </cell>
          <cell r="F1220" t="str">
            <v>One year</v>
          </cell>
          <cell r="H1220">
            <v>1299</v>
          </cell>
          <cell r="J1220" t="str">
            <v>Fiber</v>
          </cell>
          <cell r="L1220" t="str">
            <v>No</v>
          </cell>
          <cell r="M1220" t="str">
            <v>25-48 mo</v>
          </cell>
          <cell r="N1220" t="str">
            <v>60+ yrs</v>
          </cell>
        </row>
        <row r="1221">
          <cell r="A1221" t="str">
            <v>C2220</v>
          </cell>
          <cell r="E1221" t="str">
            <v>Ahmedabad</v>
          </cell>
          <cell r="F1221" t="str">
            <v>Month-to-month</v>
          </cell>
          <cell r="J1221" t="str">
            <v>DSL</v>
          </cell>
          <cell r="L1221" t="str">
            <v>No</v>
          </cell>
          <cell r="M1221" t="str">
            <v>Unknown</v>
          </cell>
          <cell r="N1221" t="str">
            <v>36-45 yrs</v>
          </cell>
        </row>
        <row r="1222">
          <cell r="A1222" t="str">
            <v>C2221</v>
          </cell>
          <cell r="E1222" t="str">
            <v>Lucknow</v>
          </cell>
          <cell r="F1222" t="str">
            <v>Two year</v>
          </cell>
          <cell r="H1222">
            <v>649</v>
          </cell>
          <cell r="J1222" t="str">
            <v>DSL</v>
          </cell>
          <cell r="L1222" t="str">
            <v>No</v>
          </cell>
          <cell r="M1222" t="str">
            <v>49+ mo</v>
          </cell>
          <cell r="N1222" t="str">
            <v>46-60 yrs</v>
          </cell>
        </row>
        <row r="1223">
          <cell r="A1223" t="str">
            <v>C2222</v>
          </cell>
          <cell r="E1223" t="str">
            <v>Kolkata</v>
          </cell>
          <cell r="F1223" t="str">
            <v>Month-to-month</v>
          </cell>
          <cell r="H1223">
            <v>599</v>
          </cell>
          <cell r="J1223" t="str">
            <v>DSL</v>
          </cell>
          <cell r="L1223" t="str">
            <v>Yes</v>
          </cell>
          <cell r="M1223" t="str">
            <v>7-12 mo</v>
          </cell>
          <cell r="N1223" t="str">
            <v>46-60 yrs</v>
          </cell>
        </row>
        <row r="1224">
          <cell r="A1224" t="str">
            <v>C2223</v>
          </cell>
          <cell r="E1224" t="str">
            <v>Hyderabad</v>
          </cell>
          <cell r="F1224" t="str">
            <v>Month-to-month</v>
          </cell>
          <cell r="H1224">
            <v>1199</v>
          </cell>
          <cell r="J1224" t="str">
            <v>Fiber</v>
          </cell>
          <cell r="L1224" t="str">
            <v>No</v>
          </cell>
          <cell r="M1224" t="str">
            <v>7-12 mo</v>
          </cell>
          <cell r="N1224" t="str">
            <v>26-35 yrs</v>
          </cell>
        </row>
        <row r="1225">
          <cell r="A1225" t="str">
            <v>C2224</v>
          </cell>
          <cell r="E1225" t="str">
            <v>Indore</v>
          </cell>
          <cell r="F1225" t="str">
            <v>Month-to-month</v>
          </cell>
          <cell r="H1225">
            <v>499</v>
          </cell>
          <cell r="J1225" t="str">
            <v>No Internet</v>
          </cell>
          <cell r="L1225" t="str">
            <v>Yes</v>
          </cell>
          <cell r="M1225" t="str">
            <v>13-24 mo</v>
          </cell>
          <cell r="N1225" t="str">
            <v>26-35 yrs</v>
          </cell>
        </row>
        <row r="1226">
          <cell r="A1226" t="str">
            <v>C2225</v>
          </cell>
          <cell r="E1226" t="str">
            <v>Chandigarh</v>
          </cell>
          <cell r="F1226" t="str">
            <v>Two year</v>
          </cell>
          <cell r="H1226">
            <v>749</v>
          </cell>
          <cell r="J1226" t="str">
            <v>DSL</v>
          </cell>
          <cell r="L1226" t="str">
            <v>No</v>
          </cell>
          <cell r="M1226" t="str">
            <v>49+ mo</v>
          </cell>
          <cell r="N1226" t="str">
            <v>36-45 yrs</v>
          </cell>
        </row>
        <row r="1227">
          <cell r="A1227" t="str">
            <v>C2226</v>
          </cell>
          <cell r="E1227" t="str">
            <v>Mumbai</v>
          </cell>
          <cell r="F1227" t="str">
            <v>Month-to-month</v>
          </cell>
          <cell r="H1227">
            <v>1049</v>
          </cell>
          <cell r="J1227" t="str">
            <v>Fiber</v>
          </cell>
          <cell r="L1227" t="str">
            <v>No</v>
          </cell>
          <cell r="M1227" t="str">
            <v>13-24 mo</v>
          </cell>
          <cell r="N1227" t="str">
            <v>46-60 yrs</v>
          </cell>
        </row>
        <row r="1228">
          <cell r="A1228" t="str">
            <v>C2227</v>
          </cell>
          <cell r="E1228" t="str">
            <v>Indore</v>
          </cell>
          <cell r="F1228" t="str">
            <v>Month-to-month</v>
          </cell>
          <cell r="H1228">
            <v>1049</v>
          </cell>
          <cell r="J1228" t="str">
            <v>Fiber</v>
          </cell>
          <cell r="L1228" t="str">
            <v>No</v>
          </cell>
          <cell r="M1228" t="str">
            <v>13-24 mo</v>
          </cell>
          <cell r="N1228" t="str">
            <v>18-25 yrs</v>
          </cell>
        </row>
        <row r="1229">
          <cell r="A1229" t="str">
            <v>C2228</v>
          </cell>
          <cell r="E1229" t="str">
            <v>Delhi</v>
          </cell>
          <cell r="F1229" t="str">
            <v>Month-to-month</v>
          </cell>
          <cell r="H1229">
            <v>399</v>
          </cell>
          <cell r="J1229" t="str">
            <v>No Internet</v>
          </cell>
          <cell r="L1229" t="str">
            <v>No</v>
          </cell>
          <cell r="M1229" t="str">
            <v>7-12 mo</v>
          </cell>
          <cell r="N1229" t="str">
            <v>18-25 yrs</v>
          </cell>
        </row>
        <row r="1230">
          <cell r="A1230" t="str">
            <v>C2229</v>
          </cell>
          <cell r="E1230" t="str">
            <v>Jaipur</v>
          </cell>
          <cell r="F1230" t="str">
            <v>One year</v>
          </cell>
          <cell r="H1230">
            <v>1299</v>
          </cell>
          <cell r="J1230" t="str">
            <v>Fiber</v>
          </cell>
          <cell r="L1230" t="str">
            <v>Yes</v>
          </cell>
          <cell r="M1230" t="str">
            <v>25-48 mo</v>
          </cell>
          <cell r="N1230" t="str">
            <v>46-60 yrs</v>
          </cell>
        </row>
        <row r="1231">
          <cell r="A1231" t="str">
            <v>C2230</v>
          </cell>
          <cell r="E1231" t="str">
            <v>Kochi</v>
          </cell>
          <cell r="F1231" t="str">
            <v>Month-to-month</v>
          </cell>
          <cell r="H1231">
            <v>1099</v>
          </cell>
          <cell r="J1231" t="str">
            <v>Fiber</v>
          </cell>
          <cell r="L1231" t="str">
            <v>No</v>
          </cell>
          <cell r="M1231" t="str">
            <v>13-24 mo</v>
          </cell>
          <cell r="N1231" t="str">
            <v>18-25 yrs</v>
          </cell>
        </row>
        <row r="1232">
          <cell r="A1232" t="str">
            <v>C2231</v>
          </cell>
          <cell r="E1232" t="str">
            <v>Chandigarh</v>
          </cell>
          <cell r="F1232" t="str">
            <v>Month-to-month</v>
          </cell>
          <cell r="H1232">
            <v>499</v>
          </cell>
          <cell r="J1232" t="str">
            <v>No Internet</v>
          </cell>
          <cell r="L1232" t="str">
            <v>No</v>
          </cell>
          <cell r="M1232" t="str">
            <v>13-24 mo</v>
          </cell>
          <cell r="N1232" t="str">
            <v>46-60 yrs</v>
          </cell>
        </row>
        <row r="1233">
          <cell r="A1233" t="str">
            <v>C2232</v>
          </cell>
          <cell r="E1233" t="str">
            <v>Indore</v>
          </cell>
          <cell r="F1233" t="str">
            <v>Two year</v>
          </cell>
          <cell r="H1233">
            <v>899</v>
          </cell>
          <cell r="J1233" t="str">
            <v>DSL</v>
          </cell>
          <cell r="L1233" t="str">
            <v>No</v>
          </cell>
          <cell r="M1233" t="str">
            <v>49+ mo</v>
          </cell>
          <cell r="N1233" t="str">
            <v>18-25 yrs</v>
          </cell>
        </row>
        <row r="1234">
          <cell r="A1234" t="str">
            <v>C2233</v>
          </cell>
          <cell r="E1234" t="str">
            <v>Chennai</v>
          </cell>
          <cell r="F1234" t="str">
            <v>Month-to-month</v>
          </cell>
          <cell r="H1234">
            <v>849</v>
          </cell>
          <cell r="J1234" t="str">
            <v>DSL</v>
          </cell>
          <cell r="L1234" t="str">
            <v>No</v>
          </cell>
          <cell r="M1234" t="str">
            <v>13-24 mo</v>
          </cell>
          <cell r="N1234" t="str">
            <v>26-35 yrs</v>
          </cell>
        </row>
        <row r="1235">
          <cell r="A1235" t="str">
            <v>C2234</v>
          </cell>
          <cell r="E1235" t="str">
            <v>Pune</v>
          </cell>
          <cell r="F1235" t="str">
            <v>One year</v>
          </cell>
          <cell r="H1235">
            <v>1099</v>
          </cell>
          <cell r="J1235" t="str">
            <v>Fiber</v>
          </cell>
          <cell r="L1235" t="str">
            <v>No</v>
          </cell>
          <cell r="M1235" t="str">
            <v>7-12 mo</v>
          </cell>
          <cell r="N1235" t="str">
            <v>46-60 yrs</v>
          </cell>
        </row>
        <row r="1236">
          <cell r="A1236" t="str">
            <v>C2235</v>
          </cell>
          <cell r="E1236" t="str">
            <v>Bhopal</v>
          </cell>
          <cell r="F1236" t="str">
            <v>Month-to-month</v>
          </cell>
          <cell r="H1236">
            <v>1199</v>
          </cell>
          <cell r="J1236" t="str">
            <v>Fiber</v>
          </cell>
          <cell r="L1236" t="str">
            <v>No</v>
          </cell>
          <cell r="M1236" t="str">
            <v>13-24 mo</v>
          </cell>
          <cell r="N1236" t="str">
            <v>46-60 yrs</v>
          </cell>
        </row>
        <row r="1237">
          <cell r="A1237" t="str">
            <v>C2236</v>
          </cell>
          <cell r="E1237" t="str">
            <v>Kochi</v>
          </cell>
          <cell r="F1237" t="str">
            <v>Month-to-month</v>
          </cell>
          <cell r="H1237">
            <v>1049</v>
          </cell>
          <cell r="J1237" t="str">
            <v>Fiber</v>
          </cell>
          <cell r="L1237" t="str">
            <v>Yes</v>
          </cell>
          <cell r="M1237" t="str">
            <v>0-6 mo</v>
          </cell>
          <cell r="N1237" t="str">
            <v>36-45 yrs</v>
          </cell>
        </row>
        <row r="1238">
          <cell r="A1238" t="str">
            <v>C2237</v>
          </cell>
          <cell r="E1238" t="str">
            <v>Jaipur</v>
          </cell>
          <cell r="F1238" t="str">
            <v>Month-to-month</v>
          </cell>
          <cell r="H1238">
            <v>1149</v>
          </cell>
          <cell r="J1238" t="str">
            <v>Fiber</v>
          </cell>
          <cell r="L1238" t="str">
            <v>Yes</v>
          </cell>
          <cell r="M1238" t="str">
            <v>0-6 mo</v>
          </cell>
          <cell r="N1238" t="str">
            <v>46-60 yrs</v>
          </cell>
        </row>
        <row r="1239">
          <cell r="A1239" t="str">
            <v>C2238</v>
          </cell>
          <cell r="E1239" t="str">
            <v>Pune</v>
          </cell>
          <cell r="F1239" t="str">
            <v>Month-to-month</v>
          </cell>
          <cell r="H1239">
            <v>1299</v>
          </cell>
          <cell r="J1239" t="str">
            <v>Fiber</v>
          </cell>
          <cell r="L1239" t="str">
            <v>No</v>
          </cell>
          <cell r="M1239" t="str">
            <v>13-24 mo</v>
          </cell>
          <cell r="N1239" t="str">
            <v>60+ yrs</v>
          </cell>
        </row>
        <row r="1240">
          <cell r="A1240" t="str">
            <v>C2239</v>
          </cell>
          <cell r="E1240" t="str">
            <v>Delhi</v>
          </cell>
          <cell r="F1240" t="str">
            <v>Month-to-month</v>
          </cell>
          <cell r="H1240">
            <v>599</v>
          </cell>
          <cell r="J1240" t="str">
            <v>DSL</v>
          </cell>
          <cell r="L1240" t="str">
            <v>No</v>
          </cell>
          <cell r="M1240" t="str">
            <v>7-12 mo</v>
          </cell>
          <cell r="N1240" t="str">
            <v>60+ yrs</v>
          </cell>
        </row>
        <row r="1241">
          <cell r="A1241" t="str">
            <v>C2240</v>
          </cell>
          <cell r="E1241" t="str">
            <v>Kochi</v>
          </cell>
          <cell r="F1241" t="str">
            <v>Month-to-month</v>
          </cell>
          <cell r="H1241">
            <v>599</v>
          </cell>
          <cell r="J1241" t="str">
            <v>DSL</v>
          </cell>
          <cell r="L1241" t="str">
            <v>No</v>
          </cell>
          <cell r="M1241" t="str">
            <v>7-12 mo</v>
          </cell>
          <cell r="N1241" t="str">
            <v>46-60 yrs</v>
          </cell>
        </row>
        <row r="1242">
          <cell r="A1242" t="str">
            <v>C2241</v>
          </cell>
          <cell r="E1242" t="str">
            <v>Hyderabad</v>
          </cell>
          <cell r="F1242" t="str">
            <v>Month-to-month</v>
          </cell>
          <cell r="H1242">
            <v>549</v>
          </cell>
          <cell r="J1242" t="str">
            <v>No Internet</v>
          </cell>
          <cell r="L1242" t="str">
            <v>No</v>
          </cell>
          <cell r="M1242" t="str">
            <v>13-24 mo</v>
          </cell>
          <cell r="N1242" t="str">
            <v>46-60 yrs</v>
          </cell>
        </row>
        <row r="1243">
          <cell r="A1243" t="str">
            <v>C2242</v>
          </cell>
          <cell r="E1243" t="str">
            <v>Pune</v>
          </cell>
          <cell r="F1243" t="str">
            <v>Month-to-month</v>
          </cell>
          <cell r="H1243">
            <v>449</v>
          </cell>
          <cell r="J1243" t="str">
            <v>No Internet</v>
          </cell>
          <cell r="L1243" t="str">
            <v>Yes</v>
          </cell>
          <cell r="M1243" t="str">
            <v>7-12 mo</v>
          </cell>
          <cell r="N1243" t="str">
            <v>36-45 yrs</v>
          </cell>
        </row>
        <row r="1244">
          <cell r="A1244" t="str">
            <v>C2243</v>
          </cell>
          <cell r="E1244" t="str">
            <v>Kochi</v>
          </cell>
          <cell r="F1244" t="str">
            <v>Month-to-month</v>
          </cell>
          <cell r="H1244">
            <v>849</v>
          </cell>
          <cell r="J1244" t="str">
            <v>DSL</v>
          </cell>
          <cell r="L1244" t="str">
            <v>Yes</v>
          </cell>
          <cell r="M1244" t="str">
            <v>13-24 mo</v>
          </cell>
          <cell r="N1244" t="str">
            <v>26-35 yrs</v>
          </cell>
        </row>
        <row r="1245">
          <cell r="A1245" t="str">
            <v>C2244</v>
          </cell>
          <cell r="E1245" t="str">
            <v>Indore</v>
          </cell>
          <cell r="F1245" t="str">
            <v>Two year</v>
          </cell>
          <cell r="H1245">
            <v>549</v>
          </cell>
          <cell r="J1245" t="str">
            <v>No Internet</v>
          </cell>
          <cell r="L1245" t="str">
            <v>No</v>
          </cell>
          <cell r="M1245" t="str">
            <v>25-48 mo</v>
          </cell>
          <cell r="N1245" t="str">
            <v>60+ yrs</v>
          </cell>
        </row>
        <row r="1246">
          <cell r="A1246" t="str">
            <v>C2245</v>
          </cell>
          <cell r="E1246" t="str">
            <v>Mumbai</v>
          </cell>
          <cell r="F1246" t="str">
            <v>Two year</v>
          </cell>
          <cell r="H1246">
            <v>749</v>
          </cell>
          <cell r="J1246" t="str">
            <v>DSL</v>
          </cell>
          <cell r="L1246" t="str">
            <v>No</v>
          </cell>
          <cell r="M1246" t="str">
            <v>49+ mo</v>
          </cell>
          <cell r="N1246" t="str">
            <v>36-45 yrs</v>
          </cell>
        </row>
        <row r="1247">
          <cell r="A1247" t="str">
            <v>C2246</v>
          </cell>
          <cell r="E1247" t="str">
            <v>Mumbai</v>
          </cell>
          <cell r="F1247" t="str">
            <v>Two year</v>
          </cell>
          <cell r="H1247">
            <v>849</v>
          </cell>
          <cell r="J1247" t="str">
            <v>DSL</v>
          </cell>
          <cell r="L1247" t="str">
            <v>No</v>
          </cell>
          <cell r="M1247" t="str">
            <v>25-48 mo</v>
          </cell>
          <cell r="N1247" t="str">
            <v>36-45 yrs</v>
          </cell>
        </row>
        <row r="1248">
          <cell r="A1248" t="str">
            <v>C2247</v>
          </cell>
          <cell r="E1248" t="str">
            <v>Ahmedabad</v>
          </cell>
          <cell r="F1248" t="str">
            <v>Month-to-month</v>
          </cell>
          <cell r="H1248">
            <v>999</v>
          </cell>
          <cell r="J1248" t="str">
            <v>Fiber</v>
          </cell>
          <cell r="L1248" t="str">
            <v>No</v>
          </cell>
          <cell r="M1248" t="str">
            <v>7-12 mo</v>
          </cell>
          <cell r="N1248" t="str">
            <v>46-60 yrs</v>
          </cell>
        </row>
        <row r="1249">
          <cell r="A1249" t="str">
            <v>C2248</v>
          </cell>
          <cell r="E1249" t="str">
            <v>Lucknow</v>
          </cell>
          <cell r="F1249" t="str">
            <v>Month-to-month</v>
          </cell>
          <cell r="H1249">
            <v>599</v>
          </cell>
          <cell r="J1249" t="str">
            <v>DSL</v>
          </cell>
          <cell r="L1249" t="str">
            <v>No</v>
          </cell>
          <cell r="M1249" t="str">
            <v>13-24 mo</v>
          </cell>
          <cell r="N1249" t="str">
            <v>60+ yrs</v>
          </cell>
        </row>
        <row r="1250">
          <cell r="A1250" t="str">
            <v>C2249</v>
          </cell>
          <cell r="E1250" t="str">
            <v>Kolkata</v>
          </cell>
          <cell r="F1250" t="str">
            <v>One year</v>
          </cell>
          <cell r="H1250">
            <v>1299</v>
          </cell>
          <cell r="J1250" t="str">
            <v>Fiber</v>
          </cell>
          <cell r="L1250" t="str">
            <v>No</v>
          </cell>
          <cell r="M1250" t="str">
            <v>13-24 mo</v>
          </cell>
          <cell r="N1250" t="str">
            <v>46-60 yrs</v>
          </cell>
        </row>
        <row r="1251">
          <cell r="A1251" t="str">
            <v>C2250</v>
          </cell>
          <cell r="E1251" t="str">
            <v>Mumbai</v>
          </cell>
          <cell r="F1251" t="str">
            <v>Two year</v>
          </cell>
          <cell r="H1251">
            <v>1099</v>
          </cell>
          <cell r="J1251" t="str">
            <v>Fiber</v>
          </cell>
          <cell r="L1251" t="str">
            <v>No</v>
          </cell>
          <cell r="M1251" t="str">
            <v>49+ mo</v>
          </cell>
          <cell r="N1251" t="str">
            <v>18-25 yrs</v>
          </cell>
        </row>
        <row r="1252">
          <cell r="A1252" t="str">
            <v>C2251</v>
          </cell>
          <cell r="E1252" t="str">
            <v>Pune</v>
          </cell>
          <cell r="F1252" t="str">
            <v>Month-to-month</v>
          </cell>
          <cell r="H1252">
            <v>899</v>
          </cell>
          <cell r="J1252" t="str">
            <v>Fiber</v>
          </cell>
          <cell r="L1252" t="str">
            <v>Yes</v>
          </cell>
          <cell r="M1252" t="str">
            <v>7-12 mo</v>
          </cell>
          <cell r="N1252" t="str">
            <v>36-45 yrs</v>
          </cell>
        </row>
        <row r="1253">
          <cell r="A1253" t="str">
            <v>C2252</v>
          </cell>
          <cell r="E1253" t="str">
            <v>Mumbai</v>
          </cell>
          <cell r="F1253" t="str">
            <v>Month-to-month</v>
          </cell>
          <cell r="H1253">
            <v>899</v>
          </cell>
          <cell r="J1253" t="str">
            <v>Fiber</v>
          </cell>
          <cell r="L1253" t="str">
            <v>Yes</v>
          </cell>
          <cell r="M1253" t="str">
            <v>13-24 mo</v>
          </cell>
          <cell r="N1253" t="str">
            <v>46-60 yrs</v>
          </cell>
        </row>
        <row r="1254">
          <cell r="A1254" t="str">
            <v>C2253</v>
          </cell>
          <cell r="E1254" t="str">
            <v>Delhi</v>
          </cell>
          <cell r="F1254" t="str">
            <v>Two year</v>
          </cell>
          <cell r="H1254">
            <v>1099</v>
          </cell>
          <cell r="J1254" t="str">
            <v>Fiber</v>
          </cell>
          <cell r="L1254" t="str">
            <v>Yes</v>
          </cell>
          <cell r="M1254" t="str">
            <v>0-6 mo</v>
          </cell>
          <cell r="N1254" t="str">
            <v>26-35 yrs</v>
          </cell>
        </row>
        <row r="1255">
          <cell r="A1255" t="str">
            <v>C2254</v>
          </cell>
          <cell r="E1255" t="str">
            <v>Indore</v>
          </cell>
          <cell r="F1255" t="str">
            <v>One year</v>
          </cell>
          <cell r="H1255">
            <v>699</v>
          </cell>
          <cell r="J1255" t="str">
            <v>DSL</v>
          </cell>
          <cell r="L1255" t="str">
            <v>No</v>
          </cell>
          <cell r="M1255" t="str">
            <v>13-24 mo</v>
          </cell>
          <cell r="N1255" t="str">
            <v>26-35 yrs</v>
          </cell>
        </row>
        <row r="1256">
          <cell r="A1256" t="str">
            <v>C2255</v>
          </cell>
          <cell r="E1256" t="str">
            <v>Kochi</v>
          </cell>
          <cell r="F1256" t="str">
            <v>Month-to-month</v>
          </cell>
          <cell r="H1256">
            <v>599</v>
          </cell>
          <cell r="J1256" t="str">
            <v>DSL</v>
          </cell>
          <cell r="L1256" t="str">
            <v>No</v>
          </cell>
          <cell r="M1256" t="str">
            <v>13-24 mo</v>
          </cell>
          <cell r="N1256" t="str">
            <v>46-60 yrs</v>
          </cell>
        </row>
        <row r="1257">
          <cell r="A1257" t="str">
            <v>C2256</v>
          </cell>
          <cell r="E1257" t="str">
            <v>Pune</v>
          </cell>
          <cell r="F1257" t="str">
            <v>One year</v>
          </cell>
          <cell r="H1257">
            <v>1099</v>
          </cell>
          <cell r="J1257" t="str">
            <v>Fiber</v>
          </cell>
          <cell r="L1257" t="str">
            <v>No</v>
          </cell>
          <cell r="M1257" t="str">
            <v>7-12 mo</v>
          </cell>
          <cell r="N1257" t="str">
            <v>18-25 yrs</v>
          </cell>
        </row>
        <row r="1258">
          <cell r="A1258" t="str">
            <v>C2257</v>
          </cell>
          <cell r="E1258" t="str">
            <v>Chandigarh</v>
          </cell>
          <cell r="F1258" t="str">
            <v>Month-to-month</v>
          </cell>
          <cell r="H1258">
            <v>1149</v>
          </cell>
          <cell r="J1258" t="str">
            <v>Fiber</v>
          </cell>
          <cell r="L1258" t="str">
            <v>Yes</v>
          </cell>
          <cell r="M1258" t="str">
            <v>0-6 mo</v>
          </cell>
          <cell r="N1258" t="str">
            <v>46-60 yrs</v>
          </cell>
        </row>
        <row r="1259">
          <cell r="A1259" t="str">
            <v>C2258</v>
          </cell>
          <cell r="E1259" t="str">
            <v>Kochi</v>
          </cell>
          <cell r="F1259" t="str">
            <v>Month-to-month</v>
          </cell>
          <cell r="H1259">
            <v>1299</v>
          </cell>
          <cell r="J1259" t="str">
            <v>Fiber</v>
          </cell>
          <cell r="L1259" t="str">
            <v>Yes</v>
          </cell>
          <cell r="M1259" t="str">
            <v>13-24 mo</v>
          </cell>
          <cell r="N1259" t="str">
            <v>26-35 yrs</v>
          </cell>
        </row>
        <row r="1260">
          <cell r="A1260" t="str">
            <v>C2259</v>
          </cell>
          <cell r="E1260" t="str">
            <v>Lucknow</v>
          </cell>
          <cell r="F1260" t="str">
            <v>One year</v>
          </cell>
          <cell r="H1260">
            <v>999</v>
          </cell>
          <cell r="J1260" t="str">
            <v>Fiber</v>
          </cell>
          <cell r="L1260" t="str">
            <v>No</v>
          </cell>
          <cell r="M1260" t="str">
            <v>25-48 mo</v>
          </cell>
          <cell r="N1260" t="str">
            <v>46-60 yrs</v>
          </cell>
        </row>
        <row r="1261">
          <cell r="A1261" t="str">
            <v>C2260</v>
          </cell>
          <cell r="E1261" t="str">
            <v>Kolkata</v>
          </cell>
          <cell r="F1261" t="str">
            <v>Month-to-month</v>
          </cell>
          <cell r="H1261">
            <v>749</v>
          </cell>
          <cell r="J1261" t="str">
            <v>DSL</v>
          </cell>
          <cell r="L1261" t="str">
            <v>Yes</v>
          </cell>
          <cell r="M1261" t="str">
            <v>0-6 mo</v>
          </cell>
          <cell r="N1261" t="str">
            <v>36-45 yrs</v>
          </cell>
        </row>
        <row r="1262">
          <cell r="A1262" t="str">
            <v>C2261</v>
          </cell>
          <cell r="E1262" t="str">
            <v>Kochi</v>
          </cell>
          <cell r="F1262" t="str">
            <v>Month-to-month</v>
          </cell>
          <cell r="H1262">
            <v>1299</v>
          </cell>
          <cell r="J1262" t="str">
            <v>Fiber</v>
          </cell>
          <cell r="L1262" t="str">
            <v>Yes</v>
          </cell>
          <cell r="M1262" t="str">
            <v>0-6 mo</v>
          </cell>
          <cell r="N1262" t="str">
            <v>60+ yrs</v>
          </cell>
        </row>
        <row r="1263">
          <cell r="A1263" t="str">
            <v>C2262</v>
          </cell>
          <cell r="E1263" t="str">
            <v>Lucknow</v>
          </cell>
          <cell r="F1263" t="str">
            <v>Month-to-month</v>
          </cell>
          <cell r="H1263">
            <v>1149</v>
          </cell>
          <cell r="J1263" t="str">
            <v>Fiber</v>
          </cell>
          <cell r="L1263" t="str">
            <v>Yes</v>
          </cell>
          <cell r="M1263" t="str">
            <v>13-24 mo</v>
          </cell>
          <cell r="N1263" t="str">
            <v>60+ yrs</v>
          </cell>
        </row>
        <row r="1264">
          <cell r="A1264" t="str">
            <v>C2263</v>
          </cell>
          <cell r="E1264" t="str">
            <v>Delhi</v>
          </cell>
          <cell r="F1264" t="str">
            <v>Two year</v>
          </cell>
          <cell r="H1264">
            <v>1149</v>
          </cell>
          <cell r="J1264" t="str">
            <v>Fiber</v>
          </cell>
          <cell r="L1264" t="str">
            <v>No</v>
          </cell>
          <cell r="M1264" t="str">
            <v>49+ mo</v>
          </cell>
          <cell r="N1264" t="str">
            <v>46-60 yrs</v>
          </cell>
        </row>
        <row r="1265">
          <cell r="A1265" t="str">
            <v>C2264</v>
          </cell>
          <cell r="E1265" t="str">
            <v>Ahmedabad</v>
          </cell>
          <cell r="F1265" t="str">
            <v>Unknown</v>
          </cell>
          <cell r="H1265">
            <v>399</v>
          </cell>
          <cell r="J1265" t="str">
            <v>No Internet</v>
          </cell>
          <cell r="L1265" t="str">
            <v>No</v>
          </cell>
          <cell r="M1265" t="str">
            <v>25-48 mo</v>
          </cell>
          <cell r="N1265" t="str">
            <v>18-25 yrs</v>
          </cell>
        </row>
        <row r="1266">
          <cell r="A1266" t="str">
            <v>C2265</v>
          </cell>
          <cell r="E1266" t="str">
            <v>Bhopal</v>
          </cell>
          <cell r="F1266" t="str">
            <v>Month-to-month</v>
          </cell>
          <cell r="H1266">
            <v>849</v>
          </cell>
          <cell r="J1266" t="str">
            <v>DSL</v>
          </cell>
          <cell r="L1266" t="str">
            <v>No</v>
          </cell>
          <cell r="M1266" t="str">
            <v>7-12 mo</v>
          </cell>
          <cell r="N1266" t="str">
            <v>26-35 yrs</v>
          </cell>
        </row>
        <row r="1267">
          <cell r="A1267" t="str">
            <v>C2266</v>
          </cell>
          <cell r="E1267" t="str">
            <v>Bangalore</v>
          </cell>
          <cell r="F1267" t="str">
            <v>Month-to-month</v>
          </cell>
          <cell r="H1267">
            <v>699</v>
          </cell>
          <cell r="J1267" t="str">
            <v>DSL</v>
          </cell>
          <cell r="L1267" t="str">
            <v>No</v>
          </cell>
          <cell r="M1267" t="str">
            <v>13-24 mo</v>
          </cell>
          <cell r="N1267" t="str">
            <v>18-25 yrs</v>
          </cell>
        </row>
        <row r="1268">
          <cell r="A1268" t="str">
            <v>C2267</v>
          </cell>
          <cell r="E1268" t="str">
            <v>Chennai</v>
          </cell>
          <cell r="F1268" t="str">
            <v>Month-to-month</v>
          </cell>
          <cell r="H1268">
            <v>749</v>
          </cell>
          <cell r="J1268" t="str">
            <v>DSL</v>
          </cell>
          <cell r="L1268" t="str">
            <v>No</v>
          </cell>
          <cell r="M1268" t="str">
            <v>13-24 mo</v>
          </cell>
          <cell r="N1268" t="str">
            <v>60+ yrs</v>
          </cell>
        </row>
        <row r="1269">
          <cell r="A1269" t="str">
            <v>C2268</v>
          </cell>
          <cell r="E1269" t="str">
            <v>Bhopal</v>
          </cell>
          <cell r="F1269" t="str">
            <v>Month-to-month</v>
          </cell>
          <cell r="H1269">
            <v>1199</v>
          </cell>
          <cell r="J1269" t="str">
            <v>Fiber</v>
          </cell>
          <cell r="L1269" t="str">
            <v>Yes</v>
          </cell>
          <cell r="M1269" t="str">
            <v>13-24 mo</v>
          </cell>
          <cell r="N1269" t="str">
            <v>46-60 yrs</v>
          </cell>
        </row>
        <row r="1270">
          <cell r="A1270" t="str">
            <v>C2269</v>
          </cell>
          <cell r="E1270" t="str">
            <v>Bangalore</v>
          </cell>
          <cell r="F1270" t="str">
            <v>Month-to-month</v>
          </cell>
          <cell r="H1270">
            <v>699</v>
          </cell>
          <cell r="J1270" t="str">
            <v>DSL</v>
          </cell>
          <cell r="L1270" t="str">
            <v>Yes</v>
          </cell>
          <cell r="M1270" t="str">
            <v>13-24 mo</v>
          </cell>
          <cell r="N1270" t="str">
            <v>18-25 yrs</v>
          </cell>
        </row>
        <row r="1271">
          <cell r="A1271" t="str">
            <v>C2270</v>
          </cell>
          <cell r="E1271" t="str">
            <v>Kochi</v>
          </cell>
          <cell r="F1271" t="str">
            <v>Month-to-month</v>
          </cell>
          <cell r="H1271">
            <v>499</v>
          </cell>
          <cell r="J1271" t="str">
            <v>No Internet</v>
          </cell>
          <cell r="L1271" t="str">
            <v>Yes</v>
          </cell>
          <cell r="M1271" t="str">
            <v>7-12 mo</v>
          </cell>
          <cell r="N1271" t="str">
            <v>18-25 yrs</v>
          </cell>
        </row>
        <row r="1272">
          <cell r="A1272" t="str">
            <v>C2271</v>
          </cell>
          <cell r="E1272" t="str">
            <v>Mumbai</v>
          </cell>
          <cell r="F1272" t="str">
            <v>Month-to-month</v>
          </cell>
          <cell r="H1272">
            <v>349</v>
          </cell>
          <cell r="J1272" t="str">
            <v>No Internet</v>
          </cell>
          <cell r="L1272" t="str">
            <v>Yes</v>
          </cell>
          <cell r="M1272" t="str">
            <v>0-6 mo</v>
          </cell>
          <cell r="N1272" t="str">
            <v>18-25 yrs</v>
          </cell>
        </row>
        <row r="1273">
          <cell r="A1273" t="str">
            <v>C2272</v>
          </cell>
          <cell r="E1273" t="str">
            <v>Ahmedabad</v>
          </cell>
          <cell r="F1273" t="str">
            <v>One year</v>
          </cell>
          <cell r="H1273">
            <v>899</v>
          </cell>
          <cell r="J1273" t="str">
            <v>DSL</v>
          </cell>
          <cell r="L1273" t="str">
            <v>No</v>
          </cell>
          <cell r="M1273" t="str">
            <v>25-48 mo</v>
          </cell>
          <cell r="N1273" t="str">
            <v>26-35 yrs</v>
          </cell>
        </row>
        <row r="1274">
          <cell r="A1274" t="str">
            <v>C2273</v>
          </cell>
          <cell r="E1274" t="str">
            <v>Chennai</v>
          </cell>
          <cell r="F1274" t="str">
            <v>Two year</v>
          </cell>
          <cell r="H1274">
            <v>899</v>
          </cell>
          <cell r="J1274" t="str">
            <v>Fiber</v>
          </cell>
          <cell r="L1274" t="str">
            <v>No</v>
          </cell>
          <cell r="M1274" t="str">
            <v>25-48 mo</v>
          </cell>
          <cell r="N1274" t="str">
            <v>60+ yrs</v>
          </cell>
        </row>
        <row r="1275">
          <cell r="A1275" t="str">
            <v>C2274</v>
          </cell>
          <cell r="E1275" t="str">
            <v>Hyderabad</v>
          </cell>
          <cell r="F1275" t="str">
            <v>Month-to-month</v>
          </cell>
          <cell r="H1275">
            <v>1099</v>
          </cell>
          <cell r="J1275" t="str">
            <v>Fiber</v>
          </cell>
          <cell r="L1275" t="str">
            <v>No</v>
          </cell>
          <cell r="M1275" t="str">
            <v>0-6 mo</v>
          </cell>
          <cell r="N1275" t="str">
            <v>46-60 yrs</v>
          </cell>
        </row>
        <row r="1276">
          <cell r="A1276" t="str">
            <v>C2275</v>
          </cell>
          <cell r="E1276" t="str">
            <v>Jaipur</v>
          </cell>
          <cell r="F1276" t="str">
            <v>Two year</v>
          </cell>
          <cell r="H1276">
            <v>749</v>
          </cell>
          <cell r="J1276" t="str">
            <v>DSL</v>
          </cell>
          <cell r="L1276" t="str">
            <v>Yes</v>
          </cell>
          <cell r="M1276" t="str">
            <v>7-12 mo</v>
          </cell>
          <cell r="N1276" t="str">
            <v>46-60 yrs</v>
          </cell>
        </row>
        <row r="1277">
          <cell r="A1277" t="str">
            <v>C2276</v>
          </cell>
          <cell r="E1277" t="str">
            <v>Bangalore</v>
          </cell>
          <cell r="F1277" t="str">
            <v>Two year</v>
          </cell>
          <cell r="H1277">
            <v>899</v>
          </cell>
          <cell r="J1277" t="str">
            <v>Fiber</v>
          </cell>
          <cell r="L1277" t="str">
            <v>Yes</v>
          </cell>
          <cell r="M1277" t="str">
            <v>0-6 mo</v>
          </cell>
          <cell r="N1277" t="str">
            <v>18-25 yrs</v>
          </cell>
        </row>
        <row r="1278">
          <cell r="A1278" t="str">
            <v>C2277</v>
          </cell>
          <cell r="E1278" t="str">
            <v>Lucknow</v>
          </cell>
          <cell r="F1278" t="str">
            <v>Month-to-month</v>
          </cell>
          <cell r="H1278">
            <v>799</v>
          </cell>
          <cell r="J1278" t="str">
            <v>DSL</v>
          </cell>
          <cell r="L1278" t="str">
            <v>Yes</v>
          </cell>
          <cell r="M1278" t="str">
            <v>13-24 mo</v>
          </cell>
          <cell r="N1278" t="str">
            <v>18-25 yrs</v>
          </cell>
        </row>
        <row r="1279">
          <cell r="A1279" t="str">
            <v>C2278</v>
          </cell>
          <cell r="E1279" t="str">
            <v>Indore</v>
          </cell>
          <cell r="F1279" t="str">
            <v>Month-to-month</v>
          </cell>
          <cell r="H1279">
            <v>749</v>
          </cell>
          <cell r="J1279" t="str">
            <v>DSL</v>
          </cell>
          <cell r="L1279" t="str">
            <v>No</v>
          </cell>
          <cell r="M1279" t="str">
            <v>13-24 mo</v>
          </cell>
          <cell r="N1279" t="str">
            <v>26-35 yrs</v>
          </cell>
        </row>
        <row r="1280">
          <cell r="A1280" t="str">
            <v>C2279</v>
          </cell>
          <cell r="E1280" t="str">
            <v>Indore</v>
          </cell>
          <cell r="F1280" t="str">
            <v>Unknown</v>
          </cell>
          <cell r="H1280">
            <v>449</v>
          </cell>
          <cell r="J1280" t="str">
            <v>Unknown</v>
          </cell>
          <cell r="L1280" t="str">
            <v>No</v>
          </cell>
          <cell r="M1280" t="str">
            <v>25-48 mo</v>
          </cell>
          <cell r="N1280" t="str">
            <v>36-45 yrs</v>
          </cell>
        </row>
        <row r="1281">
          <cell r="A1281" t="str">
            <v>C2280</v>
          </cell>
          <cell r="E1281" t="str">
            <v>Kolkata</v>
          </cell>
          <cell r="F1281" t="str">
            <v>One year</v>
          </cell>
          <cell r="H1281">
            <v>999</v>
          </cell>
          <cell r="J1281" t="str">
            <v>Fiber</v>
          </cell>
          <cell r="L1281" t="str">
            <v>No</v>
          </cell>
          <cell r="M1281" t="str">
            <v>13-24 mo</v>
          </cell>
          <cell r="N1281" t="str">
            <v>46-60 yrs</v>
          </cell>
        </row>
        <row r="1282">
          <cell r="A1282" t="str">
            <v>C2281</v>
          </cell>
          <cell r="E1282" t="str">
            <v>Ahmedabad</v>
          </cell>
          <cell r="F1282" t="str">
            <v>Month-to-month</v>
          </cell>
          <cell r="H1282">
            <v>1049</v>
          </cell>
          <cell r="J1282" t="str">
            <v>Fiber</v>
          </cell>
          <cell r="L1282" t="str">
            <v>Yes</v>
          </cell>
          <cell r="M1282" t="str">
            <v>7-12 mo</v>
          </cell>
          <cell r="N1282" t="str">
            <v>60+ yrs</v>
          </cell>
        </row>
        <row r="1283">
          <cell r="A1283" t="str">
            <v>C2282</v>
          </cell>
          <cell r="E1283" t="str">
            <v>Hyderabad</v>
          </cell>
          <cell r="F1283" t="str">
            <v>One year</v>
          </cell>
          <cell r="H1283">
            <v>549</v>
          </cell>
          <cell r="J1283" t="str">
            <v>No Internet</v>
          </cell>
          <cell r="L1283" t="str">
            <v>No</v>
          </cell>
          <cell r="M1283" t="str">
            <v>25-48 mo</v>
          </cell>
          <cell r="N1283" t="str">
            <v>60+ yrs</v>
          </cell>
        </row>
        <row r="1284">
          <cell r="A1284" t="str">
            <v>C2283</v>
          </cell>
          <cell r="E1284" t="str">
            <v>Hyderabad</v>
          </cell>
          <cell r="F1284" t="str">
            <v>Month-to-month</v>
          </cell>
          <cell r="H1284">
            <v>1099</v>
          </cell>
          <cell r="J1284" t="str">
            <v>Fiber</v>
          </cell>
          <cell r="L1284" t="str">
            <v>No</v>
          </cell>
          <cell r="M1284" t="str">
            <v>13-24 mo</v>
          </cell>
          <cell r="N1284" t="str">
            <v>36-45 yrs</v>
          </cell>
        </row>
        <row r="1285">
          <cell r="A1285" t="str">
            <v>C2284</v>
          </cell>
          <cell r="E1285" t="str">
            <v>Pune</v>
          </cell>
          <cell r="F1285" t="str">
            <v>One year</v>
          </cell>
          <cell r="H1285">
            <v>799</v>
          </cell>
          <cell r="J1285" t="str">
            <v>DSL</v>
          </cell>
          <cell r="L1285" t="str">
            <v>No</v>
          </cell>
          <cell r="M1285" t="str">
            <v>25-48 mo</v>
          </cell>
          <cell r="N1285" t="str">
            <v>26-35 yrs</v>
          </cell>
        </row>
        <row r="1286">
          <cell r="A1286" t="str">
            <v>C2285</v>
          </cell>
          <cell r="E1286" t="str">
            <v>Bangalore</v>
          </cell>
          <cell r="F1286" t="str">
            <v>Month-to-month</v>
          </cell>
          <cell r="H1286">
            <v>999</v>
          </cell>
          <cell r="J1286" t="str">
            <v>Fiber</v>
          </cell>
          <cell r="L1286" t="str">
            <v>No</v>
          </cell>
          <cell r="M1286" t="str">
            <v>13-24 mo</v>
          </cell>
          <cell r="N1286" t="str">
            <v>46-60 yrs</v>
          </cell>
        </row>
        <row r="1287">
          <cell r="A1287" t="str">
            <v>C2286</v>
          </cell>
          <cell r="E1287" t="str">
            <v>Ahmedabad</v>
          </cell>
          <cell r="F1287" t="str">
            <v>Month-to-month</v>
          </cell>
          <cell r="H1287">
            <v>1149</v>
          </cell>
          <cell r="J1287" t="str">
            <v>Fiber</v>
          </cell>
          <cell r="L1287" t="str">
            <v>No</v>
          </cell>
          <cell r="M1287" t="str">
            <v>13-24 mo</v>
          </cell>
          <cell r="N1287" t="str">
            <v>36-45 yrs</v>
          </cell>
        </row>
        <row r="1288">
          <cell r="A1288" t="str">
            <v>C2287</v>
          </cell>
          <cell r="E1288" t="str">
            <v>Delhi</v>
          </cell>
          <cell r="F1288" t="str">
            <v>Month-to-month</v>
          </cell>
          <cell r="H1288">
            <v>349</v>
          </cell>
          <cell r="J1288" t="str">
            <v>No Internet</v>
          </cell>
          <cell r="L1288" t="str">
            <v>Yes</v>
          </cell>
          <cell r="M1288" t="str">
            <v>0-6 mo</v>
          </cell>
          <cell r="N1288" t="str">
            <v>18-25 yrs</v>
          </cell>
        </row>
        <row r="1289">
          <cell r="A1289" t="str">
            <v>C2288</v>
          </cell>
          <cell r="E1289" t="str">
            <v>Hyderabad</v>
          </cell>
          <cell r="F1289" t="str">
            <v>Month-to-month</v>
          </cell>
          <cell r="H1289">
            <v>699</v>
          </cell>
          <cell r="J1289" t="str">
            <v>DSL</v>
          </cell>
          <cell r="L1289" t="str">
            <v>No</v>
          </cell>
          <cell r="M1289" t="str">
            <v>13-24 mo</v>
          </cell>
          <cell r="N1289" t="str">
            <v>26-35 yrs</v>
          </cell>
        </row>
        <row r="1290">
          <cell r="A1290" t="str">
            <v>C2289</v>
          </cell>
          <cell r="E1290" t="str">
            <v>Kochi</v>
          </cell>
          <cell r="F1290" t="str">
            <v>One year</v>
          </cell>
          <cell r="H1290">
            <v>349</v>
          </cell>
          <cell r="J1290" t="str">
            <v>No Internet</v>
          </cell>
          <cell r="L1290" t="str">
            <v>Unknown</v>
          </cell>
          <cell r="M1290" t="str">
            <v>7-12 mo</v>
          </cell>
          <cell r="N1290" t="str">
            <v>18-25 yrs</v>
          </cell>
        </row>
        <row r="1291">
          <cell r="A1291" t="str">
            <v>C2290</v>
          </cell>
          <cell r="E1291" t="str">
            <v>Indore</v>
          </cell>
          <cell r="F1291" t="str">
            <v>Month-to-month</v>
          </cell>
          <cell r="H1291">
            <v>349</v>
          </cell>
          <cell r="J1291" t="str">
            <v>No Internet</v>
          </cell>
          <cell r="L1291" t="str">
            <v>No</v>
          </cell>
          <cell r="M1291" t="str">
            <v>13-24 mo</v>
          </cell>
          <cell r="N1291" t="str">
            <v>46-60 yrs</v>
          </cell>
        </row>
        <row r="1292">
          <cell r="A1292" t="str">
            <v>C2291</v>
          </cell>
          <cell r="E1292" t="str">
            <v>Kolkata</v>
          </cell>
          <cell r="F1292" t="str">
            <v>Month-to-month</v>
          </cell>
          <cell r="H1292">
            <v>1199</v>
          </cell>
          <cell r="J1292" t="str">
            <v>Fiber</v>
          </cell>
          <cell r="L1292" t="str">
            <v>No</v>
          </cell>
          <cell r="M1292" t="str">
            <v>0-6 mo</v>
          </cell>
          <cell r="N1292" t="str">
            <v>26-35 yrs</v>
          </cell>
        </row>
        <row r="1293">
          <cell r="A1293" t="str">
            <v>C2292</v>
          </cell>
          <cell r="E1293" t="str">
            <v>Indore</v>
          </cell>
          <cell r="F1293" t="str">
            <v>One year</v>
          </cell>
          <cell r="H1293">
            <v>399</v>
          </cell>
          <cell r="J1293" t="str">
            <v>No Internet</v>
          </cell>
          <cell r="L1293" t="str">
            <v>Yes</v>
          </cell>
          <cell r="M1293" t="str">
            <v>0-6 mo</v>
          </cell>
          <cell r="N1293" t="str">
            <v>46-60 yrs</v>
          </cell>
        </row>
        <row r="1294">
          <cell r="A1294" t="str">
            <v>C2293</v>
          </cell>
          <cell r="E1294" t="str">
            <v>Unknown</v>
          </cell>
          <cell r="F1294" t="str">
            <v>Month-to-month</v>
          </cell>
          <cell r="H1294">
            <v>1299</v>
          </cell>
          <cell r="J1294" t="str">
            <v>Fiber</v>
          </cell>
          <cell r="L1294" t="str">
            <v>Unknown</v>
          </cell>
          <cell r="M1294" t="str">
            <v>7-12 mo</v>
          </cell>
          <cell r="N1294" t="str">
            <v>60+ yrs</v>
          </cell>
        </row>
        <row r="1295">
          <cell r="A1295" t="str">
            <v>C2294</v>
          </cell>
          <cell r="E1295" t="str">
            <v>Lucknow</v>
          </cell>
          <cell r="F1295" t="str">
            <v>Month-to-month</v>
          </cell>
          <cell r="H1295">
            <v>649</v>
          </cell>
          <cell r="J1295" t="str">
            <v>DSL</v>
          </cell>
          <cell r="L1295" t="str">
            <v>No</v>
          </cell>
          <cell r="M1295" t="str">
            <v>7-12 mo</v>
          </cell>
          <cell r="N1295" t="str">
            <v>46-60 yrs</v>
          </cell>
        </row>
        <row r="1296">
          <cell r="A1296" t="str">
            <v>C2295</v>
          </cell>
          <cell r="E1296" t="str">
            <v>Bangalore</v>
          </cell>
          <cell r="F1296" t="str">
            <v>Month-to-month</v>
          </cell>
          <cell r="H1296">
            <v>699</v>
          </cell>
          <cell r="J1296" t="str">
            <v>DSL</v>
          </cell>
          <cell r="L1296" t="str">
            <v>Yes</v>
          </cell>
          <cell r="M1296" t="str">
            <v>7-12 mo</v>
          </cell>
          <cell r="N1296" t="str">
            <v>60+ yrs</v>
          </cell>
        </row>
        <row r="1297">
          <cell r="A1297" t="str">
            <v>C2296</v>
          </cell>
          <cell r="E1297" t="str">
            <v>Delhi</v>
          </cell>
          <cell r="F1297" t="str">
            <v>Month-to-month</v>
          </cell>
          <cell r="H1297">
            <v>549</v>
          </cell>
          <cell r="J1297" t="str">
            <v>No Internet</v>
          </cell>
          <cell r="L1297" t="str">
            <v>Yes</v>
          </cell>
          <cell r="M1297" t="str">
            <v>13-24 mo</v>
          </cell>
          <cell r="N1297" t="str">
            <v>46-60 yrs</v>
          </cell>
        </row>
        <row r="1298">
          <cell r="A1298" t="str">
            <v>C2297</v>
          </cell>
          <cell r="E1298" t="str">
            <v>Delhi</v>
          </cell>
          <cell r="F1298" t="str">
            <v>One year</v>
          </cell>
          <cell r="H1298">
            <v>699</v>
          </cell>
          <cell r="J1298" t="str">
            <v>DSL</v>
          </cell>
          <cell r="L1298" t="str">
            <v>No</v>
          </cell>
          <cell r="M1298" t="str">
            <v>25-48 mo</v>
          </cell>
          <cell r="N1298" t="str">
            <v>36-45 yrs</v>
          </cell>
        </row>
        <row r="1299">
          <cell r="A1299" t="str">
            <v>C2298</v>
          </cell>
          <cell r="E1299" t="str">
            <v>Bangalore</v>
          </cell>
          <cell r="F1299" t="str">
            <v>Two year</v>
          </cell>
          <cell r="H1299">
            <v>1099</v>
          </cell>
          <cell r="J1299" t="str">
            <v>Fiber</v>
          </cell>
          <cell r="L1299" t="str">
            <v>No</v>
          </cell>
          <cell r="M1299" t="str">
            <v>49+ mo</v>
          </cell>
          <cell r="N1299" t="str">
            <v>36-45 yrs</v>
          </cell>
        </row>
        <row r="1300">
          <cell r="A1300" t="str">
            <v>C2299</v>
          </cell>
          <cell r="E1300" t="str">
            <v>Chandigarh</v>
          </cell>
          <cell r="F1300" t="str">
            <v>Month-to-month</v>
          </cell>
          <cell r="H1300">
            <v>899</v>
          </cell>
          <cell r="J1300" t="str">
            <v>DSL</v>
          </cell>
          <cell r="L1300" t="str">
            <v>Yes</v>
          </cell>
          <cell r="M1300" t="str">
            <v>0-6 mo</v>
          </cell>
          <cell r="N1300" t="str">
            <v>36-45 yrs</v>
          </cell>
        </row>
        <row r="1301">
          <cell r="A1301" t="str">
            <v>C2300</v>
          </cell>
          <cell r="E1301" t="str">
            <v>Kochi</v>
          </cell>
          <cell r="F1301" t="str">
            <v>Month-to-month</v>
          </cell>
          <cell r="H1301">
            <v>599</v>
          </cell>
          <cell r="J1301" t="str">
            <v>DSL</v>
          </cell>
          <cell r="L1301" t="str">
            <v>No</v>
          </cell>
          <cell r="M1301" t="str">
            <v>0-6 mo</v>
          </cell>
          <cell r="N1301" t="str">
            <v>46-60 yrs</v>
          </cell>
        </row>
        <row r="1302">
          <cell r="A1302" t="str">
            <v>C2301</v>
          </cell>
          <cell r="E1302" t="str">
            <v>Chandigarh</v>
          </cell>
          <cell r="F1302" t="str">
            <v>Two year</v>
          </cell>
          <cell r="H1302">
            <v>1199</v>
          </cell>
          <cell r="J1302" t="str">
            <v>Fiber</v>
          </cell>
          <cell r="L1302" t="str">
            <v>No</v>
          </cell>
          <cell r="M1302" t="str">
            <v>25-48 mo</v>
          </cell>
          <cell r="N1302" t="str">
            <v>46-60 yrs</v>
          </cell>
        </row>
        <row r="1303">
          <cell r="A1303" t="str">
            <v>C2302</v>
          </cell>
          <cell r="E1303" t="str">
            <v>Bangalore</v>
          </cell>
          <cell r="F1303" t="str">
            <v>Month-to-month</v>
          </cell>
          <cell r="H1303">
            <v>399</v>
          </cell>
          <cell r="J1303" t="str">
            <v>No Internet</v>
          </cell>
          <cell r="L1303" t="str">
            <v>Yes</v>
          </cell>
          <cell r="M1303" t="str">
            <v>0-6 mo</v>
          </cell>
          <cell r="N1303" t="str">
            <v>18-25 yrs</v>
          </cell>
        </row>
        <row r="1304">
          <cell r="A1304" t="str">
            <v>C2303</v>
          </cell>
          <cell r="E1304" t="str">
            <v>Jaipur</v>
          </cell>
          <cell r="F1304" t="str">
            <v>Month-to-month</v>
          </cell>
          <cell r="H1304">
            <v>399</v>
          </cell>
          <cell r="J1304" t="str">
            <v>Unknown</v>
          </cell>
          <cell r="L1304" t="str">
            <v>No</v>
          </cell>
          <cell r="M1304" t="str">
            <v>13-24 mo</v>
          </cell>
          <cell r="N1304" t="str">
            <v>46-60 yrs</v>
          </cell>
        </row>
        <row r="1305">
          <cell r="A1305" t="str">
            <v>C2304</v>
          </cell>
          <cell r="E1305" t="str">
            <v>Delhi</v>
          </cell>
          <cell r="F1305" t="str">
            <v>Month-to-month</v>
          </cell>
          <cell r="H1305">
            <v>549</v>
          </cell>
          <cell r="J1305" t="str">
            <v>No Internet</v>
          </cell>
          <cell r="L1305" t="str">
            <v>No</v>
          </cell>
          <cell r="M1305" t="str">
            <v>7-12 mo</v>
          </cell>
          <cell r="N1305" t="str">
            <v>46-60 yrs</v>
          </cell>
        </row>
        <row r="1306">
          <cell r="A1306" t="str">
            <v>C2305</v>
          </cell>
          <cell r="E1306" t="str">
            <v>Chandigarh</v>
          </cell>
          <cell r="F1306" t="str">
            <v>Month-to-month</v>
          </cell>
          <cell r="H1306">
            <v>549</v>
          </cell>
          <cell r="J1306" t="str">
            <v>No Internet</v>
          </cell>
          <cell r="L1306" t="str">
            <v>Yes</v>
          </cell>
          <cell r="M1306" t="str">
            <v>0-6 mo</v>
          </cell>
          <cell r="N1306" t="str">
            <v>26-35 yrs</v>
          </cell>
        </row>
        <row r="1307">
          <cell r="A1307" t="str">
            <v>C2306</v>
          </cell>
          <cell r="E1307" t="str">
            <v>Chandigarh</v>
          </cell>
          <cell r="F1307" t="str">
            <v>Month-to-month</v>
          </cell>
          <cell r="H1307">
            <v>849</v>
          </cell>
          <cell r="J1307" t="str">
            <v>DSL</v>
          </cell>
          <cell r="L1307" t="str">
            <v>Yes</v>
          </cell>
          <cell r="M1307" t="str">
            <v>0-6 mo</v>
          </cell>
          <cell r="N1307" t="str">
            <v>26-35 yrs</v>
          </cell>
        </row>
        <row r="1308">
          <cell r="A1308" t="str">
            <v>C2307</v>
          </cell>
          <cell r="E1308" t="str">
            <v>Pune</v>
          </cell>
          <cell r="F1308" t="str">
            <v>Two year</v>
          </cell>
          <cell r="H1308">
            <v>599</v>
          </cell>
          <cell r="J1308" t="str">
            <v>DSL</v>
          </cell>
          <cell r="L1308" t="str">
            <v>Yes</v>
          </cell>
          <cell r="M1308" t="str">
            <v>49+ mo</v>
          </cell>
          <cell r="N1308" t="str">
            <v>46-60 yrs</v>
          </cell>
        </row>
        <row r="1309">
          <cell r="A1309" t="str">
            <v>C2308</v>
          </cell>
          <cell r="E1309" t="str">
            <v>Pune</v>
          </cell>
          <cell r="F1309" t="str">
            <v>One year</v>
          </cell>
          <cell r="H1309">
            <v>1049</v>
          </cell>
          <cell r="J1309" t="str">
            <v>Fiber</v>
          </cell>
          <cell r="L1309" t="str">
            <v>No</v>
          </cell>
          <cell r="M1309" t="str">
            <v>0-6 mo</v>
          </cell>
          <cell r="N1309" t="str">
            <v>60+ yrs</v>
          </cell>
        </row>
        <row r="1310">
          <cell r="A1310" t="str">
            <v>C2309</v>
          </cell>
          <cell r="E1310" t="str">
            <v>Kochi</v>
          </cell>
          <cell r="F1310" t="str">
            <v>Month-to-month</v>
          </cell>
          <cell r="H1310">
            <v>999</v>
          </cell>
          <cell r="J1310" t="str">
            <v>Fiber</v>
          </cell>
          <cell r="L1310" t="str">
            <v>Yes</v>
          </cell>
          <cell r="M1310" t="str">
            <v>13-24 mo</v>
          </cell>
          <cell r="N1310" t="str">
            <v>36-45 yrs</v>
          </cell>
        </row>
        <row r="1311">
          <cell r="A1311" t="str">
            <v>C2310</v>
          </cell>
          <cell r="E1311" t="str">
            <v>Ahmedabad</v>
          </cell>
          <cell r="F1311" t="str">
            <v>Month-to-month</v>
          </cell>
          <cell r="H1311">
            <v>1299</v>
          </cell>
          <cell r="J1311" t="str">
            <v>Fiber</v>
          </cell>
          <cell r="L1311" t="str">
            <v>Yes</v>
          </cell>
          <cell r="M1311" t="str">
            <v>13-24 mo</v>
          </cell>
          <cell r="N1311" t="str">
            <v>60+ yrs</v>
          </cell>
        </row>
        <row r="1312">
          <cell r="A1312" t="str">
            <v>C2311</v>
          </cell>
          <cell r="E1312" t="str">
            <v>Bangalore</v>
          </cell>
          <cell r="F1312" t="str">
            <v>One year</v>
          </cell>
          <cell r="H1312">
            <v>1049</v>
          </cell>
          <cell r="J1312" t="str">
            <v>Fiber</v>
          </cell>
          <cell r="L1312" t="str">
            <v>No</v>
          </cell>
          <cell r="M1312" t="str">
            <v>7-12 mo</v>
          </cell>
          <cell r="N1312" t="str">
            <v>60+ yrs</v>
          </cell>
        </row>
        <row r="1313">
          <cell r="A1313" t="str">
            <v>C2312</v>
          </cell>
          <cell r="E1313" t="str">
            <v>Hyderabad</v>
          </cell>
          <cell r="F1313" t="str">
            <v>Month-to-month</v>
          </cell>
          <cell r="H1313">
            <v>1049</v>
          </cell>
          <cell r="J1313" t="str">
            <v>Fiber</v>
          </cell>
          <cell r="L1313" t="str">
            <v>Yes</v>
          </cell>
          <cell r="M1313" t="str">
            <v>0-6 mo</v>
          </cell>
          <cell r="N1313" t="str">
            <v>26-35 yrs</v>
          </cell>
        </row>
        <row r="1314">
          <cell r="A1314" t="str">
            <v>C2313</v>
          </cell>
          <cell r="E1314" t="str">
            <v>Hyderabad</v>
          </cell>
          <cell r="F1314" t="str">
            <v>Month-to-month</v>
          </cell>
          <cell r="H1314">
            <v>1099</v>
          </cell>
          <cell r="J1314" t="str">
            <v>Fiber</v>
          </cell>
          <cell r="L1314" t="str">
            <v>No</v>
          </cell>
          <cell r="M1314" t="str">
            <v>13-24 mo</v>
          </cell>
          <cell r="N1314" t="str">
            <v>26-35 yrs</v>
          </cell>
        </row>
        <row r="1315">
          <cell r="A1315" t="str">
            <v>C2314</v>
          </cell>
          <cell r="E1315" t="str">
            <v>Pune</v>
          </cell>
          <cell r="F1315" t="str">
            <v>One year</v>
          </cell>
          <cell r="H1315">
            <v>1149</v>
          </cell>
          <cell r="J1315" t="str">
            <v>Fiber</v>
          </cell>
          <cell r="L1315" t="str">
            <v>No</v>
          </cell>
          <cell r="M1315" t="str">
            <v>7-12 mo</v>
          </cell>
          <cell r="N1315" t="str">
            <v>18-25 yrs</v>
          </cell>
        </row>
        <row r="1316">
          <cell r="A1316" t="str">
            <v>C2315</v>
          </cell>
          <cell r="E1316" t="str">
            <v>Unknown</v>
          </cell>
          <cell r="F1316" t="str">
            <v>Month-to-month</v>
          </cell>
          <cell r="H1316">
            <v>749</v>
          </cell>
          <cell r="J1316" t="str">
            <v>DSL</v>
          </cell>
          <cell r="L1316" t="str">
            <v>No</v>
          </cell>
          <cell r="M1316" t="str">
            <v>13-24 mo</v>
          </cell>
          <cell r="N1316" t="str">
            <v>46-60 yrs</v>
          </cell>
        </row>
        <row r="1317">
          <cell r="A1317" t="str">
            <v>C2316</v>
          </cell>
          <cell r="E1317" t="str">
            <v>Kochi</v>
          </cell>
          <cell r="F1317" t="str">
            <v>One year</v>
          </cell>
          <cell r="H1317">
            <v>749</v>
          </cell>
          <cell r="J1317" t="str">
            <v>DSL</v>
          </cell>
          <cell r="L1317" t="str">
            <v>No</v>
          </cell>
          <cell r="M1317" t="str">
            <v>25-48 mo</v>
          </cell>
          <cell r="N1317" t="str">
            <v>36-45 yrs</v>
          </cell>
        </row>
        <row r="1318">
          <cell r="A1318" t="str">
            <v>C2317</v>
          </cell>
          <cell r="E1318" t="str">
            <v>Hyderabad</v>
          </cell>
          <cell r="F1318" t="str">
            <v>Two year</v>
          </cell>
          <cell r="H1318">
            <v>549</v>
          </cell>
          <cell r="J1318" t="str">
            <v>No Internet</v>
          </cell>
          <cell r="L1318" t="str">
            <v>No</v>
          </cell>
          <cell r="M1318" t="str">
            <v>49+ mo</v>
          </cell>
          <cell r="N1318" t="str">
            <v>60+ yrs</v>
          </cell>
        </row>
        <row r="1319">
          <cell r="A1319" t="str">
            <v>C2318</v>
          </cell>
          <cell r="E1319" t="str">
            <v>Kochi</v>
          </cell>
          <cell r="F1319" t="str">
            <v>One year</v>
          </cell>
          <cell r="H1319">
            <v>549</v>
          </cell>
          <cell r="J1319" t="str">
            <v>No Internet</v>
          </cell>
          <cell r="L1319" t="str">
            <v>No</v>
          </cell>
          <cell r="M1319" t="str">
            <v>13-24 mo</v>
          </cell>
          <cell r="N1319" t="str">
            <v>36-45 yrs</v>
          </cell>
        </row>
        <row r="1320">
          <cell r="A1320" t="str">
            <v>C2319</v>
          </cell>
          <cell r="E1320" t="str">
            <v>Delhi</v>
          </cell>
          <cell r="F1320" t="str">
            <v>Month-to-month</v>
          </cell>
          <cell r="H1320">
            <v>549</v>
          </cell>
          <cell r="J1320" t="str">
            <v>No Internet</v>
          </cell>
          <cell r="L1320" t="str">
            <v>Yes</v>
          </cell>
          <cell r="M1320" t="str">
            <v>13-24 mo</v>
          </cell>
          <cell r="N1320" t="str">
            <v>46-60 yrs</v>
          </cell>
        </row>
        <row r="1321">
          <cell r="A1321" t="str">
            <v>C2320</v>
          </cell>
          <cell r="E1321" t="str">
            <v>Bhopal</v>
          </cell>
          <cell r="F1321" t="str">
            <v>Month-to-month</v>
          </cell>
          <cell r="H1321">
            <v>1299</v>
          </cell>
          <cell r="J1321" t="str">
            <v>Fiber</v>
          </cell>
          <cell r="L1321" t="str">
            <v>No</v>
          </cell>
          <cell r="M1321" t="str">
            <v>7-12 mo</v>
          </cell>
          <cell r="N1321" t="str">
            <v>60+ yrs</v>
          </cell>
        </row>
        <row r="1322">
          <cell r="A1322" t="str">
            <v>C2321</v>
          </cell>
          <cell r="E1322" t="str">
            <v>Indore</v>
          </cell>
          <cell r="F1322" t="str">
            <v>Month-to-month</v>
          </cell>
          <cell r="H1322">
            <v>1149</v>
          </cell>
          <cell r="J1322" t="str">
            <v>Fiber</v>
          </cell>
          <cell r="L1322" t="str">
            <v>Unknown</v>
          </cell>
          <cell r="M1322" t="str">
            <v>13-24 mo</v>
          </cell>
          <cell r="N1322" t="str">
            <v>26-35 yrs</v>
          </cell>
        </row>
        <row r="1323">
          <cell r="A1323" t="str">
            <v>C2322</v>
          </cell>
          <cell r="E1323" t="str">
            <v>Jaipur</v>
          </cell>
          <cell r="F1323" t="str">
            <v>Month-to-month</v>
          </cell>
          <cell r="H1323">
            <v>349</v>
          </cell>
          <cell r="J1323" t="str">
            <v>No Internet</v>
          </cell>
          <cell r="L1323" t="str">
            <v>Yes</v>
          </cell>
          <cell r="M1323" t="str">
            <v>7-12 mo</v>
          </cell>
          <cell r="N1323" t="str">
            <v>60+ yrs</v>
          </cell>
        </row>
        <row r="1324">
          <cell r="A1324" t="str">
            <v>C2323</v>
          </cell>
          <cell r="E1324" t="str">
            <v>Hyderabad</v>
          </cell>
          <cell r="F1324" t="str">
            <v>One year</v>
          </cell>
          <cell r="H1324">
            <v>1049</v>
          </cell>
          <cell r="J1324" t="str">
            <v>Fiber</v>
          </cell>
          <cell r="L1324" t="str">
            <v>Yes</v>
          </cell>
          <cell r="M1324" t="str">
            <v>0-6 mo</v>
          </cell>
          <cell r="N1324" t="str">
            <v>36-45 yrs</v>
          </cell>
        </row>
        <row r="1325">
          <cell r="A1325" t="str">
            <v>C2324</v>
          </cell>
          <cell r="E1325" t="str">
            <v>Ahmedabad</v>
          </cell>
          <cell r="F1325" t="str">
            <v>One year</v>
          </cell>
          <cell r="H1325">
            <v>549</v>
          </cell>
          <cell r="J1325" t="str">
            <v>No Internet</v>
          </cell>
          <cell r="L1325" t="str">
            <v>No</v>
          </cell>
          <cell r="M1325" t="str">
            <v>25-48 mo</v>
          </cell>
          <cell r="N1325" t="str">
            <v>36-45 yrs</v>
          </cell>
        </row>
        <row r="1326">
          <cell r="A1326" t="str">
            <v>C2325</v>
          </cell>
          <cell r="E1326" t="str">
            <v>Chennai</v>
          </cell>
          <cell r="F1326" t="str">
            <v>Month-to-month</v>
          </cell>
          <cell r="H1326">
            <v>1149</v>
          </cell>
          <cell r="J1326" t="str">
            <v>Fiber</v>
          </cell>
          <cell r="L1326" t="str">
            <v>Yes</v>
          </cell>
          <cell r="M1326" t="str">
            <v>7-12 mo</v>
          </cell>
          <cell r="N1326" t="str">
            <v>46-60 yrs</v>
          </cell>
        </row>
        <row r="1327">
          <cell r="A1327" t="str">
            <v>C2326</v>
          </cell>
          <cell r="E1327" t="str">
            <v>Ahmedabad</v>
          </cell>
          <cell r="F1327" t="str">
            <v>Month-to-month</v>
          </cell>
          <cell r="H1327">
            <v>749</v>
          </cell>
          <cell r="J1327" t="str">
            <v>DSL</v>
          </cell>
          <cell r="L1327" t="str">
            <v>No</v>
          </cell>
          <cell r="M1327" t="str">
            <v>13-24 mo</v>
          </cell>
          <cell r="N1327" t="str">
            <v>46-60 yrs</v>
          </cell>
        </row>
        <row r="1328">
          <cell r="A1328" t="str">
            <v>C2327</v>
          </cell>
          <cell r="E1328" t="str">
            <v>Lucknow</v>
          </cell>
          <cell r="F1328" t="str">
            <v>Two year</v>
          </cell>
          <cell r="H1328">
            <v>699</v>
          </cell>
          <cell r="J1328" t="str">
            <v>DSL</v>
          </cell>
          <cell r="L1328" t="str">
            <v>Yes</v>
          </cell>
          <cell r="M1328" t="str">
            <v>25-48 mo</v>
          </cell>
          <cell r="N1328" t="str">
            <v>36-45 yrs</v>
          </cell>
        </row>
        <row r="1329">
          <cell r="A1329" t="str">
            <v>C2328</v>
          </cell>
          <cell r="E1329" t="str">
            <v>Mumbai</v>
          </cell>
          <cell r="F1329" t="str">
            <v>Month-to-month</v>
          </cell>
          <cell r="H1329">
            <v>849</v>
          </cell>
          <cell r="J1329" t="str">
            <v>DSL</v>
          </cell>
          <cell r="L1329" t="str">
            <v>No</v>
          </cell>
          <cell r="M1329" t="str">
            <v>0-6 mo</v>
          </cell>
          <cell r="N1329" t="str">
            <v>18-25 yrs</v>
          </cell>
        </row>
        <row r="1330">
          <cell r="A1330" t="str">
            <v>C2329</v>
          </cell>
          <cell r="E1330" t="str">
            <v>Kochi</v>
          </cell>
          <cell r="F1330" t="str">
            <v>Month-to-month</v>
          </cell>
          <cell r="H1330">
            <v>1099</v>
          </cell>
          <cell r="J1330" t="str">
            <v>Fiber</v>
          </cell>
          <cell r="L1330" t="str">
            <v>No</v>
          </cell>
          <cell r="M1330" t="str">
            <v>0-6 mo</v>
          </cell>
          <cell r="N1330" t="str">
            <v>36-45 yrs</v>
          </cell>
        </row>
        <row r="1331">
          <cell r="A1331" t="str">
            <v>C2330</v>
          </cell>
          <cell r="E1331" t="str">
            <v>Mumbai</v>
          </cell>
          <cell r="F1331" t="str">
            <v>One year</v>
          </cell>
          <cell r="H1331">
            <v>549</v>
          </cell>
          <cell r="J1331" t="str">
            <v>No Internet</v>
          </cell>
          <cell r="L1331" t="str">
            <v>Yes</v>
          </cell>
          <cell r="M1331" t="str">
            <v>13-24 mo</v>
          </cell>
          <cell r="N1331" t="str">
            <v>26-35 yrs</v>
          </cell>
        </row>
        <row r="1332">
          <cell r="A1332" t="str">
            <v>C2331</v>
          </cell>
          <cell r="E1332" t="str">
            <v>Hyderabad</v>
          </cell>
          <cell r="F1332" t="str">
            <v>One year</v>
          </cell>
          <cell r="H1332">
            <v>449</v>
          </cell>
          <cell r="J1332" t="str">
            <v>No Internet</v>
          </cell>
          <cell r="L1332" t="str">
            <v>No</v>
          </cell>
          <cell r="M1332" t="str">
            <v>7-12 mo</v>
          </cell>
          <cell r="N1332" t="str">
            <v>18-25 yrs</v>
          </cell>
        </row>
        <row r="1333">
          <cell r="A1333" t="str">
            <v>C2332</v>
          </cell>
          <cell r="E1333" t="str">
            <v>Chennai</v>
          </cell>
          <cell r="F1333" t="str">
            <v>Month-to-month</v>
          </cell>
          <cell r="H1333">
            <v>1149</v>
          </cell>
          <cell r="J1333" t="str">
            <v>Fiber</v>
          </cell>
          <cell r="L1333" t="str">
            <v>Yes</v>
          </cell>
          <cell r="M1333" t="str">
            <v>13-24 mo</v>
          </cell>
          <cell r="N1333" t="str">
            <v>60+ yrs</v>
          </cell>
        </row>
        <row r="1334">
          <cell r="A1334" t="str">
            <v>C2333</v>
          </cell>
          <cell r="E1334" t="str">
            <v>Ahmedabad</v>
          </cell>
          <cell r="F1334" t="str">
            <v>Month-to-month</v>
          </cell>
          <cell r="H1334">
            <v>1149</v>
          </cell>
          <cell r="J1334" t="str">
            <v>Fiber</v>
          </cell>
          <cell r="L1334" t="str">
            <v>Yes</v>
          </cell>
          <cell r="M1334" t="str">
            <v>13-24 mo</v>
          </cell>
          <cell r="N1334" t="str">
            <v>46-60 yrs</v>
          </cell>
        </row>
        <row r="1335">
          <cell r="A1335" t="str">
            <v>C2334</v>
          </cell>
          <cell r="E1335" t="str">
            <v>Jaipur</v>
          </cell>
          <cell r="F1335" t="str">
            <v>Month-to-month</v>
          </cell>
          <cell r="H1335">
            <v>1149</v>
          </cell>
          <cell r="J1335" t="str">
            <v>Fiber</v>
          </cell>
          <cell r="L1335" t="str">
            <v>Yes</v>
          </cell>
          <cell r="M1335" t="str">
            <v>7-12 mo</v>
          </cell>
          <cell r="N1335" t="str">
            <v>26-35 yrs</v>
          </cell>
        </row>
        <row r="1336">
          <cell r="A1336" t="str">
            <v>C2335</v>
          </cell>
          <cell r="E1336" t="str">
            <v>Chennai</v>
          </cell>
          <cell r="F1336" t="str">
            <v>Month-to-month</v>
          </cell>
          <cell r="H1336">
            <v>1149</v>
          </cell>
          <cell r="J1336" t="str">
            <v>Fiber</v>
          </cell>
          <cell r="L1336" t="str">
            <v>Yes</v>
          </cell>
          <cell r="M1336" t="str">
            <v>13-24 mo</v>
          </cell>
          <cell r="N1336" t="str">
            <v>46-60 yrs</v>
          </cell>
        </row>
        <row r="1337">
          <cell r="A1337" t="str">
            <v>C2336</v>
          </cell>
          <cell r="E1337" t="str">
            <v>Chandigarh</v>
          </cell>
          <cell r="F1337" t="str">
            <v>Month-to-month</v>
          </cell>
          <cell r="H1337">
            <v>1049</v>
          </cell>
          <cell r="J1337" t="str">
            <v>Fiber</v>
          </cell>
          <cell r="L1337" t="str">
            <v>No</v>
          </cell>
          <cell r="M1337" t="str">
            <v>13-24 mo</v>
          </cell>
          <cell r="N1337" t="str">
            <v>60+ yrs</v>
          </cell>
        </row>
        <row r="1338">
          <cell r="A1338" t="str">
            <v>C2337</v>
          </cell>
          <cell r="E1338" t="str">
            <v>Indore</v>
          </cell>
          <cell r="F1338" t="str">
            <v>One year</v>
          </cell>
          <cell r="H1338">
            <v>1149</v>
          </cell>
          <cell r="J1338" t="str">
            <v>Fiber</v>
          </cell>
          <cell r="L1338" t="str">
            <v>No</v>
          </cell>
          <cell r="M1338" t="str">
            <v>13-24 mo</v>
          </cell>
          <cell r="N1338" t="str">
            <v>18-25 yrs</v>
          </cell>
        </row>
        <row r="1339">
          <cell r="A1339" t="str">
            <v>C2338</v>
          </cell>
          <cell r="E1339" t="str">
            <v>Bhopal</v>
          </cell>
          <cell r="F1339" t="str">
            <v>Month-to-month</v>
          </cell>
          <cell r="H1339">
            <v>799</v>
          </cell>
          <cell r="J1339" t="str">
            <v>DSL</v>
          </cell>
          <cell r="L1339" t="str">
            <v>No</v>
          </cell>
          <cell r="M1339" t="str">
            <v>13-24 mo</v>
          </cell>
          <cell r="N1339" t="str">
            <v>46-60 yrs</v>
          </cell>
        </row>
        <row r="1340">
          <cell r="A1340" t="str">
            <v>C2339</v>
          </cell>
          <cell r="E1340" t="str">
            <v>Mumbai</v>
          </cell>
          <cell r="F1340" t="str">
            <v>Two year</v>
          </cell>
          <cell r="H1340">
            <v>449</v>
          </cell>
          <cell r="J1340" t="str">
            <v>No Internet</v>
          </cell>
          <cell r="L1340" t="str">
            <v>No</v>
          </cell>
          <cell r="M1340" t="str">
            <v>7-12 mo</v>
          </cell>
          <cell r="N1340" t="str">
            <v>46-60 yrs</v>
          </cell>
        </row>
        <row r="1341">
          <cell r="A1341" t="str">
            <v>C2340</v>
          </cell>
          <cell r="E1341" t="str">
            <v>Bangalore</v>
          </cell>
          <cell r="F1341" t="str">
            <v>Month-to-month</v>
          </cell>
          <cell r="H1341">
            <v>1099</v>
          </cell>
          <cell r="J1341" t="str">
            <v>Fiber</v>
          </cell>
          <cell r="L1341" t="str">
            <v>Yes</v>
          </cell>
          <cell r="M1341" t="str">
            <v>13-24 mo</v>
          </cell>
          <cell r="N1341" t="str">
            <v>46-60 yrs</v>
          </cell>
        </row>
        <row r="1342">
          <cell r="A1342" t="str">
            <v>C2341</v>
          </cell>
          <cell r="E1342" t="str">
            <v>Mumbai</v>
          </cell>
          <cell r="F1342" t="str">
            <v>Month-to-month</v>
          </cell>
          <cell r="H1342">
            <v>599</v>
          </cell>
          <cell r="J1342" t="str">
            <v>DSL</v>
          </cell>
          <cell r="L1342" t="str">
            <v>No</v>
          </cell>
          <cell r="M1342" t="str">
            <v>7-12 mo</v>
          </cell>
          <cell r="N1342" t="str">
            <v>60+ yrs</v>
          </cell>
        </row>
        <row r="1343">
          <cell r="A1343" t="str">
            <v>C2342</v>
          </cell>
          <cell r="E1343" t="str">
            <v>Mumbai</v>
          </cell>
          <cell r="F1343" t="str">
            <v>One year</v>
          </cell>
          <cell r="H1343">
            <v>1149</v>
          </cell>
          <cell r="J1343" t="str">
            <v>Fiber</v>
          </cell>
          <cell r="L1343" t="str">
            <v>No</v>
          </cell>
          <cell r="M1343" t="str">
            <v>25-48 mo</v>
          </cell>
          <cell r="N1343" t="str">
            <v>18-25 yrs</v>
          </cell>
        </row>
        <row r="1344">
          <cell r="A1344" t="str">
            <v>C2343</v>
          </cell>
          <cell r="E1344" t="str">
            <v>Bangalore</v>
          </cell>
          <cell r="F1344" t="str">
            <v>Month-to-month</v>
          </cell>
          <cell r="J1344" t="str">
            <v>Fiber</v>
          </cell>
          <cell r="L1344" t="str">
            <v>Yes</v>
          </cell>
          <cell r="M1344" t="str">
            <v>Unknown</v>
          </cell>
          <cell r="N1344" t="str">
            <v>60+ yrs</v>
          </cell>
        </row>
        <row r="1345">
          <cell r="A1345" t="str">
            <v>C2344</v>
          </cell>
          <cell r="E1345" t="str">
            <v>Delhi</v>
          </cell>
          <cell r="F1345" t="str">
            <v>One year</v>
          </cell>
          <cell r="J1345" t="str">
            <v>No Internet</v>
          </cell>
          <cell r="L1345" t="str">
            <v>No</v>
          </cell>
          <cell r="M1345" t="str">
            <v>13-24 mo</v>
          </cell>
          <cell r="N1345" t="str">
            <v>46-60 yrs</v>
          </cell>
        </row>
        <row r="1346">
          <cell r="A1346" t="str">
            <v>C2345</v>
          </cell>
          <cell r="E1346" t="str">
            <v>Bhopal</v>
          </cell>
          <cell r="F1346" t="str">
            <v>Month-to-month</v>
          </cell>
          <cell r="H1346">
            <v>599</v>
          </cell>
          <cell r="J1346" t="str">
            <v>DSL</v>
          </cell>
          <cell r="L1346" t="str">
            <v>No</v>
          </cell>
          <cell r="M1346" t="str">
            <v>13-24 mo</v>
          </cell>
          <cell r="N1346" t="str">
            <v>26-35 yrs</v>
          </cell>
        </row>
        <row r="1347">
          <cell r="A1347" t="str">
            <v>C2346</v>
          </cell>
          <cell r="E1347" t="str">
            <v>Bhopal</v>
          </cell>
          <cell r="F1347" t="str">
            <v>Month-to-month</v>
          </cell>
          <cell r="H1347">
            <v>1099</v>
          </cell>
          <cell r="J1347" t="str">
            <v>Fiber</v>
          </cell>
          <cell r="L1347" t="str">
            <v>No</v>
          </cell>
          <cell r="M1347" t="str">
            <v>13-24 mo</v>
          </cell>
          <cell r="N1347" t="str">
            <v>60+ yrs</v>
          </cell>
        </row>
        <row r="1348">
          <cell r="A1348" t="str">
            <v>C2347</v>
          </cell>
          <cell r="E1348" t="str">
            <v>Pune</v>
          </cell>
          <cell r="F1348" t="str">
            <v>One year</v>
          </cell>
          <cell r="H1348">
            <v>799</v>
          </cell>
          <cell r="J1348" t="str">
            <v>DSL</v>
          </cell>
          <cell r="L1348" t="str">
            <v>No</v>
          </cell>
          <cell r="M1348" t="str">
            <v>7-12 mo</v>
          </cell>
          <cell r="N1348" t="str">
            <v>26-35 yrs</v>
          </cell>
        </row>
        <row r="1349">
          <cell r="A1349" t="str">
            <v>C2348</v>
          </cell>
          <cell r="E1349" t="str">
            <v>Ahmedabad</v>
          </cell>
          <cell r="F1349" t="str">
            <v>One year</v>
          </cell>
          <cell r="H1349">
            <v>1149</v>
          </cell>
          <cell r="J1349" t="str">
            <v>Fiber</v>
          </cell>
          <cell r="L1349" t="str">
            <v>No</v>
          </cell>
          <cell r="M1349" t="str">
            <v>25-48 mo</v>
          </cell>
          <cell r="N1349" t="str">
            <v>60+ yrs</v>
          </cell>
        </row>
        <row r="1350">
          <cell r="A1350" t="str">
            <v>C2349</v>
          </cell>
          <cell r="E1350" t="str">
            <v>Jaipur</v>
          </cell>
          <cell r="F1350" t="str">
            <v>Unknown</v>
          </cell>
          <cell r="H1350">
            <v>699</v>
          </cell>
          <cell r="J1350" t="str">
            <v>DSL</v>
          </cell>
          <cell r="L1350" t="str">
            <v>No</v>
          </cell>
          <cell r="M1350" t="str">
            <v>0-6 mo</v>
          </cell>
          <cell r="N1350" t="str">
            <v>60+ yrs</v>
          </cell>
        </row>
        <row r="1351">
          <cell r="A1351" t="str">
            <v>C2350</v>
          </cell>
          <cell r="E1351" t="str">
            <v>Kochi</v>
          </cell>
          <cell r="F1351" t="str">
            <v>Month-to-month</v>
          </cell>
          <cell r="H1351">
            <v>1099</v>
          </cell>
          <cell r="J1351" t="str">
            <v>Fiber</v>
          </cell>
          <cell r="L1351" t="str">
            <v>No</v>
          </cell>
          <cell r="M1351" t="str">
            <v>0-6 mo</v>
          </cell>
          <cell r="N1351" t="str">
            <v>60+ yrs</v>
          </cell>
        </row>
        <row r="1352">
          <cell r="A1352" t="str">
            <v>C2351</v>
          </cell>
          <cell r="E1352" t="str">
            <v>Delhi</v>
          </cell>
          <cell r="F1352" t="str">
            <v>Month-to-month</v>
          </cell>
          <cell r="H1352">
            <v>999</v>
          </cell>
          <cell r="J1352" t="str">
            <v>Fiber</v>
          </cell>
          <cell r="L1352" t="str">
            <v>No</v>
          </cell>
          <cell r="M1352" t="str">
            <v>0-6 mo</v>
          </cell>
          <cell r="N1352" t="str">
            <v>46-60 yrs</v>
          </cell>
        </row>
        <row r="1353">
          <cell r="A1353" t="str">
            <v>C2352</v>
          </cell>
          <cell r="E1353" t="str">
            <v>Indore</v>
          </cell>
          <cell r="F1353" t="str">
            <v>Two year</v>
          </cell>
          <cell r="H1353">
            <v>849</v>
          </cell>
          <cell r="J1353" t="str">
            <v>DSL</v>
          </cell>
          <cell r="L1353" t="str">
            <v>No</v>
          </cell>
          <cell r="M1353" t="str">
            <v>25-48 mo</v>
          </cell>
          <cell r="N1353" t="str">
            <v>46-60 yrs</v>
          </cell>
        </row>
        <row r="1354">
          <cell r="A1354" t="str">
            <v>C2353</v>
          </cell>
          <cell r="E1354" t="str">
            <v>Kochi</v>
          </cell>
          <cell r="F1354" t="str">
            <v>Month-to-month</v>
          </cell>
          <cell r="H1354">
            <v>899</v>
          </cell>
          <cell r="J1354" t="str">
            <v>DSL</v>
          </cell>
          <cell r="L1354" t="str">
            <v>Unknown</v>
          </cell>
          <cell r="M1354" t="str">
            <v>13-24 mo</v>
          </cell>
          <cell r="N1354" t="str">
            <v>46-60 yrs</v>
          </cell>
        </row>
        <row r="1355">
          <cell r="A1355" t="str">
            <v>C2354</v>
          </cell>
          <cell r="E1355" t="str">
            <v>Chandigarh</v>
          </cell>
          <cell r="F1355" t="str">
            <v>Month-to-month</v>
          </cell>
          <cell r="H1355">
            <v>899</v>
          </cell>
          <cell r="J1355" t="str">
            <v>Fiber</v>
          </cell>
          <cell r="L1355" t="str">
            <v>Yes</v>
          </cell>
          <cell r="M1355" t="str">
            <v>7-12 mo</v>
          </cell>
          <cell r="N1355" t="str">
            <v>36-45 yrs</v>
          </cell>
        </row>
        <row r="1356">
          <cell r="A1356" t="str">
            <v>C2355</v>
          </cell>
          <cell r="E1356" t="str">
            <v>Ahmedabad</v>
          </cell>
          <cell r="F1356" t="str">
            <v>Two year</v>
          </cell>
          <cell r="H1356">
            <v>1099</v>
          </cell>
          <cell r="J1356" t="str">
            <v>Fiber</v>
          </cell>
          <cell r="L1356" t="str">
            <v>No</v>
          </cell>
          <cell r="M1356" t="str">
            <v>25-48 mo</v>
          </cell>
          <cell r="N1356" t="str">
            <v>26-35 yrs</v>
          </cell>
        </row>
        <row r="1357">
          <cell r="A1357" t="str">
            <v>C2356</v>
          </cell>
          <cell r="E1357" t="str">
            <v>Chennai</v>
          </cell>
          <cell r="F1357" t="str">
            <v>Month-to-month</v>
          </cell>
          <cell r="H1357">
            <v>1149</v>
          </cell>
          <cell r="J1357" t="str">
            <v>Fiber</v>
          </cell>
          <cell r="L1357" t="str">
            <v>Yes</v>
          </cell>
          <cell r="M1357" t="str">
            <v>13-24 mo</v>
          </cell>
          <cell r="N1357" t="str">
            <v>26-35 yrs</v>
          </cell>
        </row>
        <row r="1358">
          <cell r="A1358" t="str">
            <v>C2357</v>
          </cell>
          <cell r="E1358" t="str">
            <v>Delhi</v>
          </cell>
          <cell r="F1358" t="str">
            <v>Month-to-month</v>
          </cell>
          <cell r="H1358">
            <v>1149</v>
          </cell>
          <cell r="J1358" t="str">
            <v>Fiber</v>
          </cell>
          <cell r="L1358" t="str">
            <v>Yes</v>
          </cell>
          <cell r="M1358" t="str">
            <v>13-24 mo</v>
          </cell>
          <cell r="N1358" t="str">
            <v>36-45 yrs</v>
          </cell>
        </row>
        <row r="1359">
          <cell r="A1359" t="str">
            <v>C2358</v>
          </cell>
          <cell r="E1359" t="str">
            <v>Delhi</v>
          </cell>
          <cell r="F1359" t="str">
            <v>Two year</v>
          </cell>
          <cell r="H1359">
            <v>1049</v>
          </cell>
          <cell r="J1359" t="str">
            <v>Fiber</v>
          </cell>
          <cell r="L1359" t="str">
            <v>Yes</v>
          </cell>
          <cell r="M1359" t="str">
            <v>7-12 mo</v>
          </cell>
          <cell r="N1359" t="str">
            <v>36-45 yrs</v>
          </cell>
        </row>
        <row r="1360">
          <cell r="A1360" t="str">
            <v>C2359</v>
          </cell>
          <cell r="E1360" t="str">
            <v>Pune</v>
          </cell>
          <cell r="F1360" t="str">
            <v>Month-to-month</v>
          </cell>
          <cell r="H1360">
            <v>549</v>
          </cell>
          <cell r="J1360" t="str">
            <v>No Internet</v>
          </cell>
          <cell r="L1360" t="str">
            <v>No</v>
          </cell>
          <cell r="M1360" t="str">
            <v>0-6 mo</v>
          </cell>
          <cell r="N1360" t="str">
            <v>60+ yrs</v>
          </cell>
        </row>
        <row r="1361">
          <cell r="A1361" t="str">
            <v>C2360</v>
          </cell>
          <cell r="E1361" t="str">
            <v>Mumbai</v>
          </cell>
          <cell r="F1361" t="str">
            <v>Month-to-month</v>
          </cell>
          <cell r="H1361">
            <v>899</v>
          </cell>
          <cell r="J1361" t="str">
            <v>DSL</v>
          </cell>
          <cell r="L1361" t="str">
            <v>No</v>
          </cell>
          <cell r="M1361" t="str">
            <v>13-24 mo</v>
          </cell>
          <cell r="N1361" t="str">
            <v>36-45 yrs</v>
          </cell>
        </row>
        <row r="1362">
          <cell r="A1362" t="str">
            <v>C2361</v>
          </cell>
          <cell r="E1362" t="str">
            <v>Lucknow</v>
          </cell>
          <cell r="F1362" t="str">
            <v>Month-to-month</v>
          </cell>
          <cell r="H1362">
            <v>449</v>
          </cell>
          <cell r="J1362" t="str">
            <v>No Internet</v>
          </cell>
          <cell r="L1362" t="str">
            <v>No</v>
          </cell>
          <cell r="M1362" t="str">
            <v>13-24 mo</v>
          </cell>
          <cell r="N1362" t="str">
            <v>60+ yrs</v>
          </cell>
        </row>
        <row r="1363">
          <cell r="A1363" t="str">
            <v>C2362</v>
          </cell>
          <cell r="E1363" t="str">
            <v>Chandigarh</v>
          </cell>
          <cell r="F1363" t="str">
            <v>Month-to-month</v>
          </cell>
          <cell r="H1363">
            <v>749</v>
          </cell>
          <cell r="J1363" t="str">
            <v>DSL</v>
          </cell>
          <cell r="L1363" t="str">
            <v>No</v>
          </cell>
          <cell r="M1363" t="str">
            <v>7-12 mo</v>
          </cell>
          <cell r="N1363" t="str">
            <v>36-45 yrs</v>
          </cell>
        </row>
        <row r="1364">
          <cell r="A1364" t="str">
            <v>C2363</v>
          </cell>
          <cell r="E1364" t="str">
            <v>Delhi</v>
          </cell>
          <cell r="F1364" t="str">
            <v>Month-to-month</v>
          </cell>
          <cell r="H1364">
            <v>1299</v>
          </cell>
          <cell r="J1364" t="str">
            <v>Fiber</v>
          </cell>
          <cell r="L1364" t="str">
            <v>Unknown</v>
          </cell>
          <cell r="M1364" t="str">
            <v>13-24 mo</v>
          </cell>
          <cell r="N1364" t="str">
            <v>26-35 yrs</v>
          </cell>
        </row>
        <row r="1365">
          <cell r="A1365" t="str">
            <v>C2364</v>
          </cell>
          <cell r="E1365" t="str">
            <v>Chandigarh</v>
          </cell>
          <cell r="F1365" t="str">
            <v>Month-to-month</v>
          </cell>
          <cell r="H1365">
            <v>899</v>
          </cell>
          <cell r="J1365" t="str">
            <v>Fiber</v>
          </cell>
          <cell r="L1365" t="str">
            <v>Yes</v>
          </cell>
          <cell r="M1365" t="str">
            <v>13-24 mo</v>
          </cell>
          <cell r="N1365" t="str">
            <v>46-60 yrs</v>
          </cell>
        </row>
        <row r="1366">
          <cell r="A1366" t="str">
            <v>C2365</v>
          </cell>
          <cell r="E1366" t="str">
            <v>Kochi</v>
          </cell>
          <cell r="F1366" t="str">
            <v>One year</v>
          </cell>
          <cell r="H1366">
            <v>849</v>
          </cell>
          <cell r="J1366" t="str">
            <v>DSL</v>
          </cell>
          <cell r="L1366" t="str">
            <v>Yes</v>
          </cell>
          <cell r="M1366" t="str">
            <v>25-48 mo</v>
          </cell>
          <cell r="N1366" t="str">
            <v>36-45 yrs</v>
          </cell>
        </row>
        <row r="1367">
          <cell r="A1367" t="str">
            <v>C2366</v>
          </cell>
          <cell r="E1367" t="str">
            <v>Bhopal</v>
          </cell>
          <cell r="F1367" t="str">
            <v>Month-to-month</v>
          </cell>
          <cell r="H1367">
            <v>849</v>
          </cell>
          <cell r="J1367" t="str">
            <v>DSL</v>
          </cell>
          <cell r="L1367" t="str">
            <v>Yes</v>
          </cell>
          <cell r="M1367" t="str">
            <v>7-12 mo</v>
          </cell>
          <cell r="N1367" t="str">
            <v>46-60 yrs</v>
          </cell>
        </row>
        <row r="1368">
          <cell r="A1368" t="str">
            <v>C2367</v>
          </cell>
          <cell r="E1368" t="str">
            <v>Bangalore</v>
          </cell>
          <cell r="F1368" t="str">
            <v>Month-to-month</v>
          </cell>
          <cell r="H1368">
            <v>749</v>
          </cell>
          <cell r="J1368" t="str">
            <v>DSL</v>
          </cell>
          <cell r="L1368" t="str">
            <v>Yes</v>
          </cell>
          <cell r="M1368" t="str">
            <v>7-12 mo</v>
          </cell>
          <cell r="N1368" t="str">
            <v>18-25 yrs</v>
          </cell>
        </row>
        <row r="1369">
          <cell r="A1369" t="str">
            <v>C2368</v>
          </cell>
          <cell r="E1369" t="str">
            <v>Lucknow</v>
          </cell>
          <cell r="F1369" t="str">
            <v>Month-to-month</v>
          </cell>
          <cell r="H1369">
            <v>999</v>
          </cell>
          <cell r="J1369" t="str">
            <v>Fiber</v>
          </cell>
          <cell r="L1369" t="str">
            <v>Yes</v>
          </cell>
          <cell r="M1369" t="str">
            <v>7-12 mo</v>
          </cell>
          <cell r="N1369" t="str">
            <v>26-35 yrs</v>
          </cell>
        </row>
        <row r="1370">
          <cell r="A1370" t="str">
            <v>C2369</v>
          </cell>
          <cell r="E1370" t="str">
            <v>Jaipur</v>
          </cell>
          <cell r="F1370" t="str">
            <v>One year</v>
          </cell>
          <cell r="H1370">
            <v>799</v>
          </cell>
          <cell r="J1370" t="str">
            <v>DSL</v>
          </cell>
          <cell r="L1370" t="str">
            <v>No</v>
          </cell>
          <cell r="M1370" t="str">
            <v>13-24 mo</v>
          </cell>
          <cell r="N1370" t="str">
            <v>18-25 yrs</v>
          </cell>
        </row>
        <row r="1371">
          <cell r="A1371" t="str">
            <v>C2370</v>
          </cell>
          <cell r="E1371" t="str">
            <v>Ahmedabad</v>
          </cell>
          <cell r="F1371" t="str">
            <v>Two year</v>
          </cell>
          <cell r="H1371">
            <v>749</v>
          </cell>
          <cell r="J1371" t="str">
            <v>DSL</v>
          </cell>
          <cell r="L1371" t="str">
            <v>Unknown</v>
          </cell>
          <cell r="M1371" t="str">
            <v>49+ mo</v>
          </cell>
          <cell r="N1371" t="str">
            <v>60+ yrs</v>
          </cell>
        </row>
        <row r="1372">
          <cell r="A1372" t="str">
            <v>C2371</v>
          </cell>
          <cell r="E1372" t="str">
            <v>Chandigarh</v>
          </cell>
          <cell r="F1372" t="str">
            <v>Month-to-month</v>
          </cell>
          <cell r="H1372">
            <v>349</v>
          </cell>
          <cell r="J1372" t="str">
            <v>No Internet</v>
          </cell>
          <cell r="L1372" t="str">
            <v>Yes</v>
          </cell>
          <cell r="M1372" t="str">
            <v>0-6 mo</v>
          </cell>
          <cell r="N1372" t="str">
            <v>26-35 yrs</v>
          </cell>
        </row>
        <row r="1373">
          <cell r="A1373" t="str">
            <v>C2372</v>
          </cell>
          <cell r="E1373" t="str">
            <v>Chennai</v>
          </cell>
          <cell r="F1373" t="str">
            <v>Month-to-month</v>
          </cell>
          <cell r="H1373">
            <v>1049</v>
          </cell>
          <cell r="J1373" t="str">
            <v>Fiber</v>
          </cell>
          <cell r="L1373" t="str">
            <v>Yes</v>
          </cell>
          <cell r="M1373" t="str">
            <v>0-6 mo</v>
          </cell>
          <cell r="N1373" t="str">
            <v>60+ yrs</v>
          </cell>
        </row>
        <row r="1374">
          <cell r="A1374" t="str">
            <v>C2373</v>
          </cell>
          <cell r="E1374" t="str">
            <v>Chandigarh</v>
          </cell>
          <cell r="F1374" t="str">
            <v>Two year</v>
          </cell>
          <cell r="H1374">
            <v>1149</v>
          </cell>
          <cell r="J1374" t="str">
            <v>Fiber</v>
          </cell>
          <cell r="L1374" t="str">
            <v>No</v>
          </cell>
          <cell r="M1374" t="str">
            <v>13-24 mo</v>
          </cell>
          <cell r="N1374" t="str">
            <v>46-60 yrs</v>
          </cell>
        </row>
        <row r="1375">
          <cell r="A1375" t="str">
            <v>C2374</v>
          </cell>
          <cell r="E1375" t="str">
            <v>Chennai</v>
          </cell>
          <cell r="F1375" t="str">
            <v>Month-to-month</v>
          </cell>
          <cell r="H1375">
            <v>599</v>
          </cell>
          <cell r="J1375" t="str">
            <v>DSL</v>
          </cell>
          <cell r="L1375" t="str">
            <v>No</v>
          </cell>
          <cell r="M1375" t="str">
            <v>13-24 mo</v>
          </cell>
          <cell r="N1375" t="str">
            <v>46-60 yrs</v>
          </cell>
        </row>
        <row r="1376">
          <cell r="A1376" t="str">
            <v>C2375</v>
          </cell>
          <cell r="E1376" t="str">
            <v>Kolkata</v>
          </cell>
          <cell r="F1376" t="str">
            <v>Month-to-month</v>
          </cell>
          <cell r="H1376">
            <v>1299</v>
          </cell>
          <cell r="J1376" t="str">
            <v>Fiber</v>
          </cell>
          <cell r="L1376" t="str">
            <v>No</v>
          </cell>
          <cell r="M1376" t="str">
            <v>7-12 mo</v>
          </cell>
          <cell r="N1376" t="str">
            <v>26-35 yrs</v>
          </cell>
        </row>
        <row r="1377">
          <cell r="A1377" t="str">
            <v>C2376</v>
          </cell>
          <cell r="E1377" t="str">
            <v>Kolkata</v>
          </cell>
          <cell r="F1377" t="str">
            <v>One year</v>
          </cell>
          <cell r="H1377">
            <v>549</v>
          </cell>
          <cell r="J1377" t="str">
            <v>No Internet</v>
          </cell>
          <cell r="L1377" t="str">
            <v>No</v>
          </cell>
          <cell r="M1377" t="str">
            <v>25-48 mo</v>
          </cell>
          <cell r="N1377" t="str">
            <v>46-60 yrs</v>
          </cell>
        </row>
        <row r="1378">
          <cell r="A1378" t="str">
            <v>C2377</v>
          </cell>
          <cell r="E1378" t="str">
            <v>Bhopal</v>
          </cell>
          <cell r="F1378" t="str">
            <v>Month-to-month</v>
          </cell>
          <cell r="H1378">
            <v>799</v>
          </cell>
          <cell r="J1378" t="str">
            <v>DSL</v>
          </cell>
          <cell r="L1378" t="str">
            <v>Yes</v>
          </cell>
          <cell r="M1378" t="str">
            <v>13-24 mo</v>
          </cell>
          <cell r="N1378" t="str">
            <v>18-25 yrs</v>
          </cell>
        </row>
        <row r="1379">
          <cell r="A1379" t="str">
            <v>C2378</v>
          </cell>
          <cell r="E1379" t="str">
            <v>Unknown</v>
          </cell>
          <cell r="F1379" t="str">
            <v>Month-to-month</v>
          </cell>
          <cell r="H1379">
            <v>449</v>
          </cell>
          <cell r="J1379" t="str">
            <v>No Internet</v>
          </cell>
          <cell r="L1379" t="str">
            <v>No</v>
          </cell>
          <cell r="M1379" t="str">
            <v>7-12 mo</v>
          </cell>
          <cell r="N1379" t="str">
            <v>46-60 yrs</v>
          </cell>
        </row>
        <row r="1380">
          <cell r="A1380" t="str">
            <v>C2379</v>
          </cell>
          <cell r="E1380" t="str">
            <v>Chennai</v>
          </cell>
          <cell r="F1380" t="str">
            <v>Month-to-month</v>
          </cell>
          <cell r="H1380">
            <v>1299</v>
          </cell>
          <cell r="J1380" t="str">
            <v>Fiber</v>
          </cell>
          <cell r="L1380" t="str">
            <v>No</v>
          </cell>
          <cell r="M1380" t="str">
            <v>13-24 mo</v>
          </cell>
          <cell r="N1380" t="str">
            <v>36-45 yrs</v>
          </cell>
        </row>
        <row r="1381">
          <cell r="A1381" t="str">
            <v>C2380</v>
          </cell>
          <cell r="E1381" t="str">
            <v>Pune</v>
          </cell>
          <cell r="F1381" t="str">
            <v>One year</v>
          </cell>
          <cell r="H1381">
            <v>1099</v>
          </cell>
          <cell r="J1381" t="str">
            <v>Unknown</v>
          </cell>
          <cell r="L1381" t="str">
            <v>No</v>
          </cell>
          <cell r="M1381" t="str">
            <v>13-24 mo</v>
          </cell>
          <cell r="N1381" t="str">
            <v>60+ yrs</v>
          </cell>
        </row>
        <row r="1382">
          <cell r="A1382" t="str">
            <v>C2381</v>
          </cell>
          <cell r="E1382" t="str">
            <v>Kochi</v>
          </cell>
          <cell r="F1382" t="str">
            <v>One year</v>
          </cell>
          <cell r="H1382">
            <v>699</v>
          </cell>
          <cell r="J1382" t="str">
            <v>DSL</v>
          </cell>
          <cell r="L1382" t="str">
            <v>No</v>
          </cell>
          <cell r="M1382" t="str">
            <v>25-48 mo</v>
          </cell>
          <cell r="N1382" t="str">
            <v>46-60 yrs</v>
          </cell>
        </row>
        <row r="1383">
          <cell r="A1383" t="str">
            <v>C2382</v>
          </cell>
          <cell r="E1383" t="str">
            <v>Chennai</v>
          </cell>
          <cell r="F1383" t="str">
            <v>One year</v>
          </cell>
          <cell r="H1383">
            <v>899</v>
          </cell>
          <cell r="J1383" t="str">
            <v>DSL</v>
          </cell>
          <cell r="L1383" t="str">
            <v>Yes</v>
          </cell>
          <cell r="M1383" t="str">
            <v>25-48 mo</v>
          </cell>
          <cell r="N1383" t="str">
            <v>26-35 yrs</v>
          </cell>
        </row>
        <row r="1384">
          <cell r="A1384" t="str">
            <v>C2383</v>
          </cell>
          <cell r="E1384" t="str">
            <v>Lucknow</v>
          </cell>
          <cell r="F1384" t="str">
            <v>Two year</v>
          </cell>
          <cell r="H1384">
            <v>1049</v>
          </cell>
          <cell r="J1384" t="str">
            <v>Fiber</v>
          </cell>
          <cell r="L1384" t="str">
            <v>No</v>
          </cell>
          <cell r="M1384" t="str">
            <v>49+ mo</v>
          </cell>
          <cell r="N1384" t="str">
            <v>46-60 yrs</v>
          </cell>
        </row>
        <row r="1385">
          <cell r="A1385" t="str">
            <v>C2384</v>
          </cell>
          <cell r="E1385" t="str">
            <v>Kolkata</v>
          </cell>
          <cell r="F1385" t="str">
            <v>Month-to-month</v>
          </cell>
          <cell r="J1385" t="str">
            <v>DSL</v>
          </cell>
          <cell r="L1385" t="str">
            <v>Yes</v>
          </cell>
          <cell r="M1385" t="str">
            <v>0-6 mo</v>
          </cell>
          <cell r="N1385" t="str">
            <v>46-60 yrs</v>
          </cell>
        </row>
        <row r="1386">
          <cell r="A1386" t="str">
            <v>C2385</v>
          </cell>
          <cell r="E1386" t="str">
            <v>Chennai</v>
          </cell>
          <cell r="F1386" t="str">
            <v>Month-to-month</v>
          </cell>
          <cell r="H1386">
            <v>849</v>
          </cell>
          <cell r="J1386" t="str">
            <v>DSL</v>
          </cell>
          <cell r="L1386" t="str">
            <v>Yes</v>
          </cell>
          <cell r="M1386" t="str">
            <v>13-24 mo</v>
          </cell>
          <cell r="N1386" t="str">
            <v>46-60 yrs</v>
          </cell>
        </row>
        <row r="1387">
          <cell r="A1387" t="str">
            <v>C2386</v>
          </cell>
          <cell r="E1387" t="str">
            <v>Lucknow</v>
          </cell>
          <cell r="F1387" t="str">
            <v>One year</v>
          </cell>
          <cell r="H1387">
            <v>649</v>
          </cell>
          <cell r="J1387" t="str">
            <v>DSL</v>
          </cell>
          <cell r="L1387" t="str">
            <v>No</v>
          </cell>
          <cell r="M1387" t="str">
            <v>13-24 mo</v>
          </cell>
          <cell r="N1387" t="str">
            <v>36-45 yrs</v>
          </cell>
        </row>
        <row r="1388">
          <cell r="A1388" t="str">
            <v>C2387</v>
          </cell>
          <cell r="E1388" t="str">
            <v>Hyderabad</v>
          </cell>
          <cell r="F1388" t="str">
            <v>Month-to-month</v>
          </cell>
          <cell r="H1388">
            <v>999</v>
          </cell>
          <cell r="J1388" t="str">
            <v>Fiber</v>
          </cell>
          <cell r="L1388" t="str">
            <v>No</v>
          </cell>
          <cell r="M1388" t="str">
            <v>7-12 mo</v>
          </cell>
          <cell r="N1388" t="str">
            <v>60+ yrs</v>
          </cell>
        </row>
        <row r="1389">
          <cell r="A1389" t="str">
            <v>C2388</v>
          </cell>
          <cell r="E1389" t="str">
            <v>Delhi</v>
          </cell>
          <cell r="F1389" t="str">
            <v>Two year</v>
          </cell>
          <cell r="H1389">
            <v>899</v>
          </cell>
          <cell r="J1389" t="str">
            <v>DSL</v>
          </cell>
          <cell r="L1389" t="str">
            <v>No</v>
          </cell>
          <cell r="M1389" t="str">
            <v>25-48 mo</v>
          </cell>
          <cell r="N1389" t="str">
            <v>46-60 yrs</v>
          </cell>
        </row>
        <row r="1390">
          <cell r="A1390" t="str">
            <v>C2389</v>
          </cell>
          <cell r="E1390" t="str">
            <v>Lucknow</v>
          </cell>
          <cell r="F1390" t="str">
            <v>Month-to-month</v>
          </cell>
          <cell r="H1390">
            <v>699</v>
          </cell>
          <cell r="J1390" t="str">
            <v>DSL</v>
          </cell>
          <cell r="L1390" t="str">
            <v>Yes</v>
          </cell>
          <cell r="M1390" t="str">
            <v>7-12 mo</v>
          </cell>
          <cell r="N1390" t="str">
            <v>46-60 yrs</v>
          </cell>
        </row>
        <row r="1391">
          <cell r="A1391" t="str">
            <v>C2390</v>
          </cell>
          <cell r="E1391" t="str">
            <v>Kolkata</v>
          </cell>
          <cell r="F1391" t="str">
            <v>Month-to-month</v>
          </cell>
          <cell r="H1391">
            <v>749</v>
          </cell>
          <cell r="J1391" t="str">
            <v>DSL</v>
          </cell>
          <cell r="L1391" t="str">
            <v>Yes</v>
          </cell>
          <cell r="M1391" t="str">
            <v>0-6 mo</v>
          </cell>
          <cell r="N1391" t="str">
            <v>60+ yrs</v>
          </cell>
        </row>
        <row r="1392">
          <cell r="A1392" t="str">
            <v>C2391</v>
          </cell>
          <cell r="E1392" t="str">
            <v>Jaipur</v>
          </cell>
          <cell r="F1392" t="str">
            <v>One year</v>
          </cell>
          <cell r="H1392">
            <v>749</v>
          </cell>
          <cell r="J1392" t="str">
            <v>DSL</v>
          </cell>
          <cell r="L1392" t="str">
            <v>No</v>
          </cell>
          <cell r="M1392" t="str">
            <v>25-48 mo</v>
          </cell>
          <cell r="N1392" t="str">
            <v>18-25 yrs</v>
          </cell>
        </row>
        <row r="1393">
          <cell r="A1393" t="str">
            <v>C2392</v>
          </cell>
          <cell r="E1393" t="str">
            <v>Chandigarh</v>
          </cell>
          <cell r="F1393" t="str">
            <v>Month-to-month</v>
          </cell>
          <cell r="H1393">
            <v>849</v>
          </cell>
          <cell r="J1393" t="str">
            <v>DSL</v>
          </cell>
          <cell r="L1393" t="str">
            <v>No</v>
          </cell>
          <cell r="M1393" t="str">
            <v>0-6 mo</v>
          </cell>
          <cell r="N1393" t="str">
            <v>36-45 yrs</v>
          </cell>
        </row>
        <row r="1394">
          <cell r="A1394" t="str">
            <v>C2393</v>
          </cell>
          <cell r="E1394" t="str">
            <v>Hyderabad</v>
          </cell>
          <cell r="F1394" t="str">
            <v>Month-to-month</v>
          </cell>
          <cell r="H1394">
            <v>1049</v>
          </cell>
          <cell r="J1394" t="str">
            <v>Fiber</v>
          </cell>
          <cell r="L1394" t="str">
            <v>Yes</v>
          </cell>
          <cell r="M1394" t="str">
            <v>7-12 mo</v>
          </cell>
          <cell r="N1394" t="str">
            <v>26-35 yrs</v>
          </cell>
        </row>
        <row r="1395">
          <cell r="A1395" t="str">
            <v>C2394</v>
          </cell>
          <cell r="E1395" t="str">
            <v>Hyderabad</v>
          </cell>
          <cell r="F1395" t="str">
            <v>One year</v>
          </cell>
          <cell r="H1395">
            <v>749</v>
          </cell>
          <cell r="J1395" t="str">
            <v>DSL</v>
          </cell>
          <cell r="L1395" t="str">
            <v>No</v>
          </cell>
          <cell r="M1395" t="str">
            <v>0-6 mo</v>
          </cell>
          <cell r="N1395" t="str">
            <v>46-60 yrs</v>
          </cell>
        </row>
        <row r="1396">
          <cell r="A1396" t="str">
            <v>C2395</v>
          </cell>
          <cell r="E1396" t="str">
            <v>Kolkata</v>
          </cell>
          <cell r="F1396" t="str">
            <v>Month-to-month</v>
          </cell>
          <cell r="H1396">
            <v>699</v>
          </cell>
          <cell r="J1396" t="str">
            <v>DSL</v>
          </cell>
          <cell r="L1396" t="str">
            <v>No</v>
          </cell>
          <cell r="M1396" t="str">
            <v>7-12 mo</v>
          </cell>
          <cell r="N1396" t="str">
            <v>46-60 yrs</v>
          </cell>
        </row>
        <row r="1397">
          <cell r="A1397" t="str">
            <v>C2396</v>
          </cell>
          <cell r="E1397" t="str">
            <v>Lucknow</v>
          </cell>
          <cell r="F1397" t="str">
            <v>Month-to-month</v>
          </cell>
          <cell r="H1397">
            <v>749</v>
          </cell>
          <cell r="J1397" t="str">
            <v>DSL</v>
          </cell>
          <cell r="L1397" t="str">
            <v>No</v>
          </cell>
          <cell r="M1397" t="str">
            <v>0-6 mo</v>
          </cell>
          <cell r="N1397" t="str">
            <v>46-60 yrs</v>
          </cell>
        </row>
        <row r="1398">
          <cell r="A1398" t="str">
            <v>C2397</v>
          </cell>
          <cell r="E1398" t="str">
            <v>Jaipur</v>
          </cell>
          <cell r="F1398" t="str">
            <v>Month-to-month</v>
          </cell>
          <cell r="H1398">
            <v>749</v>
          </cell>
          <cell r="J1398" t="str">
            <v>DSL</v>
          </cell>
          <cell r="L1398" t="str">
            <v>Yes</v>
          </cell>
          <cell r="M1398" t="str">
            <v>7-12 mo</v>
          </cell>
          <cell r="N1398" t="str">
            <v>60+ yrs</v>
          </cell>
        </row>
        <row r="1399">
          <cell r="A1399" t="str">
            <v>C2398</v>
          </cell>
          <cell r="E1399" t="str">
            <v>Chennai</v>
          </cell>
          <cell r="F1399" t="str">
            <v>Month-to-month</v>
          </cell>
          <cell r="H1399">
            <v>799</v>
          </cell>
          <cell r="J1399" t="str">
            <v>DSL</v>
          </cell>
          <cell r="L1399" t="str">
            <v>No</v>
          </cell>
          <cell r="M1399" t="str">
            <v>0-6 mo</v>
          </cell>
          <cell r="N1399" t="str">
            <v>36-45 yrs</v>
          </cell>
        </row>
        <row r="1400">
          <cell r="A1400" t="str">
            <v>C2399</v>
          </cell>
          <cell r="E1400" t="str">
            <v>Kolkata</v>
          </cell>
          <cell r="F1400" t="str">
            <v>Two year</v>
          </cell>
          <cell r="H1400">
            <v>799</v>
          </cell>
          <cell r="J1400" t="str">
            <v>DSL</v>
          </cell>
          <cell r="L1400" t="str">
            <v>Yes</v>
          </cell>
          <cell r="M1400" t="str">
            <v>25-48 mo</v>
          </cell>
          <cell r="N1400" t="str">
            <v>46-60 yrs</v>
          </cell>
        </row>
        <row r="1401">
          <cell r="A1401" t="str">
            <v>C2400</v>
          </cell>
          <cell r="E1401" t="str">
            <v>Kochi</v>
          </cell>
          <cell r="F1401" t="str">
            <v>Month-to-month</v>
          </cell>
          <cell r="H1401">
            <v>999</v>
          </cell>
          <cell r="J1401" t="str">
            <v>Fiber</v>
          </cell>
          <cell r="L1401" t="str">
            <v>No</v>
          </cell>
          <cell r="M1401" t="str">
            <v>13-24 mo</v>
          </cell>
          <cell r="N1401" t="str">
            <v>18-25 yrs</v>
          </cell>
        </row>
        <row r="1402">
          <cell r="A1402" t="str">
            <v>C2401</v>
          </cell>
          <cell r="E1402" t="str">
            <v>Chennai</v>
          </cell>
          <cell r="F1402" t="str">
            <v>Month-to-month</v>
          </cell>
          <cell r="H1402">
            <v>599</v>
          </cell>
          <cell r="J1402" t="str">
            <v>DSL</v>
          </cell>
          <cell r="L1402" t="str">
            <v>Yes</v>
          </cell>
          <cell r="M1402" t="str">
            <v>13-24 mo</v>
          </cell>
          <cell r="N1402" t="str">
            <v>60+ yrs</v>
          </cell>
        </row>
        <row r="1403">
          <cell r="A1403" t="str">
            <v>C2402</v>
          </cell>
          <cell r="E1403" t="str">
            <v>Lucknow</v>
          </cell>
          <cell r="F1403" t="str">
            <v>Two year</v>
          </cell>
          <cell r="H1403">
            <v>999</v>
          </cell>
          <cell r="J1403" t="str">
            <v>Fiber</v>
          </cell>
          <cell r="L1403" t="str">
            <v>Unknown</v>
          </cell>
          <cell r="M1403" t="str">
            <v>25-48 mo</v>
          </cell>
          <cell r="N1403" t="str">
            <v>60+ yrs</v>
          </cell>
        </row>
        <row r="1404">
          <cell r="A1404" t="str">
            <v>C2403</v>
          </cell>
          <cell r="E1404" t="str">
            <v>Kochi</v>
          </cell>
          <cell r="F1404" t="str">
            <v>Month-to-month</v>
          </cell>
          <cell r="H1404">
            <v>499</v>
          </cell>
          <cell r="J1404" t="str">
            <v>No Internet</v>
          </cell>
          <cell r="L1404" t="str">
            <v>Yes</v>
          </cell>
          <cell r="M1404" t="str">
            <v>0-6 mo</v>
          </cell>
          <cell r="N1404" t="str">
            <v>46-60 yrs</v>
          </cell>
        </row>
        <row r="1405">
          <cell r="A1405" t="str">
            <v>C2404</v>
          </cell>
          <cell r="E1405" t="str">
            <v>Kolkata</v>
          </cell>
          <cell r="F1405" t="str">
            <v>Two year</v>
          </cell>
          <cell r="H1405">
            <v>1299</v>
          </cell>
          <cell r="J1405" t="str">
            <v>Fiber</v>
          </cell>
          <cell r="L1405" t="str">
            <v>No</v>
          </cell>
          <cell r="M1405" t="str">
            <v>49+ mo</v>
          </cell>
          <cell r="N1405" t="str">
            <v>60+ yrs</v>
          </cell>
        </row>
        <row r="1406">
          <cell r="A1406" t="str">
            <v>C2405</v>
          </cell>
          <cell r="E1406" t="str">
            <v>Bangalore</v>
          </cell>
          <cell r="F1406" t="str">
            <v>Month-to-month</v>
          </cell>
          <cell r="H1406">
            <v>899</v>
          </cell>
          <cell r="J1406" t="str">
            <v>Fiber</v>
          </cell>
          <cell r="L1406" t="str">
            <v>No</v>
          </cell>
          <cell r="M1406" t="str">
            <v>0-6 mo</v>
          </cell>
          <cell r="N1406" t="str">
            <v>36-45 yrs</v>
          </cell>
        </row>
        <row r="1407">
          <cell r="A1407" t="str">
            <v>C2406</v>
          </cell>
          <cell r="E1407" t="str">
            <v>Kolkata</v>
          </cell>
          <cell r="F1407" t="str">
            <v>Month-to-month</v>
          </cell>
          <cell r="H1407">
            <v>699</v>
          </cell>
          <cell r="J1407" t="str">
            <v>DSL</v>
          </cell>
          <cell r="L1407" t="str">
            <v>No</v>
          </cell>
          <cell r="M1407" t="str">
            <v>0-6 mo</v>
          </cell>
          <cell r="N1407" t="str">
            <v>60+ yrs</v>
          </cell>
        </row>
        <row r="1408">
          <cell r="A1408" t="str">
            <v>C2407</v>
          </cell>
          <cell r="E1408" t="str">
            <v>Lucknow</v>
          </cell>
          <cell r="F1408" t="str">
            <v>One year</v>
          </cell>
          <cell r="H1408">
            <v>999</v>
          </cell>
          <cell r="J1408" t="str">
            <v>Fiber</v>
          </cell>
          <cell r="L1408" t="str">
            <v>Yes</v>
          </cell>
          <cell r="M1408" t="str">
            <v>13-24 mo</v>
          </cell>
          <cell r="N1408" t="str">
            <v>46-60 yrs</v>
          </cell>
        </row>
        <row r="1409">
          <cell r="A1409" t="str">
            <v>C2408</v>
          </cell>
          <cell r="E1409" t="str">
            <v>Ahmedabad</v>
          </cell>
          <cell r="F1409" t="str">
            <v>One year</v>
          </cell>
          <cell r="H1409">
            <v>999</v>
          </cell>
          <cell r="J1409" t="str">
            <v>Fiber</v>
          </cell>
          <cell r="L1409" t="str">
            <v>No</v>
          </cell>
          <cell r="M1409" t="str">
            <v>13-24 mo</v>
          </cell>
          <cell r="N1409" t="str">
            <v>36-45 yrs</v>
          </cell>
        </row>
        <row r="1410">
          <cell r="A1410" t="str">
            <v>C2409</v>
          </cell>
          <cell r="E1410" t="str">
            <v>Delhi</v>
          </cell>
          <cell r="F1410" t="str">
            <v>Month-to-month</v>
          </cell>
          <cell r="H1410">
            <v>349</v>
          </cell>
          <cell r="J1410" t="str">
            <v>No Internet</v>
          </cell>
          <cell r="L1410" t="str">
            <v>No</v>
          </cell>
          <cell r="M1410" t="str">
            <v>13-24 mo</v>
          </cell>
          <cell r="N1410" t="str">
            <v>36-45 yrs</v>
          </cell>
        </row>
        <row r="1411">
          <cell r="A1411" t="str">
            <v>C2410</v>
          </cell>
          <cell r="E1411" t="str">
            <v>Pune</v>
          </cell>
          <cell r="F1411" t="str">
            <v>Month-to-month</v>
          </cell>
          <cell r="H1411">
            <v>649</v>
          </cell>
          <cell r="J1411" t="str">
            <v>DSL</v>
          </cell>
          <cell r="L1411" t="str">
            <v>Yes</v>
          </cell>
          <cell r="M1411" t="str">
            <v>13-24 mo</v>
          </cell>
          <cell r="N1411" t="str">
            <v>18-25 yrs</v>
          </cell>
        </row>
        <row r="1412">
          <cell r="A1412" t="str">
            <v>C2411</v>
          </cell>
          <cell r="E1412" t="str">
            <v>Hyderabad</v>
          </cell>
          <cell r="F1412" t="str">
            <v>One year</v>
          </cell>
          <cell r="H1412">
            <v>1049</v>
          </cell>
          <cell r="J1412" t="str">
            <v>Fiber</v>
          </cell>
          <cell r="L1412" t="str">
            <v>No</v>
          </cell>
          <cell r="M1412" t="str">
            <v>25-48 mo</v>
          </cell>
          <cell r="N1412" t="str">
            <v>46-60 yrs</v>
          </cell>
        </row>
        <row r="1413">
          <cell r="A1413" t="str">
            <v>C2412</v>
          </cell>
          <cell r="E1413" t="str">
            <v>Kochi</v>
          </cell>
          <cell r="F1413" t="str">
            <v>Month-to-month</v>
          </cell>
          <cell r="H1413">
            <v>899</v>
          </cell>
          <cell r="J1413" t="str">
            <v>DSL</v>
          </cell>
          <cell r="L1413" t="str">
            <v>No</v>
          </cell>
          <cell r="M1413" t="str">
            <v>13-24 mo</v>
          </cell>
          <cell r="N1413" t="str">
            <v>18-25 yrs</v>
          </cell>
        </row>
        <row r="1414">
          <cell r="A1414" t="str">
            <v>C2413</v>
          </cell>
          <cell r="E1414" t="str">
            <v>Indore</v>
          </cell>
          <cell r="F1414" t="str">
            <v>One year</v>
          </cell>
          <cell r="H1414">
            <v>999</v>
          </cell>
          <cell r="J1414" t="str">
            <v>Fiber</v>
          </cell>
          <cell r="L1414" t="str">
            <v>Yes</v>
          </cell>
          <cell r="M1414" t="str">
            <v>13-24 mo</v>
          </cell>
          <cell r="N1414" t="str">
            <v>36-45 yrs</v>
          </cell>
        </row>
        <row r="1415">
          <cell r="A1415" t="str">
            <v>C2414</v>
          </cell>
          <cell r="E1415" t="str">
            <v>Delhi</v>
          </cell>
          <cell r="F1415" t="str">
            <v>Month-to-month</v>
          </cell>
          <cell r="H1415">
            <v>399</v>
          </cell>
          <cell r="J1415" t="str">
            <v>No Internet</v>
          </cell>
          <cell r="L1415" t="str">
            <v>Yes</v>
          </cell>
          <cell r="M1415" t="str">
            <v>7-12 mo</v>
          </cell>
          <cell r="N1415" t="str">
            <v>18-25 yrs</v>
          </cell>
        </row>
        <row r="1416">
          <cell r="A1416" t="str">
            <v>C2415</v>
          </cell>
          <cell r="E1416" t="str">
            <v>Chennai</v>
          </cell>
          <cell r="F1416" t="str">
            <v>Two year</v>
          </cell>
          <cell r="H1416">
            <v>649</v>
          </cell>
          <cell r="J1416" t="str">
            <v>DSL</v>
          </cell>
          <cell r="L1416" t="str">
            <v>No</v>
          </cell>
          <cell r="M1416" t="str">
            <v>7-12 mo</v>
          </cell>
          <cell r="N1416" t="str">
            <v>46-60 yrs</v>
          </cell>
        </row>
        <row r="1417">
          <cell r="A1417" t="str">
            <v>C2416</v>
          </cell>
          <cell r="E1417" t="str">
            <v>Indore</v>
          </cell>
          <cell r="F1417" t="str">
            <v>Month-to-month</v>
          </cell>
          <cell r="H1417">
            <v>899</v>
          </cell>
          <cell r="J1417" t="str">
            <v>DSL</v>
          </cell>
          <cell r="L1417" t="str">
            <v>No</v>
          </cell>
          <cell r="M1417" t="str">
            <v>13-24 mo</v>
          </cell>
          <cell r="N1417" t="str">
            <v>26-35 yrs</v>
          </cell>
        </row>
        <row r="1418">
          <cell r="A1418" t="str">
            <v>C2417</v>
          </cell>
          <cell r="E1418" t="str">
            <v>Jaipur</v>
          </cell>
          <cell r="F1418" t="str">
            <v>Two year</v>
          </cell>
          <cell r="H1418">
            <v>449</v>
          </cell>
          <cell r="J1418" t="str">
            <v>No Internet</v>
          </cell>
          <cell r="L1418" t="str">
            <v>No</v>
          </cell>
          <cell r="M1418" t="str">
            <v>25-48 mo</v>
          </cell>
          <cell r="N1418" t="str">
            <v>46-60 yrs</v>
          </cell>
        </row>
        <row r="1419">
          <cell r="A1419" t="str">
            <v>C2418</v>
          </cell>
          <cell r="E1419" t="str">
            <v>Chandigarh</v>
          </cell>
          <cell r="F1419" t="str">
            <v>Month-to-month</v>
          </cell>
          <cell r="H1419">
            <v>1049</v>
          </cell>
          <cell r="J1419" t="str">
            <v>Fiber</v>
          </cell>
          <cell r="L1419" t="str">
            <v>No</v>
          </cell>
          <cell r="M1419" t="str">
            <v>7-12 mo</v>
          </cell>
          <cell r="N1419" t="str">
            <v>26-35 yrs</v>
          </cell>
        </row>
        <row r="1420">
          <cell r="A1420" t="str">
            <v>C2419</v>
          </cell>
          <cell r="E1420" t="str">
            <v>Unknown</v>
          </cell>
          <cell r="F1420" t="str">
            <v>Month-to-month</v>
          </cell>
          <cell r="H1420">
            <v>399</v>
          </cell>
          <cell r="J1420" t="str">
            <v>No Internet</v>
          </cell>
          <cell r="L1420" t="str">
            <v>No</v>
          </cell>
          <cell r="M1420" t="str">
            <v>13-24 mo</v>
          </cell>
          <cell r="N1420" t="str">
            <v>60+ yrs</v>
          </cell>
        </row>
        <row r="1421">
          <cell r="A1421" t="str">
            <v>C2420</v>
          </cell>
          <cell r="E1421" t="str">
            <v>Jaipur</v>
          </cell>
          <cell r="F1421" t="str">
            <v>Month-to-month</v>
          </cell>
          <cell r="H1421">
            <v>1149</v>
          </cell>
          <cell r="J1421" t="str">
            <v>Fiber</v>
          </cell>
          <cell r="L1421" t="str">
            <v>Yes</v>
          </cell>
          <cell r="M1421" t="str">
            <v>13-24 mo</v>
          </cell>
          <cell r="N1421" t="str">
            <v>60+ yrs</v>
          </cell>
        </row>
        <row r="1422">
          <cell r="A1422" t="str">
            <v>C2421</v>
          </cell>
          <cell r="E1422" t="str">
            <v>Mumbai</v>
          </cell>
          <cell r="F1422" t="str">
            <v>One year</v>
          </cell>
          <cell r="H1422">
            <v>499</v>
          </cell>
          <cell r="J1422" t="str">
            <v>No Internet</v>
          </cell>
          <cell r="L1422" t="str">
            <v>Yes</v>
          </cell>
          <cell r="M1422" t="str">
            <v>0-6 mo</v>
          </cell>
          <cell r="N1422" t="str">
            <v>46-60 yrs</v>
          </cell>
        </row>
        <row r="1423">
          <cell r="A1423" t="str">
            <v>C2422</v>
          </cell>
          <cell r="E1423" t="str">
            <v>Chennai</v>
          </cell>
          <cell r="F1423" t="str">
            <v>Month-to-month</v>
          </cell>
          <cell r="H1423">
            <v>399</v>
          </cell>
          <cell r="J1423" t="str">
            <v>No Internet</v>
          </cell>
          <cell r="L1423" t="str">
            <v>Yes</v>
          </cell>
          <cell r="M1423" t="str">
            <v>13-24 mo</v>
          </cell>
          <cell r="N1423" t="str">
            <v>18-25 yrs</v>
          </cell>
        </row>
        <row r="1424">
          <cell r="A1424" t="str">
            <v>C2423</v>
          </cell>
          <cell r="E1424" t="str">
            <v>Kochi</v>
          </cell>
          <cell r="F1424" t="str">
            <v>Month-to-month</v>
          </cell>
          <cell r="H1424">
            <v>799</v>
          </cell>
          <cell r="J1424" t="str">
            <v>DSL</v>
          </cell>
          <cell r="L1424" t="str">
            <v>Yes</v>
          </cell>
          <cell r="M1424" t="str">
            <v>7-12 mo</v>
          </cell>
          <cell r="N1424" t="str">
            <v>46-60 yrs</v>
          </cell>
        </row>
        <row r="1425">
          <cell r="A1425" t="str">
            <v>C2424</v>
          </cell>
          <cell r="E1425" t="str">
            <v>Ahmedabad</v>
          </cell>
          <cell r="F1425" t="str">
            <v>Two year</v>
          </cell>
          <cell r="H1425">
            <v>499</v>
          </cell>
          <cell r="J1425" t="str">
            <v>No Internet</v>
          </cell>
          <cell r="L1425" t="str">
            <v>No</v>
          </cell>
          <cell r="M1425" t="str">
            <v>13-24 mo</v>
          </cell>
          <cell r="N1425" t="str">
            <v>36-45 yrs</v>
          </cell>
        </row>
        <row r="1426">
          <cell r="A1426" t="str">
            <v>C2425</v>
          </cell>
          <cell r="E1426" t="str">
            <v>Chandigarh</v>
          </cell>
          <cell r="F1426" t="str">
            <v>One year</v>
          </cell>
          <cell r="H1426">
            <v>999</v>
          </cell>
          <cell r="J1426" t="str">
            <v>Fiber</v>
          </cell>
          <cell r="L1426" t="str">
            <v>No</v>
          </cell>
          <cell r="M1426" t="str">
            <v>0-6 mo</v>
          </cell>
          <cell r="N1426" t="str">
            <v>60+ yrs</v>
          </cell>
        </row>
        <row r="1427">
          <cell r="A1427" t="str">
            <v>C2426</v>
          </cell>
          <cell r="E1427" t="str">
            <v>Chandigarh</v>
          </cell>
          <cell r="F1427" t="str">
            <v>Two year</v>
          </cell>
          <cell r="H1427">
            <v>1099</v>
          </cell>
          <cell r="J1427" t="str">
            <v>Unknown</v>
          </cell>
          <cell r="L1427" t="str">
            <v>No</v>
          </cell>
          <cell r="M1427" t="str">
            <v>49+ mo</v>
          </cell>
          <cell r="N1427" t="str">
            <v>46-60 yrs</v>
          </cell>
        </row>
        <row r="1428">
          <cell r="A1428" t="str">
            <v>C2427</v>
          </cell>
          <cell r="E1428" t="str">
            <v>Mumbai</v>
          </cell>
          <cell r="F1428" t="str">
            <v>Month-to-month</v>
          </cell>
          <cell r="H1428">
            <v>549</v>
          </cell>
          <cell r="J1428" t="str">
            <v>No Internet</v>
          </cell>
          <cell r="L1428" t="str">
            <v>Yes</v>
          </cell>
          <cell r="M1428" t="str">
            <v>0-6 mo</v>
          </cell>
          <cell r="N1428" t="str">
            <v>26-35 yrs</v>
          </cell>
        </row>
        <row r="1429">
          <cell r="A1429" t="str">
            <v>C2428</v>
          </cell>
          <cell r="E1429" t="str">
            <v>Chandigarh</v>
          </cell>
          <cell r="F1429" t="str">
            <v>Month-to-month</v>
          </cell>
          <cell r="H1429">
            <v>899</v>
          </cell>
          <cell r="J1429" t="str">
            <v>DSL</v>
          </cell>
          <cell r="L1429" t="str">
            <v>No</v>
          </cell>
          <cell r="M1429" t="str">
            <v>13-24 mo</v>
          </cell>
          <cell r="N1429" t="str">
            <v>46-60 yrs</v>
          </cell>
        </row>
        <row r="1430">
          <cell r="A1430" t="str">
            <v>C2429</v>
          </cell>
          <cell r="E1430" t="str">
            <v>Hyderabad</v>
          </cell>
          <cell r="F1430" t="str">
            <v>One year</v>
          </cell>
          <cell r="H1430">
            <v>499</v>
          </cell>
          <cell r="J1430" t="str">
            <v>No Internet</v>
          </cell>
          <cell r="L1430" t="str">
            <v>Yes</v>
          </cell>
          <cell r="M1430" t="str">
            <v>13-24 mo</v>
          </cell>
          <cell r="N1430" t="str">
            <v>60+ yrs</v>
          </cell>
        </row>
        <row r="1431">
          <cell r="A1431" t="str">
            <v>C2430</v>
          </cell>
          <cell r="E1431" t="str">
            <v>Mumbai</v>
          </cell>
          <cell r="F1431" t="str">
            <v>Month-to-month</v>
          </cell>
          <cell r="H1431">
            <v>349</v>
          </cell>
          <cell r="J1431" t="str">
            <v>No Internet</v>
          </cell>
          <cell r="L1431" t="str">
            <v>Yes</v>
          </cell>
          <cell r="M1431" t="str">
            <v>0-6 mo</v>
          </cell>
          <cell r="N1431" t="str">
            <v>46-60 yrs</v>
          </cell>
        </row>
        <row r="1432">
          <cell r="A1432" t="str">
            <v>C2431</v>
          </cell>
          <cell r="E1432" t="str">
            <v>Ahmedabad</v>
          </cell>
          <cell r="F1432" t="str">
            <v>Month-to-month</v>
          </cell>
          <cell r="H1432">
            <v>849</v>
          </cell>
          <cell r="J1432" t="str">
            <v>DSL</v>
          </cell>
          <cell r="L1432" t="str">
            <v>No</v>
          </cell>
          <cell r="M1432" t="str">
            <v>13-24 mo</v>
          </cell>
          <cell r="N1432" t="str">
            <v>60+ yrs</v>
          </cell>
        </row>
        <row r="1433">
          <cell r="A1433" t="str">
            <v>C2432</v>
          </cell>
          <cell r="E1433" t="str">
            <v>Pune</v>
          </cell>
          <cell r="F1433" t="str">
            <v>Month-to-month</v>
          </cell>
          <cell r="H1433">
            <v>599</v>
          </cell>
          <cell r="J1433" t="str">
            <v>DSL</v>
          </cell>
          <cell r="L1433" t="str">
            <v>Yes</v>
          </cell>
          <cell r="M1433" t="str">
            <v>0-6 mo</v>
          </cell>
          <cell r="N1433" t="str">
            <v>18-25 yrs</v>
          </cell>
        </row>
        <row r="1434">
          <cell r="A1434" t="str">
            <v>C2433</v>
          </cell>
          <cell r="E1434" t="str">
            <v>Kochi</v>
          </cell>
          <cell r="F1434" t="str">
            <v>One year</v>
          </cell>
          <cell r="H1434">
            <v>899</v>
          </cell>
          <cell r="J1434" t="str">
            <v>DSL</v>
          </cell>
          <cell r="L1434" t="str">
            <v>No</v>
          </cell>
          <cell r="M1434" t="str">
            <v>7-12 mo</v>
          </cell>
          <cell r="N1434" t="str">
            <v>36-45 yrs</v>
          </cell>
        </row>
        <row r="1435">
          <cell r="A1435" t="str">
            <v>C2434</v>
          </cell>
          <cell r="E1435" t="str">
            <v>Kolkata</v>
          </cell>
          <cell r="F1435" t="str">
            <v>Month-to-month</v>
          </cell>
          <cell r="H1435">
            <v>399</v>
          </cell>
          <cell r="J1435" t="str">
            <v>No Internet</v>
          </cell>
          <cell r="L1435" t="str">
            <v>Yes</v>
          </cell>
          <cell r="M1435" t="str">
            <v>7-12 mo</v>
          </cell>
          <cell r="N1435" t="str">
            <v>26-35 yrs</v>
          </cell>
        </row>
        <row r="1436">
          <cell r="A1436" t="str">
            <v>C2435</v>
          </cell>
          <cell r="E1436" t="str">
            <v>Bangalore</v>
          </cell>
          <cell r="F1436" t="str">
            <v>Month-to-month</v>
          </cell>
          <cell r="H1436">
            <v>1199</v>
          </cell>
          <cell r="J1436" t="str">
            <v>Fiber</v>
          </cell>
          <cell r="L1436" t="str">
            <v>No</v>
          </cell>
          <cell r="M1436" t="str">
            <v>13-24 mo</v>
          </cell>
          <cell r="N1436" t="str">
            <v>60+ yrs</v>
          </cell>
        </row>
        <row r="1437">
          <cell r="A1437" t="str">
            <v>C2436</v>
          </cell>
          <cell r="E1437" t="str">
            <v>Kochi</v>
          </cell>
          <cell r="F1437" t="str">
            <v>Two year</v>
          </cell>
          <cell r="H1437">
            <v>1049</v>
          </cell>
          <cell r="J1437" t="str">
            <v>Fiber</v>
          </cell>
          <cell r="L1437" t="str">
            <v>No</v>
          </cell>
          <cell r="M1437" t="str">
            <v>25-48 mo</v>
          </cell>
          <cell r="N1437" t="str">
            <v>46-60 yrs</v>
          </cell>
        </row>
        <row r="1438">
          <cell r="A1438" t="str">
            <v>C2437</v>
          </cell>
          <cell r="E1438" t="str">
            <v>Delhi</v>
          </cell>
          <cell r="F1438" t="str">
            <v>Month-to-month</v>
          </cell>
          <cell r="H1438">
            <v>1149</v>
          </cell>
          <cell r="J1438" t="str">
            <v>Fiber</v>
          </cell>
          <cell r="L1438" t="str">
            <v>Yes</v>
          </cell>
          <cell r="M1438" t="str">
            <v>13-24 mo</v>
          </cell>
          <cell r="N1438" t="str">
            <v>60+ yrs</v>
          </cell>
        </row>
        <row r="1439">
          <cell r="A1439" t="str">
            <v>C2438</v>
          </cell>
          <cell r="E1439" t="str">
            <v>Kochi</v>
          </cell>
          <cell r="F1439" t="str">
            <v>Month-to-month</v>
          </cell>
          <cell r="H1439">
            <v>549</v>
          </cell>
          <cell r="J1439" t="str">
            <v>No Internet</v>
          </cell>
          <cell r="L1439" t="str">
            <v>Yes</v>
          </cell>
          <cell r="M1439" t="str">
            <v>13-24 mo</v>
          </cell>
          <cell r="N1439" t="str">
            <v>46-60 yrs</v>
          </cell>
        </row>
        <row r="1440">
          <cell r="A1440" t="str">
            <v>C2439</v>
          </cell>
          <cell r="E1440" t="str">
            <v>Indore</v>
          </cell>
          <cell r="F1440" t="str">
            <v>Two year</v>
          </cell>
          <cell r="H1440">
            <v>349</v>
          </cell>
          <cell r="J1440" t="str">
            <v>No Internet</v>
          </cell>
          <cell r="L1440" t="str">
            <v>No</v>
          </cell>
          <cell r="M1440" t="str">
            <v>25-48 mo</v>
          </cell>
          <cell r="N1440" t="str">
            <v>36-45 yrs</v>
          </cell>
        </row>
        <row r="1441">
          <cell r="A1441" t="str">
            <v>C2440</v>
          </cell>
          <cell r="E1441" t="str">
            <v>Delhi</v>
          </cell>
          <cell r="F1441" t="str">
            <v>Month-to-month</v>
          </cell>
          <cell r="H1441">
            <v>549</v>
          </cell>
          <cell r="J1441" t="str">
            <v>No Internet</v>
          </cell>
          <cell r="L1441" t="str">
            <v>No</v>
          </cell>
          <cell r="M1441" t="str">
            <v>7-12 mo</v>
          </cell>
          <cell r="N1441" t="str">
            <v>36-45 yrs</v>
          </cell>
        </row>
        <row r="1442">
          <cell r="A1442" t="str">
            <v>C2441</v>
          </cell>
          <cell r="E1442" t="str">
            <v>Ahmedabad</v>
          </cell>
          <cell r="F1442" t="str">
            <v>Two year</v>
          </cell>
          <cell r="H1442">
            <v>699</v>
          </cell>
          <cell r="J1442" t="str">
            <v>Unknown</v>
          </cell>
          <cell r="L1442" t="str">
            <v>No</v>
          </cell>
          <cell r="M1442" t="str">
            <v>49+ mo</v>
          </cell>
          <cell r="N1442" t="str">
            <v>46-60 yrs</v>
          </cell>
        </row>
        <row r="1443">
          <cell r="A1443" t="str">
            <v>C2442</v>
          </cell>
          <cell r="E1443" t="str">
            <v>Bangalore</v>
          </cell>
          <cell r="F1443" t="str">
            <v>Month-to-month</v>
          </cell>
          <cell r="H1443">
            <v>749</v>
          </cell>
          <cell r="J1443" t="str">
            <v>DSL</v>
          </cell>
          <cell r="L1443" t="str">
            <v>No</v>
          </cell>
          <cell r="M1443" t="str">
            <v>13-24 mo</v>
          </cell>
          <cell r="N1443" t="str">
            <v>36-45 yrs</v>
          </cell>
        </row>
        <row r="1444">
          <cell r="A1444" t="str">
            <v>C2443</v>
          </cell>
          <cell r="E1444" t="str">
            <v>Bhopal</v>
          </cell>
          <cell r="F1444" t="str">
            <v>Month-to-month</v>
          </cell>
          <cell r="H1444">
            <v>1099</v>
          </cell>
          <cell r="J1444" t="str">
            <v>Fiber</v>
          </cell>
          <cell r="L1444" t="str">
            <v>No</v>
          </cell>
          <cell r="M1444" t="str">
            <v>13-24 mo</v>
          </cell>
          <cell r="N1444" t="str">
            <v>60+ yrs</v>
          </cell>
        </row>
        <row r="1445">
          <cell r="A1445" t="str">
            <v>C2444</v>
          </cell>
          <cell r="E1445" t="str">
            <v>Chennai</v>
          </cell>
          <cell r="F1445" t="str">
            <v>Month-to-month</v>
          </cell>
          <cell r="H1445">
            <v>899</v>
          </cell>
          <cell r="J1445" t="str">
            <v>Fiber</v>
          </cell>
          <cell r="L1445" t="str">
            <v>No</v>
          </cell>
          <cell r="M1445" t="str">
            <v>13-24 mo</v>
          </cell>
          <cell r="N1445" t="str">
            <v>60+ yrs</v>
          </cell>
        </row>
        <row r="1446">
          <cell r="A1446" t="str">
            <v>C2445</v>
          </cell>
          <cell r="E1446" t="str">
            <v>Kochi</v>
          </cell>
          <cell r="F1446" t="str">
            <v>One year</v>
          </cell>
          <cell r="H1446">
            <v>899</v>
          </cell>
          <cell r="J1446" t="str">
            <v>Fiber</v>
          </cell>
          <cell r="L1446" t="str">
            <v>No</v>
          </cell>
          <cell r="M1446" t="str">
            <v>13-24 mo</v>
          </cell>
          <cell r="N1446" t="str">
            <v>18-25 yrs</v>
          </cell>
        </row>
        <row r="1447">
          <cell r="A1447" t="str">
            <v>C2446</v>
          </cell>
          <cell r="E1447" t="str">
            <v>Indore</v>
          </cell>
          <cell r="F1447" t="str">
            <v>One year</v>
          </cell>
          <cell r="H1447">
            <v>899</v>
          </cell>
          <cell r="J1447" t="str">
            <v>Fiber</v>
          </cell>
          <cell r="L1447" t="str">
            <v>Yes</v>
          </cell>
          <cell r="M1447" t="str">
            <v>13-24 mo</v>
          </cell>
          <cell r="N1447" t="str">
            <v>46-60 yrs</v>
          </cell>
        </row>
        <row r="1448">
          <cell r="A1448" t="str">
            <v>C2447</v>
          </cell>
          <cell r="E1448" t="str">
            <v>Delhi</v>
          </cell>
          <cell r="F1448" t="str">
            <v>Two year</v>
          </cell>
          <cell r="H1448">
            <v>999</v>
          </cell>
          <cell r="J1448" t="str">
            <v>Fiber</v>
          </cell>
          <cell r="L1448" t="str">
            <v>No</v>
          </cell>
          <cell r="M1448" t="str">
            <v>7-12 mo</v>
          </cell>
          <cell r="N1448" t="str">
            <v>60+ yrs</v>
          </cell>
        </row>
        <row r="1449">
          <cell r="A1449" t="str">
            <v>C2448</v>
          </cell>
          <cell r="E1449" t="str">
            <v>Delhi</v>
          </cell>
          <cell r="F1449" t="str">
            <v>Month-to-month</v>
          </cell>
          <cell r="H1449">
            <v>1299</v>
          </cell>
          <cell r="J1449" t="str">
            <v>Fiber</v>
          </cell>
          <cell r="L1449" t="str">
            <v>No</v>
          </cell>
          <cell r="M1449" t="str">
            <v>13-24 mo</v>
          </cell>
          <cell r="N1449" t="str">
            <v>36-45 yrs</v>
          </cell>
        </row>
        <row r="1450">
          <cell r="A1450" t="str">
            <v>C2449</v>
          </cell>
          <cell r="E1450" t="str">
            <v>Indore</v>
          </cell>
          <cell r="F1450" t="str">
            <v>Month-to-month</v>
          </cell>
          <cell r="H1450">
            <v>1199</v>
          </cell>
          <cell r="J1450" t="str">
            <v>Fiber</v>
          </cell>
          <cell r="L1450" t="str">
            <v>No</v>
          </cell>
          <cell r="M1450" t="str">
            <v>13-24 mo</v>
          </cell>
          <cell r="N1450" t="str">
            <v>46-60 yrs</v>
          </cell>
        </row>
        <row r="1451">
          <cell r="A1451" t="str">
            <v>C2450</v>
          </cell>
          <cell r="E1451" t="str">
            <v>Pune</v>
          </cell>
          <cell r="F1451" t="str">
            <v>One year</v>
          </cell>
          <cell r="H1451">
            <v>599</v>
          </cell>
          <cell r="J1451" t="str">
            <v>DSL</v>
          </cell>
          <cell r="L1451" t="str">
            <v>Yes</v>
          </cell>
          <cell r="M1451" t="str">
            <v>0-6 mo</v>
          </cell>
          <cell r="N1451" t="str">
            <v>36-45 yrs</v>
          </cell>
        </row>
        <row r="1452">
          <cell r="A1452" t="str">
            <v>C2451</v>
          </cell>
          <cell r="E1452" t="str">
            <v>Kolkata</v>
          </cell>
          <cell r="F1452" t="str">
            <v>One year</v>
          </cell>
          <cell r="H1452">
            <v>899</v>
          </cell>
          <cell r="J1452" t="str">
            <v>DSL</v>
          </cell>
          <cell r="L1452" t="str">
            <v>Yes</v>
          </cell>
          <cell r="M1452" t="str">
            <v>13-24 mo</v>
          </cell>
          <cell r="N1452" t="str">
            <v>36-45 yrs</v>
          </cell>
        </row>
        <row r="1453">
          <cell r="A1453" t="str">
            <v>C2452</v>
          </cell>
          <cell r="E1453" t="str">
            <v>Ahmedabad</v>
          </cell>
          <cell r="F1453" t="str">
            <v>One year</v>
          </cell>
          <cell r="H1453">
            <v>1149</v>
          </cell>
          <cell r="J1453" t="str">
            <v>Fiber</v>
          </cell>
          <cell r="L1453" t="str">
            <v>No</v>
          </cell>
          <cell r="M1453" t="str">
            <v>13-24 mo</v>
          </cell>
          <cell r="N1453" t="str">
            <v>46-60 yrs</v>
          </cell>
        </row>
        <row r="1454">
          <cell r="A1454" t="str">
            <v>C2453</v>
          </cell>
          <cell r="E1454" t="str">
            <v>Chandigarh</v>
          </cell>
          <cell r="F1454" t="str">
            <v>Month-to-month</v>
          </cell>
          <cell r="H1454">
            <v>599</v>
          </cell>
          <cell r="J1454" t="str">
            <v>DSL</v>
          </cell>
          <cell r="L1454" t="str">
            <v>No</v>
          </cell>
          <cell r="M1454" t="str">
            <v>0-6 mo</v>
          </cell>
          <cell r="N1454" t="str">
            <v>46-60 yrs</v>
          </cell>
        </row>
        <row r="1455">
          <cell r="A1455" t="str">
            <v>C2454</v>
          </cell>
          <cell r="E1455" t="str">
            <v>Chandigarh</v>
          </cell>
          <cell r="F1455" t="str">
            <v>Month-to-month</v>
          </cell>
          <cell r="H1455">
            <v>699</v>
          </cell>
          <cell r="J1455" t="str">
            <v>DSL</v>
          </cell>
          <cell r="L1455" t="str">
            <v>Yes</v>
          </cell>
          <cell r="M1455" t="str">
            <v>13-24 mo</v>
          </cell>
          <cell r="N1455" t="str">
            <v>36-45 yrs</v>
          </cell>
        </row>
        <row r="1456">
          <cell r="A1456" t="str">
            <v>C2455</v>
          </cell>
          <cell r="E1456" t="str">
            <v>Pune</v>
          </cell>
          <cell r="F1456" t="str">
            <v>Month-to-month</v>
          </cell>
          <cell r="H1456">
            <v>799</v>
          </cell>
          <cell r="J1456" t="str">
            <v>DSL</v>
          </cell>
          <cell r="L1456" t="str">
            <v>No</v>
          </cell>
          <cell r="M1456" t="str">
            <v>0-6 mo</v>
          </cell>
          <cell r="N1456" t="str">
            <v>36-45 yrs</v>
          </cell>
        </row>
        <row r="1457">
          <cell r="A1457" t="str">
            <v>C2456</v>
          </cell>
          <cell r="E1457" t="str">
            <v>Pune</v>
          </cell>
          <cell r="F1457" t="str">
            <v>Month-to-month</v>
          </cell>
          <cell r="H1457">
            <v>649</v>
          </cell>
          <cell r="J1457" t="str">
            <v>DSL</v>
          </cell>
          <cell r="L1457" t="str">
            <v>Yes</v>
          </cell>
          <cell r="M1457" t="str">
            <v>13-24 mo</v>
          </cell>
          <cell r="N1457" t="str">
            <v>60+ yrs</v>
          </cell>
        </row>
        <row r="1458">
          <cell r="A1458" t="str">
            <v>C2457</v>
          </cell>
          <cell r="E1458" t="str">
            <v>Mumbai</v>
          </cell>
          <cell r="F1458" t="str">
            <v>Two year</v>
          </cell>
          <cell r="H1458">
            <v>1149</v>
          </cell>
          <cell r="J1458" t="str">
            <v>Fiber</v>
          </cell>
          <cell r="L1458" t="str">
            <v>Yes</v>
          </cell>
          <cell r="M1458" t="str">
            <v>49+ mo</v>
          </cell>
          <cell r="N1458" t="str">
            <v>46-60 yrs</v>
          </cell>
        </row>
        <row r="1459">
          <cell r="A1459" t="str">
            <v>C2458</v>
          </cell>
          <cell r="E1459" t="str">
            <v>Indore</v>
          </cell>
          <cell r="F1459" t="str">
            <v>Month-to-month</v>
          </cell>
          <cell r="H1459">
            <v>899</v>
          </cell>
          <cell r="J1459" t="str">
            <v>Fiber</v>
          </cell>
          <cell r="L1459" t="str">
            <v>Yes</v>
          </cell>
          <cell r="M1459" t="str">
            <v>0-6 mo</v>
          </cell>
          <cell r="N1459" t="str">
            <v>18-25 yrs</v>
          </cell>
        </row>
        <row r="1460">
          <cell r="A1460" t="str">
            <v>C2459</v>
          </cell>
          <cell r="E1460" t="str">
            <v>Pune</v>
          </cell>
          <cell r="F1460" t="str">
            <v>Month-to-month</v>
          </cell>
          <cell r="H1460">
            <v>799</v>
          </cell>
          <cell r="J1460" t="str">
            <v>DSL</v>
          </cell>
          <cell r="L1460" t="str">
            <v>Yes</v>
          </cell>
          <cell r="M1460" t="str">
            <v>0-6 mo</v>
          </cell>
          <cell r="N1460" t="str">
            <v>60+ yrs</v>
          </cell>
        </row>
        <row r="1461">
          <cell r="A1461" t="str">
            <v>C2460</v>
          </cell>
          <cell r="E1461" t="str">
            <v>Mumbai</v>
          </cell>
          <cell r="F1461" t="str">
            <v>One year</v>
          </cell>
          <cell r="H1461">
            <v>849</v>
          </cell>
          <cell r="J1461" t="str">
            <v>DSL</v>
          </cell>
          <cell r="L1461" t="str">
            <v>No</v>
          </cell>
          <cell r="M1461" t="str">
            <v>13-24 mo</v>
          </cell>
          <cell r="N1461" t="str">
            <v>60+ yrs</v>
          </cell>
        </row>
        <row r="1462">
          <cell r="A1462" t="str">
            <v>C2461</v>
          </cell>
          <cell r="E1462" t="str">
            <v>Jaipur</v>
          </cell>
          <cell r="F1462" t="str">
            <v>Two year</v>
          </cell>
          <cell r="H1462">
            <v>1149</v>
          </cell>
          <cell r="J1462" t="str">
            <v>Fiber</v>
          </cell>
          <cell r="L1462" t="str">
            <v>Unknown</v>
          </cell>
          <cell r="M1462" t="str">
            <v>25-48 mo</v>
          </cell>
          <cell r="N1462" t="str">
            <v>60+ yrs</v>
          </cell>
        </row>
        <row r="1463">
          <cell r="A1463" t="str">
            <v>C2462</v>
          </cell>
          <cell r="E1463" t="str">
            <v>Pune</v>
          </cell>
          <cell r="F1463" t="str">
            <v>Month-to-month</v>
          </cell>
          <cell r="H1463">
            <v>449</v>
          </cell>
          <cell r="J1463" t="str">
            <v>No Internet</v>
          </cell>
          <cell r="L1463" t="str">
            <v>Yes</v>
          </cell>
          <cell r="M1463" t="str">
            <v>13-24 mo</v>
          </cell>
          <cell r="N1463" t="str">
            <v>36-45 yrs</v>
          </cell>
        </row>
        <row r="1464">
          <cell r="A1464" t="str">
            <v>C2463</v>
          </cell>
          <cell r="E1464" t="str">
            <v>Lucknow</v>
          </cell>
          <cell r="F1464" t="str">
            <v>Month-to-month</v>
          </cell>
          <cell r="H1464">
            <v>449</v>
          </cell>
          <cell r="J1464" t="str">
            <v>No Internet</v>
          </cell>
          <cell r="L1464" t="str">
            <v>No</v>
          </cell>
          <cell r="M1464" t="str">
            <v>13-24 mo</v>
          </cell>
          <cell r="N1464" t="str">
            <v>46-60 yrs</v>
          </cell>
        </row>
        <row r="1465">
          <cell r="A1465" t="str">
            <v>C2464</v>
          </cell>
          <cell r="E1465" t="str">
            <v>Hyderabad</v>
          </cell>
          <cell r="F1465" t="str">
            <v>Month-to-month</v>
          </cell>
          <cell r="H1465">
            <v>849</v>
          </cell>
          <cell r="J1465" t="str">
            <v>DSL</v>
          </cell>
          <cell r="L1465" t="str">
            <v>No</v>
          </cell>
          <cell r="M1465" t="str">
            <v>7-12 mo</v>
          </cell>
          <cell r="N1465" t="str">
            <v>46-60 yrs</v>
          </cell>
        </row>
        <row r="1466">
          <cell r="A1466" t="str">
            <v>C2465</v>
          </cell>
          <cell r="E1466" t="str">
            <v>Delhi</v>
          </cell>
          <cell r="F1466" t="str">
            <v>One year</v>
          </cell>
          <cell r="H1466">
            <v>899</v>
          </cell>
          <cell r="J1466" t="str">
            <v>Fiber</v>
          </cell>
          <cell r="L1466" t="str">
            <v>Yes</v>
          </cell>
          <cell r="M1466" t="str">
            <v>0-6 mo</v>
          </cell>
          <cell r="N1466" t="str">
            <v>46-60 yrs</v>
          </cell>
        </row>
        <row r="1467">
          <cell r="A1467" t="str">
            <v>C2466</v>
          </cell>
          <cell r="E1467" t="str">
            <v>Kolkata</v>
          </cell>
          <cell r="F1467" t="str">
            <v>Month-to-month</v>
          </cell>
          <cell r="H1467">
            <v>1199</v>
          </cell>
          <cell r="J1467" t="str">
            <v>Fiber</v>
          </cell>
          <cell r="L1467" t="str">
            <v>No</v>
          </cell>
          <cell r="M1467" t="str">
            <v>7-12 mo</v>
          </cell>
          <cell r="N1467" t="str">
            <v>36-45 yrs</v>
          </cell>
        </row>
        <row r="1468">
          <cell r="A1468" t="str">
            <v>C2467</v>
          </cell>
          <cell r="E1468" t="str">
            <v>Chandigarh</v>
          </cell>
          <cell r="F1468" t="str">
            <v>One year</v>
          </cell>
          <cell r="H1468">
            <v>449</v>
          </cell>
          <cell r="J1468" t="str">
            <v>No Internet</v>
          </cell>
          <cell r="L1468" t="str">
            <v>No</v>
          </cell>
          <cell r="M1468" t="str">
            <v>13-24 mo</v>
          </cell>
          <cell r="N1468" t="str">
            <v>26-35 yrs</v>
          </cell>
        </row>
        <row r="1469">
          <cell r="A1469" t="str">
            <v>C2468</v>
          </cell>
          <cell r="E1469" t="str">
            <v>Delhi</v>
          </cell>
          <cell r="F1469" t="str">
            <v>One year</v>
          </cell>
          <cell r="H1469">
            <v>399</v>
          </cell>
          <cell r="J1469" t="str">
            <v>No Internet</v>
          </cell>
          <cell r="L1469" t="str">
            <v>No</v>
          </cell>
          <cell r="M1469" t="str">
            <v>25-48 mo</v>
          </cell>
          <cell r="N1469" t="str">
            <v>26-35 yrs</v>
          </cell>
        </row>
        <row r="1470">
          <cell r="A1470" t="str">
            <v>C2469</v>
          </cell>
          <cell r="E1470" t="str">
            <v>Bangalore</v>
          </cell>
          <cell r="F1470" t="str">
            <v>Month-to-month</v>
          </cell>
          <cell r="H1470">
            <v>599</v>
          </cell>
          <cell r="J1470" t="str">
            <v>DSL</v>
          </cell>
          <cell r="L1470" t="str">
            <v>Yes</v>
          </cell>
          <cell r="M1470" t="str">
            <v>13-24 mo</v>
          </cell>
          <cell r="N1470" t="str">
            <v>26-35 yrs</v>
          </cell>
        </row>
        <row r="1471">
          <cell r="A1471" t="str">
            <v>C2470</v>
          </cell>
          <cell r="E1471" t="str">
            <v>Chandigarh</v>
          </cell>
          <cell r="F1471" t="str">
            <v>Month-to-month</v>
          </cell>
          <cell r="H1471">
            <v>999</v>
          </cell>
          <cell r="J1471" t="str">
            <v>Fiber</v>
          </cell>
          <cell r="L1471" t="str">
            <v>Yes</v>
          </cell>
          <cell r="M1471" t="str">
            <v>13-24 mo</v>
          </cell>
          <cell r="N1471" t="str">
            <v>60+ yrs</v>
          </cell>
        </row>
        <row r="1472">
          <cell r="A1472" t="str">
            <v>C2471</v>
          </cell>
          <cell r="E1472" t="str">
            <v>Ahmedabad</v>
          </cell>
          <cell r="F1472" t="str">
            <v>Month-to-month</v>
          </cell>
          <cell r="H1472">
            <v>399</v>
          </cell>
          <cell r="J1472" t="str">
            <v>No Internet</v>
          </cell>
          <cell r="L1472" t="str">
            <v>Yes</v>
          </cell>
          <cell r="M1472" t="str">
            <v>13-24 mo</v>
          </cell>
          <cell r="N1472" t="str">
            <v>46-60 yrs</v>
          </cell>
        </row>
        <row r="1473">
          <cell r="A1473" t="str">
            <v>C2472</v>
          </cell>
          <cell r="E1473" t="str">
            <v>Mumbai</v>
          </cell>
          <cell r="F1473" t="str">
            <v>Month-to-month</v>
          </cell>
          <cell r="H1473">
            <v>1099</v>
          </cell>
          <cell r="J1473" t="str">
            <v>Fiber</v>
          </cell>
          <cell r="L1473" t="str">
            <v>Yes</v>
          </cell>
          <cell r="M1473" t="str">
            <v>7-12 mo</v>
          </cell>
          <cell r="N1473" t="str">
            <v>60+ yrs</v>
          </cell>
        </row>
        <row r="1474">
          <cell r="A1474" t="str">
            <v>C2473</v>
          </cell>
          <cell r="E1474" t="str">
            <v>Kochi</v>
          </cell>
          <cell r="F1474" t="str">
            <v>Month-to-month</v>
          </cell>
          <cell r="H1474">
            <v>549</v>
          </cell>
          <cell r="J1474" t="str">
            <v>No Internet</v>
          </cell>
          <cell r="L1474" t="str">
            <v>No</v>
          </cell>
          <cell r="M1474" t="str">
            <v>13-24 mo</v>
          </cell>
          <cell r="N1474" t="str">
            <v>26-35 yrs</v>
          </cell>
        </row>
        <row r="1475">
          <cell r="A1475" t="str">
            <v>C2474</v>
          </cell>
          <cell r="E1475" t="str">
            <v>Bangalore</v>
          </cell>
          <cell r="F1475" t="str">
            <v>Two year</v>
          </cell>
          <cell r="H1475">
            <v>749</v>
          </cell>
          <cell r="J1475" t="str">
            <v>DSL</v>
          </cell>
          <cell r="L1475" t="str">
            <v>Yes</v>
          </cell>
          <cell r="M1475" t="str">
            <v>49+ mo</v>
          </cell>
          <cell r="N1475" t="str">
            <v>18-25 yrs</v>
          </cell>
        </row>
        <row r="1476">
          <cell r="A1476" t="str">
            <v>C2475</v>
          </cell>
          <cell r="E1476" t="str">
            <v>Bhopal</v>
          </cell>
          <cell r="F1476" t="str">
            <v>One year</v>
          </cell>
          <cell r="H1476">
            <v>799</v>
          </cell>
          <cell r="J1476" t="str">
            <v>DSL</v>
          </cell>
          <cell r="L1476" t="str">
            <v>No</v>
          </cell>
          <cell r="M1476" t="str">
            <v>13-24 mo</v>
          </cell>
          <cell r="N1476" t="str">
            <v>36-45 yrs</v>
          </cell>
        </row>
        <row r="1477">
          <cell r="A1477" t="str">
            <v>C2476</v>
          </cell>
          <cell r="E1477" t="str">
            <v>Lucknow</v>
          </cell>
          <cell r="F1477" t="str">
            <v>Month-to-month</v>
          </cell>
          <cell r="H1477">
            <v>899</v>
          </cell>
          <cell r="J1477" t="str">
            <v>DSL</v>
          </cell>
          <cell r="L1477" t="str">
            <v>Yes</v>
          </cell>
          <cell r="M1477" t="str">
            <v>0-6 mo</v>
          </cell>
          <cell r="N1477" t="str">
            <v>46-60 yrs</v>
          </cell>
        </row>
        <row r="1478">
          <cell r="A1478" t="str">
            <v>C2477</v>
          </cell>
          <cell r="E1478" t="str">
            <v>Jaipur</v>
          </cell>
          <cell r="F1478" t="str">
            <v>Month-to-month</v>
          </cell>
          <cell r="H1478">
            <v>649</v>
          </cell>
          <cell r="J1478" t="str">
            <v>DSL</v>
          </cell>
          <cell r="L1478" t="str">
            <v>No</v>
          </cell>
          <cell r="M1478" t="str">
            <v>13-24 mo</v>
          </cell>
          <cell r="N1478" t="str">
            <v>36-45 yrs</v>
          </cell>
        </row>
        <row r="1479">
          <cell r="A1479" t="str">
            <v>C2478</v>
          </cell>
          <cell r="E1479" t="str">
            <v>Mumbai</v>
          </cell>
          <cell r="F1479" t="str">
            <v>Month-to-month</v>
          </cell>
          <cell r="H1479">
            <v>399</v>
          </cell>
          <cell r="J1479" t="str">
            <v>No Internet</v>
          </cell>
          <cell r="L1479" t="str">
            <v>Yes</v>
          </cell>
          <cell r="M1479" t="str">
            <v>13-24 mo</v>
          </cell>
          <cell r="N1479" t="str">
            <v>60+ yrs</v>
          </cell>
        </row>
        <row r="1480">
          <cell r="A1480" t="str">
            <v>C2479</v>
          </cell>
          <cell r="E1480" t="str">
            <v>Chennai</v>
          </cell>
          <cell r="F1480" t="str">
            <v>Month-to-month</v>
          </cell>
          <cell r="H1480">
            <v>1199</v>
          </cell>
          <cell r="J1480" t="str">
            <v>Fiber</v>
          </cell>
          <cell r="L1480" t="str">
            <v>No</v>
          </cell>
          <cell r="M1480" t="str">
            <v>0-6 mo</v>
          </cell>
          <cell r="N1480" t="str">
            <v>18-25 yrs</v>
          </cell>
        </row>
        <row r="1481">
          <cell r="A1481" t="str">
            <v>C2480</v>
          </cell>
          <cell r="E1481" t="str">
            <v>Lucknow</v>
          </cell>
          <cell r="F1481" t="str">
            <v>Month-to-month</v>
          </cell>
          <cell r="H1481">
            <v>399</v>
          </cell>
          <cell r="J1481" t="str">
            <v>No Internet</v>
          </cell>
          <cell r="L1481" t="str">
            <v>Yes</v>
          </cell>
          <cell r="M1481" t="str">
            <v>13-24 mo</v>
          </cell>
          <cell r="N1481" t="str">
            <v>46-60 yrs</v>
          </cell>
        </row>
        <row r="1482">
          <cell r="A1482" t="str">
            <v>C2481</v>
          </cell>
          <cell r="E1482" t="str">
            <v>Kochi</v>
          </cell>
          <cell r="F1482" t="str">
            <v>One year</v>
          </cell>
          <cell r="H1482">
            <v>899</v>
          </cell>
          <cell r="J1482" t="str">
            <v>DSL</v>
          </cell>
          <cell r="L1482" t="str">
            <v>No</v>
          </cell>
          <cell r="M1482" t="str">
            <v>25-48 mo</v>
          </cell>
          <cell r="N1482" t="str">
            <v>46-60 yrs</v>
          </cell>
        </row>
        <row r="1483">
          <cell r="A1483" t="str">
            <v>C2482</v>
          </cell>
          <cell r="E1483" t="str">
            <v>Lucknow</v>
          </cell>
          <cell r="F1483" t="str">
            <v>Month-to-month</v>
          </cell>
          <cell r="H1483">
            <v>1299</v>
          </cell>
          <cell r="J1483" t="str">
            <v>Fiber</v>
          </cell>
          <cell r="L1483" t="str">
            <v>No</v>
          </cell>
          <cell r="M1483" t="str">
            <v>7-12 mo</v>
          </cell>
          <cell r="N1483" t="str">
            <v>26-35 yrs</v>
          </cell>
        </row>
        <row r="1484">
          <cell r="A1484" t="str">
            <v>C2483</v>
          </cell>
          <cell r="E1484" t="str">
            <v>Delhi</v>
          </cell>
          <cell r="F1484" t="str">
            <v>One year</v>
          </cell>
          <cell r="H1484">
            <v>649</v>
          </cell>
          <cell r="J1484" t="str">
            <v>DSL</v>
          </cell>
          <cell r="L1484" t="str">
            <v>No</v>
          </cell>
          <cell r="M1484" t="str">
            <v>7-12 mo</v>
          </cell>
          <cell r="N1484" t="str">
            <v>46-60 yrs</v>
          </cell>
        </row>
        <row r="1485">
          <cell r="A1485" t="str">
            <v>C2484</v>
          </cell>
          <cell r="E1485" t="str">
            <v>Ahmedabad</v>
          </cell>
          <cell r="F1485" t="str">
            <v>Month-to-month</v>
          </cell>
          <cell r="H1485">
            <v>899</v>
          </cell>
          <cell r="J1485" t="str">
            <v>Fiber</v>
          </cell>
          <cell r="L1485" t="str">
            <v>No</v>
          </cell>
          <cell r="M1485" t="str">
            <v>13-24 mo</v>
          </cell>
          <cell r="N1485" t="str">
            <v>36-45 yrs</v>
          </cell>
        </row>
        <row r="1486">
          <cell r="A1486" t="str">
            <v>C2485</v>
          </cell>
          <cell r="E1486" t="str">
            <v>Kochi</v>
          </cell>
          <cell r="F1486" t="str">
            <v>Unknown</v>
          </cell>
          <cell r="H1486">
            <v>899</v>
          </cell>
          <cell r="J1486" t="str">
            <v>Fiber</v>
          </cell>
          <cell r="L1486" t="str">
            <v>Yes</v>
          </cell>
          <cell r="M1486" t="str">
            <v>0-6 mo</v>
          </cell>
          <cell r="N1486" t="str">
            <v>60+ yrs</v>
          </cell>
        </row>
        <row r="1487">
          <cell r="A1487" t="str">
            <v>C2486</v>
          </cell>
          <cell r="E1487" t="str">
            <v>Bangalore</v>
          </cell>
          <cell r="F1487" t="str">
            <v>One year</v>
          </cell>
          <cell r="H1487">
            <v>399</v>
          </cell>
          <cell r="J1487" t="str">
            <v>No Internet</v>
          </cell>
          <cell r="L1487" t="str">
            <v>Unknown</v>
          </cell>
          <cell r="M1487" t="str">
            <v>7-12 mo</v>
          </cell>
          <cell r="N1487" t="str">
            <v>46-60 yrs</v>
          </cell>
        </row>
        <row r="1488">
          <cell r="A1488" t="str">
            <v>C2487</v>
          </cell>
          <cell r="E1488" t="str">
            <v>Bhopal</v>
          </cell>
          <cell r="F1488" t="str">
            <v>Two year</v>
          </cell>
          <cell r="H1488">
            <v>849</v>
          </cell>
          <cell r="J1488" t="str">
            <v>DSL</v>
          </cell>
          <cell r="L1488" t="str">
            <v>No</v>
          </cell>
          <cell r="M1488" t="str">
            <v>49+ mo</v>
          </cell>
          <cell r="N1488" t="str">
            <v>26-35 yrs</v>
          </cell>
        </row>
        <row r="1489">
          <cell r="A1489" t="str">
            <v>C2488</v>
          </cell>
          <cell r="E1489" t="str">
            <v>Lucknow</v>
          </cell>
          <cell r="F1489" t="str">
            <v>Month-to-month</v>
          </cell>
          <cell r="H1489">
            <v>999</v>
          </cell>
          <cell r="J1489" t="str">
            <v>Fiber</v>
          </cell>
          <cell r="L1489" t="str">
            <v>No</v>
          </cell>
          <cell r="M1489" t="str">
            <v>13-24 mo</v>
          </cell>
          <cell r="N1489" t="str">
            <v>60+ yrs</v>
          </cell>
        </row>
        <row r="1490">
          <cell r="A1490" t="str">
            <v>C2489</v>
          </cell>
          <cell r="E1490" t="str">
            <v>Hyderabad</v>
          </cell>
          <cell r="F1490" t="str">
            <v>Two year</v>
          </cell>
          <cell r="H1490">
            <v>1099</v>
          </cell>
          <cell r="J1490" t="str">
            <v>Fiber</v>
          </cell>
          <cell r="L1490" t="str">
            <v>No</v>
          </cell>
          <cell r="M1490" t="str">
            <v>0-6 mo</v>
          </cell>
          <cell r="N1490" t="str">
            <v>46-60 yrs</v>
          </cell>
        </row>
        <row r="1491">
          <cell r="A1491" t="str">
            <v>C2490</v>
          </cell>
          <cell r="E1491" t="str">
            <v>Kochi</v>
          </cell>
          <cell r="F1491" t="str">
            <v>One year</v>
          </cell>
          <cell r="H1491">
            <v>549</v>
          </cell>
          <cell r="J1491" t="str">
            <v>No Internet</v>
          </cell>
          <cell r="L1491" t="str">
            <v>No</v>
          </cell>
          <cell r="M1491" t="str">
            <v>13-24 mo</v>
          </cell>
          <cell r="N1491" t="str">
            <v>18-25 yrs</v>
          </cell>
        </row>
        <row r="1492">
          <cell r="A1492" t="str">
            <v>C2491</v>
          </cell>
          <cell r="E1492" t="str">
            <v>Bhopal</v>
          </cell>
          <cell r="F1492" t="str">
            <v>One year</v>
          </cell>
          <cell r="H1492">
            <v>649</v>
          </cell>
          <cell r="J1492" t="str">
            <v>DSL</v>
          </cell>
          <cell r="L1492" t="str">
            <v>No</v>
          </cell>
          <cell r="M1492" t="str">
            <v>25-48 mo</v>
          </cell>
          <cell r="N1492" t="str">
            <v>46-60 yrs</v>
          </cell>
        </row>
        <row r="1493">
          <cell r="A1493" t="str">
            <v>C2492</v>
          </cell>
          <cell r="E1493" t="str">
            <v>Mumbai</v>
          </cell>
          <cell r="F1493" t="str">
            <v>Month-to-month</v>
          </cell>
          <cell r="H1493">
            <v>1149</v>
          </cell>
          <cell r="J1493" t="str">
            <v>Fiber</v>
          </cell>
          <cell r="L1493" t="str">
            <v>Yes</v>
          </cell>
          <cell r="M1493" t="str">
            <v>7-12 mo</v>
          </cell>
          <cell r="N1493" t="str">
            <v>46-60 yrs</v>
          </cell>
        </row>
        <row r="1494">
          <cell r="A1494" t="str">
            <v>C2493</v>
          </cell>
          <cell r="E1494" t="str">
            <v>Ahmedabad</v>
          </cell>
          <cell r="F1494" t="str">
            <v>Two year</v>
          </cell>
          <cell r="H1494">
            <v>849</v>
          </cell>
          <cell r="J1494" t="str">
            <v>DSL</v>
          </cell>
          <cell r="L1494" t="str">
            <v>No</v>
          </cell>
          <cell r="M1494" t="str">
            <v>25-48 mo</v>
          </cell>
          <cell r="N1494" t="str">
            <v>36-45 yrs</v>
          </cell>
        </row>
        <row r="1495">
          <cell r="A1495" t="str">
            <v>C2494</v>
          </cell>
          <cell r="E1495" t="str">
            <v>Indore</v>
          </cell>
          <cell r="F1495" t="str">
            <v>Month-to-month</v>
          </cell>
          <cell r="H1495">
            <v>999</v>
          </cell>
          <cell r="J1495" t="str">
            <v>Fiber</v>
          </cell>
          <cell r="L1495" t="str">
            <v>No</v>
          </cell>
          <cell r="M1495" t="str">
            <v>7-12 mo</v>
          </cell>
          <cell r="N1495" t="str">
            <v>60+ yrs</v>
          </cell>
        </row>
        <row r="1496">
          <cell r="A1496" t="str">
            <v>C2495</v>
          </cell>
          <cell r="E1496" t="str">
            <v>Delhi</v>
          </cell>
          <cell r="F1496" t="str">
            <v>One year</v>
          </cell>
          <cell r="H1496">
            <v>1049</v>
          </cell>
          <cell r="J1496" t="str">
            <v>Fiber</v>
          </cell>
          <cell r="L1496" t="str">
            <v>No</v>
          </cell>
          <cell r="M1496" t="str">
            <v>0-6 mo</v>
          </cell>
          <cell r="N1496" t="str">
            <v>60+ yrs</v>
          </cell>
        </row>
        <row r="1497">
          <cell r="A1497" t="str">
            <v>C2496</v>
          </cell>
          <cell r="E1497" t="str">
            <v>Ahmedabad</v>
          </cell>
          <cell r="F1497" t="str">
            <v>Two year</v>
          </cell>
          <cell r="H1497">
            <v>849</v>
          </cell>
          <cell r="J1497" t="str">
            <v>DSL</v>
          </cell>
          <cell r="L1497" t="str">
            <v>No</v>
          </cell>
          <cell r="M1497" t="str">
            <v>49+ mo</v>
          </cell>
          <cell r="N1497" t="str">
            <v>26-35 yrs</v>
          </cell>
        </row>
        <row r="1498">
          <cell r="A1498" t="str">
            <v>C2497</v>
          </cell>
          <cell r="E1498" t="str">
            <v>Kolkata</v>
          </cell>
          <cell r="F1498" t="str">
            <v>One year</v>
          </cell>
          <cell r="H1498">
            <v>1049</v>
          </cell>
          <cell r="J1498" t="str">
            <v>Fiber</v>
          </cell>
          <cell r="L1498" t="str">
            <v>No</v>
          </cell>
          <cell r="M1498" t="str">
            <v>25-48 mo</v>
          </cell>
          <cell r="N1498" t="str">
            <v>36-45 yrs</v>
          </cell>
        </row>
        <row r="1499">
          <cell r="A1499" t="str">
            <v>C2498</v>
          </cell>
          <cell r="E1499" t="str">
            <v>Jaipur</v>
          </cell>
          <cell r="F1499" t="str">
            <v>Month-to-month</v>
          </cell>
          <cell r="H1499">
            <v>999</v>
          </cell>
          <cell r="J1499" t="str">
            <v>Fiber</v>
          </cell>
          <cell r="L1499" t="str">
            <v>Yes</v>
          </cell>
          <cell r="M1499" t="str">
            <v>0-6 mo</v>
          </cell>
          <cell r="N1499" t="str">
            <v>46-60 yrs</v>
          </cell>
        </row>
        <row r="1500">
          <cell r="A1500" t="str">
            <v>C2499</v>
          </cell>
          <cell r="E1500" t="str">
            <v>Delhi</v>
          </cell>
          <cell r="F1500" t="str">
            <v>Month-to-month</v>
          </cell>
          <cell r="H1500">
            <v>899</v>
          </cell>
          <cell r="J1500" t="str">
            <v>Unknown</v>
          </cell>
          <cell r="L1500" t="str">
            <v>No</v>
          </cell>
          <cell r="M1500" t="str">
            <v>0-6 mo</v>
          </cell>
          <cell r="N1500" t="str">
            <v>46-60 yrs</v>
          </cell>
        </row>
        <row r="1501">
          <cell r="A1501" t="str">
            <v>C2500</v>
          </cell>
          <cell r="E1501" t="str">
            <v>Pune</v>
          </cell>
          <cell r="F1501" t="str">
            <v>Month-to-month</v>
          </cell>
          <cell r="H1501">
            <v>999</v>
          </cell>
          <cell r="J1501" t="str">
            <v>Fiber</v>
          </cell>
          <cell r="L1501" t="str">
            <v>Yes</v>
          </cell>
          <cell r="M1501" t="str">
            <v>7-12 mo</v>
          </cell>
          <cell r="N1501" t="str">
            <v>46-60 yrs</v>
          </cell>
        </row>
        <row r="1502">
          <cell r="A1502" t="str">
            <v>C2501</v>
          </cell>
          <cell r="E1502" t="str">
            <v>Chennai</v>
          </cell>
          <cell r="F1502" t="str">
            <v>Month-to-month</v>
          </cell>
          <cell r="H1502">
            <v>449</v>
          </cell>
          <cell r="J1502" t="str">
            <v>No Internet</v>
          </cell>
          <cell r="L1502" t="str">
            <v>Yes</v>
          </cell>
          <cell r="M1502" t="str">
            <v>7-12 mo</v>
          </cell>
          <cell r="N1502" t="str">
            <v>60+ yrs</v>
          </cell>
        </row>
        <row r="1503">
          <cell r="A1503" t="str">
            <v>C2502</v>
          </cell>
          <cell r="E1503" t="str">
            <v>Delhi</v>
          </cell>
          <cell r="F1503" t="str">
            <v>One year</v>
          </cell>
          <cell r="H1503">
            <v>649</v>
          </cell>
          <cell r="J1503" t="str">
            <v>DSL</v>
          </cell>
          <cell r="L1503" t="str">
            <v>No</v>
          </cell>
          <cell r="M1503" t="str">
            <v>13-24 mo</v>
          </cell>
          <cell r="N1503" t="str">
            <v>60+ yrs</v>
          </cell>
        </row>
        <row r="1504">
          <cell r="A1504" t="str">
            <v>C2503</v>
          </cell>
          <cell r="E1504" t="str">
            <v>Delhi</v>
          </cell>
          <cell r="F1504" t="str">
            <v>One year</v>
          </cell>
          <cell r="H1504">
            <v>999</v>
          </cell>
          <cell r="J1504" t="str">
            <v>Fiber</v>
          </cell>
          <cell r="L1504" t="str">
            <v>Yes</v>
          </cell>
          <cell r="M1504" t="str">
            <v>25-48 mo</v>
          </cell>
          <cell r="N1504" t="str">
            <v>60+ yrs</v>
          </cell>
        </row>
        <row r="1505">
          <cell r="A1505" t="str">
            <v>C2504</v>
          </cell>
          <cell r="E1505" t="str">
            <v>Chandigarh</v>
          </cell>
          <cell r="F1505" t="str">
            <v>Month-to-month</v>
          </cell>
          <cell r="H1505">
            <v>449</v>
          </cell>
          <cell r="J1505" t="str">
            <v>No Internet</v>
          </cell>
          <cell r="L1505" t="str">
            <v>No</v>
          </cell>
          <cell r="M1505" t="str">
            <v>Unknown</v>
          </cell>
          <cell r="N1505" t="str">
            <v>26-35 yrs</v>
          </cell>
        </row>
        <row r="1506">
          <cell r="A1506" t="str">
            <v>C2505</v>
          </cell>
          <cell r="E1506" t="str">
            <v>Hyderabad</v>
          </cell>
          <cell r="F1506" t="str">
            <v>Month-to-month</v>
          </cell>
          <cell r="H1506">
            <v>1199</v>
          </cell>
          <cell r="J1506" t="str">
            <v>Fiber</v>
          </cell>
          <cell r="L1506" t="str">
            <v>Yes</v>
          </cell>
          <cell r="M1506" t="str">
            <v>7-12 mo</v>
          </cell>
          <cell r="N1506" t="str">
            <v>46-60 yrs</v>
          </cell>
        </row>
        <row r="1507">
          <cell r="A1507" t="str">
            <v>C2506</v>
          </cell>
          <cell r="E1507" t="str">
            <v>Unknown</v>
          </cell>
          <cell r="F1507" t="str">
            <v>One year</v>
          </cell>
          <cell r="H1507">
            <v>799</v>
          </cell>
          <cell r="J1507" t="str">
            <v>DSL</v>
          </cell>
          <cell r="L1507" t="str">
            <v>No</v>
          </cell>
          <cell r="M1507" t="str">
            <v>7-12 mo</v>
          </cell>
          <cell r="N1507" t="str">
            <v>60+ yrs</v>
          </cell>
        </row>
        <row r="1508">
          <cell r="A1508" t="str">
            <v>C2507</v>
          </cell>
          <cell r="E1508" t="str">
            <v>Bhopal</v>
          </cell>
          <cell r="F1508" t="str">
            <v>Month-to-month</v>
          </cell>
          <cell r="H1508">
            <v>999</v>
          </cell>
          <cell r="J1508" t="str">
            <v>Fiber</v>
          </cell>
          <cell r="L1508" t="str">
            <v>Yes</v>
          </cell>
          <cell r="M1508" t="str">
            <v>13-24 mo</v>
          </cell>
          <cell r="N1508" t="str">
            <v>60+ yrs</v>
          </cell>
        </row>
        <row r="1509">
          <cell r="A1509" t="str">
            <v>C2508</v>
          </cell>
          <cell r="E1509" t="str">
            <v>Delhi</v>
          </cell>
          <cell r="F1509" t="str">
            <v>Two year</v>
          </cell>
          <cell r="H1509">
            <v>649</v>
          </cell>
          <cell r="J1509" t="str">
            <v>DSL</v>
          </cell>
          <cell r="L1509" t="str">
            <v>No</v>
          </cell>
          <cell r="M1509" t="str">
            <v>49+ mo</v>
          </cell>
          <cell r="N1509" t="str">
            <v>60+ yrs</v>
          </cell>
        </row>
        <row r="1510">
          <cell r="A1510" t="str">
            <v>C2509</v>
          </cell>
          <cell r="E1510" t="str">
            <v>Hyderabad</v>
          </cell>
          <cell r="F1510" t="str">
            <v>One year</v>
          </cell>
          <cell r="H1510">
            <v>999</v>
          </cell>
          <cell r="J1510" t="str">
            <v>Fiber</v>
          </cell>
          <cell r="L1510" t="str">
            <v>Yes</v>
          </cell>
          <cell r="M1510" t="str">
            <v>25-48 mo</v>
          </cell>
          <cell r="N1510" t="str">
            <v>60+ yrs</v>
          </cell>
        </row>
        <row r="1511">
          <cell r="A1511" t="str">
            <v>C2510</v>
          </cell>
          <cell r="E1511" t="str">
            <v>Chennai</v>
          </cell>
          <cell r="F1511" t="str">
            <v>Month-to-month</v>
          </cell>
          <cell r="H1511">
            <v>799</v>
          </cell>
          <cell r="J1511" t="str">
            <v>DSL</v>
          </cell>
          <cell r="L1511" t="str">
            <v>No</v>
          </cell>
          <cell r="M1511" t="str">
            <v>7-12 mo</v>
          </cell>
          <cell r="N1511" t="str">
            <v>36-45 yrs</v>
          </cell>
        </row>
        <row r="1512">
          <cell r="A1512" t="str">
            <v>C2511</v>
          </cell>
          <cell r="E1512" t="str">
            <v>Pune</v>
          </cell>
          <cell r="F1512" t="str">
            <v>Month-to-month</v>
          </cell>
          <cell r="H1512">
            <v>1299</v>
          </cell>
          <cell r="J1512" t="str">
            <v>Fiber</v>
          </cell>
          <cell r="L1512" t="str">
            <v>Yes</v>
          </cell>
          <cell r="M1512" t="str">
            <v>13-24 mo</v>
          </cell>
          <cell r="N1512" t="str">
            <v>18-25 yrs</v>
          </cell>
        </row>
        <row r="1513">
          <cell r="A1513" t="str">
            <v>C2512</v>
          </cell>
          <cell r="E1513" t="str">
            <v>Indore</v>
          </cell>
          <cell r="F1513" t="str">
            <v>One year</v>
          </cell>
          <cell r="H1513">
            <v>899</v>
          </cell>
          <cell r="J1513" t="str">
            <v>DSL</v>
          </cell>
          <cell r="L1513" t="str">
            <v>Yes</v>
          </cell>
          <cell r="M1513" t="str">
            <v>0-6 mo</v>
          </cell>
          <cell r="N1513" t="str">
            <v>18-25 yrs</v>
          </cell>
        </row>
        <row r="1514">
          <cell r="A1514" t="str">
            <v>C2513</v>
          </cell>
          <cell r="E1514" t="str">
            <v>Jaipur</v>
          </cell>
          <cell r="F1514" t="str">
            <v>Month-to-month</v>
          </cell>
          <cell r="H1514">
            <v>599</v>
          </cell>
          <cell r="J1514" t="str">
            <v>DSL</v>
          </cell>
          <cell r="L1514" t="str">
            <v>No</v>
          </cell>
          <cell r="M1514" t="str">
            <v>13-24 mo</v>
          </cell>
          <cell r="N1514" t="str">
            <v>60+ yrs</v>
          </cell>
        </row>
        <row r="1515">
          <cell r="A1515" t="str">
            <v>C2514</v>
          </cell>
          <cell r="E1515" t="str">
            <v>Lucknow</v>
          </cell>
          <cell r="F1515" t="str">
            <v>Month-to-month</v>
          </cell>
          <cell r="H1515">
            <v>899</v>
          </cell>
          <cell r="J1515" t="str">
            <v>Fiber</v>
          </cell>
          <cell r="L1515" t="str">
            <v>No</v>
          </cell>
          <cell r="M1515" t="str">
            <v>0-6 mo</v>
          </cell>
          <cell r="N1515" t="str">
            <v>60+ yrs</v>
          </cell>
        </row>
        <row r="1516">
          <cell r="A1516" t="str">
            <v>C2515</v>
          </cell>
          <cell r="E1516" t="str">
            <v>Bangalore</v>
          </cell>
          <cell r="F1516" t="str">
            <v>Month-to-month</v>
          </cell>
          <cell r="H1516">
            <v>599</v>
          </cell>
          <cell r="J1516" t="str">
            <v>DSL</v>
          </cell>
          <cell r="L1516" t="str">
            <v>No</v>
          </cell>
          <cell r="M1516" t="str">
            <v>7-12 mo</v>
          </cell>
          <cell r="N1516" t="str">
            <v>26-35 yrs</v>
          </cell>
        </row>
        <row r="1517">
          <cell r="A1517" t="str">
            <v>C2516</v>
          </cell>
          <cell r="E1517" t="str">
            <v>Ahmedabad</v>
          </cell>
          <cell r="F1517" t="str">
            <v>Two year</v>
          </cell>
          <cell r="H1517">
            <v>549</v>
          </cell>
          <cell r="J1517" t="str">
            <v>No Internet</v>
          </cell>
          <cell r="L1517" t="str">
            <v>No</v>
          </cell>
          <cell r="M1517" t="str">
            <v>49+ mo</v>
          </cell>
          <cell r="N1517" t="str">
            <v>18-25 yrs</v>
          </cell>
        </row>
        <row r="1518">
          <cell r="A1518" t="str">
            <v>C2517</v>
          </cell>
          <cell r="E1518" t="str">
            <v>Delhi</v>
          </cell>
          <cell r="F1518" t="str">
            <v>One year</v>
          </cell>
          <cell r="H1518">
            <v>599</v>
          </cell>
          <cell r="J1518" t="str">
            <v>DSL</v>
          </cell>
          <cell r="L1518" t="str">
            <v>No</v>
          </cell>
          <cell r="M1518" t="str">
            <v>25-48 mo</v>
          </cell>
          <cell r="N1518" t="str">
            <v>60+ yrs</v>
          </cell>
        </row>
        <row r="1519">
          <cell r="A1519" t="str">
            <v>C2518</v>
          </cell>
          <cell r="E1519" t="str">
            <v>Pune</v>
          </cell>
          <cell r="F1519" t="str">
            <v>Month-to-month</v>
          </cell>
          <cell r="H1519">
            <v>1049</v>
          </cell>
          <cell r="J1519" t="str">
            <v>Fiber</v>
          </cell>
          <cell r="L1519" t="str">
            <v>Yes</v>
          </cell>
          <cell r="M1519" t="str">
            <v>7-12 mo</v>
          </cell>
          <cell r="N1519" t="str">
            <v>36-45 yrs</v>
          </cell>
        </row>
        <row r="1520">
          <cell r="A1520" t="str">
            <v>C2519</v>
          </cell>
          <cell r="E1520" t="str">
            <v>Hyderabad</v>
          </cell>
          <cell r="F1520" t="str">
            <v>Month-to-month</v>
          </cell>
          <cell r="H1520">
            <v>899</v>
          </cell>
          <cell r="J1520" t="str">
            <v>Fiber</v>
          </cell>
          <cell r="L1520" t="str">
            <v>Yes</v>
          </cell>
          <cell r="M1520" t="str">
            <v>7-12 mo</v>
          </cell>
          <cell r="N1520" t="str">
            <v>60+ yrs</v>
          </cell>
        </row>
        <row r="1521">
          <cell r="A1521" t="str">
            <v>C2520</v>
          </cell>
          <cell r="E1521" t="str">
            <v>Lucknow</v>
          </cell>
          <cell r="F1521" t="str">
            <v>Month-to-month</v>
          </cell>
          <cell r="H1521">
            <v>1099</v>
          </cell>
          <cell r="J1521" t="str">
            <v>Fiber</v>
          </cell>
          <cell r="L1521" t="str">
            <v>No</v>
          </cell>
          <cell r="M1521" t="str">
            <v>7-12 mo</v>
          </cell>
          <cell r="N1521" t="str">
            <v>60+ yrs</v>
          </cell>
        </row>
        <row r="1522">
          <cell r="A1522" t="str">
            <v>C2521</v>
          </cell>
          <cell r="E1522" t="str">
            <v>Kolkata</v>
          </cell>
          <cell r="F1522" t="str">
            <v>Month-to-month</v>
          </cell>
          <cell r="H1522">
            <v>549</v>
          </cell>
          <cell r="J1522" t="str">
            <v>No Internet</v>
          </cell>
          <cell r="L1522" t="str">
            <v>No</v>
          </cell>
          <cell r="M1522" t="str">
            <v>0-6 mo</v>
          </cell>
          <cell r="N1522" t="str">
            <v>60+ yrs</v>
          </cell>
        </row>
        <row r="1523">
          <cell r="A1523" t="str">
            <v>C2522</v>
          </cell>
          <cell r="E1523" t="str">
            <v>Pune</v>
          </cell>
          <cell r="F1523" t="str">
            <v>Month-to-month</v>
          </cell>
          <cell r="H1523">
            <v>849</v>
          </cell>
          <cell r="J1523" t="str">
            <v>DSL</v>
          </cell>
          <cell r="L1523" t="str">
            <v>Yes</v>
          </cell>
          <cell r="M1523" t="str">
            <v>0-6 mo</v>
          </cell>
          <cell r="N1523" t="str">
            <v>36-45 yrs</v>
          </cell>
        </row>
        <row r="1524">
          <cell r="A1524" t="str">
            <v>C2523</v>
          </cell>
          <cell r="E1524" t="str">
            <v>Delhi</v>
          </cell>
          <cell r="F1524" t="str">
            <v>One year</v>
          </cell>
          <cell r="H1524">
            <v>749</v>
          </cell>
          <cell r="J1524" t="str">
            <v>DSL</v>
          </cell>
          <cell r="L1524" t="str">
            <v>No</v>
          </cell>
          <cell r="M1524" t="str">
            <v>25-48 mo</v>
          </cell>
          <cell r="N1524" t="str">
            <v>46-60 yrs</v>
          </cell>
        </row>
        <row r="1525">
          <cell r="A1525" t="str">
            <v>C2524</v>
          </cell>
          <cell r="E1525" t="str">
            <v>Mumbai</v>
          </cell>
          <cell r="F1525" t="str">
            <v>One year</v>
          </cell>
          <cell r="H1525">
            <v>999</v>
          </cell>
          <cell r="J1525" t="str">
            <v>Fiber</v>
          </cell>
          <cell r="L1525" t="str">
            <v>No</v>
          </cell>
          <cell r="M1525" t="str">
            <v>0-6 mo</v>
          </cell>
          <cell r="N1525" t="str">
            <v>18-25 yrs</v>
          </cell>
        </row>
        <row r="1526">
          <cell r="A1526" t="str">
            <v>C2525</v>
          </cell>
          <cell r="E1526" t="str">
            <v>Lucknow</v>
          </cell>
          <cell r="F1526" t="str">
            <v>Month-to-month</v>
          </cell>
          <cell r="H1526">
            <v>499</v>
          </cell>
          <cell r="J1526" t="str">
            <v>No Internet</v>
          </cell>
          <cell r="L1526" t="str">
            <v>Yes</v>
          </cell>
          <cell r="M1526" t="str">
            <v>0-6 mo</v>
          </cell>
          <cell r="N1526" t="str">
            <v>60+ yrs</v>
          </cell>
        </row>
        <row r="1527">
          <cell r="A1527" t="str">
            <v>C2526</v>
          </cell>
          <cell r="E1527" t="str">
            <v>Hyderabad</v>
          </cell>
          <cell r="F1527" t="str">
            <v>Month-to-month</v>
          </cell>
          <cell r="H1527">
            <v>899</v>
          </cell>
          <cell r="J1527" t="str">
            <v>DSL</v>
          </cell>
          <cell r="L1527" t="str">
            <v>Yes</v>
          </cell>
          <cell r="M1527" t="str">
            <v>0-6 mo</v>
          </cell>
          <cell r="N1527" t="str">
            <v>60+ yrs</v>
          </cell>
        </row>
        <row r="1528">
          <cell r="A1528" t="str">
            <v>C2527</v>
          </cell>
          <cell r="E1528" t="str">
            <v>Ahmedabad</v>
          </cell>
          <cell r="F1528" t="str">
            <v>Month-to-month</v>
          </cell>
          <cell r="H1528">
            <v>999</v>
          </cell>
          <cell r="J1528" t="str">
            <v>Fiber</v>
          </cell>
          <cell r="L1528" t="str">
            <v>No</v>
          </cell>
          <cell r="M1528" t="str">
            <v>0-6 mo</v>
          </cell>
          <cell r="N1528" t="str">
            <v>60+ yrs</v>
          </cell>
        </row>
        <row r="1529">
          <cell r="A1529" t="str">
            <v>C2528</v>
          </cell>
          <cell r="E1529" t="str">
            <v>Jaipur</v>
          </cell>
          <cell r="F1529" t="str">
            <v>Month-to-month</v>
          </cell>
          <cell r="H1529">
            <v>999</v>
          </cell>
          <cell r="J1529" t="str">
            <v>Fiber</v>
          </cell>
          <cell r="L1529" t="str">
            <v>Yes</v>
          </cell>
          <cell r="M1529" t="str">
            <v>13-24 mo</v>
          </cell>
          <cell r="N1529" t="str">
            <v>36-45 yrs</v>
          </cell>
        </row>
        <row r="1530">
          <cell r="A1530" t="str">
            <v>C2529</v>
          </cell>
          <cell r="E1530" t="str">
            <v>Hyderabad</v>
          </cell>
          <cell r="F1530" t="str">
            <v>One year</v>
          </cell>
          <cell r="H1530">
            <v>899</v>
          </cell>
          <cell r="J1530" t="str">
            <v>Fiber</v>
          </cell>
          <cell r="L1530" t="str">
            <v>No</v>
          </cell>
          <cell r="M1530" t="str">
            <v>7-12 mo</v>
          </cell>
          <cell r="N1530" t="str">
            <v>26-35 yrs</v>
          </cell>
        </row>
        <row r="1531">
          <cell r="A1531" t="str">
            <v>C2530</v>
          </cell>
          <cell r="E1531" t="str">
            <v>Pune</v>
          </cell>
          <cell r="F1531" t="str">
            <v>Two year</v>
          </cell>
          <cell r="H1531">
            <v>1049</v>
          </cell>
          <cell r="J1531" t="str">
            <v>Fiber</v>
          </cell>
          <cell r="L1531" t="str">
            <v>No</v>
          </cell>
          <cell r="M1531" t="str">
            <v>7-12 mo</v>
          </cell>
          <cell r="N1531" t="str">
            <v>46-60 yrs</v>
          </cell>
        </row>
        <row r="1532">
          <cell r="A1532" t="str">
            <v>C2531</v>
          </cell>
          <cell r="E1532" t="str">
            <v>Kochi</v>
          </cell>
          <cell r="F1532" t="str">
            <v>Month-to-month</v>
          </cell>
          <cell r="H1532">
            <v>1149</v>
          </cell>
          <cell r="J1532" t="str">
            <v>Fiber</v>
          </cell>
          <cell r="L1532" t="str">
            <v>No</v>
          </cell>
          <cell r="M1532" t="str">
            <v>13-24 mo</v>
          </cell>
          <cell r="N1532" t="str">
            <v>46-60 yrs</v>
          </cell>
        </row>
        <row r="1533">
          <cell r="A1533" t="str">
            <v>C2532</v>
          </cell>
          <cell r="E1533" t="str">
            <v>Lucknow</v>
          </cell>
          <cell r="F1533" t="str">
            <v>One year</v>
          </cell>
          <cell r="J1533" t="str">
            <v>Unknown</v>
          </cell>
          <cell r="L1533" t="str">
            <v>Yes</v>
          </cell>
          <cell r="M1533" t="str">
            <v>Unknown</v>
          </cell>
          <cell r="N1533" t="str">
            <v>46-60 yrs</v>
          </cell>
        </row>
        <row r="1534">
          <cell r="A1534" t="str">
            <v>C2533</v>
          </cell>
          <cell r="E1534" t="str">
            <v>Lucknow</v>
          </cell>
          <cell r="F1534" t="str">
            <v>Month-to-month</v>
          </cell>
          <cell r="H1534">
            <v>699</v>
          </cell>
          <cell r="J1534" t="str">
            <v>DSL</v>
          </cell>
          <cell r="L1534" t="str">
            <v>No</v>
          </cell>
          <cell r="M1534" t="str">
            <v>0-6 mo</v>
          </cell>
          <cell r="N1534" t="str">
            <v>46-60 yrs</v>
          </cell>
        </row>
        <row r="1535">
          <cell r="A1535" t="str">
            <v>C2534</v>
          </cell>
          <cell r="E1535" t="str">
            <v>Bangalore</v>
          </cell>
          <cell r="F1535" t="str">
            <v>Two year</v>
          </cell>
          <cell r="H1535">
            <v>399</v>
          </cell>
          <cell r="J1535" t="str">
            <v>No Internet</v>
          </cell>
          <cell r="L1535" t="str">
            <v>No</v>
          </cell>
          <cell r="M1535" t="str">
            <v>25-48 mo</v>
          </cell>
          <cell r="N1535" t="str">
            <v>18-25 yrs</v>
          </cell>
        </row>
        <row r="1536">
          <cell r="A1536" t="str">
            <v>C2535</v>
          </cell>
          <cell r="E1536" t="str">
            <v>Kolkata</v>
          </cell>
          <cell r="F1536" t="str">
            <v>One year</v>
          </cell>
          <cell r="H1536">
            <v>749</v>
          </cell>
          <cell r="J1536" t="str">
            <v>Unknown</v>
          </cell>
          <cell r="L1536" t="str">
            <v>No</v>
          </cell>
          <cell r="M1536" t="str">
            <v>25-48 mo</v>
          </cell>
          <cell r="N1536" t="str">
            <v>18-25 yrs</v>
          </cell>
        </row>
        <row r="1537">
          <cell r="A1537" t="str">
            <v>C2536</v>
          </cell>
          <cell r="E1537" t="str">
            <v>Bangalore</v>
          </cell>
          <cell r="F1537" t="str">
            <v>One year</v>
          </cell>
          <cell r="H1537">
            <v>799</v>
          </cell>
          <cell r="J1537" t="str">
            <v>DSL</v>
          </cell>
          <cell r="L1537" t="str">
            <v>No</v>
          </cell>
          <cell r="M1537" t="str">
            <v>13-24 mo</v>
          </cell>
          <cell r="N1537" t="str">
            <v>46-60 yrs</v>
          </cell>
        </row>
        <row r="1538">
          <cell r="A1538" t="str">
            <v>C2537</v>
          </cell>
          <cell r="E1538" t="str">
            <v>Indore</v>
          </cell>
          <cell r="F1538" t="str">
            <v>Two year</v>
          </cell>
          <cell r="H1538">
            <v>899</v>
          </cell>
          <cell r="J1538" t="str">
            <v>Fiber</v>
          </cell>
          <cell r="L1538" t="str">
            <v>No</v>
          </cell>
          <cell r="M1538" t="str">
            <v>25-48 mo</v>
          </cell>
          <cell r="N1538" t="str">
            <v>26-35 yrs</v>
          </cell>
        </row>
        <row r="1539">
          <cell r="A1539" t="str">
            <v>C2538</v>
          </cell>
          <cell r="E1539" t="str">
            <v>Lucknow</v>
          </cell>
          <cell r="F1539" t="str">
            <v>Month-to-month</v>
          </cell>
          <cell r="H1539">
            <v>749</v>
          </cell>
          <cell r="J1539" t="str">
            <v>DSL</v>
          </cell>
          <cell r="L1539" t="str">
            <v>Yes</v>
          </cell>
          <cell r="M1539" t="str">
            <v>0-6 mo</v>
          </cell>
          <cell r="N1539" t="str">
            <v>46-60 yrs</v>
          </cell>
        </row>
        <row r="1540">
          <cell r="A1540" t="str">
            <v>C2539</v>
          </cell>
          <cell r="E1540" t="str">
            <v>Jaipur</v>
          </cell>
          <cell r="F1540" t="str">
            <v>Month-to-month</v>
          </cell>
          <cell r="H1540">
            <v>899</v>
          </cell>
          <cell r="J1540" t="str">
            <v>Fiber</v>
          </cell>
          <cell r="L1540" t="str">
            <v>Yes</v>
          </cell>
          <cell r="M1540" t="str">
            <v>13-24 mo</v>
          </cell>
          <cell r="N1540" t="str">
            <v>60+ yrs</v>
          </cell>
        </row>
        <row r="1541">
          <cell r="A1541" t="str">
            <v>C2540</v>
          </cell>
          <cell r="E1541" t="str">
            <v>Indore</v>
          </cell>
          <cell r="F1541" t="str">
            <v>Two year</v>
          </cell>
          <cell r="H1541">
            <v>1149</v>
          </cell>
          <cell r="J1541" t="str">
            <v>Fiber</v>
          </cell>
          <cell r="L1541" t="str">
            <v>No</v>
          </cell>
          <cell r="M1541" t="str">
            <v>49+ mo</v>
          </cell>
          <cell r="N1541" t="str">
            <v>60+ yrs</v>
          </cell>
        </row>
        <row r="1542">
          <cell r="A1542" t="str">
            <v>C2541</v>
          </cell>
          <cell r="E1542" t="str">
            <v>Chennai</v>
          </cell>
          <cell r="F1542" t="str">
            <v>Month-to-month</v>
          </cell>
          <cell r="H1542">
            <v>899</v>
          </cell>
          <cell r="J1542" t="str">
            <v>DSL</v>
          </cell>
          <cell r="L1542" t="str">
            <v>No</v>
          </cell>
          <cell r="M1542" t="str">
            <v>13-24 mo</v>
          </cell>
          <cell r="N1542" t="str">
            <v>60+ yrs</v>
          </cell>
        </row>
        <row r="1543">
          <cell r="A1543" t="str">
            <v>C2542</v>
          </cell>
          <cell r="E1543" t="str">
            <v>Kochi</v>
          </cell>
          <cell r="F1543" t="str">
            <v>Month-to-month</v>
          </cell>
          <cell r="H1543">
            <v>749</v>
          </cell>
          <cell r="J1543" t="str">
            <v>DSL</v>
          </cell>
          <cell r="L1543" t="str">
            <v>No</v>
          </cell>
          <cell r="M1543" t="str">
            <v>13-24 mo</v>
          </cell>
          <cell r="N1543" t="str">
            <v>46-60 yrs</v>
          </cell>
        </row>
        <row r="1544">
          <cell r="A1544" t="str">
            <v>C2543</v>
          </cell>
          <cell r="E1544" t="str">
            <v>Kochi</v>
          </cell>
          <cell r="F1544" t="str">
            <v>Month-to-month</v>
          </cell>
          <cell r="H1544">
            <v>849</v>
          </cell>
          <cell r="J1544" t="str">
            <v>DSL</v>
          </cell>
          <cell r="L1544" t="str">
            <v>Yes</v>
          </cell>
          <cell r="M1544" t="str">
            <v>0-6 mo</v>
          </cell>
          <cell r="N1544" t="str">
            <v>60+ yrs</v>
          </cell>
        </row>
        <row r="1545">
          <cell r="A1545" t="str">
            <v>C2544</v>
          </cell>
          <cell r="E1545" t="str">
            <v>Jaipur</v>
          </cell>
          <cell r="F1545" t="str">
            <v>Month-to-month</v>
          </cell>
          <cell r="H1545">
            <v>1199</v>
          </cell>
          <cell r="J1545" t="str">
            <v>Fiber</v>
          </cell>
          <cell r="L1545" t="str">
            <v>Yes</v>
          </cell>
          <cell r="M1545" t="str">
            <v>0-6 mo</v>
          </cell>
          <cell r="N1545" t="str">
            <v>36-45 yrs</v>
          </cell>
        </row>
        <row r="1546">
          <cell r="A1546" t="str">
            <v>C2545</v>
          </cell>
          <cell r="E1546" t="str">
            <v>Kochi</v>
          </cell>
          <cell r="F1546" t="str">
            <v>Month-to-month</v>
          </cell>
          <cell r="H1546">
            <v>1149</v>
          </cell>
          <cell r="J1546" t="str">
            <v>Fiber</v>
          </cell>
          <cell r="L1546" t="str">
            <v>No</v>
          </cell>
          <cell r="M1546" t="str">
            <v>7-12 mo</v>
          </cell>
          <cell r="N1546" t="str">
            <v>36-45 yrs</v>
          </cell>
        </row>
        <row r="1547">
          <cell r="A1547" t="str">
            <v>C2546</v>
          </cell>
          <cell r="E1547" t="str">
            <v>Hyderabad</v>
          </cell>
          <cell r="F1547" t="str">
            <v>One year</v>
          </cell>
          <cell r="H1547">
            <v>749</v>
          </cell>
          <cell r="J1547" t="str">
            <v>DSL</v>
          </cell>
          <cell r="L1547" t="str">
            <v>No</v>
          </cell>
          <cell r="M1547" t="str">
            <v>25-48 mo</v>
          </cell>
          <cell r="N1547" t="str">
            <v>36-45 yrs</v>
          </cell>
        </row>
        <row r="1548">
          <cell r="A1548" t="str">
            <v>C2547</v>
          </cell>
          <cell r="E1548" t="str">
            <v>Kolkata</v>
          </cell>
          <cell r="F1548" t="str">
            <v>One year</v>
          </cell>
          <cell r="H1548">
            <v>999</v>
          </cell>
          <cell r="J1548" t="str">
            <v>Fiber</v>
          </cell>
          <cell r="L1548" t="str">
            <v>Yes</v>
          </cell>
          <cell r="M1548" t="str">
            <v>7-12 mo</v>
          </cell>
          <cell r="N1548" t="str">
            <v>60+ yrs</v>
          </cell>
        </row>
        <row r="1549">
          <cell r="A1549" t="str">
            <v>C2548</v>
          </cell>
          <cell r="E1549" t="str">
            <v>Chandigarh</v>
          </cell>
          <cell r="F1549" t="str">
            <v>Month-to-month</v>
          </cell>
          <cell r="H1549">
            <v>1149</v>
          </cell>
          <cell r="J1549" t="str">
            <v>Fiber</v>
          </cell>
          <cell r="L1549" t="str">
            <v>Unknown</v>
          </cell>
          <cell r="M1549" t="str">
            <v>0-6 mo</v>
          </cell>
          <cell r="N1549" t="str">
            <v>46-60 yrs</v>
          </cell>
        </row>
        <row r="1550">
          <cell r="A1550" t="str">
            <v>C2549</v>
          </cell>
          <cell r="E1550" t="str">
            <v>Indore</v>
          </cell>
          <cell r="F1550" t="str">
            <v>Month-to-month</v>
          </cell>
          <cell r="H1550">
            <v>649</v>
          </cell>
          <cell r="J1550" t="str">
            <v>DSL</v>
          </cell>
          <cell r="L1550" t="str">
            <v>Yes</v>
          </cell>
          <cell r="M1550" t="str">
            <v>7-12 mo</v>
          </cell>
          <cell r="N1550" t="str">
            <v>46-60 yrs</v>
          </cell>
        </row>
        <row r="1551">
          <cell r="A1551" t="str">
            <v>C2550</v>
          </cell>
          <cell r="E1551" t="str">
            <v>Bangalore</v>
          </cell>
          <cell r="F1551" t="str">
            <v>Month-to-month</v>
          </cell>
          <cell r="H1551">
            <v>549</v>
          </cell>
          <cell r="J1551" t="str">
            <v>No Internet</v>
          </cell>
          <cell r="L1551" t="str">
            <v>No</v>
          </cell>
          <cell r="M1551" t="str">
            <v>13-24 mo</v>
          </cell>
          <cell r="N1551" t="str">
            <v>60+ yrs</v>
          </cell>
        </row>
        <row r="1552">
          <cell r="A1552" t="str">
            <v>C2551</v>
          </cell>
          <cell r="E1552" t="str">
            <v>Mumbai</v>
          </cell>
          <cell r="F1552" t="str">
            <v>Month-to-month</v>
          </cell>
          <cell r="H1552">
            <v>599</v>
          </cell>
          <cell r="J1552" t="str">
            <v>DSL</v>
          </cell>
          <cell r="L1552" t="str">
            <v>Yes</v>
          </cell>
          <cell r="M1552" t="str">
            <v>13-24 mo</v>
          </cell>
          <cell r="N1552" t="str">
            <v>60+ yrs</v>
          </cell>
        </row>
        <row r="1553">
          <cell r="A1553" t="str">
            <v>C2552</v>
          </cell>
          <cell r="E1553" t="str">
            <v>Jaipur</v>
          </cell>
          <cell r="F1553" t="str">
            <v>One year</v>
          </cell>
          <cell r="H1553">
            <v>649</v>
          </cell>
          <cell r="J1553" t="str">
            <v>DSL</v>
          </cell>
          <cell r="L1553" t="str">
            <v>Yes</v>
          </cell>
          <cell r="M1553" t="str">
            <v>7-12 mo</v>
          </cell>
          <cell r="N1553" t="str">
            <v>46-60 yrs</v>
          </cell>
        </row>
        <row r="1554">
          <cell r="A1554" t="str">
            <v>C2553</v>
          </cell>
          <cell r="E1554" t="str">
            <v>Delhi</v>
          </cell>
          <cell r="F1554" t="str">
            <v>One year</v>
          </cell>
          <cell r="H1554">
            <v>699</v>
          </cell>
          <cell r="J1554" t="str">
            <v>DSL</v>
          </cell>
          <cell r="L1554" t="str">
            <v>No</v>
          </cell>
          <cell r="M1554" t="str">
            <v>25-48 mo</v>
          </cell>
          <cell r="N1554" t="str">
            <v>46-60 yrs</v>
          </cell>
        </row>
        <row r="1555">
          <cell r="A1555" t="str">
            <v>C2554</v>
          </cell>
          <cell r="E1555" t="str">
            <v>Chennai</v>
          </cell>
          <cell r="F1555" t="str">
            <v>Two year</v>
          </cell>
          <cell r="H1555">
            <v>849</v>
          </cell>
          <cell r="J1555" t="str">
            <v>DSL</v>
          </cell>
          <cell r="L1555" t="str">
            <v>No</v>
          </cell>
          <cell r="M1555" t="str">
            <v>25-48 mo</v>
          </cell>
          <cell r="N1555" t="str">
            <v>26-35 yrs</v>
          </cell>
        </row>
        <row r="1556">
          <cell r="A1556" t="str">
            <v>C2555</v>
          </cell>
          <cell r="E1556" t="str">
            <v>Kochi</v>
          </cell>
          <cell r="F1556" t="str">
            <v>Month-to-month</v>
          </cell>
          <cell r="H1556">
            <v>899</v>
          </cell>
          <cell r="J1556" t="str">
            <v>Fiber</v>
          </cell>
          <cell r="L1556" t="str">
            <v>No</v>
          </cell>
          <cell r="M1556" t="str">
            <v>0-6 mo</v>
          </cell>
          <cell r="N1556" t="str">
            <v>60+ yrs</v>
          </cell>
        </row>
        <row r="1557">
          <cell r="A1557" t="str">
            <v>C2556</v>
          </cell>
          <cell r="E1557" t="str">
            <v>Unknown</v>
          </cell>
          <cell r="F1557" t="str">
            <v>Month-to-month</v>
          </cell>
          <cell r="H1557">
            <v>749</v>
          </cell>
          <cell r="J1557" t="str">
            <v>DSL</v>
          </cell>
          <cell r="L1557" t="str">
            <v>No</v>
          </cell>
          <cell r="M1557" t="str">
            <v>13-24 mo</v>
          </cell>
          <cell r="N1557" t="str">
            <v>60+ yrs</v>
          </cell>
        </row>
        <row r="1558">
          <cell r="A1558" t="str">
            <v>C2557</v>
          </cell>
          <cell r="E1558" t="str">
            <v>Kochi</v>
          </cell>
          <cell r="F1558" t="str">
            <v>Month-to-month</v>
          </cell>
          <cell r="H1558">
            <v>549</v>
          </cell>
          <cell r="J1558" t="str">
            <v>No Internet</v>
          </cell>
          <cell r="L1558" t="str">
            <v>Yes</v>
          </cell>
          <cell r="M1558" t="str">
            <v>13-24 mo</v>
          </cell>
          <cell r="N1558" t="str">
            <v>26-35 yrs</v>
          </cell>
        </row>
        <row r="1559">
          <cell r="A1559" t="str">
            <v>C2558</v>
          </cell>
          <cell r="E1559" t="str">
            <v>Hyderabad</v>
          </cell>
          <cell r="F1559" t="str">
            <v>One year</v>
          </cell>
          <cell r="H1559">
            <v>1299</v>
          </cell>
          <cell r="J1559" t="str">
            <v>Fiber</v>
          </cell>
          <cell r="L1559" t="str">
            <v>No</v>
          </cell>
          <cell r="M1559" t="str">
            <v>0-6 mo</v>
          </cell>
          <cell r="N1559" t="str">
            <v>36-45 yrs</v>
          </cell>
        </row>
        <row r="1560">
          <cell r="A1560" t="str">
            <v>C2559</v>
          </cell>
          <cell r="E1560" t="str">
            <v>Ahmedabad</v>
          </cell>
          <cell r="F1560" t="str">
            <v>Month-to-month</v>
          </cell>
          <cell r="H1560">
            <v>649</v>
          </cell>
          <cell r="J1560" t="str">
            <v>DSL</v>
          </cell>
          <cell r="L1560" t="str">
            <v>No</v>
          </cell>
          <cell r="M1560" t="str">
            <v>13-24 mo</v>
          </cell>
          <cell r="N1560" t="str">
            <v>18-25 yrs</v>
          </cell>
        </row>
        <row r="1561">
          <cell r="A1561" t="str">
            <v>C2560</v>
          </cell>
          <cell r="E1561" t="str">
            <v>Jaipur</v>
          </cell>
          <cell r="F1561" t="str">
            <v>Month-to-month</v>
          </cell>
          <cell r="H1561">
            <v>999</v>
          </cell>
          <cell r="J1561" t="str">
            <v>Fiber</v>
          </cell>
          <cell r="L1561" t="str">
            <v>Yes</v>
          </cell>
          <cell r="M1561" t="str">
            <v>0-6 mo</v>
          </cell>
          <cell r="N1561" t="str">
            <v>36-45 yrs</v>
          </cell>
        </row>
        <row r="1562">
          <cell r="A1562" t="str">
            <v>C2561</v>
          </cell>
          <cell r="E1562" t="str">
            <v>Indore</v>
          </cell>
          <cell r="F1562" t="str">
            <v>Month-to-month</v>
          </cell>
          <cell r="H1562">
            <v>899</v>
          </cell>
          <cell r="J1562" t="str">
            <v>Fiber</v>
          </cell>
          <cell r="L1562" t="str">
            <v>Yes</v>
          </cell>
          <cell r="M1562" t="str">
            <v>13-24 mo</v>
          </cell>
          <cell r="N1562" t="str">
            <v>60+ yrs</v>
          </cell>
        </row>
        <row r="1563">
          <cell r="A1563" t="str">
            <v>C2562</v>
          </cell>
          <cell r="E1563" t="str">
            <v>Bangalore</v>
          </cell>
          <cell r="F1563" t="str">
            <v>Month-to-month</v>
          </cell>
          <cell r="H1563">
            <v>1099</v>
          </cell>
          <cell r="J1563" t="str">
            <v>Fiber</v>
          </cell>
          <cell r="L1563" t="str">
            <v>No</v>
          </cell>
          <cell r="M1563" t="str">
            <v>7-12 mo</v>
          </cell>
          <cell r="N1563" t="str">
            <v>46-60 yrs</v>
          </cell>
        </row>
        <row r="1564">
          <cell r="A1564" t="str">
            <v>C2563</v>
          </cell>
          <cell r="E1564" t="str">
            <v>Lucknow</v>
          </cell>
          <cell r="F1564" t="str">
            <v>Month-to-month</v>
          </cell>
          <cell r="H1564">
            <v>999</v>
          </cell>
          <cell r="J1564" t="str">
            <v>Fiber</v>
          </cell>
          <cell r="L1564" t="str">
            <v>No</v>
          </cell>
          <cell r="M1564" t="str">
            <v>0-6 mo</v>
          </cell>
          <cell r="N1564" t="str">
            <v>46-60 yrs</v>
          </cell>
        </row>
        <row r="1565">
          <cell r="A1565" t="str">
            <v>C2564</v>
          </cell>
          <cell r="E1565" t="str">
            <v>Hyderabad</v>
          </cell>
          <cell r="F1565" t="str">
            <v>One year</v>
          </cell>
          <cell r="H1565">
            <v>1199</v>
          </cell>
          <cell r="J1565" t="str">
            <v>Fiber</v>
          </cell>
          <cell r="L1565" t="str">
            <v>No</v>
          </cell>
          <cell r="M1565" t="str">
            <v>25-48 mo</v>
          </cell>
          <cell r="N1565" t="str">
            <v>60+ yrs</v>
          </cell>
        </row>
        <row r="1566">
          <cell r="A1566" t="str">
            <v>C2565</v>
          </cell>
          <cell r="E1566" t="str">
            <v>Chandigarh</v>
          </cell>
          <cell r="F1566" t="str">
            <v>One year</v>
          </cell>
          <cell r="H1566">
            <v>899</v>
          </cell>
          <cell r="J1566" t="str">
            <v>Fiber</v>
          </cell>
          <cell r="L1566" t="str">
            <v>Yes</v>
          </cell>
          <cell r="M1566" t="str">
            <v>0-6 mo</v>
          </cell>
          <cell r="N1566" t="str">
            <v>36-45 yrs</v>
          </cell>
        </row>
        <row r="1567">
          <cell r="A1567" t="str">
            <v>C2566</v>
          </cell>
          <cell r="E1567" t="str">
            <v>Ahmedabad</v>
          </cell>
          <cell r="F1567" t="str">
            <v>Month-to-month</v>
          </cell>
          <cell r="H1567">
            <v>499</v>
          </cell>
          <cell r="J1567" t="str">
            <v>No Internet</v>
          </cell>
          <cell r="L1567" t="str">
            <v>Yes</v>
          </cell>
          <cell r="M1567" t="str">
            <v>7-12 mo</v>
          </cell>
          <cell r="N1567" t="str">
            <v>46-60 yrs</v>
          </cell>
        </row>
        <row r="1568">
          <cell r="A1568" t="str">
            <v>C2567</v>
          </cell>
          <cell r="E1568" t="str">
            <v>Unknown</v>
          </cell>
          <cell r="F1568" t="str">
            <v>Month-to-month</v>
          </cell>
          <cell r="H1568">
            <v>599</v>
          </cell>
          <cell r="J1568" t="str">
            <v>DSL</v>
          </cell>
          <cell r="L1568" t="str">
            <v>No</v>
          </cell>
          <cell r="M1568" t="str">
            <v>13-24 mo</v>
          </cell>
          <cell r="N1568" t="str">
            <v>46-60 yrs</v>
          </cell>
        </row>
        <row r="1569">
          <cell r="A1569" t="str">
            <v>C2568</v>
          </cell>
          <cell r="E1569" t="str">
            <v>Chandigarh</v>
          </cell>
          <cell r="F1569" t="str">
            <v>One year</v>
          </cell>
          <cell r="H1569">
            <v>399</v>
          </cell>
          <cell r="J1569" t="str">
            <v>No Internet</v>
          </cell>
          <cell r="L1569" t="str">
            <v>No</v>
          </cell>
          <cell r="M1569" t="str">
            <v>25-48 mo</v>
          </cell>
          <cell r="N1569" t="str">
            <v>26-35 yrs</v>
          </cell>
        </row>
        <row r="1570">
          <cell r="A1570" t="str">
            <v>C2569</v>
          </cell>
          <cell r="E1570" t="str">
            <v>Ahmedabad</v>
          </cell>
          <cell r="F1570" t="str">
            <v>Two year</v>
          </cell>
          <cell r="H1570">
            <v>699</v>
          </cell>
          <cell r="J1570" t="str">
            <v>DSL</v>
          </cell>
          <cell r="L1570" t="str">
            <v>Yes</v>
          </cell>
          <cell r="M1570" t="str">
            <v>49+ mo</v>
          </cell>
          <cell r="N1570" t="str">
            <v>26-35 yrs</v>
          </cell>
        </row>
        <row r="1571">
          <cell r="A1571" t="str">
            <v>C2570</v>
          </cell>
          <cell r="E1571" t="str">
            <v>Bhopal</v>
          </cell>
          <cell r="F1571" t="str">
            <v>Month-to-month</v>
          </cell>
          <cell r="H1571">
            <v>899</v>
          </cell>
          <cell r="J1571" t="str">
            <v>DSL</v>
          </cell>
          <cell r="L1571" t="str">
            <v>No</v>
          </cell>
          <cell r="M1571" t="str">
            <v>7-12 mo</v>
          </cell>
          <cell r="N1571" t="str">
            <v>18-25 yrs</v>
          </cell>
        </row>
        <row r="1572">
          <cell r="A1572" t="str">
            <v>C2571</v>
          </cell>
          <cell r="E1572" t="str">
            <v>Indore</v>
          </cell>
          <cell r="F1572" t="str">
            <v>Month-to-month</v>
          </cell>
          <cell r="H1572">
            <v>649</v>
          </cell>
          <cell r="J1572" t="str">
            <v>DSL</v>
          </cell>
          <cell r="L1572" t="str">
            <v>No</v>
          </cell>
          <cell r="M1572" t="str">
            <v>13-24 mo</v>
          </cell>
          <cell r="N1572" t="str">
            <v>18-25 yrs</v>
          </cell>
        </row>
        <row r="1573">
          <cell r="A1573" t="str">
            <v>C2572</v>
          </cell>
          <cell r="E1573" t="str">
            <v>Ahmedabad</v>
          </cell>
          <cell r="F1573" t="str">
            <v>One year</v>
          </cell>
          <cell r="H1573">
            <v>899</v>
          </cell>
          <cell r="J1573" t="str">
            <v>DSL</v>
          </cell>
          <cell r="L1573" t="str">
            <v>No</v>
          </cell>
          <cell r="M1573" t="str">
            <v>13-24 mo</v>
          </cell>
          <cell r="N1573" t="str">
            <v>36-45 yrs</v>
          </cell>
        </row>
        <row r="1574">
          <cell r="A1574" t="str">
            <v>C2573</v>
          </cell>
          <cell r="E1574" t="str">
            <v>Bhopal</v>
          </cell>
          <cell r="F1574" t="str">
            <v>One year</v>
          </cell>
          <cell r="H1574">
            <v>899</v>
          </cell>
          <cell r="J1574" t="str">
            <v>DSL</v>
          </cell>
          <cell r="L1574" t="str">
            <v>No</v>
          </cell>
          <cell r="M1574" t="str">
            <v>25-48 mo</v>
          </cell>
          <cell r="N1574" t="str">
            <v>46-60 yrs</v>
          </cell>
        </row>
        <row r="1575">
          <cell r="A1575" t="str">
            <v>C2574</v>
          </cell>
          <cell r="E1575" t="str">
            <v>Chennai</v>
          </cell>
          <cell r="F1575" t="str">
            <v>Month-to-month</v>
          </cell>
          <cell r="H1575">
            <v>1149</v>
          </cell>
          <cell r="J1575" t="str">
            <v>Fiber</v>
          </cell>
          <cell r="L1575" t="str">
            <v>No</v>
          </cell>
          <cell r="M1575" t="str">
            <v>7-12 mo</v>
          </cell>
          <cell r="N1575" t="str">
            <v>26-35 yrs</v>
          </cell>
        </row>
        <row r="1576">
          <cell r="A1576" t="str">
            <v>C2575</v>
          </cell>
          <cell r="E1576" t="str">
            <v>Bangalore</v>
          </cell>
          <cell r="F1576" t="str">
            <v>Two year</v>
          </cell>
          <cell r="H1576">
            <v>899</v>
          </cell>
          <cell r="J1576" t="str">
            <v>DSL</v>
          </cell>
          <cell r="L1576" t="str">
            <v>No</v>
          </cell>
          <cell r="M1576" t="str">
            <v>25-48 mo</v>
          </cell>
          <cell r="N1576" t="str">
            <v>36-45 yrs</v>
          </cell>
        </row>
        <row r="1577">
          <cell r="A1577" t="str">
            <v>C2576</v>
          </cell>
          <cell r="E1577" t="str">
            <v>Jaipur</v>
          </cell>
          <cell r="F1577" t="str">
            <v>Month-to-month</v>
          </cell>
          <cell r="H1577">
            <v>899</v>
          </cell>
          <cell r="J1577" t="str">
            <v>Fiber</v>
          </cell>
          <cell r="L1577" t="str">
            <v>No</v>
          </cell>
          <cell r="M1577" t="str">
            <v>7-12 mo</v>
          </cell>
          <cell r="N1577" t="str">
            <v>46-60 yrs</v>
          </cell>
        </row>
        <row r="1578">
          <cell r="A1578" t="str">
            <v>C2577</v>
          </cell>
          <cell r="E1578" t="str">
            <v>Kochi</v>
          </cell>
          <cell r="F1578" t="str">
            <v>Month-to-month</v>
          </cell>
          <cell r="H1578">
            <v>899</v>
          </cell>
          <cell r="J1578" t="str">
            <v>Fiber</v>
          </cell>
          <cell r="L1578" t="str">
            <v>Yes</v>
          </cell>
          <cell r="M1578" t="str">
            <v>7-12 mo</v>
          </cell>
          <cell r="N1578" t="str">
            <v>36-45 yrs</v>
          </cell>
        </row>
        <row r="1579">
          <cell r="A1579" t="str">
            <v>C2578</v>
          </cell>
          <cell r="E1579" t="str">
            <v>Chandigarh</v>
          </cell>
          <cell r="F1579" t="str">
            <v>Month-to-month</v>
          </cell>
          <cell r="H1579">
            <v>899</v>
          </cell>
          <cell r="J1579" t="str">
            <v>Fiber</v>
          </cell>
          <cell r="L1579" t="str">
            <v>No</v>
          </cell>
          <cell r="M1579" t="str">
            <v>13-24 mo</v>
          </cell>
          <cell r="N1579" t="str">
            <v>46-60 yrs</v>
          </cell>
        </row>
        <row r="1580">
          <cell r="A1580" t="str">
            <v>C2579</v>
          </cell>
          <cell r="E1580" t="str">
            <v>Kochi</v>
          </cell>
          <cell r="F1580" t="str">
            <v>Month-to-month</v>
          </cell>
          <cell r="H1580">
            <v>349</v>
          </cell>
          <cell r="J1580" t="str">
            <v>No Internet</v>
          </cell>
          <cell r="L1580" t="str">
            <v>Yes</v>
          </cell>
          <cell r="M1580" t="str">
            <v>7-12 mo</v>
          </cell>
          <cell r="N1580" t="str">
            <v>26-35 yrs</v>
          </cell>
        </row>
        <row r="1581">
          <cell r="A1581" t="str">
            <v>C2580</v>
          </cell>
          <cell r="E1581" t="str">
            <v>Mumbai</v>
          </cell>
          <cell r="F1581" t="str">
            <v>Month-to-month</v>
          </cell>
          <cell r="H1581">
            <v>649</v>
          </cell>
          <cell r="J1581" t="str">
            <v>DSL</v>
          </cell>
          <cell r="L1581" t="str">
            <v>No</v>
          </cell>
          <cell r="M1581" t="str">
            <v>13-24 mo</v>
          </cell>
          <cell r="N1581" t="str">
            <v>26-35 yrs</v>
          </cell>
        </row>
        <row r="1582">
          <cell r="A1582" t="str">
            <v>C2581</v>
          </cell>
          <cell r="E1582" t="str">
            <v>Chandigarh</v>
          </cell>
          <cell r="F1582" t="str">
            <v>Month-to-month</v>
          </cell>
          <cell r="H1582">
            <v>699</v>
          </cell>
          <cell r="J1582" t="str">
            <v>DSL</v>
          </cell>
          <cell r="L1582" t="str">
            <v>No</v>
          </cell>
          <cell r="M1582" t="str">
            <v>13-24 mo</v>
          </cell>
          <cell r="N1582" t="str">
            <v>46-60 yrs</v>
          </cell>
        </row>
        <row r="1583">
          <cell r="A1583" t="str">
            <v>C2582</v>
          </cell>
          <cell r="E1583" t="str">
            <v>Unknown</v>
          </cell>
          <cell r="F1583" t="str">
            <v>Month-to-month</v>
          </cell>
          <cell r="H1583">
            <v>899</v>
          </cell>
          <cell r="J1583" t="str">
            <v>Fiber</v>
          </cell>
          <cell r="L1583" t="str">
            <v>No</v>
          </cell>
          <cell r="M1583" t="str">
            <v>13-24 mo</v>
          </cell>
          <cell r="N1583" t="str">
            <v>18-25 yrs</v>
          </cell>
        </row>
        <row r="1584">
          <cell r="A1584" t="str">
            <v>C2583</v>
          </cell>
          <cell r="E1584" t="str">
            <v>Bangalore</v>
          </cell>
          <cell r="F1584" t="str">
            <v>One year</v>
          </cell>
          <cell r="H1584">
            <v>649</v>
          </cell>
          <cell r="J1584" t="str">
            <v>DSL</v>
          </cell>
          <cell r="L1584" t="str">
            <v>No</v>
          </cell>
          <cell r="M1584" t="str">
            <v>13-24 mo</v>
          </cell>
          <cell r="N1584" t="str">
            <v>60+ yrs</v>
          </cell>
        </row>
        <row r="1585">
          <cell r="A1585" t="str">
            <v>C2584</v>
          </cell>
          <cell r="E1585" t="str">
            <v>Bangalore</v>
          </cell>
          <cell r="F1585" t="str">
            <v>Two year</v>
          </cell>
          <cell r="H1585">
            <v>899</v>
          </cell>
          <cell r="J1585" t="str">
            <v>Fiber</v>
          </cell>
          <cell r="L1585" t="str">
            <v>No</v>
          </cell>
          <cell r="M1585" t="str">
            <v>49+ mo</v>
          </cell>
          <cell r="N1585" t="str">
            <v>60+ yrs</v>
          </cell>
        </row>
        <row r="1586">
          <cell r="A1586" t="str">
            <v>C2585</v>
          </cell>
          <cell r="E1586" t="str">
            <v>Chennai</v>
          </cell>
          <cell r="F1586" t="str">
            <v>Month-to-month</v>
          </cell>
          <cell r="H1586">
            <v>849</v>
          </cell>
          <cell r="J1586" t="str">
            <v>DSL</v>
          </cell>
          <cell r="L1586" t="str">
            <v>Yes</v>
          </cell>
          <cell r="M1586" t="str">
            <v>13-24 mo</v>
          </cell>
          <cell r="N1586" t="str">
            <v>46-60 yrs</v>
          </cell>
        </row>
        <row r="1587">
          <cell r="A1587" t="str">
            <v>C2586</v>
          </cell>
          <cell r="E1587" t="str">
            <v>Bhopal</v>
          </cell>
          <cell r="F1587" t="str">
            <v>One year</v>
          </cell>
          <cell r="H1587">
            <v>549</v>
          </cell>
          <cell r="J1587" t="str">
            <v>No Internet</v>
          </cell>
          <cell r="L1587" t="str">
            <v>No</v>
          </cell>
          <cell r="M1587" t="str">
            <v>13-24 mo</v>
          </cell>
          <cell r="N1587" t="str">
            <v>36-45 yrs</v>
          </cell>
        </row>
        <row r="1588">
          <cell r="A1588" t="str">
            <v>C2587</v>
          </cell>
          <cell r="E1588" t="str">
            <v>Mumbai</v>
          </cell>
          <cell r="F1588" t="str">
            <v>Two year</v>
          </cell>
          <cell r="H1588">
            <v>999</v>
          </cell>
          <cell r="J1588" t="str">
            <v>Fiber</v>
          </cell>
          <cell r="L1588" t="str">
            <v>No</v>
          </cell>
          <cell r="M1588" t="str">
            <v>25-48 mo</v>
          </cell>
          <cell r="N1588" t="str">
            <v>18-25 yrs</v>
          </cell>
        </row>
        <row r="1589">
          <cell r="A1589" t="str">
            <v>C2588</v>
          </cell>
          <cell r="E1589" t="str">
            <v>Hyderabad</v>
          </cell>
          <cell r="F1589" t="str">
            <v>One year</v>
          </cell>
          <cell r="H1589">
            <v>349</v>
          </cell>
          <cell r="J1589" t="str">
            <v>No Internet</v>
          </cell>
          <cell r="L1589" t="str">
            <v>No</v>
          </cell>
          <cell r="M1589" t="str">
            <v>0-6 mo</v>
          </cell>
          <cell r="N1589" t="str">
            <v>46-60 yrs</v>
          </cell>
        </row>
        <row r="1590">
          <cell r="A1590" t="str">
            <v>C2589</v>
          </cell>
          <cell r="E1590" t="str">
            <v>Pune</v>
          </cell>
          <cell r="F1590" t="str">
            <v>Month-to-month</v>
          </cell>
          <cell r="H1590">
            <v>849</v>
          </cell>
          <cell r="J1590" t="str">
            <v>DSL</v>
          </cell>
          <cell r="L1590" t="str">
            <v>No</v>
          </cell>
          <cell r="M1590" t="str">
            <v>7-12 mo</v>
          </cell>
          <cell r="N1590" t="str">
            <v>18-25 yrs</v>
          </cell>
        </row>
        <row r="1591">
          <cell r="A1591" t="str">
            <v>C2590</v>
          </cell>
          <cell r="E1591" t="str">
            <v>Chandigarh</v>
          </cell>
          <cell r="F1591" t="str">
            <v>Month-to-month</v>
          </cell>
          <cell r="H1591">
            <v>1149</v>
          </cell>
          <cell r="J1591" t="str">
            <v>Fiber</v>
          </cell>
          <cell r="L1591" t="str">
            <v>Yes</v>
          </cell>
          <cell r="M1591" t="str">
            <v>13-24 mo</v>
          </cell>
          <cell r="N1591" t="str">
            <v>36-45 yrs</v>
          </cell>
        </row>
        <row r="1592">
          <cell r="A1592" t="str">
            <v>C2591</v>
          </cell>
          <cell r="E1592" t="str">
            <v>Indore</v>
          </cell>
          <cell r="F1592" t="str">
            <v>One year</v>
          </cell>
          <cell r="H1592">
            <v>1099</v>
          </cell>
          <cell r="J1592" t="str">
            <v>Fiber</v>
          </cell>
          <cell r="L1592" t="str">
            <v>No</v>
          </cell>
          <cell r="M1592" t="str">
            <v>13-24 mo</v>
          </cell>
          <cell r="N1592" t="str">
            <v>60+ yrs</v>
          </cell>
        </row>
        <row r="1593">
          <cell r="A1593" t="str">
            <v>C2592</v>
          </cell>
          <cell r="E1593" t="str">
            <v>Bangalore</v>
          </cell>
          <cell r="F1593" t="str">
            <v>Two year</v>
          </cell>
          <cell r="H1593">
            <v>799</v>
          </cell>
          <cell r="J1593" t="str">
            <v>DSL</v>
          </cell>
          <cell r="L1593" t="str">
            <v>No</v>
          </cell>
          <cell r="M1593" t="str">
            <v>7-12 mo</v>
          </cell>
          <cell r="N1593" t="str">
            <v>60+ yrs</v>
          </cell>
        </row>
        <row r="1594">
          <cell r="A1594" t="str">
            <v>C2593</v>
          </cell>
          <cell r="E1594" t="str">
            <v>Mumbai</v>
          </cell>
          <cell r="F1594" t="str">
            <v>Month-to-month</v>
          </cell>
          <cell r="H1594">
            <v>1199</v>
          </cell>
          <cell r="J1594" t="str">
            <v>Fiber</v>
          </cell>
          <cell r="L1594" t="str">
            <v>No</v>
          </cell>
          <cell r="M1594" t="str">
            <v>13-24 mo</v>
          </cell>
          <cell r="N1594" t="str">
            <v>60+ yrs</v>
          </cell>
        </row>
        <row r="1595">
          <cell r="A1595" t="str">
            <v>C2594</v>
          </cell>
          <cell r="E1595" t="str">
            <v>Hyderabad</v>
          </cell>
          <cell r="F1595" t="str">
            <v>Month-to-month</v>
          </cell>
          <cell r="H1595">
            <v>1149</v>
          </cell>
          <cell r="J1595" t="str">
            <v>Fiber</v>
          </cell>
          <cell r="L1595" t="str">
            <v>Yes</v>
          </cell>
          <cell r="M1595" t="str">
            <v>7-12 mo</v>
          </cell>
          <cell r="N1595" t="str">
            <v>46-60 yrs</v>
          </cell>
        </row>
        <row r="1596">
          <cell r="A1596" t="str">
            <v>C2595</v>
          </cell>
          <cell r="E1596" t="str">
            <v>Bhopal</v>
          </cell>
          <cell r="F1596" t="str">
            <v>Month-to-month</v>
          </cell>
          <cell r="H1596">
            <v>1099</v>
          </cell>
          <cell r="J1596" t="str">
            <v>Fiber</v>
          </cell>
          <cell r="L1596" t="str">
            <v>Yes</v>
          </cell>
          <cell r="M1596" t="str">
            <v>0-6 mo</v>
          </cell>
          <cell r="N1596" t="str">
            <v>46-60 yrs</v>
          </cell>
        </row>
        <row r="1597">
          <cell r="A1597" t="str">
            <v>C2596</v>
          </cell>
          <cell r="E1597" t="str">
            <v>Ahmedabad</v>
          </cell>
          <cell r="F1597" t="str">
            <v>Month-to-month</v>
          </cell>
          <cell r="H1597">
            <v>599</v>
          </cell>
          <cell r="J1597" t="str">
            <v>DSL</v>
          </cell>
          <cell r="L1597" t="str">
            <v>No</v>
          </cell>
          <cell r="M1597" t="str">
            <v>13-24 mo</v>
          </cell>
          <cell r="N1597" t="str">
            <v>26-35 yrs</v>
          </cell>
        </row>
        <row r="1598">
          <cell r="A1598" t="str">
            <v>C2597</v>
          </cell>
          <cell r="E1598" t="str">
            <v>Hyderabad</v>
          </cell>
          <cell r="F1598" t="str">
            <v>One year</v>
          </cell>
          <cell r="H1598">
            <v>999</v>
          </cell>
          <cell r="J1598" t="str">
            <v>Fiber</v>
          </cell>
          <cell r="L1598" t="str">
            <v>No</v>
          </cell>
          <cell r="M1598" t="str">
            <v>25-48 mo</v>
          </cell>
          <cell r="N1598" t="str">
            <v>46-60 yrs</v>
          </cell>
        </row>
        <row r="1599">
          <cell r="A1599" t="str">
            <v>C2598</v>
          </cell>
          <cell r="E1599" t="str">
            <v>Indore</v>
          </cell>
          <cell r="F1599" t="str">
            <v>Month-to-month</v>
          </cell>
          <cell r="H1599">
            <v>999</v>
          </cell>
          <cell r="J1599" t="str">
            <v>Fiber</v>
          </cell>
          <cell r="L1599" t="str">
            <v>No</v>
          </cell>
          <cell r="M1599" t="str">
            <v>13-24 mo</v>
          </cell>
          <cell r="N1599" t="str">
            <v>46-60 yrs</v>
          </cell>
        </row>
        <row r="1600">
          <cell r="A1600" t="str">
            <v>C2599</v>
          </cell>
          <cell r="E1600" t="str">
            <v>Bangalore</v>
          </cell>
          <cell r="F1600" t="str">
            <v>One year</v>
          </cell>
          <cell r="H1600">
            <v>1199</v>
          </cell>
          <cell r="J1600" t="str">
            <v>Fiber</v>
          </cell>
          <cell r="L1600" t="str">
            <v>No</v>
          </cell>
          <cell r="M1600" t="str">
            <v>25-48 mo</v>
          </cell>
          <cell r="N1600" t="str">
            <v>26-35 yrs</v>
          </cell>
        </row>
        <row r="1601">
          <cell r="A1601" t="str">
            <v>C2600</v>
          </cell>
          <cell r="E1601" t="str">
            <v>Lucknow</v>
          </cell>
          <cell r="F1601" t="str">
            <v>Unknown</v>
          </cell>
          <cell r="H1601">
            <v>799</v>
          </cell>
          <cell r="J1601" t="str">
            <v>DSL</v>
          </cell>
          <cell r="L1601" t="str">
            <v>No</v>
          </cell>
          <cell r="M1601" t="str">
            <v>13-24 mo</v>
          </cell>
          <cell r="N1601" t="str">
            <v>60+ yrs</v>
          </cell>
        </row>
        <row r="1602">
          <cell r="A1602" t="str">
            <v>C2601</v>
          </cell>
          <cell r="E1602" t="str">
            <v>Jaipur</v>
          </cell>
          <cell r="F1602" t="str">
            <v>Month-to-month</v>
          </cell>
          <cell r="H1602">
            <v>1099</v>
          </cell>
          <cell r="J1602" t="str">
            <v>Fiber</v>
          </cell>
          <cell r="L1602" t="str">
            <v>No</v>
          </cell>
          <cell r="M1602" t="str">
            <v>7-12 mo</v>
          </cell>
          <cell r="N1602" t="str">
            <v>60+ yrs</v>
          </cell>
        </row>
        <row r="1603">
          <cell r="A1603" t="str">
            <v>C2602</v>
          </cell>
          <cell r="E1603" t="str">
            <v>Unknown</v>
          </cell>
          <cell r="F1603" t="str">
            <v>Month-to-month</v>
          </cell>
          <cell r="H1603">
            <v>799</v>
          </cell>
          <cell r="J1603" t="str">
            <v>DSL</v>
          </cell>
          <cell r="L1603" t="str">
            <v>No</v>
          </cell>
          <cell r="M1603" t="str">
            <v>0-6 mo</v>
          </cell>
          <cell r="N1603" t="str">
            <v>26-35 yrs</v>
          </cell>
        </row>
        <row r="1604">
          <cell r="A1604" t="str">
            <v>C2603</v>
          </cell>
          <cell r="E1604" t="str">
            <v>Mumbai</v>
          </cell>
          <cell r="F1604" t="str">
            <v>Month-to-month</v>
          </cell>
          <cell r="H1604">
            <v>899</v>
          </cell>
          <cell r="J1604" t="str">
            <v>Fiber</v>
          </cell>
          <cell r="L1604" t="str">
            <v>No</v>
          </cell>
          <cell r="M1604" t="str">
            <v>13-24 mo</v>
          </cell>
          <cell r="N1604" t="str">
            <v>60+ yrs</v>
          </cell>
        </row>
        <row r="1605">
          <cell r="A1605" t="str">
            <v>C2604</v>
          </cell>
          <cell r="E1605" t="str">
            <v>Hyderabad</v>
          </cell>
          <cell r="F1605" t="str">
            <v>One year</v>
          </cell>
          <cell r="H1605">
            <v>1199</v>
          </cell>
          <cell r="J1605" t="str">
            <v>Fiber</v>
          </cell>
          <cell r="L1605" t="str">
            <v>No</v>
          </cell>
          <cell r="M1605" t="str">
            <v>25-48 mo</v>
          </cell>
          <cell r="N1605" t="str">
            <v>36-45 yrs</v>
          </cell>
        </row>
        <row r="1606">
          <cell r="A1606" t="str">
            <v>C2605</v>
          </cell>
          <cell r="E1606" t="str">
            <v>Jaipur</v>
          </cell>
          <cell r="F1606" t="str">
            <v>Month-to-month</v>
          </cell>
          <cell r="H1606">
            <v>899</v>
          </cell>
          <cell r="J1606" t="str">
            <v>DSL</v>
          </cell>
          <cell r="L1606" t="str">
            <v>No</v>
          </cell>
          <cell r="M1606" t="str">
            <v>13-24 mo</v>
          </cell>
          <cell r="N1606" t="str">
            <v>46-60 yrs</v>
          </cell>
        </row>
        <row r="1607">
          <cell r="A1607" t="str">
            <v>C2606</v>
          </cell>
          <cell r="E1607" t="str">
            <v>Delhi</v>
          </cell>
          <cell r="F1607" t="str">
            <v>Two year</v>
          </cell>
          <cell r="H1607">
            <v>749</v>
          </cell>
          <cell r="J1607" t="str">
            <v>DSL</v>
          </cell>
          <cell r="L1607" t="str">
            <v>No</v>
          </cell>
          <cell r="M1607" t="str">
            <v>49+ mo</v>
          </cell>
          <cell r="N1607" t="str">
            <v>26-35 yrs</v>
          </cell>
        </row>
        <row r="1608">
          <cell r="A1608" t="str">
            <v>C2607</v>
          </cell>
          <cell r="E1608" t="str">
            <v>Bhopal</v>
          </cell>
          <cell r="F1608" t="str">
            <v>One year</v>
          </cell>
          <cell r="H1608">
            <v>1149</v>
          </cell>
          <cell r="J1608" t="str">
            <v>Fiber</v>
          </cell>
          <cell r="L1608" t="str">
            <v>Yes</v>
          </cell>
          <cell r="M1608" t="str">
            <v>13-24 mo</v>
          </cell>
          <cell r="N1608" t="str">
            <v>26-35 yrs</v>
          </cell>
        </row>
        <row r="1609">
          <cell r="A1609" t="str">
            <v>C2608</v>
          </cell>
          <cell r="E1609" t="str">
            <v>Delhi</v>
          </cell>
          <cell r="F1609" t="str">
            <v>Month-to-month</v>
          </cell>
          <cell r="H1609">
            <v>849</v>
          </cell>
          <cell r="J1609" t="str">
            <v>DSL</v>
          </cell>
          <cell r="L1609" t="str">
            <v>No</v>
          </cell>
          <cell r="M1609" t="str">
            <v>13-24 mo</v>
          </cell>
          <cell r="N1609" t="str">
            <v>26-35 yrs</v>
          </cell>
        </row>
        <row r="1610">
          <cell r="A1610" t="str">
            <v>C2609</v>
          </cell>
          <cell r="E1610" t="str">
            <v>Pune</v>
          </cell>
          <cell r="F1610" t="str">
            <v>Two year</v>
          </cell>
          <cell r="H1610">
            <v>899</v>
          </cell>
          <cell r="J1610" t="str">
            <v>DSL</v>
          </cell>
          <cell r="L1610" t="str">
            <v>No</v>
          </cell>
          <cell r="M1610" t="str">
            <v>25-48 mo</v>
          </cell>
          <cell r="N1610" t="str">
            <v>18-25 yrs</v>
          </cell>
        </row>
        <row r="1611">
          <cell r="A1611" t="str">
            <v>C2610</v>
          </cell>
          <cell r="E1611" t="str">
            <v>Lucknow</v>
          </cell>
          <cell r="F1611" t="str">
            <v>Month-to-month</v>
          </cell>
          <cell r="H1611">
            <v>349</v>
          </cell>
          <cell r="J1611" t="str">
            <v>No Internet</v>
          </cell>
          <cell r="L1611" t="str">
            <v>Yes</v>
          </cell>
          <cell r="M1611" t="str">
            <v>13-24 mo</v>
          </cell>
          <cell r="N1611" t="str">
            <v>46-60 yrs</v>
          </cell>
        </row>
        <row r="1612">
          <cell r="A1612" t="str">
            <v>C2611</v>
          </cell>
          <cell r="E1612" t="str">
            <v>Bhopal</v>
          </cell>
          <cell r="F1612" t="str">
            <v>Month-to-month</v>
          </cell>
          <cell r="H1612">
            <v>599</v>
          </cell>
          <cell r="J1612" t="str">
            <v>DSL</v>
          </cell>
          <cell r="L1612" t="str">
            <v>No</v>
          </cell>
          <cell r="M1612" t="str">
            <v>7-12 mo</v>
          </cell>
          <cell r="N1612" t="str">
            <v>60+ yrs</v>
          </cell>
        </row>
        <row r="1613">
          <cell r="A1613" t="str">
            <v>C2612</v>
          </cell>
          <cell r="E1613" t="str">
            <v>Lucknow</v>
          </cell>
          <cell r="F1613" t="str">
            <v>Two year</v>
          </cell>
          <cell r="H1613">
            <v>849</v>
          </cell>
          <cell r="J1613" t="str">
            <v>DSL</v>
          </cell>
          <cell r="L1613" t="str">
            <v>No</v>
          </cell>
          <cell r="M1613" t="str">
            <v>7-12 mo</v>
          </cell>
          <cell r="N1613" t="str">
            <v>18-25 yrs</v>
          </cell>
        </row>
        <row r="1614">
          <cell r="A1614" t="str">
            <v>C2613</v>
          </cell>
          <cell r="E1614" t="str">
            <v>Kochi</v>
          </cell>
          <cell r="F1614" t="str">
            <v>One year</v>
          </cell>
          <cell r="H1614">
            <v>899</v>
          </cell>
          <cell r="J1614" t="str">
            <v>DSL</v>
          </cell>
          <cell r="L1614" t="str">
            <v>Yes</v>
          </cell>
          <cell r="M1614" t="str">
            <v>25-48 mo</v>
          </cell>
          <cell r="N1614" t="str">
            <v>46-60 yrs</v>
          </cell>
        </row>
        <row r="1615">
          <cell r="A1615" t="str">
            <v>C2614</v>
          </cell>
          <cell r="E1615" t="str">
            <v>Delhi</v>
          </cell>
          <cell r="F1615" t="str">
            <v>Month-to-month</v>
          </cell>
          <cell r="H1615">
            <v>1199</v>
          </cell>
          <cell r="J1615" t="str">
            <v>Fiber</v>
          </cell>
          <cell r="L1615" t="str">
            <v>No</v>
          </cell>
          <cell r="M1615" t="str">
            <v>13-24 mo</v>
          </cell>
          <cell r="N1615" t="str">
            <v>26-35 yrs</v>
          </cell>
        </row>
        <row r="1616">
          <cell r="A1616" t="str">
            <v>C2615</v>
          </cell>
          <cell r="E1616" t="str">
            <v>Bhopal</v>
          </cell>
          <cell r="F1616" t="str">
            <v>One year</v>
          </cell>
          <cell r="H1616">
            <v>649</v>
          </cell>
          <cell r="J1616" t="str">
            <v>DSL</v>
          </cell>
          <cell r="L1616" t="str">
            <v>No</v>
          </cell>
          <cell r="M1616" t="str">
            <v>25-48 mo</v>
          </cell>
          <cell r="N1616" t="str">
            <v>46-60 yrs</v>
          </cell>
        </row>
        <row r="1617">
          <cell r="A1617" t="str">
            <v>C2616</v>
          </cell>
          <cell r="E1617" t="str">
            <v>Indore</v>
          </cell>
          <cell r="F1617" t="str">
            <v>Two year</v>
          </cell>
          <cell r="H1617">
            <v>1299</v>
          </cell>
          <cell r="J1617" t="str">
            <v>Fiber</v>
          </cell>
          <cell r="L1617" t="str">
            <v>No</v>
          </cell>
          <cell r="M1617" t="str">
            <v>13-24 mo</v>
          </cell>
          <cell r="N1617" t="str">
            <v>46-60 yrs</v>
          </cell>
        </row>
        <row r="1618">
          <cell r="A1618" t="str">
            <v>C2617</v>
          </cell>
          <cell r="E1618" t="str">
            <v>Kolkata</v>
          </cell>
          <cell r="F1618" t="str">
            <v>One year</v>
          </cell>
          <cell r="H1618">
            <v>899</v>
          </cell>
          <cell r="J1618" t="str">
            <v>DSL</v>
          </cell>
          <cell r="L1618" t="str">
            <v>No</v>
          </cell>
          <cell r="M1618" t="str">
            <v>13-24 mo</v>
          </cell>
          <cell r="N1618" t="str">
            <v>60+ yrs</v>
          </cell>
        </row>
        <row r="1619">
          <cell r="A1619" t="str">
            <v>C2618</v>
          </cell>
          <cell r="E1619" t="str">
            <v>Bangalore</v>
          </cell>
          <cell r="F1619" t="str">
            <v>Month-to-month</v>
          </cell>
          <cell r="H1619">
            <v>449</v>
          </cell>
          <cell r="J1619" t="str">
            <v>No Internet</v>
          </cell>
          <cell r="L1619" t="str">
            <v>No</v>
          </cell>
          <cell r="M1619" t="str">
            <v>7-12 mo</v>
          </cell>
          <cell r="N1619" t="str">
            <v>36-45 yrs</v>
          </cell>
        </row>
        <row r="1620">
          <cell r="A1620" t="str">
            <v>C2619</v>
          </cell>
          <cell r="E1620" t="str">
            <v>Indore</v>
          </cell>
          <cell r="F1620" t="str">
            <v>Month-to-month</v>
          </cell>
          <cell r="H1620">
            <v>549</v>
          </cell>
          <cell r="J1620" t="str">
            <v>No Internet</v>
          </cell>
          <cell r="L1620" t="str">
            <v>Yes</v>
          </cell>
          <cell r="M1620" t="str">
            <v>13-24 mo</v>
          </cell>
          <cell r="N1620" t="str">
            <v>60+ yrs</v>
          </cell>
        </row>
        <row r="1621">
          <cell r="A1621" t="str">
            <v>C2620</v>
          </cell>
          <cell r="E1621" t="str">
            <v>Ahmedabad</v>
          </cell>
          <cell r="F1621" t="str">
            <v>Month-to-month</v>
          </cell>
          <cell r="H1621">
            <v>699</v>
          </cell>
          <cell r="J1621" t="str">
            <v>DSL</v>
          </cell>
          <cell r="L1621" t="str">
            <v>No</v>
          </cell>
          <cell r="M1621" t="str">
            <v>13-24 mo</v>
          </cell>
          <cell r="N1621" t="str">
            <v>26-35 yrs</v>
          </cell>
        </row>
        <row r="1622">
          <cell r="A1622" t="str">
            <v>C2621</v>
          </cell>
          <cell r="E1622" t="str">
            <v>Delhi</v>
          </cell>
          <cell r="F1622" t="str">
            <v>Month-to-month</v>
          </cell>
          <cell r="H1622">
            <v>899</v>
          </cell>
          <cell r="J1622" t="str">
            <v>DSL</v>
          </cell>
          <cell r="L1622" t="str">
            <v>Yes</v>
          </cell>
          <cell r="M1622" t="str">
            <v>13-24 mo</v>
          </cell>
          <cell r="N1622" t="str">
            <v>60+ yrs</v>
          </cell>
        </row>
        <row r="1623">
          <cell r="A1623" t="str">
            <v>C2622</v>
          </cell>
          <cell r="E1623" t="str">
            <v>Lucknow</v>
          </cell>
          <cell r="F1623" t="str">
            <v>Month-to-month</v>
          </cell>
          <cell r="H1623">
            <v>699</v>
          </cell>
          <cell r="J1623" t="str">
            <v>DSL</v>
          </cell>
          <cell r="L1623" t="str">
            <v>No</v>
          </cell>
          <cell r="M1623" t="str">
            <v>13-24 mo</v>
          </cell>
          <cell r="N1623" t="str">
            <v>36-45 yrs</v>
          </cell>
        </row>
        <row r="1624">
          <cell r="A1624" t="str">
            <v>C2623</v>
          </cell>
          <cell r="E1624" t="str">
            <v>Chandigarh</v>
          </cell>
          <cell r="F1624" t="str">
            <v>One year</v>
          </cell>
          <cell r="H1624">
            <v>1299</v>
          </cell>
          <cell r="J1624" t="str">
            <v>Fiber</v>
          </cell>
          <cell r="L1624" t="str">
            <v>No</v>
          </cell>
          <cell r="M1624" t="str">
            <v>7-12 mo</v>
          </cell>
          <cell r="N1624" t="str">
            <v>46-60 yrs</v>
          </cell>
        </row>
        <row r="1625">
          <cell r="A1625" t="str">
            <v>C2624</v>
          </cell>
          <cell r="E1625" t="str">
            <v>Chandigarh</v>
          </cell>
          <cell r="F1625" t="str">
            <v>Month-to-month</v>
          </cell>
          <cell r="H1625">
            <v>399</v>
          </cell>
          <cell r="J1625" t="str">
            <v>Unknown</v>
          </cell>
          <cell r="L1625" t="str">
            <v>No</v>
          </cell>
          <cell r="M1625" t="str">
            <v>13-24 mo</v>
          </cell>
          <cell r="N1625" t="str">
            <v>26-35 yrs</v>
          </cell>
        </row>
        <row r="1626">
          <cell r="A1626" t="str">
            <v>C2625</v>
          </cell>
          <cell r="E1626" t="str">
            <v>Mumbai</v>
          </cell>
          <cell r="F1626" t="str">
            <v>Month-to-month</v>
          </cell>
          <cell r="H1626">
            <v>1149</v>
          </cell>
          <cell r="J1626" t="str">
            <v>Fiber</v>
          </cell>
          <cell r="L1626" t="str">
            <v>Yes</v>
          </cell>
          <cell r="M1626" t="str">
            <v>13-24 mo</v>
          </cell>
          <cell r="N1626" t="str">
            <v>18-25 yrs</v>
          </cell>
        </row>
        <row r="1627">
          <cell r="A1627" t="str">
            <v>C2626</v>
          </cell>
          <cell r="E1627" t="str">
            <v>Ahmedabad</v>
          </cell>
          <cell r="F1627" t="str">
            <v>One year</v>
          </cell>
          <cell r="H1627">
            <v>1049</v>
          </cell>
          <cell r="J1627" t="str">
            <v>Fiber</v>
          </cell>
          <cell r="L1627" t="str">
            <v>No</v>
          </cell>
          <cell r="M1627" t="str">
            <v>13-24 mo</v>
          </cell>
          <cell r="N1627" t="str">
            <v>36-45 yrs</v>
          </cell>
        </row>
        <row r="1628">
          <cell r="A1628" t="str">
            <v>C2627</v>
          </cell>
          <cell r="E1628" t="str">
            <v>Chandigarh</v>
          </cell>
          <cell r="F1628" t="str">
            <v>Two year</v>
          </cell>
          <cell r="H1628">
            <v>899</v>
          </cell>
          <cell r="J1628" t="str">
            <v>Fiber</v>
          </cell>
          <cell r="L1628" t="str">
            <v>Yes</v>
          </cell>
          <cell r="M1628" t="str">
            <v>0-6 mo</v>
          </cell>
          <cell r="N1628" t="str">
            <v>26-35 yrs</v>
          </cell>
        </row>
        <row r="1629">
          <cell r="A1629" t="str">
            <v>C2628</v>
          </cell>
          <cell r="E1629" t="str">
            <v>Kochi</v>
          </cell>
          <cell r="F1629" t="str">
            <v>Two year</v>
          </cell>
          <cell r="H1629">
            <v>899</v>
          </cell>
          <cell r="J1629" t="str">
            <v>Fiber</v>
          </cell>
          <cell r="L1629" t="str">
            <v>No</v>
          </cell>
          <cell r="M1629" t="str">
            <v>49+ mo</v>
          </cell>
          <cell r="N1629" t="str">
            <v>46-60 yrs</v>
          </cell>
        </row>
        <row r="1630">
          <cell r="A1630" t="str">
            <v>C2629</v>
          </cell>
          <cell r="E1630" t="str">
            <v>Jaipur</v>
          </cell>
          <cell r="F1630" t="str">
            <v>Month-to-month</v>
          </cell>
          <cell r="J1630" t="str">
            <v>Unknown</v>
          </cell>
          <cell r="L1630" t="str">
            <v>Yes</v>
          </cell>
          <cell r="M1630" t="str">
            <v>Unknown</v>
          </cell>
          <cell r="N1630" t="str">
            <v>36-45 yrs</v>
          </cell>
        </row>
        <row r="1631">
          <cell r="A1631" t="str">
            <v>C2630</v>
          </cell>
          <cell r="E1631" t="str">
            <v>Delhi</v>
          </cell>
          <cell r="F1631" t="str">
            <v>Month-to-month</v>
          </cell>
          <cell r="H1631">
            <v>749</v>
          </cell>
          <cell r="J1631" t="str">
            <v>DSL</v>
          </cell>
          <cell r="L1631" t="str">
            <v>Yes</v>
          </cell>
          <cell r="M1631" t="str">
            <v>0-6 mo</v>
          </cell>
          <cell r="N1631" t="str">
            <v>60+ yrs</v>
          </cell>
        </row>
        <row r="1632">
          <cell r="A1632" t="str">
            <v>C2631</v>
          </cell>
          <cell r="E1632" t="str">
            <v>Chandigarh</v>
          </cell>
          <cell r="F1632" t="str">
            <v>Two year</v>
          </cell>
          <cell r="H1632">
            <v>1099</v>
          </cell>
          <cell r="J1632" t="str">
            <v>Fiber</v>
          </cell>
          <cell r="L1632" t="str">
            <v>No</v>
          </cell>
          <cell r="M1632" t="str">
            <v>49+ mo</v>
          </cell>
          <cell r="N1632" t="str">
            <v>18-25 yrs</v>
          </cell>
        </row>
        <row r="1633">
          <cell r="A1633" t="str">
            <v>C2632</v>
          </cell>
          <cell r="E1633" t="str">
            <v>Delhi</v>
          </cell>
          <cell r="F1633" t="str">
            <v>Month-to-month</v>
          </cell>
          <cell r="H1633">
            <v>1299</v>
          </cell>
          <cell r="J1633" t="str">
            <v>Fiber</v>
          </cell>
          <cell r="L1633" t="str">
            <v>No</v>
          </cell>
          <cell r="M1633" t="str">
            <v>7-12 mo</v>
          </cell>
          <cell r="N1633" t="str">
            <v>26-35 yrs</v>
          </cell>
        </row>
        <row r="1634">
          <cell r="A1634" t="str">
            <v>C2633</v>
          </cell>
          <cell r="E1634" t="str">
            <v>Ahmedabad</v>
          </cell>
          <cell r="F1634" t="str">
            <v>Month-to-month</v>
          </cell>
          <cell r="H1634">
            <v>699</v>
          </cell>
          <cell r="J1634" t="str">
            <v>DSL</v>
          </cell>
          <cell r="L1634" t="str">
            <v>No</v>
          </cell>
          <cell r="M1634" t="str">
            <v>0-6 mo</v>
          </cell>
          <cell r="N1634" t="str">
            <v>26-35 yrs</v>
          </cell>
        </row>
        <row r="1635">
          <cell r="A1635" t="str">
            <v>C2634</v>
          </cell>
          <cell r="E1635" t="str">
            <v>Kolkata</v>
          </cell>
          <cell r="F1635" t="str">
            <v>Month-to-month</v>
          </cell>
          <cell r="H1635">
            <v>799</v>
          </cell>
          <cell r="J1635" t="str">
            <v>DSL</v>
          </cell>
          <cell r="L1635" t="str">
            <v>Yes</v>
          </cell>
          <cell r="M1635" t="str">
            <v>7-12 mo</v>
          </cell>
          <cell r="N1635" t="str">
            <v>60+ yrs</v>
          </cell>
        </row>
        <row r="1636">
          <cell r="A1636" t="str">
            <v>C2635</v>
          </cell>
          <cell r="E1636" t="str">
            <v>Chennai</v>
          </cell>
          <cell r="F1636" t="str">
            <v>Month-to-month</v>
          </cell>
          <cell r="H1636">
            <v>1199</v>
          </cell>
          <cell r="J1636" t="str">
            <v>Fiber</v>
          </cell>
          <cell r="L1636" t="str">
            <v>Yes</v>
          </cell>
          <cell r="M1636" t="str">
            <v>7-12 mo</v>
          </cell>
          <cell r="N1636" t="str">
            <v>18-25 yrs</v>
          </cell>
        </row>
        <row r="1637">
          <cell r="A1637" t="str">
            <v>C2636</v>
          </cell>
          <cell r="E1637" t="str">
            <v>Ahmedabad</v>
          </cell>
          <cell r="F1637" t="str">
            <v>One year</v>
          </cell>
          <cell r="H1637">
            <v>599</v>
          </cell>
          <cell r="J1637" t="str">
            <v>DSL</v>
          </cell>
          <cell r="L1637" t="str">
            <v>No</v>
          </cell>
          <cell r="M1637" t="str">
            <v>13-24 mo</v>
          </cell>
          <cell r="N1637" t="str">
            <v>46-60 yrs</v>
          </cell>
        </row>
        <row r="1638">
          <cell r="A1638" t="str">
            <v>C2637</v>
          </cell>
          <cell r="E1638" t="str">
            <v>Bhopal</v>
          </cell>
          <cell r="F1638" t="str">
            <v>One year</v>
          </cell>
          <cell r="H1638">
            <v>699</v>
          </cell>
          <cell r="J1638" t="str">
            <v>DSL</v>
          </cell>
          <cell r="L1638" t="str">
            <v>No</v>
          </cell>
          <cell r="M1638" t="str">
            <v>0-6 mo</v>
          </cell>
          <cell r="N1638" t="str">
            <v>60+ yrs</v>
          </cell>
        </row>
        <row r="1639">
          <cell r="A1639" t="str">
            <v>C2638</v>
          </cell>
          <cell r="E1639" t="str">
            <v>Jaipur</v>
          </cell>
          <cell r="F1639" t="str">
            <v>Month-to-month</v>
          </cell>
          <cell r="H1639">
            <v>1149</v>
          </cell>
          <cell r="J1639" t="str">
            <v>Unknown</v>
          </cell>
          <cell r="L1639" t="str">
            <v>No</v>
          </cell>
          <cell r="M1639" t="str">
            <v>13-24 mo</v>
          </cell>
          <cell r="N1639" t="str">
            <v>46-60 yrs</v>
          </cell>
        </row>
        <row r="1640">
          <cell r="A1640" t="str">
            <v>C2639</v>
          </cell>
          <cell r="E1640" t="str">
            <v>Hyderabad</v>
          </cell>
          <cell r="F1640" t="str">
            <v>Month-to-month</v>
          </cell>
          <cell r="H1640">
            <v>1099</v>
          </cell>
          <cell r="J1640" t="str">
            <v>Fiber</v>
          </cell>
          <cell r="L1640" t="str">
            <v>Yes</v>
          </cell>
          <cell r="M1640" t="str">
            <v>0-6 mo</v>
          </cell>
          <cell r="N1640" t="str">
            <v>18-25 yrs</v>
          </cell>
        </row>
        <row r="1641">
          <cell r="A1641" t="str">
            <v>C2640</v>
          </cell>
          <cell r="E1641" t="str">
            <v>Mumbai</v>
          </cell>
          <cell r="F1641" t="str">
            <v>Month-to-month</v>
          </cell>
          <cell r="H1641">
            <v>1099</v>
          </cell>
          <cell r="J1641" t="str">
            <v>Fiber</v>
          </cell>
          <cell r="L1641" t="str">
            <v>Yes</v>
          </cell>
          <cell r="M1641" t="str">
            <v>0-6 mo</v>
          </cell>
          <cell r="N1641" t="str">
            <v>36-45 yrs</v>
          </cell>
        </row>
        <row r="1642">
          <cell r="A1642" t="str">
            <v>C2641</v>
          </cell>
          <cell r="E1642" t="str">
            <v>Unknown</v>
          </cell>
          <cell r="F1642" t="str">
            <v>One year</v>
          </cell>
          <cell r="H1642">
            <v>549</v>
          </cell>
          <cell r="J1642" t="str">
            <v>No Internet</v>
          </cell>
          <cell r="L1642" t="str">
            <v>No</v>
          </cell>
          <cell r="M1642" t="str">
            <v>25-48 mo</v>
          </cell>
          <cell r="N1642" t="str">
            <v>26-35 yrs</v>
          </cell>
        </row>
        <row r="1643">
          <cell r="A1643" t="str">
            <v>C2642</v>
          </cell>
          <cell r="E1643" t="str">
            <v>Chandigarh</v>
          </cell>
          <cell r="F1643" t="str">
            <v>Two year</v>
          </cell>
          <cell r="H1643">
            <v>899</v>
          </cell>
          <cell r="J1643" t="str">
            <v>DSL</v>
          </cell>
          <cell r="L1643" t="str">
            <v>Yes</v>
          </cell>
          <cell r="M1643" t="str">
            <v>49+ mo</v>
          </cell>
          <cell r="N1643" t="str">
            <v>60+ yrs</v>
          </cell>
        </row>
        <row r="1644">
          <cell r="A1644" t="str">
            <v>C2643</v>
          </cell>
          <cell r="E1644" t="str">
            <v>Jaipur</v>
          </cell>
          <cell r="F1644" t="str">
            <v>Two year</v>
          </cell>
          <cell r="H1644">
            <v>599</v>
          </cell>
          <cell r="J1644" t="str">
            <v>DSL</v>
          </cell>
          <cell r="L1644" t="str">
            <v>No</v>
          </cell>
          <cell r="M1644" t="str">
            <v>49+ mo</v>
          </cell>
          <cell r="N1644" t="str">
            <v>60+ yrs</v>
          </cell>
        </row>
        <row r="1645">
          <cell r="A1645" t="str">
            <v>C2644</v>
          </cell>
          <cell r="E1645" t="str">
            <v>Jaipur</v>
          </cell>
          <cell r="F1645" t="str">
            <v>Two year</v>
          </cell>
          <cell r="H1645">
            <v>1199</v>
          </cell>
          <cell r="J1645" t="str">
            <v>Fiber</v>
          </cell>
          <cell r="L1645" t="str">
            <v>No</v>
          </cell>
          <cell r="M1645" t="str">
            <v>25-48 mo</v>
          </cell>
          <cell r="N1645" t="str">
            <v>60+ yrs</v>
          </cell>
        </row>
        <row r="1646">
          <cell r="A1646" t="str">
            <v>C2645</v>
          </cell>
          <cell r="E1646" t="str">
            <v>Ahmedabad</v>
          </cell>
          <cell r="F1646" t="str">
            <v>Two year</v>
          </cell>
          <cell r="H1646">
            <v>1199</v>
          </cell>
          <cell r="J1646" t="str">
            <v>Fiber</v>
          </cell>
          <cell r="L1646" t="str">
            <v>No</v>
          </cell>
          <cell r="M1646" t="str">
            <v>49+ mo</v>
          </cell>
          <cell r="N1646" t="str">
            <v>18-25 yrs</v>
          </cell>
        </row>
        <row r="1647">
          <cell r="A1647" t="str">
            <v>C2646</v>
          </cell>
          <cell r="E1647" t="str">
            <v>Chennai</v>
          </cell>
          <cell r="F1647" t="str">
            <v>Month-to-month</v>
          </cell>
          <cell r="H1647">
            <v>749</v>
          </cell>
          <cell r="J1647" t="str">
            <v>DSL</v>
          </cell>
          <cell r="L1647" t="str">
            <v>Yes</v>
          </cell>
          <cell r="M1647" t="str">
            <v>0-6 mo</v>
          </cell>
          <cell r="N1647" t="str">
            <v>36-45 yrs</v>
          </cell>
        </row>
        <row r="1648">
          <cell r="A1648" t="str">
            <v>C2647</v>
          </cell>
          <cell r="E1648" t="str">
            <v>Pune</v>
          </cell>
          <cell r="F1648" t="str">
            <v>Month-to-month</v>
          </cell>
          <cell r="H1648">
            <v>599</v>
          </cell>
          <cell r="J1648" t="str">
            <v>DSL</v>
          </cell>
          <cell r="L1648" t="str">
            <v>Yes</v>
          </cell>
          <cell r="M1648" t="str">
            <v>0-6 mo</v>
          </cell>
          <cell r="N1648" t="str">
            <v>46-60 yrs</v>
          </cell>
        </row>
        <row r="1649">
          <cell r="A1649" t="str">
            <v>C2648</v>
          </cell>
          <cell r="E1649" t="str">
            <v>Indore</v>
          </cell>
          <cell r="F1649" t="str">
            <v>Month-to-month</v>
          </cell>
          <cell r="H1649">
            <v>349</v>
          </cell>
          <cell r="J1649" t="str">
            <v>No Internet</v>
          </cell>
          <cell r="L1649" t="str">
            <v>Yes</v>
          </cell>
          <cell r="M1649" t="str">
            <v>7-12 mo</v>
          </cell>
          <cell r="N1649" t="str">
            <v>46-60 yrs</v>
          </cell>
        </row>
        <row r="1650">
          <cell r="A1650" t="str">
            <v>C2649</v>
          </cell>
          <cell r="E1650" t="str">
            <v>Ahmedabad</v>
          </cell>
          <cell r="F1650" t="str">
            <v>One year</v>
          </cell>
          <cell r="H1650">
            <v>1199</v>
          </cell>
          <cell r="J1650" t="str">
            <v>Fiber</v>
          </cell>
          <cell r="L1650" t="str">
            <v>No</v>
          </cell>
          <cell r="M1650" t="str">
            <v>7-12 mo</v>
          </cell>
          <cell r="N1650" t="str">
            <v>46-60 yrs</v>
          </cell>
        </row>
        <row r="1651">
          <cell r="A1651" t="str">
            <v>C2650</v>
          </cell>
          <cell r="E1651" t="str">
            <v>Kolkata</v>
          </cell>
          <cell r="F1651" t="str">
            <v>One year</v>
          </cell>
          <cell r="H1651">
            <v>349</v>
          </cell>
          <cell r="J1651" t="str">
            <v>No Internet</v>
          </cell>
          <cell r="L1651" t="str">
            <v>No</v>
          </cell>
          <cell r="M1651" t="str">
            <v>25-48 mo</v>
          </cell>
          <cell r="N1651" t="str">
            <v>60+ yrs</v>
          </cell>
        </row>
        <row r="1652">
          <cell r="A1652" t="str">
            <v>C2651</v>
          </cell>
          <cell r="E1652" t="str">
            <v>Chennai</v>
          </cell>
          <cell r="F1652" t="str">
            <v>Two year</v>
          </cell>
          <cell r="H1652">
            <v>599</v>
          </cell>
          <cell r="J1652" t="str">
            <v>DSL</v>
          </cell>
          <cell r="L1652" t="str">
            <v>Yes</v>
          </cell>
          <cell r="M1652" t="str">
            <v>49+ mo</v>
          </cell>
          <cell r="N1652" t="str">
            <v>18-25 yrs</v>
          </cell>
        </row>
        <row r="1653">
          <cell r="A1653" t="str">
            <v>C2652</v>
          </cell>
          <cell r="E1653" t="str">
            <v>Indore</v>
          </cell>
          <cell r="F1653" t="str">
            <v>Two year</v>
          </cell>
          <cell r="H1653">
            <v>1049</v>
          </cell>
          <cell r="J1653" t="str">
            <v>Fiber</v>
          </cell>
          <cell r="L1653" t="str">
            <v>No</v>
          </cell>
          <cell r="M1653" t="str">
            <v>49+ mo</v>
          </cell>
          <cell r="N1653" t="str">
            <v>46-60 yrs</v>
          </cell>
        </row>
        <row r="1654">
          <cell r="A1654" t="str">
            <v>C2653</v>
          </cell>
          <cell r="E1654" t="str">
            <v>Indore</v>
          </cell>
          <cell r="F1654" t="str">
            <v>Month-to-month</v>
          </cell>
          <cell r="H1654">
            <v>799</v>
          </cell>
          <cell r="J1654" t="str">
            <v>DSL</v>
          </cell>
          <cell r="L1654" t="str">
            <v>No</v>
          </cell>
          <cell r="M1654" t="str">
            <v>0-6 mo</v>
          </cell>
          <cell r="N1654" t="str">
            <v>46-60 yrs</v>
          </cell>
        </row>
        <row r="1655">
          <cell r="A1655" t="str">
            <v>C2654</v>
          </cell>
          <cell r="E1655" t="str">
            <v>Chennai</v>
          </cell>
          <cell r="F1655" t="str">
            <v>Two year</v>
          </cell>
          <cell r="H1655">
            <v>1149</v>
          </cell>
          <cell r="J1655" t="str">
            <v>Fiber</v>
          </cell>
          <cell r="L1655" t="str">
            <v>No</v>
          </cell>
          <cell r="M1655" t="str">
            <v>25-48 mo</v>
          </cell>
          <cell r="N1655" t="str">
            <v>60+ yrs</v>
          </cell>
        </row>
        <row r="1656">
          <cell r="A1656" t="str">
            <v>C2655</v>
          </cell>
          <cell r="E1656" t="str">
            <v>Mumbai</v>
          </cell>
          <cell r="F1656" t="str">
            <v>Month-to-month</v>
          </cell>
          <cell r="H1656">
            <v>799</v>
          </cell>
          <cell r="J1656" t="str">
            <v>DSL</v>
          </cell>
          <cell r="L1656" t="str">
            <v>No</v>
          </cell>
          <cell r="M1656" t="str">
            <v>7-12 mo</v>
          </cell>
          <cell r="N1656" t="str">
            <v>36-45 yrs</v>
          </cell>
        </row>
        <row r="1657">
          <cell r="A1657" t="str">
            <v>C2656</v>
          </cell>
          <cell r="E1657" t="str">
            <v>Delhi</v>
          </cell>
          <cell r="F1657" t="str">
            <v>Month-to-month</v>
          </cell>
          <cell r="H1657">
            <v>1149</v>
          </cell>
          <cell r="J1657" t="str">
            <v>Fiber</v>
          </cell>
          <cell r="L1657" t="str">
            <v>No</v>
          </cell>
          <cell r="M1657" t="str">
            <v>7-12 mo</v>
          </cell>
          <cell r="N1657" t="str">
            <v>26-35 yrs</v>
          </cell>
        </row>
        <row r="1658">
          <cell r="A1658" t="str">
            <v>C2657</v>
          </cell>
          <cell r="E1658" t="str">
            <v>Kolkata</v>
          </cell>
          <cell r="F1658" t="str">
            <v>Month-to-month</v>
          </cell>
          <cell r="H1658">
            <v>649</v>
          </cell>
          <cell r="J1658" t="str">
            <v>DSL</v>
          </cell>
          <cell r="L1658" t="str">
            <v>No</v>
          </cell>
          <cell r="M1658" t="str">
            <v>13-24 mo</v>
          </cell>
          <cell r="N1658" t="str">
            <v>60+ yrs</v>
          </cell>
        </row>
        <row r="1659">
          <cell r="A1659" t="str">
            <v>C2658</v>
          </cell>
          <cell r="E1659" t="str">
            <v>Chandigarh</v>
          </cell>
          <cell r="F1659" t="str">
            <v>Month-to-month</v>
          </cell>
          <cell r="H1659">
            <v>899</v>
          </cell>
          <cell r="J1659" t="str">
            <v>DSL</v>
          </cell>
          <cell r="L1659" t="str">
            <v>No</v>
          </cell>
          <cell r="M1659" t="str">
            <v>7-12 mo</v>
          </cell>
          <cell r="N1659" t="str">
            <v>46-60 yrs</v>
          </cell>
        </row>
        <row r="1660">
          <cell r="A1660" t="str">
            <v>C2659</v>
          </cell>
          <cell r="E1660" t="str">
            <v>Lucknow</v>
          </cell>
          <cell r="F1660" t="str">
            <v>One year</v>
          </cell>
          <cell r="H1660">
            <v>849</v>
          </cell>
          <cell r="J1660" t="str">
            <v>DSL</v>
          </cell>
          <cell r="L1660" t="str">
            <v>No</v>
          </cell>
          <cell r="M1660" t="str">
            <v>13-24 mo</v>
          </cell>
          <cell r="N1660" t="str">
            <v>60+ yrs</v>
          </cell>
        </row>
        <row r="1661">
          <cell r="A1661" t="str">
            <v>C2660</v>
          </cell>
          <cell r="E1661" t="str">
            <v>Hyderabad</v>
          </cell>
          <cell r="F1661" t="str">
            <v>Month-to-month</v>
          </cell>
          <cell r="H1661">
            <v>799</v>
          </cell>
          <cell r="J1661" t="str">
            <v>Unknown</v>
          </cell>
          <cell r="L1661" t="str">
            <v>Yes</v>
          </cell>
          <cell r="M1661" t="str">
            <v>13-24 mo</v>
          </cell>
          <cell r="N1661" t="str">
            <v>26-35 yrs</v>
          </cell>
        </row>
        <row r="1662">
          <cell r="A1662" t="str">
            <v>C2661</v>
          </cell>
          <cell r="E1662" t="str">
            <v>Kochi</v>
          </cell>
          <cell r="F1662" t="str">
            <v>Month-to-month</v>
          </cell>
          <cell r="H1662">
            <v>799</v>
          </cell>
          <cell r="J1662" t="str">
            <v>DSL</v>
          </cell>
          <cell r="L1662" t="str">
            <v>Yes</v>
          </cell>
          <cell r="M1662" t="str">
            <v>0-6 mo</v>
          </cell>
          <cell r="N1662" t="str">
            <v>26-35 yrs</v>
          </cell>
        </row>
        <row r="1663">
          <cell r="A1663" t="str">
            <v>C2662</v>
          </cell>
          <cell r="E1663" t="str">
            <v>Kochi</v>
          </cell>
          <cell r="F1663" t="str">
            <v>One year</v>
          </cell>
          <cell r="H1663">
            <v>1299</v>
          </cell>
          <cell r="J1663" t="str">
            <v>Fiber</v>
          </cell>
          <cell r="L1663" t="str">
            <v>No</v>
          </cell>
          <cell r="M1663" t="str">
            <v>0-6 mo</v>
          </cell>
          <cell r="N1663" t="str">
            <v>18-25 yrs</v>
          </cell>
        </row>
        <row r="1664">
          <cell r="A1664" t="str">
            <v>C2663</v>
          </cell>
          <cell r="E1664" t="str">
            <v>Chennai</v>
          </cell>
          <cell r="F1664" t="str">
            <v>One year</v>
          </cell>
          <cell r="H1664">
            <v>899</v>
          </cell>
          <cell r="J1664" t="str">
            <v>Fiber</v>
          </cell>
          <cell r="L1664" t="str">
            <v>No</v>
          </cell>
          <cell r="M1664" t="str">
            <v>25-48 mo</v>
          </cell>
          <cell r="N1664" t="str">
            <v>46-60 yrs</v>
          </cell>
        </row>
        <row r="1665">
          <cell r="A1665" t="str">
            <v>C2664</v>
          </cell>
          <cell r="E1665" t="str">
            <v>Jaipur</v>
          </cell>
          <cell r="F1665" t="str">
            <v>Month-to-month</v>
          </cell>
          <cell r="H1665">
            <v>699</v>
          </cell>
          <cell r="J1665" t="str">
            <v>DSL</v>
          </cell>
          <cell r="L1665" t="str">
            <v>No</v>
          </cell>
          <cell r="M1665" t="str">
            <v>13-24 mo</v>
          </cell>
          <cell r="N1665" t="str">
            <v>60+ yrs</v>
          </cell>
        </row>
        <row r="1666">
          <cell r="A1666" t="str">
            <v>C2665</v>
          </cell>
          <cell r="E1666" t="str">
            <v>Kolkata</v>
          </cell>
          <cell r="F1666" t="str">
            <v>One year</v>
          </cell>
          <cell r="H1666">
            <v>549</v>
          </cell>
          <cell r="J1666" t="str">
            <v>No Internet</v>
          </cell>
          <cell r="L1666" t="str">
            <v>No</v>
          </cell>
          <cell r="M1666" t="str">
            <v>25-48 mo</v>
          </cell>
          <cell r="N1666" t="str">
            <v>26-35 yrs</v>
          </cell>
        </row>
        <row r="1667">
          <cell r="A1667" t="str">
            <v>C2666</v>
          </cell>
          <cell r="E1667" t="str">
            <v>Lucknow</v>
          </cell>
          <cell r="F1667" t="str">
            <v>Month-to-month</v>
          </cell>
          <cell r="H1667">
            <v>749</v>
          </cell>
          <cell r="J1667" t="str">
            <v>DSL</v>
          </cell>
          <cell r="L1667" t="str">
            <v>No</v>
          </cell>
          <cell r="M1667" t="str">
            <v>13-24 mo</v>
          </cell>
          <cell r="N1667" t="str">
            <v>60+ yrs</v>
          </cell>
        </row>
        <row r="1668">
          <cell r="A1668" t="str">
            <v>C2667</v>
          </cell>
          <cell r="E1668" t="str">
            <v>Chennai</v>
          </cell>
          <cell r="F1668" t="str">
            <v>Two year</v>
          </cell>
          <cell r="H1668">
            <v>549</v>
          </cell>
          <cell r="J1668" t="str">
            <v>No Internet</v>
          </cell>
          <cell r="L1668" t="str">
            <v>No</v>
          </cell>
          <cell r="M1668" t="str">
            <v>7-12 mo</v>
          </cell>
          <cell r="N1668" t="str">
            <v>46-60 yrs</v>
          </cell>
        </row>
        <row r="1669">
          <cell r="A1669" t="str">
            <v>C2668</v>
          </cell>
          <cell r="E1669" t="str">
            <v>Ahmedabad</v>
          </cell>
          <cell r="F1669" t="str">
            <v>Two year</v>
          </cell>
          <cell r="H1669">
            <v>849</v>
          </cell>
          <cell r="J1669" t="str">
            <v>DSL</v>
          </cell>
          <cell r="L1669" t="str">
            <v>No</v>
          </cell>
          <cell r="M1669" t="str">
            <v>49+ mo</v>
          </cell>
          <cell r="N1669" t="str">
            <v>60+ yrs</v>
          </cell>
        </row>
        <row r="1670">
          <cell r="A1670" t="str">
            <v>C2669</v>
          </cell>
          <cell r="E1670" t="str">
            <v>Delhi</v>
          </cell>
          <cell r="F1670" t="str">
            <v>Month-to-month</v>
          </cell>
          <cell r="H1670">
            <v>1099</v>
          </cell>
          <cell r="J1670" t="str">
            <v>Fiber</v>
          </cell>
          <cell r="L1670" t="str">
            <v>Yes</v>
          </cell>
          <cell r="M1670" t="str">
            <v>13-24 mo</v>
          </cell>
          <cell r="N1670" t="str">
            <v>60+ yrs</v>
          </cell>
        </row>
        <row r="1671">
          <cell r="A1671" t="str">
            <v>C2670</v>
          </cell>
          <cell r="E1671" t="str">
            <v>Lucknow</v>
          </cell>
          <cell r="F1671" t="str">
            <v>Month-to-month</v>
          </cell>
          <cell r="H1671">
            <v>1099</v>
          </cell>
          <cell r="J1671" t="str">
            <v>Fiber</v>
          </cell>
          <cell r="L1671" t="str">
            <v>Yes</v>
          </cell>
          <cell r="M1671" t="str">
            <v>0-6 mo</v>
          </cell>
          <cell r="N1671" t="str">
            <v>46-60 yrs</v>
          </cell>
        </row>
        <row r="1672">
          <cell r="A1672" t="str">
            <v>C2671</v>
          </cell>
          <cell r="E1672" t="str">
            <v>Lucknow</v>
          </cell>
          <cell r="F1672" t="str">
            <v>Month-to-month</v>
          </cell>
          <cell r="H1672">
            <v>749</v>
          </cell>
          <cell r="J1672" t="str">
            <v>DSL</v>
          </cell>
          <cell r="L1672" t="str">
            <v>No</v>
          </cell>
          <cell r="M1672" t="str">
            <v>13-24 mo</v>
          </cell>
          <cell r="N1672" t="str">
            <v>46-60 yrs</v>
          </cell>
        </row>
        <row r="1673">
          <cell r="A1673" t="str">
            <v>C2672</v>
          </cell>
          <cell r="E1673" t="str">
            <v>Delhi</v>
          </cell>
          <cell r="F1673" t="str">
            <v>Month-to-month</v>
          </cell>
          <cell r="H1673">
            <v>1299</v>
          </cell>
          <cell r="J1673" t="str">
            <v>Fiber</v>
          </cell>
          <cell r="L1673" t="str">
            <v>Yes</v>
          </cell>
          <cell r="M1673" t="str">
            <v>0-6 mo</v>
          </cell>
          <cell r="N1673" t="str">
            <v>36-45 yrs</v>
          </cell>
        </row>
        <row r="1674">
          <cell r="A1674" t="str">
            <v>C2673</v>
          </cell>
          <cell r="E1674" t="str">
            <v>Jaipur</v>
          </cell>
          <cell r="F1674" t="str">
            <v>Two year</v>
          </cell>
          <cell r="H1674">
            <v>1049</v>
          </cell>
          <cell r="J1674" t="str">
            <v>Fiber</v>
          </cell>
          <cell r="L1674" t="str">
            <v>No</v>
          </cell>
          <cell r="M1674" t="str">
            <v>25-48 mo</v>
          </cell>
          <cell r="N1674" t="str">
            <v>36-45 yrs</v>
          </cell>
        </row>
        <row r="1675">
          <cell r="A1675" t="str">
            <v>C2674</v>
          </cell>
          <cell r="E1675" t="str">
            <v>Chandigarh</v>
          </cell>
          <cell r="F1675" t="str">
            <v>One year</v>
          </cell>
          <cell r="H1675">
            <v>749</v>
          </cell>
          <cell r="J1675" t="str">
            <v>DSL</v>
          </cell>
          <cell r="L1675" t="str">
            <v>No</v>
          </cell>
          <cell r="M1675" t="str">
            <v>25-48 mo</v>
          </cell>
          <cell r="N1675" t="str">
            <v>26-35 yrs</v>
          </cell>
        </row>
        <row r="1676">
          <cell r="A1676" t="str">
            <v>C2675</v>
          </cell>
          <cell r="E1676" t="str">
            <v>Delhi</v>
          </cell>
          <cell r="F1676" t="str">
            <v>Month-to-month</v>
          </cell>
          <cell r="H1676">
            <v>1049</v>
          </cell>
          <cell r="J1676" t="str">
            <v>Fiber</v>
          </cell>
          <cell r="L1676" t="str">
            <v>No</v>
          </cell>
          <cell r="M1676" t="str">
            <v>13-24 mo</v>
          </cell>
          <cell r="N1676" t="str">
            <v>36-45 yrs</v>
          </cell>
        </row>
        <row r="1677">
          <cell r="A1677" t="str">
            <v>C2676</v>
          </cell>
          <cell r="E1677" t="str">
            <v>Bangalore</v>
          </cell>
          <cell r="F1677" t="str">
            <v>Month-to-month</v>
          </cell>
          <cell r="H1677">
            <v>749</v>
          </cell>
          <cell r="J1677" t="str">
            <v>DSL</v>
          </cell>
          <cell r="L1677" t="str">
            <v>Yes</v>
          </cell>
          <cell r="M1677" t="str">
            <v>13-24 mo</v>
          </cell>
          <cell r="N1677" t="str">
            <v>18-25 yrs</v>
          </cell>
        </row>
        <row r="1678">
          <cell r="A1678" t="str">
            <v>C2677</v>
          </cell>
          <cell r="E1678" t="str">
            <v>Delhi</v>
          </cell>
          <cell r="F1678" t="str">
            <v>Month-to-month</v>
          </cell>
          <cell r="H1678">
            <v>599</v>
          </cell>
          <cell r="J1678" t="str">
            <v>DSL</v>
          </cell>
          <cell r="L1678" t="str">
            <v>No</v>
          </cell>
          <cell r="M1678" t="str">
            <v>13-24 mo</v>
          </cell>
          <cell r="N1678" t="str">
            <v>36-45 yrs</v>
          </cell>
        </row>
        <row r="1679">
          <cell r="A1679" t="str">
            <v>C2678</v>
          </cell>
          <cell r="E1679" t="str">
            <v>Kolkata</v>
          </cell>
          <cell r="F1679" t="str">
            <v>Unknown</v>
          </cell>
          <cell r="H1679">
            <v>599</v>
          </cell>
          <cell r="J1679" t="str">
            <v>DSL</v>
          </cell>
          <cell r="L1679" t="str">
            <v>No</v>
          </cell>
          <cell r="M1679" t="str">
            <v>49+ mo</v>
          </cell>
          <cell r="N1679" t="str">
            <v>46-60 yrs</v>
          </cell>
        </row>
        <row r="1680">
          <cell r="A1680" t="str">
            <v>C2679</v>
          </cell>
          <cell r="E1680" t="str">
            <v>Hyderabad</v>
          </cell>
          <cell r="F1680" t="str">
            <v>Two year</v>
          </cell>
          <cell r="H1680">
            <v>749</v>
          </cell>
          <cell r="J1680" t="str">
            <v>DSL</v>
          </cell>
          <cell r="L1680" t="str">
            <v>No</v>
          </cell>
          <cell r="M1680" t="str">
            <v>25-48 mo</v>
          </cell>
          <cell r="N1680" t="str">
            <v>26-35 yrs</v>
          </cell>
        </row>
        <row r="1681">
          <cell r="A1681" t="str">
            <v>C2680</v>
          </cell>
          <cell r="E1681" t="str">
            <v>Kochi</v>
          </cell>
          <cell r="F1681" t="str">
            <v>Month-to-month</v>
          </cell>
          <cell r="H1681">
            <v>599</v>
          </cell>
          <cell r="J1681" t="str">
            <v>DSL</v>
          </cell>
          <cell r="L1681" t="str">
            <v>No</v>
          </cell>
          <cell r="M1681" t="str">
            <v>13-24 mo</v>
          </cell>
          <cell r="N1681" t="str">
            <v>36-45 yrs</v>
          </cell>
        </row>
        <row r="1682">
          <cell r="A1682" t="str">
            <v>C2681</v>
          </cell>
          <cell r="E1682" t="str">
            <v>Bhopal</v>
          </cell>
          <cell r="F1682" t="str">
            <v>One year</v>
          </cell>
          <cell r="H1682">
            <v>1049</v>
          </cell>
          <cell r="J1682" t="str">
            <v>Fiber</v>
          </cell>
          <cell r="L1682" t="str">
            <v>No</v>
          </cell>
          <cell r="M1682" t="str">
            <v>13-24 mo</v>
          </cell>
          <cell r="N1682" t="str">
            <v>26-35 yrs</v>
          </cell>
        </row>
        <row r="1683">
          <cell r="A1683" t="str">
            <v>C2682</v>
          </cell>
          <cell r="E1683" t="str">
            <v>Chandigarh</v>
          </cell>
          <cell r="F1683" t="str">
            <v>One year</v>
          </cell>
          <cell r="H1683">
            <v>999</v>
          </cell>
          <cell r="J1683" t="str">
            <v>Fiber</v>
          </cell>
          <cell r="L1683" t="str">
            <v>Yes</v>
          </cell>
          <cell r="M1683" t="str">
            <v>13-24 mo</v>
          </cell>
          <cell r="N1683" t="str">
            <v>36-45 yrs</v>
          </cell>
        </row>
        <row r="1684">
          <cell r="A1684" t="str">
            <v>C2683</v>
          </cell>
          <cell r="E1684" t="str">
            <v>Chennai</v>
          </cell>
          <cell r="F1684" t="str">
            <v>Month-to-month</v>
          </cell>
          <cell r="H1684">
            <v>899</v>
          </cell>
          <cell r="J1684" t="str">
            <v>Fiber</v>
          </cell>
          <cell r="L1684" t="str">
            <v>Yes</v>
          </cell>
          <cell r="M1684" t="str">
            <v>7-12 mo</v>
          </cell>
          <cell r="N1684" t="str">
            <v>60+ yrs</v>
          </cell>
        </row>
        <row r="1685">
          <cell r="A1685" t="str">
            <v>C2684</v>
          </cell>
          <cell r="E1685" t="str">
            <v>Pune</v>
          </cell>
          <cell r="F1685" t="str">
            <v>One year</v>
          </cell>
          <cell r="H1685">
            <v>399</v>
          </cell>
          <cell r="J1685" t="str">
            <v>No Internet</v>
          </cell>
          <cell r="L1685" t="str">
            <v>Yes</v>
          </cell>
          <cell r="M1685" t="str">
            <v>0-6 mo</v>
          </cell>
          <cell r="N1685" t="str">
            <v>46-60 yrs</v>
          </cell>
        </row>
        <row r="1686">
          <cell r="A1686" t="str">
            <v>C2685</v>
          </cell>
          <cell r="E1686" t="str">
            <v>Kochi</v>
          </cell>
          <cell r="F1686" t="str">
            <v>One year</v>
          </cell>
          <cell r="H1686">
            <v>349</v>
          </cell>
          <cell r="J1686" t="str">
            <v>No Internet</v>
          </cell>
          <cell r="L1686" t="str">
            <v>No</v>
          </cell>
          <cell r="M1686" t="str">
            <v>25-48 mo</v>
          </cell>
          <cell r="N1686" t="str">
            <v>46-60 yrs</v>
          </cell>
        </row>
        <row r="1687">
          <cell r="A1687" t="str">
            <v>C2686</v>
          </cell>
          <cell r="E1687" t="str">
            <v>Chennai</v>
          </cell>
          <cell r="F1687" t="str">
            <v>One year</v>
          </cell>
          <cell r="H1687">
            <v>999</v>
          </cell>
          <cell r="J1687" t="str">
            <v>Fiber</v>
          </cell>
          <cell r="L1687" t="str">
            <v>Yes</v>
          </cell>
          <cell r="M1687" t="str">
            <v>7-12 mo</v>
          </cell>
          <cell r="N1687" t="str">
            <v>46-60 yrs</v>
          </cell>
        </row>
        <row r="1688">
          <cell r="A1688" t="str">
            <v>C2687</v>
          </cell>
          <cell r="E1688" t="str">
            <v>Ahmedabad</v>
          </cell>
          <cell r="F1688" t="str">
            <v>Month-to-month</v>
          </cell>
          <cell r="H1688">
            <v>599</v>
          </cell>
          <cell r="J1688" t="str">
            <v>DSL</v>
          </cell>
          <cell r="L1688" t="str">
            <v>No</v>
          </cell>
          <cell r="M1688" t="str">
            <v>13-24 mo</v>
          </cell>
          <cell r="N1688" t="str">
            <v>60+ yrs</v>
          </cell>
        </row>
        <row r="1689">
          <cell r="A1689" t="str">
            <v>C2688</v>
          </cell>
          <cell r="E1689" t="str">
            <v>Bhopal</v>
          </cell>
          <cell r="F1689" t="str">
            <v>One year</v>
          </cell>
          <cell r="H1689">
            <v>899</v>
          </cell>
          <cell r="J1689" t="str">
            <v>DSL</v>
          </cell>
          <cell r="L1689" t="str">
            <v>No</v>
          </cell>
          <cell r="M1689" t="str">
            <v>25-48 mo</v>
          </cell>
          <cell r="N1689" t="str">
            <v>36-45 yrs</v>
          </cell>
        </row>
        <row r="1690">
          <cell r="A1690" t="str">
            <v>C2689</v>
          </cell>
          <cell r="E1690" t="str">
            <v>Hyderabad</v>
          </cell>
          <cell r="F1690" t="str">
            <v>Month-to-month</v>
          </cell>
          <cell r="H1690">
            <v>599</v>
          </cell>
          <cell r="J1690" t="str">
            <v>DSL</v>
          </cell>
          <cell r="L1690" t="str">
            <v>No</v>
          </cell>
          <cell r="M1690" t="str">
            <v>7-12 mo</v>
          </cell>
          <cell r="N1690" t="str">
            <v>60+ yrs</v>
          </cell>
        </row>
        <row r="1691">
          <cell r="A1691" t="str">
            <v>C2690</v>
          </cell>
          <cell r="E1691" t="str">
            <v>Chennai</v>
          </cell>
          <cell r="F1691" t="str">
            <v>Month-to-month</v>
          </cell>
          <cell r="H1691">
            <v>699</v>
          </cell>
          <cell r="J1691" t="str">
            <v>DSL</v>
          </cell>
          <cell r="L1691" t="str">
            <v>Yes</v>
          </cell>
          <cell r="M1691" t="str">
            <v>13-24 mo</v>
          </cell>
          <cell r="N1691" t="str">
            <v>46-60 yrs</v>
          </cell>
        </row>
        <row r="1692">
          <cell r="A1692" t="str">
            <v>C2691</v>
          </cell>
          <cell r="E1692" t="str">
            <v>Delhi</v>
          </cell>
          <cell r="F1692" t="str">
            <v>Two year</v>
          </cell>
          <cell r="H1692">
            <v>699</v>
          </cell>
          <cell r="J1692" t="str">
            <v>DSL</v>
          </cell>
          <cell r="L1692" t="str">
            <v>No</v>
          </cell>
          <cell r="M1692" t="str">
            <v>49+ mo</v>
          </cell>
          <cell r="N1692" t="str">
            <v>36-45 yrs</v>
          </cell>
        </row>
        <row r="1693">
          <cell r="A1693" t="str">
            <v>C2692</v>
          </cell>
          <cell r="E1693" t="str">
            <v>Jaipur</v>
          </cell>
          <cell r="F1693" t="str">
            <v>Month-to-month</v>
          </cell>
          <cell r="H1693">
            <v>1299</v>
          </cell>
          <cell r="J1693" t="str">
            <v>Fiber</v>
          </cell>
          <cell r="L1693" t="str">
            <v>Yes</v>
          </cell>
          <cell r="M1693" t="str">
            <v>13-24 mo</v>
          </cell>
          <cell r="N1693" t="str">
            <v>60+ yrs</v>
          </cell>
        </row>
        <row r="1694">
          <cell r="A1694" t="str">
            <v>C2693</v>
          </cell>
          <cell r="E1694" t="str">
            <v>Jaipur</v>
          </cell>
          <cell r="F1694" t="str">
            <v>Month-to-month</v>
          </cell>
          <cell r="H1694">
            <v>849</v>
          </cell>
          <cell r="J1694" t="str">
            <v>DSL</v>
          </cell>
          <cell r="L1694" t="str">
            <v>No</v>
          </cell>
          <cell r="M1694" t="str">
            <v>13-24 mo</v>
          </cell>
          <cell r="N1694" t="str">
            <v>46-60 yrs</v>
          </cell>
        </row>
        <row r="1695">
          <cell r="A1695" t="str">
            <v>C2694</v>
          </cell>
          <cell r="E1695" t="str">
            <v>Pune</v>
          </cell>
          <cell r="F1695" t="str">
            <v>Month-to-month</v>
          </cell>
          <cell r="H1695">
            <v>1049</v>
          </cell>
          <cell r="J1695" t="str">
            <v>Fiber</v>
          </cell>
          <cell r="L1695" t="str">
            <v>No</v>
          </cell>
          <cell r="M1695" t="str">
            <v>13-24 mo</v>
          </cell>
          <cell r="N1695" t="str">
            <v>46-60 yrs</v>
          </cell>
        </row>
        <row r="1696">
          <cell r="A1696" t="str">
            <v>C2695</v>
          </cell>
          <cell r="E1696" t="str">
            <v>Mumbai</v>
          </cell>
          <cell r="F1696" t="str">
            <v>Two year</v>
          </cell>
          <cell r="H1696">
            <v>449</v>
          </cell>
          <cell r="J1696" t="str">
            <v>No Internet</v>
          </cell>
          <cell r="L1696" t="str">
            <v>No</v>
          </cell>
          <cell r="M1696" t="str">
            <v>49+ mo</v>
          </cell>
          <cell r="N1696" t="str">
            <v>60+ yrs</v>
          </cell>
        </row>
        <row r="1697">
          <cell r="A1697" t="str">
            <v>C2696</v>
          </cell>
          <cell r="E1697" t="str">
            <v>Lucknow</v>
          </cell>
          <cell r="F1697" t="str">
            <v>Month-to-month</v>
          </cell>
          <cell r="H1697">
            <v>1299</v>
          </cell>
          <cell r="J1697" t="str">
            <v>Fiber</v>
          </cell>
          <cell r="L1697" t="str">
            <v>Yes</v>
          </cell>
          <cell r="M1697" t="str">
            <v>7-12 mo</v>
          </cell>
          <cell r="N1697" t="str">
            <v>26-35 yrs</v>
          </cell>
        </row>
        <row r="1698">
          <cell r="A1698" t="str">
            <v>C2697</v>
          </cell>
          <cell r="E1698" t="str">
            <v>Bangalore</v>
          </cell>
          <cell r="F1698" t="str">
            <v>Two year</v>
          </cell>
          <cell r="H1698">
            <v>1299</v>
          </cell>
          <cell r="J1698" t="str">
            <v>Fiber</v>
          </cell>
          <cell r="L1698" t="str">
            <v>No</v>
          </cell>
          <cell r="M1698" t="str">
            <v>13-24 mo</v>
          </cell>
          <cell r="N1698" t="str">
            <v>60+ yrs</v>
          </cell>
        </row>
        <row r="1699">
          <cell r="A1699" t="str">
            <v>C2698</v>
          </cell>
          <cell r="E1699" t="str">
            <v>Delhi</v>
          </cell>
          <cell r="F1699" t="str">
            <v>Two year</v>
          </cell>
          <cell r="H1699">
            <v>649</v>
          </cell>
          <cell r="J1699" t="str">
            <v>DSL</v>
          </cell>
          <cell r="L1699" t="str">
            <v>Yes</v>
          </cell>
          <cell r="M1699" t="str">
            <v>25-48 mo</v>
          </cell>
          <cell r="N1699" t="str">
            <v>18-25 yrs</v>
          </cell>
        </row>
        <row r="1700">
          <cell r="A1700" t="str">
            <v>C2699</v>
          </cell>
          <cell r="E1700" t="str">
            <v>Mumbai</v>
          </cell>
          <cell r="F1700" t="str">
            <v>Month-to-month</v>
          </cell>
          <cell r="H1700">
            <v>799</v>
          </cell>
          <cell r="J1700" t="str">
            <v>DSL</v>
          </cell>
          <cell r="L1700" t="str">
            <v>No</v>
          </cell>
          <cell r="M1700" t="str">
            <v>13-24 mo</v>
          </cell>
          <cell r="N1700" t="str">
            <v>36-45 yrs</v>
          </cell>
        </row>
        <row r="1701">
          <cell r="A1701" t="str">
            <v>C2700</v>
          </cell>
          <cell r="E1701" t="str">
            <v>Jaipur</v>
          </cell>
          <cell r="F1701" t="str">
            <v>Month-to-month</v>
          </cell>
          <cell r="H1701">
            <v>749</v>
          </cell>
          <cell r="J1701" t="str">
            <v>DSL</v>
          </cell>
          <cell r="L1701" t="str">
            <v>Yes</v>
          </cell>
          <cell r="M1701" t="str">
            <v>7-12 mo</v>
          </cell>
          <cell r="N1701" t="str">
            <v>18-25 yrs</v>
          </cell>
        </row>
        <row r="1702">
          <cell r="A1702" t="str">
            <v>C2701</v>
          </cell>
          <cell r="E1702" t="str">
            <v>Indore</v>
          </cell>
          <cell r="F1702" t="str">
            <v>Month-to-month</v>
          </cell>
          <cell r="H1702">
            <v>349</v>
          </cell>
          <cell r="J1702" t="str">
            <v>No Internet</v>
          </cell>
          <cell r="L1702" t="str">
            <v>No</v>
          </cell>
          <cell r="M1702" t="str">
            <v>13-24 mo</v>
          </cell>
          <cell r="N1702" t="str">
            <v>36-45 yrs</v>
          </cell>
        </row>
        <row r="1703">
          <cell r="A1703" t="str">
            <v>C2702</v>
          </cell>
          <cell r="E1703" t="str">
            <v>Hyderabad</v>
          </cell>
          <cell r="F1703" t="str">
            <v>Month-to-month</v>
          </cell>
          <cell r="H1703">
            <v>1299</v>
          </cell>
          <cell r="J1703" t="str">
            <v>Fiber</v>
          </cell>
          <cell r="L1703" t="str">
            <v>Yes</v>
          </cell>
          <cell r="M1703" t="str">
            <v>13-24 mo</v>
          </cell>
          <cell r="N1703" t="str">
            <v>26-35 yrs</v>
          </cell>
        </row>
        <row r="1704">
          <cell r="A1704" t="str">
            <v>C2703</v>
          </cell>
          <cell r="E1704" t="str">
            <v>Delhi</v>
          </cell>
          <cell r="F1704" t="str">
            <v>Month-to-month</v>
          </cell>
          <cell r="H1704">
            <v>499</v>
          </cell>
          <cell r="J1704" t="str">
            <v>No Internet</v>
          </cell>
          <cell r="L1704" t="str">
            <v>No</v>
          </cell>
          <cell r="M1704" t="str">
            <v>7-12 mo</v>
          </cell>
          <cell r="N1704" t="str">
            <v>26-35 yrs</v>
          </cell>
        </row>
        <row r="1705">
          <cell r="A1705" t="str">
            <v>C2704</v>
          </cell>
          <cell r="E1705" t="str">
            <v>Kolkata</v>
          </cell>
          <cell r="F1705" t="str">
            <v>Unknown</v>
          </cell>
          <cell r="H1705">
            <v>349</v>
          </cell>
          <cell r="J1705" t="str">
            <v>No Internet</v>
          </cell>
          <cell r="L1705" t="str">
            <v>Yes</v>
          </cell>
          <cell r="M1705" t="str">
            <v>13-24 mo</v>
          </cell>
          <cell r="N1705" t="str">
            <v>18-25 yrs</v>
          </cell>
        </row>
        <row r="1706">
          <cell r="A1706" t="str">
            <v>C2705</v>
          </cell>
          <cell r="E1706" t="str">
            <v>Mumbai</v>
          </cell>
          <cell r="F1706" t="str">
            <v>One year</v>
          </cell>
          <cell r="H1706">
            <v>899</v>
          </cell>
          <cell r="J1706" t="str">
            <v>Fiber</v>
          </cell>
          <cell r="L1706" t="str">
            <v>No</v>
          </cell>
          <cell r="M1706" t="str">
            <v>13-24 mo</v>
          </cell>
          <cell r="N1706" t="str">
            <v>60+ yrs</v>
          </cell>
        </row>
        <row r="1707">
          <cell r="A1707" t="str">
            <v>C2706</v>
          </cell>
          <cell r="E1707" t="str">
            <v>Kochi</v>
          </cell>
          <cell r="F1707" t="str">
            <v>One year</v>
          </cell>
          <cell r="H1707">
            <v>599</v>
          </cell>
          <cell r="J1707" t="str">
            <v>DSL</v>
          </cell>
          <cell r="L1707" t="str">
            <v>No</v>
          </cell>
          <cell r="M1707" t="str">
            <v>25-48 mo</v>
          </cell>
          <cell r="N1707" t="str">
            <v>26-35 yrs</v>
          </cell>
        </row>
        <row r="1708">
          <cell r="A1708" t="str">
            <v>C2707</v>
          </cell>
          <cell r="E1708" t="str">
            <v>Jaipur</v>
          </cell>
          <cell r="F1708" t="str">
            <v>Month-to-month</v>
          </cell>
          <cell r="H1708">
            <v>1149</v>
          </cell>
          <cell r="J1708" t="str">
            <v>Fiber</v>
          </cell>
          <cell r="L1708" t="str">
            <v>Yes</v>
          </cell>
          <cell r="M1708" t="str">
            <v>13-24 mo</v>
          </cell>
          <cell r="N1708" t="str">
            <v>36-45 yrs</v>
          </cell>
        </row>
        <row r="1709">
          <cell r="A1709" t="str">
            <v>C2708</v>
          </cell>
          <cell r="E1709" t="str">
            <v>Jaipur</v>
          </cell>
          <cell r="F1709" t="str">
            <v>Month-to-month</v>
          </cell>
          <cell r="H1709">
            <v>899</v>
          </cell>
          <cell r="J1709" t="str">
            <v>Fiber</v>
          </cell>
          <cell r="L1709" t="str">
            <v>No</v>
          </cell>
          <cell r="M1709" t="str">
            <v>13-24 mo</v>
          </cell>
          <cell r="N1709" t="str">
            <v>26-35 yrs</v>
          </cell>
        </row>
        <row r="1710">
          <cell r="A1710" t="str">
            <v>C2709</v>
          </cell>
          <cell r="E1710" t="str">
            <v>Delhi</v>
          </cell>
          <cell r="F1710" t="str">
            <v>Month-to-month</v>
          </cell>
          <cell r="H1710">
            <v>1099</v>
          </cell>
          <cell r="J1710" t="str">
            <v>Fiber</v>
          </cell>
          <cell r="L1710" t="str">
            <v>No</v>
          </cell>
          <cell r="M1710" t="str">
            <v>0-6 mo</v>
          </cell>
          <cell r="N1710" t="str">
            <v>36-45 yrs</v>
          </cell>
        </row>
        <row r="1711">
          <cell r="A1711" t="str">
            <v>C2710</v>
          </cell>
          <cell r="E1711" t="str">
            <v>Hyderabad</v>
          </cell>
          <cell r="F1711" t="str">
            <v>Month-to-month</v>
          </cell>
          <cell r="H1711">
            <v>449</v>
          </cell>
          <cell r="J1711" t="str">
            <v>No Internet</v>
          </cell>
          <cell r="L1711" t="str">
            <v>Yes</v>
          </cell>
          <cell r="M1711" t="str">
            <v>0-6 mo</v>
          </cell>
          <cell r="N1711" t="str">
            <v>46-60 yrs</v>
          </cell>
        </row>
        <row r="1712">
          <cell r="A1712" t="str">
            <v>C2711</v>
          </cell>
          <cell r="E1712" t="str">
            <v>Mumbai</v>
          </cell>
          <cell r="F1712" t="str">
            <v>One year</v>
          </cell>
          <cell r="H1712">
            <v>699</v>
          </cell>
          <cell r="J1712" t="str">
            <v>DSL</v>
          </cell>
          <cell r="L1712" t="str">
            <v>No</v>
          </cell>
          <cell r="M1712" t="str">
            <v>25-48 mo</v>
          </cell>
          <cell r="N1712" t="str">
            <v>36-45 yrs</v>
          </cell>
        </row>
        <row r="1713">
          <cell r="A1713" t="str">
            <v>C2712</v>
          </cell>
          <cell r="E1713" t="str">
            <v>Ahmedabad</v>
          </cell>
          <cell r="F1713" t="str">
            <v>Month-to-month</v>
          </cell>
          <cell r="H1713">
            <v>849</v>
          </cell>
          <cell r="J1713" t="str">
            <v>DSL</v>
          </cell>
          <cell r="L1713" t="str">
            <v>Yes</v>
          </cell>
          <cell r="M1713" t="str">
            <v>0-6 mo</v>
          </cell>
          <cell r="N1713" t="str">
            <v>18-25 yrs</v>
          </cell>
        </row>
        <row r="1714">
          <cell r="A1714" t="str">
            <v>C2713</v>
          </cell>
          <cell r="E1714" t="str">
            <v>Indore</v>
          </cell>
          <cell r="F1714" t="str">
            <v>One year</v>
          </cell>
          <cell r="H1714">
            <v>899</v>
          </cell>
          <cell r="J1714" t="str">
            <v>Fiber</v>
          </cell>
          <cell r="L1714" t="str">
            <v>No</v>
          </cell>
          <cell r="M1714" t="str">
            <v>7-12 mo</v>
          </cell>
          <cell r="N1714" t="str">
            <v>46-60 yrs</v>
          </cell>
        </row>
        <row r="1715">
          <cell r="A1715" t="str">
            <v>C2714</v>
          </cell>
          <cell r="E1715" t="str">
            <v>Bangalore</v>
          </cell>
          <cell r="F1715" t="str">
            <v>Month-to-month</v>
          </cell>
          <cell r="H1715">
            <v>349</v>
          </cell>
          <cell r="J1715" t="str">
            <v>No Internet</v>
          </cell>
          <cell r="L1715" t="str">
            <v>No</v>
          </cell>
          <cell r="M1715" t="str">
            <v>7-12 mo</v>
          </cell>
          <cell r="N1715" t="str">
            <v>26-35 yrs</v>
          </cell>
        </row>
        <row r="1716">
          <cell r="A1716" t="str">
            <v>C2715</v>
          </cell>
          <cell r="E1716" t="str">
            <v>Mumbai</v>
          </cell>
          <cell r="F1716" t="str">
            <v>Two year</v>
          </cell>
          <cell r="H1716">
            <v>699</v>
          </cell>
          <cell r="J1716" t="str">
            <v>DSL</v>
          </cell>
          <cell r="L1716" t="str">
            <v>No</v>
          </cell>
          <cell r="M1716" t="str">
            <v>25-48 mo</v>
          </cell>
          <cell r="N1716" t="str">
            <v>26-35 yrs</v>
          </cell>
        </row>
        <row r="1717">
          <cell r="A1717" t="str">
            <v>C2716</v>
          </cell>
          <cell r="E1717" t="str">
            <v>Bangalore</v>
          </cell>
          <cell r="F1717" t="str">
            <v>Two year</v>
          </cell>
          <cell r="H1717">
            <v>1149</v>
          </cell>
          <cell r="J1717" t="str">
            <v>Fiber</v>
          </cell>
          <cell r="L1717" t="str">
            <v>No</v>
          </cell>
          <cell r="M1717" t="str">
            <v>0-6 mo</v>
          </cell>
          <cell r="N1717" t="str">
            <v>26-35 yrs</v>
          </cell>
        </row>
        <row r="1718">
          <cell r="A1718" t="str">
            <v>C2717</v>
          </cell>
          <cell r="E1718" t="str">
            <v>Pune</v>
          </cell>
          <cell r="F1718" t="str">
            <v>Month-to-month</v>
          </cell>
          <cell r="H1718">
            <v>399</v>
          </cell>
          <cell r="J1718" t="str">
            <v>No Internet</v>
          </cell>
          <cell r="L1718" t="str">
            <v>Yes</v>
          </cell>
          <cell r="M1718" t="str">
            <v>13-24 mo</v>
          </cell>
          <cell r="N1718" t="str">
            <v>60+ yrs</v>
          </cell>
        </row>
        <row r="1719">
          <cell r="A1719" t="str">
            <v>C2718</v>
          </cell>
          <cell r="E1719" t="str">
            <v>Jaipur</v>
          </cell>
          <cell r="F1719" t="str">
            <v>One year</v>
          </cell>
          <cell r="H1719">
            <v>349</v>
          </cell>
          <cell r="J1719" t="str">
            <v>No Internet</v>
          </cell>
          <cell r="L1719" t="str">
            <v>No</v>
          </cell>
          <cell r="M1719" t="str">
            <v>13-24 mo</v>
          </cell>
          <cell r="N1719" t="str">
            <v>26-35 yrs</v>
          </cell>
        </row>
        <row r="1720">
          <cell r="A1720" t="str">
            <v>C2719</v>
          </cell>
          <cell r="E1720" t="str">
            <v>Bhopal</v>
          </cell>
          <cell r="F1720" t="str">
            <v>Month-to-month</v>
          </cell>
          <cell r="H1720">
            <v>599</v>
          </cell>
          <cell r="J1720" t="str">
            <v>DSL</v>
          </cell>
          <cell r="L1720" t="str">
            <v>No</v>
          </cell>
          <cell r="M1720" t="str">
            <v>13-24 mo</v>
          </cell>
          <cell r="N1720" t="str">
            <v>26-35 yrs</v>
          </cell>
        </row>
        <row r="1721">
          <cell r="A1721" t="str">
            <v>C2720</v>
          </cell>
          <cell r="E1721" t="str">
            <v>Delhi</v>
          </cell>
          <cell r="F1721" t="str">
            <v>One year</v>
          </cell>
          <cell r="H1721">
            <v>549</v>
          </cell>
          <cell r="J1721" t="str">
            <v>No Internet</v>
          </cell>
          <cell r="L1721" t="str">
            <v>No</v>
          </cell>
          <cell r="M1721" t="str">
            <v>0-6 mo</v>
          </cell>
          <cell r="N1721" t="str">
            <v>18-25 yrs</v>
          </cell>
        </row>
        <row r="1722">
          <cell r="A1722" t="str">
            <v>C2721</v>
          </cell>
          <cell r="E1722" t="str">
            <v>Indore</v>
          </cell>
          <cell r="F1722" t="str">
            <v>Month-to-month</v>
          </cell>
          <cell r="H1722">
            <v>849</v>
          </cell>
          <cell r="J1722" t="str">
            <v>DSL</v>
          </cell>
          <cell r="L1722" t="str">
            <v>Yes</v>
          </cell>
          <cell r="M1722" t="str">
            <v>0-6 mo</v>
          </cell>
          <cell r="N1722" t="str">
            <v>60+ yrs</v>
          </cell>
        </row>
        <row r="1723">
          <cell r="A1723" t="str">
            <v>C2722</v>
          </cell>
          <cell r="E1723" t="str">
            <v>Hyderabad</v>
          </cell>
          <cell r="F1723" t="str">
            <v>Month-to-month</v>
          </cell>
          <cell r="H1723">
            <v>1049</v>
          </cell>
          <cell r="J1723" t="str">
            <v>Fiber</v>
          </cell>
          <cell r="L1723" t="str">
            <v>Yes</v>
          </cell>
          <cell r="M1723" t="str">
            <v>13-24 mo</v>
          </cell>
          <cell r="N1723" t="str">
            <v>26-35 yrs</v>
          </cell>
        </row>
        <row r="1724">
          <cell r="A1724" t="str">
            <v>C2723</v>
          </cell>
          <cell r="E1724" t="str">
            <v>Kochi</v>
          </cell>
          <cell r="F1724" t="str">
            <v>Month-to-month</v>
          </cell>
          <cell r="H1724">
            <v>999</v>
          </cell>
          <cell r="J1724" t="str">
            <v>Fiber</v>
          </cell>
          <cell r="L1724" t="str">
            <v>No</v>
          </cell>
          <cell r="M1724" t="str">
            <v>13-24 mo</v>
          </cell>
          <cell r="N1724" t="str">
            <v>46-60 yrs</v>
          </cell>
        </row>
        <row r="1725">
          <cell r="A1725" t="str">
            <v>C2724</v>
          </cell>
          <cell r="E1725" t="str">
            <v>Lucknow</v>
          </cell>
          <cell r="F1725" t="str">
            <v>Month-to-month</v>
          </cell>
          <cell r="H1725">
            <v>449</v>
          </cell>
          <cell r="J1725" t="str">
            <v>No Internet</v>
          </cell>
          <cell r="L1725" t="str">
            <v>Yes</v>
          </cell>
          <cell r="M1725" t="str">
            <v>7-12 mo</v>
          </cell>
          <cell r="N1725" t="str">
            <v>46-60 yrs</v>
          </cell>
        </row>
        <row r="1726">
          <cell r="A1726" t="str">
            <v>C2725</v>
          </cell>
          <cell r="E1726" t="str">
            <v>Lucknow</v>
          </cell>
          <cell r="F1726" t="str">
            <v>One year</v>
          </cell>
          <cell r="H1726">
            <v>999</v>
          </cell>
          <cell r="J1726" t="str">
            <v>Fiber</v>
          </cell>
          <cell r="L1726" t="str">
            <v>No</v>
          </cell>
          <cell r="M1726" t="str">
            <v>7-12 mo</v>
          </cell>
          <cell r="N1726" t="str">
            <v>18-25 yrs</v>
          </cell>
        </row>
        <row r="1727">
          <cell r="A1727" t="str">
            <v>C2726</v>
          </cell>
          <cell r="E1727" t="str">
            <v>Pune</v>
          </cell>
          <cell r="F1727" t="str">
            <v>Month-to-month</v>
          </cell>
          <cell r="H1727">
            <v>1149</v>
          </cell>
          <cell r="J1727" t="str">
            <v>Fiber</v>
          </cell>
          <cell r="L1727" t="str">
            <v>Yes</v>
          </cell>
          <cell r="M1727" t="str">
            <v>13-24 mo</v>
          </cell>
          <cell r="N1727" t="str">
            <v>26-35 yrs</v>
          </cell>
        </row>
        <row r="1728">
          <cell r="A1728" t="str">
            <v>C2727</v>
          </cell>
          <cell r="E1728" t="str">
            <v>Kochi</v>
          </cell>
          <cell r="F1728" t="str">
            <v>One year</v>
          </cell>
          <cell r="H1728">
            <v>1299</v>
          </cell>
          <cell r="J1728" t="str">
            <v>Fiber</v>
          </cell>
          <cell r="L1728" t="str">
            <v>No</v>
          </cell>
          <cell r="M1728" t="str">
            <v>13-24 mo</v>
          </cell>
          <cell r="N1728" t="str">
            <v>26-35 yrs</v>
          </cell>
        </row>
        <row r="1729">
          <cell r="A1729" t="str">
            <v>C2728</v>
          </cell>
          <cell r="E1729" t="str">
            <v>Kolkata</v>
          </cell>
          <cell r="F1729" t="str">
            <v>Two year</v>
          </cell>
          <cell r="H1729">
            <v>499</v>
          </cell>
          <cell r="J1729" t="str">
            <v>No Internet</v>
          </cell>
          <cell r="L1729" t="str">
            <v>No</v>
          </cell>
          <cell r="M1729" t="str">
            <v>49+ mo</v>
          </cell>
          <cell r="N1729" t="str">
            <v>18-25 yrs</v>
          </cell>
        </row>
        <row r="1730">
          <cell r="A1730" t="str">
            <v>C2729</v>
          </cell>
          <cell r="E1730" t="str">
            <v>Jaipur</v>
          </cell>
          <cell r="F1730" t="str">
            <v>Month-to-month</v>
          </cell>
          <cell r="H1730">
            <v>699</v>
          </cell>
          <cell r="J1730" t="str">
            <v>DSL</v>
          </cell>
          <cell r="L1730" t="str">
            <v>Yes</v>
          </cell>
          <cell r="M1730" t="str">
            <v>0-6 mo</v>
          </cell>
          <cell r="N1730" t="str">
            <v>46-60 yrs</v>
          </cell>
        </row>
        <row r="1731">
          <cell r="A1731" t="str">
            <v>C2730</v>
          </cell>
          <cell r="E1731" t="str">
            <v>Delhi</v>
          </cell>
          <cell r="F1731" t="str">
            <v>Month-to-month</v>
          </cell>
          <cell r="H1731">
            <v>699</v>
          </cell>
          <cell r="J1731" t="str">
            <v>DSL</v>
          </cell>
          <cell r="L1731" t="str">
            <v>Yes</v>
          </cell>
          <cell r="M1731" t="str">
            <v>13-24 mo</v>
          </cell>
          <cell r="N1731" t="str">
            <v>46-60 yrs</v>
          </cell>
        </row>
        <row r="1732">
          <cell r="A1732" t="str">
            <v>C2731</v>
          </cell>
          <cell r="E1732" t="str">
            <v>Kolkata</v>
          </cell>
          <cell r="F1732" t="str">
            <v>Month-to-month</v>
          </cell>
          <cell r="H1732">
            <v>899</v>
          </cell>
          <cell r="J1732" t="str">
            <v>Fiber</v>
          </cell>
          <cell r="L1732" t="str">
            <v>Yes</v>
          </cell>
          <cell r="M1732" t="str">
            <v>13-24 mo</v>
          </cell>
          <cell r="N1732" t="str">
            <v>36-45 yrs</v>
          </cell>
        </row>
        <row r="1733">
          <cell r="A1733" t="str">
            <v>C2732</v>
          </cell>
          <cell r="E1733" t="str">
            <v>Ahmedabad</v>
          </cell>
          <cell r="F1733" t="str">
            <v>One year</v>
          </cell>
          <cell r="H1733">
            <v>849</v>
          </cell>
          <cell r="J1733" t="str">
            <v>DSL</v>
          </cell>
          <cell r="L1733" t="str">
            <v>No</v>
          </cell>
          <cell r="M1733" t="str">
            <v>0-6 mo</v>
          </cell>
          <cell r="N1733" t="str">
            <v>18-25 yrs</v>
          </cell>
        </row>
        <row r="1734">
          <cell r="A1734" t="str">
            <v>C2733</v>
          </cell>
          <cell r="E1734" t="str">
            <v>Jaipur</v>
          </cell>
          <cell r="F1734" t="str">
            <v>Two year</v>
          </cell>
          <cell r="H1734">
            <v>649</v>
          </cell>
          <cell r="J1734" t="str">
            <v>DSL</v>
          </cell>
          <cell r="L1734" t="str">
            <v>No</v>
          </cell>
          <cell r="M1734" t="str">
            <v>0-6 mo</v>
          </cell>
          <cell r="N1734" t="str">
            <v>60+ yrs</v>
          </cell>
        </row>
        <row r="1735">
          <cell r="A1735" t="str">
            <v>C2734</v>
          </cell>
          <cell r="E1735" t="str">
            <v>Bangalore</v>
          </cell>
          <cell r="F1735" t="str">
            <v>Month-to-month</v>
          </cell>
          <cell r="H1735">
            <v>799</v>
          </cell>
          <cell r="J1735" t="str">
            <v>DSL</v>
          </cell>
          <cell r="L1735" t="str">
            <v>Yes</v>
          </cell>
          <cell r="M1735" t="str">
            <v>13-24 mo</v>
          </cell>
          <cell r="N1735" t="str">
            <v>60+ yrs</v>
          </cell>
        </row>
        <row r="1736">
          <cell r="A1736" t="str">
            <v>C2735</v>
          </cell>
          <cell r="E1736" t="str">
            <v>Delhi</v>
          </cell>
          <cell r="F1736" t="str">
            <v>Two year</v>
          </cell>
          <cell r="H1736">
            <v>1049</v>
          </cell>
          <cell r="J1736" t="str">
            <v>Fiber</v>
          </cell>
          <cell r="L1736" t="str">
            <v>No</v>
          </cell>
          <cell r="M1736" t="str">
            <v>13-24 mo</v>
          </cell>
          <cell r="N1736" t="str">
            <v>26-35 yrs</v>
          </cell>
        </row>
        <row r="1737">
          <cell r="A1737" t="str">
            <v>C2736</v>
          </cell>
          <cell r="E1737" t="str">
            <v>Kochi</v>
          </cell>
          <cell r="F1737" t="str">
            <v>One year</v>
          </cell>
          <cell r="H1737">
            <v>599</v>
          </cell>
          <cell r="J1737" t="str">
            <v>DSL</v>
          </cell>
          <cell r="L1737" t="str">
            <v>No</v>
          </cell>
          <cell r="M1737" t="str">
            <v>13-24 mo</v>
          </cell>
          <cell r="N1737" t="str">
            <v>60+ yrs</v>
          </cell>
        </row>
        <row r="1738">
          <cell r="A1738" t="str">
            <v>C2737</v>
          </cell>
          <cell r="E1738" t="str">
            <v>Indore</v>
          </cell>
          <cell r="F1738" t="str">
            <v>One year</v>
          </cell>
          <cell r="H1738">
            <v>899</v>
          </cell>
          <cell r="J1738" t="str">
            <v>Fiber</v>
          </cell>
          <cell r="L1738" t="str">
            <v>No</v>
          </cell>
          <cell r="M1738" t="str">
            <v>25-48 mo</v>
          </cell>
          <cell r="N1738" t="str">
            <v>60+ yrs</v>
          </cell>
        </row>
        <row r="1739">
          <cell r="A1739" t="str">
            <v>C2738</v>
          </cell>
          <cell r="E1739" t="str">
            <v>Hyderabad</v>
          </cell>
          <cell r="F1739" t="str">
            <v>Two year</v>
          </cell>
          <cell r="H1739">
            <v>1049</v>
          </cell>
          <cell r="J1739" t="str">
            <v>Fiber</v>
          </cell>
          <cell r="L1739" t="str">
            <v>No</v>
          </cell>
          <cell r="M1739" t="str">
            <v>49+ mo</v>
          </cell>
          <cell r="N1739" t="str">
            <v>60+ yrs</v>
          </cell>
        </row>
        <row r="1740">
          <cell r="A1740" t="str">
            <v>C2739</v>
          </cell>
          <cell r="E1740" t="str">
            <v>Chandigarh</v>
          </cell>
          <cell r="F1740" t="str">
            <v>Month-to-month</v>
          </cell>
          <cell r="H1740">
            <v>699</v>
          </cell>
          <cell r="J1740" t="str">
            <v>DSL</v>
          </cell>
          <cell r="L1740" t="str">
            <v>Yes</v>
          </cell>
          <cell r="M1740" t="str">
            <v>13-24 mo</v>
          </cell>
          <cell r="N1740" t="str">
            <v>60+ yrs</v>
          </cell>
        </row>
        <row r="1741">
          <cell r="A1741" t="str">
            <v>C2740</v>
          </cell>
          <cell r="E1741" t="str">
            <v>Lucknow</v>
          </cell>
          <cell r="F1741" t="str">
            <v>Month-to-month</v>
          </cell>
          <cell r="H1741">
            <v>599</v>
          </cell>
          <cell r="J1741" t="str">
            <v>DSL</v>
          </cell>
          <cell r="L1741" t="str">
            <v>Yes</v>
          </cell>
          <cell r="M1741" t="str">
            <v>0-6 mo</v>
          </cell>
          <cell r="N1741" t="str">
            <v>60+ yrs</v>
          </cell>
        </row>
        <row r="1742">
          <cell r="A1742" t="str">
            <v>C2741</v>
          </cell>
          <cell r="E1742" t="str">
            <v>Chennai</v>
          </cell>
          <cell r="F1742" t="str">
            <v>One year</v>
          </cell>
          <cell r="H1742">
            <v>549</v>
          </cell>
          <cell r="J1742" t="str">
            <v>No Internet</v>
          </cell>
          <cell r="L1742" t="str">
            <v>No</v>
          </cell>
          <cell r="M1742" t="str">
            <v>13-24 mo</v>
          </cell>
          <cell r="N1742" t="str">
            <v>46-60 yrs</v>
          </cell>
        </row>
        <row r="1743">
          <cell r="A1743" t="str">
            <v>C2742</v>
          </cell>
          <cell r="E1743" t="str">
            <v>Indore</v>
          </cell>
          <cell r="F1743" t="str">
            <v>One year</v>
          </cell>
          <cell r="H1743">
            <v>749</v>
          </cell>
          <cell r="J1743" t="str">
            <v>DSL</v>
          </cell>
          <cell r="L1743" t="str">
            <v>Yes</v>
          </cell>
          <cell r="M1743" t="str">
            <v>13-24 mo</v>
          </cell>
          <cell r="N1743" t="str">
            <v>36-45 yrs</v>
          </cell>
        </row>
        <row r="1744">
          <cell r="A1744" t="str">
            <v>C2743</v>
          </cell>
          <cell r="E1744" t="str">
            <v>Kolkata</v>
          </cell>
          <cell r="F1744" t="str">
            <v>Two year</v>
          </cell>
          <cell r="H1744">
            <v>549</v>
          </cell>
          <cell r="J1744" t="str">
            <v>No Internet</v>
          </cell>
          <cell r="L1744" t="str">
            <v>No</v>
          </cell>
          <cell r="M1744" t="str">
            <v>49+ mo</v>
          </cell>
          <cell r="N1744" t="str">
            <v>46-60 yrs</v>
          </cell>
        </row>
        <row r="1745">
          <cell r="A1745" t="str">
            <v>C2744</v>
          </cell>
          <cell r="E1745" t="str">
            <v>Bhopal</v>
          </cell>
          <cell r="F1745" t="str">
            <v>Two year</v>
          </cell>
          <cell r="H1745">
            <v>399</v>
          </cell>
          <cell r="J1745" t="str">
            <v>No Internet</v>
          </cell>
          <cell r="L1745" t="str">
            <v>No</v>
          </cell>
          <cell r="M1745" t="str">
            <v>49+ mo</v>
          </cell>
          <cell r="N1745" t="str">
            <v>60+ yrs</v>
          </cell>
        </row>
        <row r="1746">
          <cell r="A1746" t="str">
            <v>C2745</v>
          </cell>
          <cell r="E1746" t="str">
            <v>Lucknow</v>
          </cell>
          <cell r="F1746" t="str">
            <v>One year</v>
          </cell>
          <cell r="H1746">
            <v>499</v>
          </cell>
          <cell r="J1746" t="str">
            <v>No Internet</v>
          </cell>
          <cell r="L1746" t="str">
            <v>No</v>
          </cell>
          <cell r="M1746" t="str">
            <v>13-24 mo</v>
          </cell>
          <cell r="N1746" t="str">
            <v>36-45 yrs</v>
          </cell>
        </row>
        <row r="1747">
          <cell r="A1747" t="str">
            <v>C2746</v>
          </cell>
          <cell r="E1747" t="str">
            <v>Hyderabad</v>
          </cell>
          <cell r="F1747" t="str">
            <v>Month-to-month</v>
          </cell>
          <cell r="H1747">
            <v>599</v>
          </cell>
          <cell r="J1747" t="str">
            <v>DSL</v>
          </cell>
          <cell r="L1747" t="str">
            <v>No</v>
          </cell>
          <cell r="M1747" t="str">
            <v>0-6 mo</v>
          </cell>
          <cell r="N1747" t="str">
            <v>18-25 yrs</v>
          </cell>
        </row>
        <row r="1748">
          <cell r="A1748" t="str">
            <v>C2747</v>
          </cell>
          <cell r="E1748" t="str">
            <v>Chennai</v>
          </cell>
          <cell r="F1748" t="str">
            <v>Month-to-month</v>
          </cell>
          <cell r="H1748">
            <v>899</v>
          </cell>
          <cell r="J1748" t="str">
            <v>Fiber</v>
          </cell>
          <cell r="L1748" t="str">
            <v>No</v>
          </cell>
          <cell r="M1748" t="str">
            <v>0-6 mo</v>
          </cell>
          <cell r="N1748" t="str">
            <v>26-35 yrs</v>
          </cell>
        </row>
        <row r="1749">
          <cell r="A1749" t="str">
            <v>C2748</v>
          </cell>
          <cell r="E1749" t="str">
            <v>Pune</v>
          </cell>
          <cell r="F1749" t="str">
            <v>Two year</v>
          </cell>
          <cell r="H1749">
            <v>799</v>
          </cell>
          <cell r="J1749" t="str">
            <v>DSL</v>
          </cell>
          <cell r="L1749" t="str">
            <v>No</v>
          </cell>
          <cell r="M1749" t="str">
            <v>0-6 mo</v>
          </cell>
          <cell r="N1749" t="str">
            <v>36-45 yrs</v>
          </cell>
        </row>
        <row r="1750">
          <cell r="A1750" t="str">
            <v>C2749</v>
          </cell>
          <cell r="E1750" t="str">
            <v>Kochi</v>
          </cell>
          <cell r="F1750" t="str">
            <v>Two year</v>
          </cell>
          <cell r="H1750">
            <v>1049</v>
          </cell>
          <cell r="J1750" t="str">
            <v>Fiber</v>
          </cell>
          <cell r="L1750" t="str">
            <v>Yes</v>
          </cell>
          <cell r="M1750" t="str">
            <v>49+ mo</v>
          </cell>
          <cell r="N1750" t="str">
            <v>46-60 yrs</v>
          </cell>
        </row>
        <row r="1751">
          <cell r="A1751" t="str">
            <v>C2750</v>
          </cell>
          <cell r="E1751" t="str">
            <v>Ahmedabad</v>
          </cell>
          <cell r="F1751" t="str">
            <v>Month-to-month</v>
          </cell>
          <cell r="H1751">
            <v>699</v>
          </cell>
          <cell r="J1751" t="str">
            <v>DSL</v>
          </cell>
          <cell r="L1751" t="str">
            <v>No</v>
          </cell>
          <cell r="M1751" t="str">
            <v>0-6 mo</v>
          </cell>
          <cell r="N1751" t="str">
            <v>36-45 yrs</v>
          </cell>
        </row>
        <row r="1752">
          <cell r="A1752" t="str">
            <v>C2751</v>
          </cell>
          <cell r="E1752" t="str">
            <v>Kochi</v>
          </cell>
          <cell r="F1752" t="str">
            <v>Two year</v>
          </cell>
          <cell r="H1752">
            <v>999</v>
          </cell>
          <cell r="J1752" t="str">
            <v>Fiber</v>
          </cell>
          <cell r="L1752" t="str">
            <v>No</v>
          </cell>
          <cell r="M1752" t="str">
            <v>13-24 mo</v>
          </cell>
          <cell r="N1752" t="str">
            <v>46-60 yrs</v>
          </cell>
        </row>
        <row r="1753">
          <cell r="A1753" t="str">
            <v>C2752</v>
          </cell>
          <cell r="E1753" t="str">
            <v>Delhi</v>
          </cell>
          <cell r="F1753" t="str">
            <v>Month-to-month</v>
          </cell>
          <cell r="H1753">
            <v>399</v>
          </cell>
          <cell r="J1753" t="str">
            <v>No Internet</v>
          </cell>
          <cell r="L1753" t="str">
            <v>No</v>
          </cell>
          <cell r="M1753" t="str">
            <v>13-24 mo</v>
          </cell>
          <cell r="N1753" t="str">
            <v>36-45 yrs</v>
          </cell>
        </row>
        <row r="1754">
          <cell r="A1754" t="str">
            <v>C2753</v>
          </cell>
          <cell r="E1754" t="str">
            <v>Jaipur</v>
          </cell>
          <cell r="F1754" t="str">
            <v>Month-to-month</v>
          </cell>
          <cell r="H1754">
            <v>599</v>
          </cell>
          <cell r="J1754" t="str">
            <v>DSL</v>
          </cell>
          <cell r="L1754" t="str">
            <v>Yes</v>
          </cell>
          <cell r="M1754" t="str">
            <v>13-24 mo</v>
          </cell>
          <cell r="N1754" t="str">
            <v>36-45 yrs</v>
          </cell>
        </row>
        <row r="1755">
          <cell r="A1755" t="str">
            <v>C2754</v>
          </cell>
          <cell r="E1755" t="str">
            <v>Pune</v>
          </cell>
          <cell r="F1755" t="str">
            <v>Two year</v>
          </cell>
          <cell r="H1755">
            <v>599</v>
          </cell>
          <cell r="J1755" t="str">
            <v>DSL</v>
          </cell>
          <cell r="L1755" t="str">
            <v>No</v>
          </cell>
          <cell r="M1755" t="str">
            <v>49+ mo</v>
          </cell>
          <cell r="N1755" t="str">
            <v>60+ yrs</v>
          </cell>
        </row>
        <row r="1756">
          <cell r="A1756" t="str">
            <v>C2755</v>
          </cell>
          <cell r="E1756" t="str">
            <v>Bangalore</v>
          </cell>
          <cell r="F1756" t="str">
            <v>Month-to-month</v>
          </cell>
          <cell r="H1756">
            <v>549</v>
          </cell>
          <cell r="J1756" t="str">
            <v>No Internet</v>
          </cell>
          <cell r="L1756" t="str">
            <v>No</v>
          </cell>
          <cell r="M1756" t="str">
            <v>13-24 mo</v>
          </cell>
          <cell r="N1756" t="str">
            <v>46-60 yrs</v>
          </cell>
        </row>
        <row r="1757">
          <cell r="A1757" t="str">
            <v>C2756</v>
          </cell>
          <cell r="E1757" t="str">
            <v>Kolkata</v>
          </cell>
          <cell r="F1757" t="str">
            <v>Month-to-month</v>
          </cell>
          <cell r="H1757">
            <v>649</v>
          </cell>
          <cell r="J1757" t="str">
            <v>DSL</v>
          </cell>
          <cell r="L1757" t="str">
            <v>Yes</v>
          </cell>
          <cell r="M1757" t="str">
            <v>13-24 mo</v>
          </cell>
          <cell r="N1757" t="str">
            <v>18-25 yrs</v>
          </cell>
        </row>
        <row r="1758">
          <cell r="A1758" t="str">
            <v>C2757</v>
          </cell>
          <cell r="E1758" t="str">
            <v>Bhopal</v>
          </cell>
          <cell r="F1758" t="str">
            <v>Month-to-month</v>
          </cell>
          <cell r="H1758">
            <v>349</v>
          </cell>
          <cell r="J1758" t="str">
            <v>No Internet</v>
          </cell>
          <cell r="L1758" t="str">
            <v>Yes</v>
          </cell>
          <cell r="M1758" t="str">
            <v>0-6 mo</v>
          </cell>
          <cell r="N1758" t="str">
            <v>46-60 yrs</v>
          </cell>
        </row>
        <row r="1759">
          <cell r="A1759" t="str">
            <v>C2758</v>
          </cell>
          <cell r="E1759" t="str">
            <v>Ahmedabad</v>
          </cell>
          <cell r="F1759" t="str">
            <v>Month-to-month</v>
          </cell>
          <cell r="H1759">
            <v>349</v>
          </cell>
          <cell r="J1759" t="str">
            <v>No Internet</v>
          </cell>
          <cell r="L1759" t="str">
            <v>No</v>
          </cell>
          <cell r="M1759" t="str">
            <v>13-24 mo</v>
          </cell>
          <cell r="N1759" t="str">
            <v>26-35 yrs</v>
          </cell>
        </row>
        <row r="1760">
          <cell r="A1760" t="str">
            <v>C2759</v>
          </cell>
          <cell r="E1760" t="str">
            <v>Bangalore</v>
          </cell>
          <cell r="F1760" t="str">
            <v>Two year</v>
          </cell>
          <cell r="H1760">
            <v>899</v>
          </cell>
          <cell r="J1760" t="str">
            <v>DSL</v>
          </cell>
          <cell r="L1760" t="str">
            <v>No</v>
          </cell>
          <cell r="M1760" t="str">
            <v>25-48 mo</v>
          </cell>
          <cell r="N1760" t="str">
            <v>46-60 yrs</v>
          </cell>
        </row>
        <row r="1761">
          <cell r="A1761" t="str">
            <v>C2760</v>
          </cell>
          <cell r="E1761" t="str">
            <v>Delhi</v>
          </cell>
          <cell r="F1761" t="str">
            <v>Month-to-month</v>
          </cell>
          <cell r="H1761">
            <v>799</v>
          </cell>
          <cell r="J1761" t="str">
            <v>DSL</v>
          </cell>
          <cell r="L1761" t="str">
            <v>Yes</v>
          </cell>
          <cell r="M1761" t="str">
            <v>7-12 mo</v>
          </cell>
          <cell r="N1761" t="str">
            <v>18-25 yrs</v>
          </cell>
        </row>
        <row r="1762">
          <cell r="A1762" t="str">
            <v>C2761</v>
          </cell>
          <cell r="E1762" t="str">
            <v>Chennai</v>
          </cell>
          <cell r="F1762" t="str">
            <v>Month-to-month</v>
          </cell>
          <cell r="H1762">
            <v>849</v>
          </cell>
          <cell r="J1762" t="str">
            <v>DSL</v>
          </cell>
          <cell r="L1762" t="str">
            <v>No</v>
          </cell>
          <cell r="M1762" t="str">
            <v>7-12 mo</v>
          </cell>
          <cell r="N1762" t="str">
            <v>26-35 yrs</v>
          </cell>
        </row>
        <row r="1763">
          <cell r="A1763" t="str">
            <v>C2762</v>
          </cell>
          <cell r="E1763" t="str">
            <v>Bhopal</v>
          </cell>
          <cell r="F1763" t="str">
            <v>Month-to-month</v>
          </cell>
          <cell r="H1763">
            <v>849</v>
          </cell>
          <cell r="J1763" t="str">
            <v>DSL</v>
          </cell>
          <cell r="L1763" t="str">
            <v>Yes</v>
          </cell>
          <cell r="M1763" t="str">
            <v>0-6 mo</v>
          </cell>
          <cell r="N1763" t="str">
            <v>46-60 yrs</v>
          </cell>
        </row>
        <row r="1764">
          <cell r="A1764" t="str">
            <v>C2763</v>
          </cell>
          <cell r="E1764" t="str">
            <v>Bhopal</v>
          </cell>
          <cell r="F1764" t="str">
            <v>Month-to-month</v>
          </cell>
          <cell r="H1764">
            <v>499</v>
          </cell>
          <cell r="J1764" t="str">
            <v>No Internet</v>
          </cell>
          <cell r="L1764" t="str">
            <v>Yes</v>
          </cell>
          <cell r="M1764" t="str">
            <v>0-6 mo</v>
          </cell>
          <cell r="N1764" t="str">
            <v>60+ yrs</v>
          </cell>
        </row>
        <row r="1765">
          <cell r="A1765" t="str">
            <v>C2764</v>
          </cell>
          <cell r="E1765" t="str">
            <v>Bhopal</v>
          </cell>
          <cell r="F1765" t="str">
            <v>Month-to-month</v>
          </cell>
          <cell r="H1765">
            <v>499</v>
          </cell>
          <cell r="J1765" t="str">
            <v>No Internet</v>
          </cell>
          <cell r="L1765" t="str">
            <v>Yes</v>
          </cell>
          <cell r="M1765" t="str">
            <v>0-6 mo</v>
          </cell>
          <cell r="N1765" t="str">
            <v>36-45 yrs</v>
          </cell>
        </row>
        <row r="1766">
          <cell r="A1766" t="str">
            <v>C2765</v>
          </cell>
          <cell r="E1766" t="str">
            <v>Delhi</v>
          </cell>
          <cell r="F1766" t="str">
            <v>One year</v>
          </cell>
          <cell r="H1766">
            <v>549</v>
          </cell>
          <cell r="J1766" t="str">
            <v>Unknown</v>
          </cell>
          <cell r="L1766" t="str">
            <v>No</v>
          </cell>
          <cell r="M1766" t="str">
            <v>13-24 mo</v>
          </cell>
          <cell r="N1766" t="str">
            <v>26-35 yrs</v>
          </cell>
        </row>
        <row r="1767">
          <cell r="A1767" t="str">
            <v>C2766</v>
          </cell>
          <cell r="E1767" t="str">
            <v>Kolkata</v>
          </cell>
          <cell r="F1767" t="str">
            <v>Two year</v>
          </cell>
          <cell r="H1767">
            <v>649</v>
          </cell>
          <cell r="J1767" t="str">
            <v>DSL</v>
          </cell>
          <cell r="L1767" t="str">
            <v>No</v>
          </cell>
          <cell r="M1767" t="str">
            <v>49+ mo</v>
          </cell>
          <cell r="N1767" t="str">
            <v>36-45 yrs</v>
          </cell>
        </row>
        <row r="1768">
          <cell r="A1768" t="str">
            <v>C2767</v>
          </cell>
          <cell r="E1768" t="str">
            <v>Indore</v>
          </cell>
          <cell r="F1768" t="str">
            <v>Two year</v>
          </cell>
          <cell r="H1768">
            <v>1049</v>
          </cell>
          <cell r="J1768" t="str">
            <v>Fiber</v>
          </cell>
          <cell r="L1768" t="str">
            <v>No</v>
          </cell>
          <cell r="M1768" t="str">
            <v>7-12 mo</v>
          </cell>
          <cell r="N1768" t="str">
            <v>36-45 yrs</v>
          </cell>
        </row>
        <row r="1769">
          <cell r="A1769" t="str">
            <v>C2768</v>
          </cell>
          <cell r="E1769" t="str">
            <v>Hyderabad</v>
          </cell>
          <cell r="F1769" t="str">
            <v>Month-to-month</v>
          </cell>
          <cell r="H1769">
            <v>1299</v>
          </cell>
          <cell r="J1769" t="str">
            <v>Fiber</v>
          </cell>
          <cell r="L1769" t="str">
            <v>No</v>
          </cell>
          <cell r="M1769" t="str">
            <v>7-12 mo</v>
          </cell>
          <cell r="N1769" t="str">
            <v>46-60 yrs</v>
          </cell>
        </row>
        <row r="1770">
          <cell r="A1770" t="str">
            <v>C2769</v>
          </cell>
          <cell r="E1770" t="str">
            <v>Lucknow</v>
          </cell>
          <cell r="F1770" t="str">
            <v>Month-to-month</v>
          </cell>
          <cell r="H1770">
            <v>349</v>
          </cell>
          <cell r="J1770" t="str">
            <v>No Internet</v>
          </cell>
          <cell r="L1770" t="str">
            <v>Yes</v>
          </cell>
          <cell r="M1770" t="str">
            <v>0-6 mo</v>
          </cell>
          <cell r="N1770" t="str">
            <v>26-35 yrs</v>
          </cell>
        </row>
        <row r="1771">
          <cell r="A1771" t="str">
            <v>C2770</v>
          </cell>
          <cell r="E1771" t="str">
            <v>Kolkata</v>
          </cell>
          <cell r="F1771" t="str">
            <v>Two year</v>
          </cell>
          <cell r="H1771">
            <v>499</v>
          </cell>
          <cell r="J1771" t="str">
            <v>No Internet</v>
          </cell>
          <cell r="L1771" t="str">
            <v>No</v>
          </cell>
          <cell r="M1771" t="str">
            <v>49+ mo</v>
          </cell>
          <cell r="N1771" t="str">
            <v>60+ yrs</v>
          </cell>
        </row>
        <row r="1772">
          <cell r="A1772" t="str">
            <v>C2771</v>
          </cell>
          <cell r="E1772" t="str">
            <v>Kochi</v>
          </cell>
          <cell r="F1772" t="str">
            <v>Month-to-month</v>
          </cell>
          <cell r="H1772">
            <v>1049</v>
          </cell>
          <cell r="J1772" t="str">
            <v>Fiber</v>
          </cell>
          <cell r="L1772" t="str">
            <v>Yes</v>
          </cell>
          <cell r="M1772" t="str">
            <v>7-12 mo</v>
          </cell>
          <cell r="N1772" t="str">
            <v>46-60 yrs</v>
          </cell>
        </row>
        <row r="1773">
          <cell r="A1773" t="str">
            <v>C2772</v>
          </cell>
          <cell r="E1773" t="str">
            <v>Indore</v>
          </cell>
          <cell r="F1773" t="str">
            <v>Month-to-month</v>
          </cell>
          <cell r="H1773">
            <v>1149</v>
          </cell>
          <cell r="J1773" t="str">
            <v>Fiber</v>
          </cell>
          <cell r="L1773" t="str">
            <v>Yes</v>
          </cell>
          <cell r="M1773" t="str">
            <v>13-24 mo</v>
          </cell>
          <cell r="N1773" t="str">
            <v>26-35 yrs</v>
          </cell>
        </row>
        <row r="1774">
          <cell r="A1774" t="str">
            <v>C2773</v>
          </cell>
          <cell r="E1774" t="str">
            <v>Bangalore</v>
          </cell>
          <cell r="F1774" t="str">
            <v>Two year</v>
          </cell>
          <cell r="H1774">
            <v>899</v>
          </cell>
          <cell r="J1774" t="str">
            <v>Fiber</v>
          </cell>
          <cell r="L1774" t="str">
            <v>No</v>
          </cell>
          <cell r="M1774" t="str">
            <v>49+ mo</v>
          </cell>
          <cell r="N1774" t="str">
            <v>26-35 yrs</v>
          </cell>
        </row>
        <row r="1775">
          <cell r="A1775" t="str">
            <v>C2774</v>
          </cell>
          <cell r="E1775" t="str">
            <v>Bangalore</v>
          </cell>
          <cell r="F1775" t="str">
            <v>Two year</v>
          </cell>
          <cell r="H1775">
            <v>1049</v>
          </cell>
          <cell r="J1775" t="str">
            <v>Fiber</v>
          </cell>
          <cell r="L1775" t="str">
            <v>No</v>
          </cell>
          <cell r="M1775" t="str">
            <v>49+ mo</v>
          </cell>
          <cell r="N1775" t="str">
            <v>46-60 yrs</v>
          </cell>
        </row>
        <row r="1776">
          <cell r="A1776" t="str">
            <v>C2775</v>
          </cell>
          <cell r="E1776" t="str">
            <v>Lucknow</v>
          </cell>
          <cell r="F1776" t="str">
            <v>Two year</v>
          </cell>
          <cell r="H1776">
            <v>1199</v>
          </cell>
          <cell r="J1776" t="str">
            <v>Fiber</v>
          </cell>
          <cell r="L1776" t="str">
            <v>No</v>
          </cell>
          <cell r="M1776" t="str">
            <v>49+ mo</v>
          </cell>
          <cell r="N1776" t="str">
            <v>46-60 yrs</v>
          </cell>
        </row>
        <row r="1777">
          <cell r="A1777" t="str">
            <v>C2776</v>
          </cell>
          <cell r="E1777" t="str">
            <v>Kolkata</v>
          </cell>
          <cell r="F1777" t="str">
            <v>Month-to-month</v>
          </cell>
          <cell r="H1777">
            <v>899</v>
          </cell>
          <cell r="J1777" t="str">
            <v>DSL</v>
          </cell>
          <cell r="L1777" t="str">
            <v>No</v>
          </cell>
          <cell r="M1777" t="str">
            <v>7-12 mo</v>
          </cell>
          <cell r="N1777" t="str">
            <v>60+ yrs</v>
          </cell>
        </row>
        <row r="1778">
          <cell r="A1778" t="str">
            <v>C2777</v>
          </cell>
          <cell r="E1778" t="str">
            <v>Delhi</v>
          </cell>
          <cell r="F1778" t="str">
            <v>Month-to-month</v>
          </cell>
          <cell r="H1778">
            <v>699</v>
          </cell>
          <cell r="J1778" t="str">
            <v>DSL</v>
          </cell>
          <cell r="L1778" t="str">
            <v>No</v>
          </cell>
          <cell r="M1778" t="str">
            <v>7-12 mo</v>
          </cell>
          <cell r="N1778" t="str">
            <v>46-60 yrs</v>
          </cell>
        </row>
        <row r="1779">
          <cell r="A1779" t="str">
            <v>C2778</v>
          </cell>
          <cell r="E1779" t="str">
            <v>Pune</v>
          </cell>
          <cell r="F1779" t="str">
            <v>Two year</v>
          </cell>
          <cell r="H1779">
            <v>1049</v>
          </cell>
          <cell r="J1779" t="str">
            <v>Fiber</v>
          </cell>
          <cell r="L1779" t="str">
            <v>No</v>
          </cell>
          <cell r="M1779" t="str">
            <v>49+ mo</v>
          </cell>
          <cell r="N1779" t="str">
            <v>60+ yrs</v>
          </cell>
        </row>
        <row r="1780">
          <cell r="A1780" t="str">
            <v>C2779</v>
          </cell>
          <cell r="E1780" t="str">
            <v>Ahmedabad</v>
          </cell>
          <cell r="F1780" t="str">
            <v>Month-to-month</v>
          </cell>
          <cell r="H1780">
            <v>1199</v>
          </cell>
          <cell r="J1780" t="str">
            <v>Fiber</v>
          </cell>
          <cell r="L1780" t="str">
            <v>No</v>
          </cell>
          <cell r="M1780" t="str">
            <v>13-24 mo</v>
          </cell>
          <cell r="N1780" t="str">
            <v>26-35 yrs</v>
          </cell>
        </row>
        <row r="1781">
          <cell r="A1781" t="str">
            <v>C2780</v>
          </cell>
          <cell r="E1781" t="str">
            <v>Kolkata</v>
          </cell>
          <cell r="F1781" t="str">
            <v>Month-to-month</v>
          </cell>
          <cell r="H1781">
            <v>1099</v>
          </cell>
          <cell r="J1781" t="str">
            <v>Fiber</v>
          </cell>
          <cell r="L1781" t="str">
            <v>No</v>
          </cell>
          <cell r="M1781" t="str">
            <v>7-12 mo</v>
          </cell>
          <cell r="N1781" t="str">
            <v>26-35 yrs</v>
          </cell>
        </row>
        <row r="1782">
          <cell r="A1782" t="str">
            <v>C2781</v>
          </cell>
          <cell r="E1782" t="str">
            <v>Chennai</v>
          </cell>
          <cell r="F1782" t="str">
            <v>Month-to-month</v>
          </cell>
          <cell r="H1782">
            <v>699</v>
          </cell>
          <cell r="J1782" t="str">
            <v>DSL</v>
          </cell>
          <cell r="L1782" t="str">
            <v>No</v>
          </cell>
          <cell r="M1782" t="str">
            <v>7-12 mo</v>
          </cell>
          <cell r="N1782" t="str">
            <v>60+ yrs</v>
          </cell>
        </row>
        <row r="1783">
          <cell r="A1783" t="str">
            <v>C2782</v>
          </cell>
          <cell r="E1783" t="str">
            <v>Mumbai</v>
          </cell>
          <cell r="F1783" t="str">
            <v>Two year</v>
          </cell>
          <cell r="H1783">
            <v>799</v>
          </cell>
          <cell r="J1783" t="str">
            <v>DSL</v>
          </cell>
          <cell r="L1783" t="str">
            <v>No</v>
          </cell>
          <cell r="M1783" t="str">
            <v>49+ mo</v>
          </cell>
          <cell r="N1783" t="str">
            <v>46-60 yrs</v>
          </cell>
        </row>
        <row r="1784">
          <cell r="A1784" t="str">
            <v>C2783</v>
          </cell>
          <cell r="E1784" t="str">
            <v>Ahmedabad</v>
          </cell>
          <cell r="F1784" t="str">
            <v>Month-to-month</v>
          </cell>
          <cell r="H1784">
            <v>449</v>
          </cell>
          <cell r="J1784" t="str">
            <v>No Internet</v>
          </cell>
          <cell r="L1784" t="str">
            <v>Yes</v>
          </cell>
          <cell r="M1784" t="str">
            <v>7-12 mo</v>
          </cell>
          <cell r="N1784" t="str">
            <v>60+ yrs</v>
          </cell>
        </row>
        <row r="1785">
          <cell r="A1785" t="str">
            <v>C2784</v>
          </cell>
          <cell r="E1785" t="str">
            <v>Mumbai</v>
          </cell>
          <cell r="F1785" t="str">
            <v>Two year</v>
          </cell>
          <cell r="H1785">
            <v>849</v>
          </cell>
          <cell r="J1785" t="str">
            <v>DSL</v>
          </cell>
          <cell r="L1785" t="str">
            <v>No</v>
          </cell>
          <cell r="M1785" t="str">
            <v>25-48 mo</v>
          </cell>
          <cell r="N1785" t="str">
            <v>36-45 yrs</v>
          </cell>
        </row>
        <row r="1786">
          <cell r="A1786" t="str">
            <v>C2785</v>
          </cell>
          <cell r="E1786" t="str">
            <v>Kochi</v>
          </cell>
          <cell r="F1786" t="str">
            <v>Month-to-month</v>
          </cell>
          <cell r="H1786">
            <v>899</v>
          </cell>
          <cell r="J1786" t="str">
            <v>DSL</v>
          </cell>
          <cell r="L1786" t="str">
            <v>Unknown</v>
          </cell>
          <cell r="M1786" t="str">
            <v>13-24 mo</v>
          </cell>
          <cell r="N1786" t="str">
            <v>36-45 yrs</v>
          </cell>
        </row>
        <row r="1787">
          <cell r="A1787" t="str">
            <v>C2786</v>
          </cell>
          <cell r="E1787" t="str">
            <v>Delhi</v>
          </cell>
          <cell r="F1787" t="str">
            <v>Month-to-month</v>
          </cell>
          <cell r="H1787">
            <v>1099</v>
          </cell>
          <cell r="J1787" t="str">
            <v>Fiber</v>
          </cell>
          <cell r="L1787" t="str">
            <v>No</v>
          </cell>
          <cell r="M1787" t="str">
            <v>13-24 mo</v>
          </cell>
          <cell r="N1787" t="str">
            <v>60+ yrs</v>
          </cell>
        </row>
        <row r="1788">
          <cell r="A1788" t="str">
            <v>C2787</v>
          </cell>
          <cell r="E1788" t="str">
            <v>Pune</v>
          </cell>
          <cell r="F1788" t="str">
            <v>One year</v>
          </cell>
          <cell r="H1788">
            <v>1049</v>
          </cell>
          <cell r="J1788" t="str">
            <v>Fiber</v>
          </cell>
          <cell r="L1788" t="str">
            <v>No</v>
          </cell>
          <cell r="M1788" t="str">
            <v>25-48 mo</v>
          </cell>
          <cell r="N1788" t="str">
            <v>18-25 yrs</v>
          </cell>
        </row>
        <row r="1789">
          <cell r="A1789" t="str">
            <v>C2788</v>
          </cell>
          <cell r="E1789" t="str">
            <v>Jaipur</v>
          </cell>
          <cell r="F1789" t="str">
            <v>One year</v>
          </cell>
          <cell r="H1789">
            <v>599</v>
          </cell>
          <cell r="J1789" t="str">
            <v>DSL</v>
          </cell>
          <cell r="L1789" t="str">
            <v>No</v>
          </cell>
          <cell r="M1789" t="str">
            <v>25-48 mo</v>
          </cell>
          <cell r="N1789" t="str">
            <v>60+ yrs</v>
          </cell>
        </row>
        <row r="1790">
          <cell r="A1790" t="str">
            <v>C2789</v>
          </cell>
          <cell r="E1790" t="str">
            <v>Pune</v>
          </cell>
          <cell r="F1790" t="str">
            <v>Two year</v>
          </cell>
          <cell r="H1790">
            <v>499</v>
          </cell>
          <cell r="J1790" t="str">
            <v>No Internet</v>
          </cell>
          <cell r="L1790" t="str">
            <v>No</v>
          </cell>
          <cell r="M1790" t="str">
            <v>25-48 mo</v>
          </cell>
          <cell r="N1790" t="str">
            <v>60+ yrs</v>
          </cell>
        </row>
        <row r="1791">
          <cell r="A1791" t="str">
            <v>C2790</v>
          </cell>
          <cell r="E1791" t="str">
            <v>Hyderabad</v>
          </cell>
          <cell r="F1791" t="str">
            <v>Month-to-month</v>
          </cell>
          <cell r="H1791">
            <v>849</v>
          </cell>
          <cell r="J1791" t="str">
            <v>DSL</v>
          </cell>
          <cell r="L1791" t="str">
            <v>No</v>
          </cell>
          <cell r="M1791" t="str">
            <v>0-6 mo</v>
          </cell>
          <cell r="N1791" t="str">
            <v>26-35 yrs</v>
          </cell>
        </row>
        <row r="1792">
          <cell r="A1792" t="str">
            <v>C2791</v>
          </cell>
          <cell r="E1792" t="str">
            <v>Mumbai</v>
          </cell>
          <cell r="F1792" t="str">
            <v>Month-to-month</v>
          </cell>
          <cell r="H1792">
            <v>349</v>
          </cell>
          <cell r="J1792" t="str">
            <v>No Internet</v>
          </cell>
          <cell r="L1792" t="str">
            <v>Yes</v>
          </cell>
          <cell r="M1792" t="str">
            <v>7-12 mo</v>
          </cell>
          <cell r="N1792" t="str">
            <v>46-60 yrs</v>
          </cell>
        </row>
        <row r="1793">
          <cell r="A1793" t="str">
            <v>C2792</v>
          </cell>
          <cell r="E1793" t="str">
            <v>Bhopal</v>
          </cell>
          <cell r="F1793" t="str">
            <v>Month-to-month</v>
          </cell>
          <cell r="H1793">
            <v>749</v>
          </cell>
          <cell r="J1793" t="str">
            <v>DSL</v>
          </cell>
          <cell r="L1793" t="str">
            <v>Yes</v>
          </cell>
          <cell r="M1793" t="str">
            <v>7-12 mo</v>
          </cell>
          <cell r="N1793" t="str">
            <v>26-35 yrs</v>
          </cell>
        </row>
        <row r="1794">
          <cell r="A1794" t="str">
            <v>C2793</v>
          </cell>
          <cell r="E1794" t="str">
            <v>Kochi</v>
          </cell>
          <cell r="F1794" t="str">
            <v>Month-to-month</v>
          </cell>
          <cell r="H1794">
            <v>349</v>
          </cell>
          <cell r="J1794" t="str">
            <v>No Internet</v>
          </cell>
          <cell r="L1794" t="str">
            <v>No</v>
          </cell>
          <cell r="M1794" t="str">
            <v>13-24 mo</v>
          </cell>
          <cell r="N1794" t="str">
            <v>60+ yrs</v>
          </cell>
        </row>
        <row r="1795">
          <cell r="A1795" t="str">
            <v>C2794</v>
          </cell>
          <cell r="E1795" t="str">
            <v>Kolkata</v>
          </cell>
          <cell r="F1795" t="str">
            <v>One year</v>
          </cell>
          <cell r="H1795">
            <v>1299</v>
          </cell>
          <cell r="J1795" t="str">
            <v>Fiber</v>
          </cell>
          <cell r="L1795" t="str">
            <v>Yes</v>
          </cell>
          <cell r="M1795" t="str">
            <v>7-12 mo</v>
          </cell>
          <cell r="N1795" t="str">
            <v>26-35 yrs</v>
          </cell>
        </row>
        <row r="1796">
          <cell r="A1796" t="str">
            <v>C2795</v>
          </cell>
          <cell r="E1796" t="str">
            <v>Lucknow</v>
          </cell>
          <cell r="F1796" t="str">
            <v>One year</v>
          </cell>
          <cell r="H1796">
            <v>449</v>
          </cell>
          <cell r="J1796" t="str">
            <v>No Internet</v>
          </cell>
          <cell r="L1796" t="str">
            <v>No</v>
          </cell>
          <cell r="M1796" t="str">
            <v>13-24 mo</v>
          </cell>
          <cell r="N1796" t="str">
            <v>26-35 yrs</v>
          </cell>
        </row>
        <row r="1797">
          <cell r="A1797" t="str">
            <v>C2796</v>
          </cell>
          <cell r="E1797" t="str">
            <v>Bangalore</v>
          </cell>
          <cell r="F1797" t="str">
            <v>One year</v>
          </cell>
          <cell r="H1797">
            <v>1199</v>
          </cell>
          <cell r="J1797" t="str">
            <v>Fiber</v>
          </cell>
          <cell r="L1797" t="str">
            <v>Yes</v>
          </cell>
          <cell r="M1797" t="str">
            <v>25-48 mo</v>
          </cell>
          <cell r="N1797" t="str">
            <v>26-35 yrs</v>
          </cell>
        </row>
        <row r="1798">
          <cell r="A1798" t="str">
            <v>C2797</v>
          </cell>
          <cell r="E1798" t="str">
            <v>Chandigarh</v>
          </cell>
          <cell r="F1798" t="str">
            <v>Month-to-month</v>
          </cell>
          <cell r="H1798">
            <v>1049</v>
          </cell>
          <cell r="J1798" t="str">
            <v>Fiber</v>
          </cell>
          <cell r="L1798" t="str">
            <v>Yes</v>
          </cell>
          <cell r="M1798" t="str">
            <v>7-12 mo</v>
          </cell>
          <cell r="N1798" t="str">
            <v>36-45 yrs</v>
          </cell>
        </row>
        <row r="1799">
          <cell r="A1799" t="str">
            <v>C2798</v>
          </cell>
          <cell r="E1799" t="str">
            <v>Delhi</v>
          </cell>
          <cell r="F1799" t="str">
            <v>Month-to-month</v>
          </cell>
          <cell r="H1799">
            <v>799</v>
          </cell>
          <cell r="J1799" t="str">
            <v>DSL</v>
          </cell>
          <cell r="L1799" t="str">
            <v>Yes</v>
          </cell>
          <cell r="M1799" t="str">
            <v>0-6 mo</v>
          </cell>
          <cell r="N1799" t="str">
            <v>36-45 yrs</v>
          </cell>
        </row>
        <row r="1800">
          <cell r="A1800" t="str">
            <v>C2799</v>
          </cell>
          <cell r="E1800" t="str">
            <v>Bangalore</v>
          </cell>
          <cell r="F1800" t="str">
            <v>Two year</v>
          </cell>
          <cell r="H1800">
            <v>599</v>
          </cell>
          <cell r="J1800" t="str">
            <v>DSL</v>
          </cell>
          <cell r="L1800" t="str">
            <v>Yes</v>
          </cell>
          <cell r="M1800" t="str">
            <v>0-6 mo</v>
          </cell>
          <cell r="N1800" t="str">
            <v>60+ yrs</v>
          </cell>
        </row>
        <row r="1801">
          <cell r="A1801" t="str">
            <v>C2800</v>
          </cell>
          <cell r="E1801" t="str">
            <v>Chandigarh</v>
          </cell>
          <cell r="F1801" t="str">
            <v>Two year</v>
          </cell>
          <cell r="H1801">
            <v>849</v>
          </cell>
          <cell r="J1801" t="str">
            <v>DSL</v>
          </cell>
          <cell r="L1801" t="str">
            <v>No</v>
          </cell>
          <cell r="M1801" t="str">
            <v>49+ mo</v>
          </cell>
          <cell r="N1801" t="str">
            <v>60+ yrs</v>
          </cell>
        </row>
        <row r="1802">
          <cell r="A1802" t="str">
            <v>C2801</v>
          </cell>
          <cell r="E1802" t="str">
            <v>Chennai</v>
          </cell>
          <cell r="F1802" t="str">
            <v>Month-to-month</v>
          </cell>
          <cell r="H1802">
            <v>749</v>
          </cell>
          <cell r="J1802" t="str">
            <v>DSL</v>
          </cell>
          <cell r="L1802" t="str">
            <v>No</v>
          </cell>
          <cell r="M1802" t="str">
            <v>13-24 mo</v>
          </cell>
          <cell r="N1802" t="str">
            <v>60+ yrs</v>
          </cell>
        </row>
        <row r="1803">
          <cell r="A1803" t="str">
            <v>C2802</v>
          </cell>
          <cell r="E1803" t="str">
            <v>Bhopal</v>
          </cell>
          <cell r="F1803" t="str">
            <v>Two year</v>
          </cell>
          <cell r="H1803">
            <v>849</v>
          </cell>
          <cell r="J1803" t="str">
            <v>DSL</v>
          </cell>
          <cell r="L1803" t="str">
            <v>No</v>
          </cell>
          <cell r="M1803" t="str">
            <v>13-24 mo</v>
          </cell>
          <cell r="N1803" t="str">
            <v>26-35 yrs</v>
          </cell>
        </row>
        <row r="1804">
          <cell r="A1804" t="str">
            <v>C2803</v>
          </cell>
          <cell r="E1804" t="str">
            <v>Jaipur</v>
          </cell>
          <cell r="F1804" t="str">
            <v>Two year</v>
          </cell>
          <cell r="H1804">
            <v>399</v>
          </cell>
          <cell r="J1804" t="str">
            <v>No Internet</v>
          </cell>
          <cell r="L1804" t="str">
            <v>No</v>
          </cell>
          <cell r="M1804" t="str">
            <v>13-24 mo</v>
          </cell>
          <cell r="N1804" t="str">
            <v>36-45 yrs</v>
          </cell>
        </row>
        <row r="1805">
          <cell r="A1805" t="str">
            <v>C2804</v>
          </cell>
          <cell r="E1805" t="str">
            <v>Chandigarh</v>
          </cell>
          <cell r="F1805" t="str">
            <v>Two year</v>
          </cell>
          <cell r="H1805">
            <v>349</v>
          </cell>
          <cell r="J1805" t="str">
            <v>No Internet</v>
          </cell>
          <cell r="L1805" t="str">
            <v>No</v>
          </cell>
          <cell r="M1805" t="str">
            <v>25-48 mo</v>
          </cell>
          <cell r="N1805" t="str">
            <v>26-35 yrs</v>
          </cell>
        </row>
        <row r="1806">
          <cell r="A1806" t="str">
            <v>C2805</v>
          </cell>
          <cell r="E1806" t="str">
            <v>Indore</v>
          </cell>
          <cell r="F1806" t="str">
            <v>Month-to-month</v>
          </cell>
          <cell r="H1806">
            <v>849</v>
          </cell>
          <cell r="J1806" t="str">
            <v>DSL</v>
          </cell>
          <cell r="L1806" t="str">
            <v>Yes</v>
          </cell>
          <cell r="M1806" t="str">
            <v>13-24 mo</v>
          </cell>
          <cell r="N1806" t="str">
            <v>60+ yrs</v>
          </cell>
        </row>
        <row r="1807">
          <cell r="A1807" t="str">
            <v>C2806</v>
          </cell>
          <cell r="E1807" t="str">
            <v>Pune</v>
          </cell>
          <cell r="F1807" t="str">
            <v>Month-to-month</v>
          </cell>
          <cell r="H1807">
            <v>899</v>
          </cell>
          <cell r="J1807" t="str">
            <v>Fiber</v>
          </cell>
          <cell r="L1807" t="str">
            <v>Yes</v>
          </cell>
          <cell r="M1807" t="str">
            <v>7-12 mo</v>
          </cell>
          <cell r="N1807" t="str">
            <v>46-60 yrs</v>
          </cell>
        </row>
        <row r="1808">
          <cell r="A1808" t="str">
            <v>C2807</v>
          </cell>
          <cell r="E1808" t="str">
            <v>Kolkata</v>
          </cell>
          <cell r="F1808" t="str">
            <v>One year</v>
          </cell>
          <cell r="H1808">
            <v>1099</v>
          </cell>
          <cell r="J1808" t="str">
            <v>Unknown</v>
          </cell>
          <cell r="L1808" t="str">
            <v>No</v>
          </cell>
          <cell r="M1808" t="str">
            <v>13-24 mo</v>
          </cell>
          <cell r="N1808" t="str">
            <v>26-35 yrs</v>
          </cell>
        </row>
        <row r="1809">
          <cell r="A1809" t="str">
            <v>C2808</v>
          </cell>
          <cell r="E1809" t="str">
            <v>Pune</v>
          </cell>
          <cell r="F1809" t="str">
            <v>One year</v>
          </cell>
          <cell r="H1809">
            <v>1049</v>
          </cell>
          <cell r="J1809" t="str">
            <v>Fiber</v>
          </cell>
          <cell r="L1809" t="str">
            <v>No</v>
          </cell>
          <cell r="M1809" t="str">
            <v>0-6 mo</v>
          </cell>
          <cell r="N1809" t="str">
            <v>18-25 yrs</v>
          </cell>
        </row>
        <row r="1810">
          <cell r="A1810" t="str">
            <v>C2809</v>
          </cell>
          <cell r="E1810" t="str">
            <v>Kolkata</v>
          </cell>
          <cell r="F1810" t="str">
            <v>Two year</v>
          </cell>
          <cell r="H1810">
            <v>799</v>
          </cell>
          <cell r="J1810" t="str">
            <v>Unknown</v>
          </cell>
          <cell r="L1810" t="str">
            <v>No</v>
          </cell>
          <cell r="M1810" t="str">
            <v>7-12 mo</v>
          </cell>
          <cell r="N1810" t="str">
            <v>18-25 yrs</v>
          </cell>
        </row>
        <row r="1811">
          <cell r="A1811" t="str">
            <v>C2810</v>
          </cell>
          <cell r="E1811" t="str">
            <v>Lucknow</v>
          </cell>
          <cell r="F1811" t="str">
            <v>One year</v>
          </cell>
          <cell r="H1811">
            <v>1049</v>
          </cell>
          <cell r="J1811" t="str">
            <v>Fiber</v>
          </cell>
          <cell r="L1811" t="str">
            <v>No</v>
          </cell>
          <cell r="M1811" t="str">
            <v>13-24 mo</v>
          </cell>
          <cell r="N1811" t="str">
            <v>18-25 yrs</v>
          </cell>
        </row>
        <row r="1812">
          <cell r="A1812" t="str">
            <v>C2811</v>
          </cell>
          <cell r="E1812" t="str">
            <v>Delhi</v>
          </cell>
          <cell r="F1812" t="str">
            <v>Two year</v>
          </cell>
          <cell r="H1812">
            <v>749</v>
          </cell>
          <cell r="J1812" t="str">
            <v>DSL</v>
          </cell>
          <cell r="L1812" t="str">
            <v>No</v>
          </cell>
          <cell r="M1812" t="str">
            <v>13-24 mo</v>
          </cell>
          <cell r="N1812" t="str">
            <v>60+ yrs</v>
          </cell>
        </row>
        <row r="1813">
          <cell r="A1813" t="str">
            <v>C2812</v>
          </cell>
          <cell r="E1813" t="str">
            <v>Indore</v>
          </cell>
          <cell r="F1813" t="str">
            <v>Month-to-month</v>
          </cell>
          <cell r="H1813">
            <v>799</v>
          </cell>
          <cell r="J1813" t="str">
            <v>DSL</v>
          </cell>
          <cell r="L1813" t="str">
            <v>No</v>
          </cell>
          <cell r="M1813" t="str">
            <v>7-12 mo</v>
          </cell>
          <cell r="N1813" t="str">
            <v>60+ yrs</v>
          </cell>
        </row>
        <row r="1814">
          <cell r="A1814" t="str">
            <v>C2813</v>
          </cell>
          <cell r="E1814" t="str">
            <v>Indore</v>
          </cell>
          <cell r="F1814" t="str">
            <v>Month-to-month</v>
          </cell>
          <cell r="H1814">
            <v>749</v>
          </cell>
          <cell r="J1814" t="str">
            <v>DSL</v>
          </cell>
          <cell r="L1814" t="str">
            <v>Yes</v>
          </cell>
          <cell r="M1814" t="str">
            <v>13-24 mo</v>
          </cell>
          <cell r="N1814" t="str">
            <v>46-60 yrs</v>
          </cell>
        </row>
        <row r="1815">
          <cell r="A1815" t="str">
            <v>C2814</v>
          </cell>
          <cell r="E1815" t="str">
            <v>Lucknow</v>
          </cell>
          <cell r="F1815" t="str">
            <v>Two year</v>
          </cell>
          <cell r="H1815">
            <v>849</v>
          </cell>
          <cell r="J1815" t="str">
            <v>DSL</v>
          </cell>
          <cell r="L1815" t="str">
            <v>No</v>
          </cell>
          <cell r="M1815" t="str">
            <v>49+ mo</v>
          </cell>
          <cell r="N1815" t="str">
            <v>60+ yrs</v>
          </cell>
        </row>
        <row r="1816">
          <cell r="A1816" t="str">
            <v>C2815</v>
          </cell>
          <cell r="E1816" t="str">
            <v>Hyderabad</v>
          </cell>
          <cell r="F1816" t="str">
            <v>Two year</v>
          </cell>
          <cell r="H1816">
            <v>549</v>
          </cell>
          <cell r="J1816" t="str">
            <v>No Internet</v>
          </cell>
          <cell r="L1816" t="str">
            <v>No</v>
          </cell>
          <cell r="M1816" t="str">
            <v>25-48 mo</v>
          </cell>
          <cell r="N1816" t="str">
            <v>36-45 yrs</v>
          </cell>
        </row>
        <row r="1817">
          <cell r="A1817" t="str">
            <v>C2816</v>
          </cell>
          <cell r="E1817" t="str">
            <v>Delhi</v>
          </cell>
          <cell r="F1817" t="str">
            <v>Two year</v>
          </cell>
          <cell r="H1817">
            <v>999</v>
          </cell>
          <cell r="J1817" t="str">
            <v>Fiber</v>
          </cell>
          <cell r="L1817" t="str">
            <v>No</v>
          </cell>
          <cell r="M1817" t="str">
            <v>25-48 mo</v>
          </cell>
          <cell r="N1817" t="str">
            <v>26-35 yrs</v>
          </cell>
        </row>
        <row r="1818">
          <cell r="A1818" t="str">
            <v>C2817</v>
          </cell>
          <cell r="E1818" t="str">
            <v>Chandigarh</v>
          </cell>
          <cell r="F1818" t="str">
            <v>Month-to-month</v>
          </cell>
          <cell r="H1818">
            <v>699</v>
          </cell>
          <cell r="J1818" t="str">
            <v>DSL</v>
          </cell>
          <cell r="L1818" t="str">
            <v>No</v>
          </cell>
          <cell r="M1818" t="str">
            <v>13-24 mo</v>
          </cell>
          <cell r="N1818" t="str">
            <v>36-45 yrs</v>
          </cell>
        </row>
        <row r="1819">
          <cell r="A1819" t="str">
            <v>C2818</v>
          </cell>
          <cell r="E1819" t="str">
            <v>Delhi</v>
          </cell>
          <cell r="F1819" t="str">
            <v>Month-to-month</v>
          </cell>
          <cell r="H1819">
            <v>1099</v>
          </cell>
          <cell r="J1819" t="str">
            <v>Fiber</v>
          </cell>
          <cell r="L1819" t="str">
            <v>Yes</v>
          </cell>
          <cell r="M1819" t="str">
            <v>13-24 mo</v>
          </cell>
          <cell r="N1819" t="str">
            <v>60+ yrs</v>
          </cell>
        </row>
        <row r="1820">
          <cell r="A1820" t="str">
            <v>C2819</v>
          </cell>
          <cell r="E1820" t="str">
            <v>Lucknow</v>
          </cell>
          <cell r="F1820" t="str">
            <v>Month-to-month</v>
          </cell>
          <cell r="H1820">
            <v>1099</v>
          </cell>
          <cell r="J1820" t="str">
            <v>Fiber</v>
          </cell>
          <cell r="L1820" t="str">
            <v>Yes</v>
          </cell>
          <cell r="M1820" t="str">
            <v>7-12 mo</v>
          </cell>
          <cell r="N1820" t="str">
            <v>36-45 yrs</v>
          </cell>
        </row>
        <row r="1821">
          <cell r="A1821" t="str">
            <v>C2820</v>
          </cell>
          <cell r="E1821" t="str">
            <v>Pune</v>
          </cell>
          <cell r="F1821" t="str">
            <v>Month-to-month</v>
          </cell>
          <cell r="H1821">
            <v>1199</v>
          </cell>
          <cell r="J1821" t="str">
            <v>Fiber</v>
          </cell>
          <cell r="L1821" t="str">
            <v>No</v>
          </cell>
          <cell r="M1821" t="str">
            <v>7-12 mo</v>
          </cell>
          <cell r="N1821" t="str">
            <v>60+ yrs</v>
          </cell>
        </row>
        <row r="1822">
          <cell r="A1822" t="str">
            <v>C2821</v>
          </cell>
          <cell r="E1822" t="str">
            <v>Lucknow</v>
          </cell>
          <cell r="F1822" t="str">
            <v>Month-to-month</v>
          </cell>
          <cell r="H1822">
            <v>1199</v>
          </cell>
          <cell r="J1822" t="str">
            <v>Fiber</v>
          </cell>
          <cell r="L1822" t="str">
            <v>No</v>
          </cell>
          <cell r="M1822" t="str">
            <v>Unknown</v>
          </cell>
          <cell r="N1822" t="str">
            <v>36-45 yrs</v>
          </cell>
        </row>
        <row r="1823">
          <cell r="A1823" t="str">
            <v>C2822</v>
          </cell>
          <cell r="E1823" t="str">
            <v>Delhi</v>
          </cell>
          <cell r="F1823" t="str">
            <v>One year</v>
          </cell>
          <cell r="H1823">
            <v>1049</v>
          </cell>
          <cell r="J1823" t="str">
            <v>Fiber</v>
          </cell>
          <cell r="L1823" t="str">
            <v>Yes</v>
          </cell>
          <cell r="M1823" t="str">
            <v>0-6 mo</v>
          </cell>
          <cell r="N1823" t="str">
            <v>26-35 yrs</v>
          </cell>
        </row>
        <row r="1824">
          <cell r="A1824" t="str">
            <v>C2823</v>
          </cell>
          <cell r="E1824" t="str">
            <v>Hyderabad</v>
          </cell>
          <cell r="F1824" t="str">
            <v>Month-to-month</v>
          </cell>
          <cell r="H1824">
            <v>899</v>
          </cell>
          <cell r="J1824" t="str">
            <v>DSL</v>
          </cell>
          <cell r="L1824" t="str">
            <v>Yes</v>
          </cell>
          <cell r="M1824" t="str">
            <v>0-6 mo</v>
          </cell>
          <cell r="N1824" t="str">
            <v>60+ yrs</v>
          </cell>
        </row>
        <row r="1825">
          <cell r="A1825" t="str">
            <v>C2824</v>
          </cell>
          <cell r="E1825" t="str">
            <v>Chennai</v>
          </cell>
          <cell r="F1825" t="str">
            <v>Month-to-month</v>
          </cell>
          <cell r="H1825">
            <v>1299</v>
          </cell>
          <cell r="J1825" t="str">
            <v>Fiber</v>
          </cell>
          <cell r="L1825" t="str">
            <v>No</v>
          </cell>
          <cell r="M1825" t="str">
            <v>7-12 mo</v>
          </cell>
          <cell r="N1825" t="str">
            <v>36-45 yrs</v>
          </cell>
        </row>
        <row r="1826">
          <cell r="A1826" t="str">
            <v>C2825</v>
          </cell>
          <cell r="E1826" t="str">
            <v>Chennai</v>
          </cell>
          <cell r="F1826" t="str">
            <v>One year</v>
          </cell>
          <cell r="H1826">
            <v>899</v>
          </cell>
          <cell r="J1826" t="str">
            <v>Fiber</v>
          </cell>
          <cell r="L1826" t="str">
            <v>No</v>
          </cell>
          <cell r="M1826" t="str">
            <v>13-24 mo</v>
          </cell>
          <cell r="N1826" t="str">
            <v>46-60 yrs</v>
          </cell>
        </row>
        <row r="1827">
          <cell r="A1827" t="str">
            <v>C2826</v>
          </cell>
          <cell r="E1827" t="str">
            <v>Bhopal</v>
          </cell>
          <cell r="F1827" t="str">
            <v>Two year</v>
          </cell>
          <cell r="H1827">
            <v>699</v>
          </cell>
          <cell r="J1827" t="str">
            <v>DSL</v>
          </cell>
          <cell r="L1827" t="str">
            <v>No</v>
          </cell>
          <cell r="M1827" t="str">
            <v>49+ mo</v>
          </cell>
          <cell r="N1827" t="str">
            <v>60+ yrs</v>
          </cell>
        </row>
        <row r="1828">
          <cell r="A1828" t="str">
            <v>C2827</v>
          </cell>
          <cell r="E1828" t="str">
            <v>Kochi</v>
          </cell>
          <cell r="F1828" t="str">
            <v>One year</v>
          </cell>
          <cell r="H1828">
            <v>999</v>
          </cell>
          <cell r="J1828" t="str">
            <v>Fiber</v>
          </cell>
          <cell r="L1828" t="str">
            <v>Yes</v>
          </cell>
          <cell r="M1828" t="str">
            <v>25-48 mo</v>
          </cell>
          <cell r="N1828" t="str">
            <v>46-60 yrs</v>
          </cell>
        </row>
        <row r="1829">
          <cell r="A1829" t="str">
            <v>C2828</v>
          </cell>
          <cell r="E1829" t="str">
            <v>Ahmedabad</v>
          </cell>
          <cell r="F1829" t="str">
            <v>One year</v>
          </cell>
          <cell r="H1829">
            <v>849</v>
          </cell>
          <cell r="J1829" t="str">
            <v>DSL</v>
          </cell>
          <cell r="L1829" t="str">
            <v>No</v>
          </cell>
          <cell r="M1829" t="str">
            <v>25-48 mo</v>
          </cell>
          <cell r="N1829" t="str">
            <v>46-60 yrs</v>
          </cell>
        </row>
        <row r="1830">
          <cell r="A1830" t="str">
            <v>C2829</v>
          </cell>
          <cell r="E1830" t="str">
            <v>Mumbai</v>
          </cell>
          <cell r="F1830" t="str">
            <v>Two year</v>
          </cell>
          <cell r="H1830">
            <v>399</v>
          </cell>
          <cell r="J1830" t="str">
            <v>No Internet</v>
          </cell>
          <cell r="L1830" t="str">
            <v>No</v>
          </cell>
          <cell r="M1830" t="str">
            <v>49+ mo</v>
          </cell>
          <cell r="N1830" t="str">
            <v>26-35 yrs</v>
          </cell>
        </row>
        <row r="1831">
          <cell r="A1831" t="str">
            <v>C2830</v>
          </cell>
          <cell r="E1831" t="str">
            <v>Chandigarh</v>
          </cell>
          <cell r="F1831" t="str">
            <v>Month-to-month</v>
          </cell>
          <cell r="H1831">
            <v>849</v>
          </cell>
          <cell r="J1831" t="str">
            <v>DSL</v>
          </cell>
          <cell r="L1831" t="str">
            <v>Yes</v>
          </cell>
          <cell r="M1831" t="str">
            <v>13-24 mo</v>
          </cell>
          <cell r="N1831" t="str">
            <v>36-45 yrs</v>
          </cell>
        </row>
        <row r="1832">
          <cell r="A1832" t="str">
            <v>C2831</v>
          </cell>
          <cell r="E1832" t="str">
            <v>Delhi</v>
          </cell>
          <cell r="F1832" t="str">
            <v>Month-to-month</v>
          </cell>
          <cell r="H1832">
            <v>899</v>
          </cell>
          <cell r="J1832" t="str">
            <v>DSL</v>
          </cell>
          <cell r="L1832" t="str">
            <v>No</v>
          </cell>
          <cell r="M1832" t="str">
            <v>13-24 mo</v>
          </cell>
          <cell r="N1832" t="str">
            <v>26-35 yrs</v>
          </cell>
        </row>
        <row r="1833">
          <cell r="A1833" t="str">
            <v>C2832</v>
          </cell>
          <cell r="E1833" t="str">
            <v>Delhi</v>
          </cell>
          <cell r="F1833" t="str">
            <v>Month-to-month</v>
          </cell>
          <cell r="H1833">
            <v>999</v>
          </cell>
          <cell r="J1833" t="str">
            <v>Fiber</v>
          </cell>
          <cell r="L1833" t="str">
            <v>Unknown</v>
          </cell>
          <cell r="M1833" t="str">
            <v>7-12 mo</v>
          </cell>
          <cell r="N1833" t="str">
            <v>60+ yrs</v>
          </cell>
        </row>
        <row r="1834">
          <cell r="A1834" t="str">
            <v>C2833</v>
          </cell>
          <cell r="E1834" t="str">
            <v>Pune</v>
          </cell>
          <cell r="F1834" t="str">
            <v>Month-to-month</v>
          </cell>
          <cell r="H1834">
            <v>1149</v>
          </cell>
          <cell r="J1834" t="str">
            <v>Fiber</v>
          </cell>
          <cell r="L1834" t="str">
            <v>No</v>
          </cell>
          <cell r="M1834" t="str">
            <v>7-12 mo</v>
          </cell>
          <cell r="N1834" t="str">
            <v>46-60 yrs</v>
          </cell>
        </row>
        <row r="1835">
          <cell r="A1835" t="str">
            <v>C2834</v>
          </cell>
          <cell r="E1835" t="str">
            <v>Kochi</v>
          </cell>
          <cell r="F1835" t="str">
            <v>Unknown</v>
          </cell>
          <cell r="H1835">
            <v>1049</v>
          </cell>
          <cell r="J1835" t="str">
            <v>Fiber</v>
          </cell>
          <cell r="L1835" t="str">
            <v>No</v>
          </cell>
          <cell r="M1835" t="str">
            <v>7-12 mo</v>
          </cell>
          <cell r="N1835" t="str">
            <v>36-45 yrs</v>
          </cell>
        </row>
        <row r="1836">
          <cell r="A1836" t="str">
            <v>C2835</v>
          </cell>
          <cell r="E1836" t="str">
            <v>Hyderabad</v>
          </cell>
          <cell r="F1836" t="str">
            <v>Month-to-month</v>
          </cell>
          <cell r="H1836">
            <v>799</v>
          </cell>
          <cell r="J1836" t="str">
            <v>DSL</v>
          </cell>
          <cell r="L1836" t="str">
            <v>No</v>
          </cell>
          <cell r="M1836" t="str">
            <v>13-24 mo</v>
          </cell>
          <cell r="N1836" t="str">
            <v>36-45 yrs</v>
          </cell>
        </row>
        <row r="1837">
          <cell r="A1837" t="str">
            <v>C2836</v>
          </cell>
          <cell r="E1837" t="str">
            <v>Indore</v>
          </cell>
          <cell r="F1837" t="str">
            <v>One year</v>
          </cell>
          <cell r="H1837">
            <v>649</v>
          </cell>
          <cell r="J1837" t="str">
            <v>DSL</v>
          </cell>
          <cell r="L1837" t="str">
            <v>No</v>
          </cell>
          <cell r="M1837" t="str">
            <v>13-24 mo</v>
          </cell>
          <cell r="N1837" t="str">
            <v>26-35 yrs</v>
          </cell>
        </row>
        <row r="1838">
          <cell r="A1838" t="str">
            <v>C2837</v>
          </cell>
          <cell r="E1838" t="str">
            <v>Delhi</v>
          </cell>
          <cell r="F1838" t="str">
            <v>Month-to-month</v>
          </cell>
          <cell r="H1838">
            <v>1099</v>
          </cell>
          <cell r="J1838" t="str">
            <v>Fiber</v>
          </cell>
          <cell r="L1838" t="str">
            <v>No</v>
          </cell>
          <cell r="M1838" t="str">
            <v>13-24 mo</v>
          </cell>
          <cell r="N1838" t="str">
            <v>18-25 yrs</v>
          </cell>
        </row>
        <row r="1839">
          <cell r="A1839" t="str">
            <v>C2838</v>
          </cell>
          <cell r="E1839" t="str">
            <v>Jaipur</v>
          </cell>
          <cell r="F1839" t="str">
            <v>One year</v>
          </cell>
          <cell r="H1839">
            <v>399</v>
          </cell>
          <cell r="J1839" t="str">
            <v>No Internet</v>
          </cell>
          <cell r="L1839" t="str">
            <v>No</v>
          </cell>
          <cell r="M1839" t="str">
            <v>13-24 mo</v>
          </cell>
          <cell r="N1839" t="str">
            <v>18-25 yrs</v>
          </cell>
        </row>
        <row r="1840">
          <cell r="A1840" t="str">
            <v>C2839</v>
          </cell>
          <cell r="E1840" t="str">
            <v>Kochi</v>
          </cell>
          <cell r="F1840" t="str">
            <v>One year</v>
          </cell>
          <cell r="H1840">
            <v>1049</v>
          </cell>
          <cell r="J1840" t="str">
            <v>Fiber</v>
          </cell>
          <cell r="L1840" t="str">
            <v>No</v>
          </cell>
          <cell r="M1840" t="str">
            <v>25-48 mo</v>
          </cell>
          <cell r="N1840" t="str">
            <v>26-35 yrs</v>
          </cell>
        </row>
        <row r="1841">
          <cell r="A1841" t="str">
            <v>C2840</v>
          </cell>
          <cell r="E1841" t="str">
            <v>Pune</v>
          </cell>
          <cell r="F1841" t="str">
            <v>Month-to-month</v>
          </cell>
          <cell r="H1841">
            <v>599</v>
          </cell>
          <cell r="J1841" t="str">
            <v>DSL</v>
          </cell>
          <cell r="L1841" t="str">
            <v>No</v>
          </cell>
          <cell r="M1841" t="str">
            <v>7-12 mo</v>
          </cell>
          <cell r="N1841" t="str">
            <v>60+ yrs</v>
          </cell>
        </row>
        <row r="1842">
          <cell r="A1842" t="str">
            <v>C2841</v>
          </cell>
          <cell r="E1842" t="str">
            <v>Bangalore</v>
          </cell>
          <cell r="F1842" t="str">
            <v>Month-to-month</v>
          </cell>
          <cell r="H1842">
            <v>649</v>
          </cell>
          <cell r="J1842" t="str">
            <v>DSL</v>
          </cell>
          <cell r="L1842" t="str">
            <v>No</v>
          </cell>
          <cell r="M1842" t="str">
            <v>0-6 mo</v>
          </cell>
          <cell r="N1842" t="str">
            <v>36-45 yrs</v>
          </cell>
        </row>
        <row r="1843">
          <cell r="A1843" t="str">
            <v>C2842</v>
          </cell>
          <cell r="E1843" t="str">
            <v>Bangalore</v>
          </cell>
          <cell r="F1843" t="str">
            <v>Month-to-month</v>
          </cell>
          <cell r="H1843">
            <v>999</v>
          </cell>
          <cell r="J1843" t="str">
            <v>Fiber</v>
          </cell>
          <cell r="L1843" t="str">
            <v>Yes</v>
          </cell>
          <cell r="M1843" t="str">
            <v>0-6 mo</v>
          </cell>
          <cell r="N1843" t="str">
            <v>18-25 yrs</v>
          </cell>
        </row>
        <row r="1844">
          <cell r="A1844" t="str">
            <v>C2843</v>
          </cell>
          <cell r="E1844" t="str">
            <v>Ahmedabad</v>
          </cell>
          <cell r="F1844" t="str">
            <v>Month-to-month</v>
          </cell>
          <cell r="H1844">
            <v>1299</v>
          </cell>
          <cell r="J1844" t="str">
            <v>Fiber</v>
          </cell>
          <cell r="L1844" t="str">
            <v>Yes</v>
          </cell>
          <cell r="M1844" t="str">
            <v>13-24 mo</v>
          </cell>
          <cell r="N1844" t="str">
            <v>46-60 yrs</v>
          </cell>
        </row>
        <row r="1845">
          <cell r="A1845" t="str">
            <v>C2844</v>
          </cell>
          <cell r="E1845" t="str">
            <v>Kochi</v>
          </cell>
          <cell r="F1845" t="str">
            <v>Month-to-month</v>
          </cell>
          <cell r="H1845">
            <v>1199</v>
          </cell>
          <cell r="J1845" t="str">
            <v>Fiber</v>
          </cell>
          <cell r="L1845" t="str">
            <v>Yes</v>
          </cell>
          <cell r="M1845" t="str">
            <v>7-12 mo</v>
          </cell>
          <cell r="N1845" t="str">
            <v>26-35 yrs</v>
          </cell>
        </row>
        <row r="1846">
          <cell r="A1846" t="str">
            <v>C2845</v>
          </cell>
          <cell r="E1846" t="str">
            <v>Bangalore</v>
          </cell>
          <cell r="F1846" t="str">
            <v>Two year</v>
          </cell>
          <cell r="H1846">
            <v>1049</v>
          </cell>
          <cell r="J1846" t="str">
            <v>Fiber</v>
          </cell>
          <cell r="L1846" t="str">
            <v>Unknown</v>
          </cell>
          <cell r="M1846" t="str">
            <v>49+ mo</v>
          </cell>
          <cell r="N1846" t="str">
            <v>18-25 yrs</v>
          </cell>
        </row>
        <row r="1847">
          <cell r="A1847" t="str">
            <v>C2846</v>
          </cell>
          <cell r="E1847" t="str">
            <v>Bangalore</v>
          </cell>
          <cell r="F1847" t="str">
            <v>Month-to-month</v>
          </cell>
          <cell r="H1847">
            <v>1299</v>
          </cell>
          <cell r="J1847" t="str">
            <v>Fiber</v>
          </cell>
          <cell r="L1847" t="str">
            <v>No</v>
          </cell>
          <cell r="M1847" t="str">
            <v>13-24 mo</v>
          </cell>
          <cell r="N1847" t="str">
            <v>46-60 yrs</v>
          </cell>
        </row>
        <row r="1848">
          <cell r="A1848" t="str">
            <v>C2847</v>
          </cell>
          <cell r="E1848" t="str">
            <v>Bangalore</v>
          </cell>
          <cell r="F1848" t="str">
            <v>Two year</v>
          </cell>
          <cell r="H1848">
            <v>899</v>
          </cell>
          <cell r="J1848" t="str">
            <v>Fiber</v>
          </cell>
          <cell r="L1848" t="str">
            <v>Yes</v>
          </cell>
          <cell r="M1848" t="str">
            <v>13-24 mo</v>
          </cell>
          <cell r="N1848" t="str">
            <v>60+ yrs</v>
          </cell>
        </row>
        <row r="1849">
          <cell r="A1849" t="str">
            <v>C2848</v>
          </cell>
          <cell r="E1849" t="str">
            <v>Jaipur</v>
          </cell>
          <cell r="F1849" t="str">
            <v>Month-to-month</v>
          </cell>
          <cell r="H1849">
            <v>1099</v>
          </cell>
          <cell r="J1849" t="str">
            <v>Fiber</v>
          </cell>
          <cell r="L1849" t="str">
            <v>Yes</v>
          </cell>
          <cell r="M1849" t="str">
            <v>0-6 mo</v>
          </cell>
          <cell r="N1849" t="str">
            <v>60+ yrs</v>
          </cell>
        </row>
        <row r="1850">
          <cell r="A1850" t="str">
            <v>C2849</v>
          </cell>
          <cell r="E1850" t="str">
            <v>Chandigarh</v>
          </cell>
          <cell r="F1850" t="str">
            <v>One year</v>
          </cell>
          <cell r="H1850">
            <v>449</v>
          </cell>
          <cell r="J1850" t="str">
            <v>No Internet</v>
          </cell>
          <cell r="L1850" t="str">
            <v>No</v>
          </cell>
          <cell r="M1850" t="str">
            <v>13-24 mo</v>
          </cell>
          <cell r="N1850" t="str">
            <v>60+ yrs</v>
          </cell>
        </row>
        <row r="1851">
          <cell r="A1851" t="str">
            <v>C2850</v>
          </cell>
          <cell r="E1851" t="str">
            <v>Indore</v>
          </cell>
          <cell r="F1851" t="str">
            <v>Month-to-month</v>
          </cell>
          <cell r="H1851">
            <v>999</v>
          </cell>
          <cell r="J1851" t="str">
            <v>Fiber</v>
          </cell>
          <cell r="L1851" t="str">
            <v>Yes</v>
          </cell>
          <cell r="M1851" t="str">
            <v>0-6 mo</v>
          </cell>
          <cell r="N1851" t="str">
            <v>46-60 yrs</v>
          </cell>
        </row>
        <row r="1852">
          <cell r="A1852" t="str">
            <v>C2851</v>
          </cell>
          <cell r="E1852" t="str">
            <v>Jaipur</v>
          </cell>
          <cell r="F1852" t="str">
            <v>Month-to-month</v>
          </cell>
          <cell r="H1852">
            <v>849</v>
          </cell>
          <cell r="J1852" t="str">
            <v>DSL</v>
          </cell>
          <cell r="L1852" t="str">
            <v>No</v>
          </cell>
          <cell r="M1852" t="str">
            <v>13-24 mo</v>
          </cell>
          <cell r="N1852" t="str">
            <v>60+ yrs</v>
          </cell>
        </row>
        <row r="1853">
          <cell r="A1853" t="str">
            <v>C2852</v>
          </cell>
          <cell r="E1853" t="str">
            <v>Kochi</v>
          </cell>
          <cell r="F1853" t="str">
            <v>Two year</v>
          </cell>
          <cell r="H1853">
            <v>899</v>
          </cell>
          <cell r="J1853" t="str">
            <v>Fiber</v>
          </cell>
          <cell r="L1853" t="str">
            <v>No</v>
          </cell>
          <cell r="M1853" t="str">
            <v>13-24 mo</v>
          </cell>
          <cell r="N1853" t="str">
            <v>46-60 yrs</v>
          </cell>
        </row>
        <row r="1854">
          <cell r="A1854" t="str">
            <v>C2853</v>
          </cell>
          <cell r="E1854" t="str">
            <v>Bhopal</v>
          </cell>
          <cell r="F1854" t="str">
            <v>Month-to-month</v>
          </cell>
          <cell r="H1854">
            <v>1199</v>
          </cell>
          <cell r="J1854" t="str">
            <v>Fiber</v>
          </cell>
          <cell r="L1854" t="str">
            <v>Yes</v>
          </cell>
          <cell r="M1854" t="str">
            <v>13-24 mo</v>
          </cell>
          <cell r="N1854" t="str">
            <v>26-35 yrs</v>
          </cell>
        </row>
        <row r="1855">
          <cell r="A1855" t="str">
            <v>C2854</v>
          </cell>
          <cell r="E1855" t="str">
            <v>Chandigarh</v>
          </cell>
          <cell r="F1855" t="str">
            <v>Month-to-month</v>
          </cell>
          <cell r="H1855">
            <v>1149</v>
          </cell>
          <cell r="J1855" t="str">
            <v>Fiber</v>
          </cell>
          <cell r="L1855" t="str">
            <v>Yes</v>
          </cell>
          <cell r="M1855" t="str">
            <v>13-24 mo</v>
          </cell>
          <cell r="N1855" t="str">
            <v>60+ yrs</v>
          </cell>
        </row>
        <row r="1856">
          <cell r="A1856" t="str">
            <v>C2855</v>
          </cell>
          <cell r="E1856" t="str">
            <v>Pune</v>
          </cell>
          <cell r="F1856" t="str">
            <v>One year</v>
          </cell>
          <cell r="H1856">
            <v>399</v>
          </cell>
          <cell r="J1856" t="str">
            <v>No Internet</v>
          </cell>
          <cell r="L1856" t="str">
            <v>No</v>
          </cell>
          <cell r="M1856" t="str">
            <v>7-12 mo</v>
          </cell>
          <cell r="N1856" t="str">
            <v>46-60 yrs</v>
          </cell>
        </row>
        <row r="1857">
          <cell r="A1857" t="str">
            <v>C2856</v>
          </cell>
          <cell r="E1857" t="str">
            <v>Hyderabad</v>
          </cell>
          <cell r="F1857" t="str">
            <v>Month-to-month</v>
          </cell>
          <cell r="H1857">
            <v>1049</v>
          </cell>
          <cell r="J1857" t="str">
            <v>Fiber</v>
          </cell>
          <cell r="L1857" t="str">
            <v>Yes</v>
          </cell>
          <cell r="M1857" t="str">
            <v>0-6 mo</v>
          </cell>
          <cell r="N1857" t="str">
            <v>26-35 yrs</v>
          </cell>
        </row>
        <row r="1858">
          <cell r="A1858" t="str">
            <v>C2857</v>
          </cell>
          <cell r="E1858" t="str">
            <v>Pune</v>
          </cell>
          <cell r="F1858" t="str">
            <v>One year</v>
          </cell>
          <cell r="H1858">
            <v>899</v>
          </cell>
          <cell r="J1858" t="str">
            <v>DSL</v>
          </cell>
          <cell r="L1858" t="str">
            <v>No</v>
          </cell>
          <cell r="M1858" t="str">
            <v>25-48 mo</v>
          </cell>
          <cell r="N1858" t="str">
            <v>46-60 yrs</v>
          </cell>
        </row>
        <row r="1859">
          <cell r="A1859" t="str">
            <v>C2858</v>
          </cell>
          <cell r="E1859" t="str">
            <v>Chennai</v>
          </cell>
          <cell r="F1859" t="str">
            <v>Month-to-month</v>
          </cell>
          <cell r="H1859">
            <v>549</v>
          </cell>
          <cell r="J1859" t="str">
            <v>No Internet</v>
          </cell>
          <cell r="L1859" t="str">
            <v>Yes</v>
          </cell>
          <cell r="M1859" t="str">
            <v>0-6 mo</v>
          </cell>
          <cell r="N1859" t="str">
            <v>36-45 yrs</v>
          </cell>
        </row>
        <row r="1860">
          <cell r="A1860" t="str">
            <v>C2859</v>
          </cell>
          <cell r="E1860" t="str">
            <v>Delhi</v>
          </cell>
          <cell r="F1860" t="str">
            <v>Two year</v>
          </cell>
          <cell r="H1860">
            <v>799</v>
          </cell>
          <cell r="J1860" t="str">
            <v>DSL</v>
          </cell>
          <cell r="L1860" t="str">
            <v>No</v>
          </cell>
          <cell r="M1860" t="str">
            <v>25-48 mo</v>
          </cell>
          <cell r="N1860" t="str">
            <v>46-60 yrs</v>
          </cell>
        </row>
        <row r="1861">
          <cell r="A1861" t="str">
            <v>C2860</v>
          </cell>
          <cell r="E1861" t="str">
            <v>Chandigarh</v>
          </cell>
          <cell r="F1861" t="str">
            <v>Month-to-month</v>
          </cell>
          <cell r="H1861">
            <v>1049</v>
          </cell>
          <cell r="J1861" t="str">
            <v>Fiber</v>
          </cell>
          <cell r="L1861" t="str">
            <v>No</v>
          </cell>
          <cell r="M1861" t="str">
            <v>13-24 mo</v>
          </cell>
          <cell r="N1861" t="str">
            <v>60+ yrs</v>
          </cell>
        </row>
        <row r="1862">
          <cell r="A1862" t="str">
            <v>C2861</v>
          </cell>
          <cell r="E1862" t="str">
            <v>Hyderabad</v>
          </cell>
          <cell r="F1862" t="str">
            <v>Month-to-month</v>
          </cell>
          <cell r="H1862">
            <v>399</v>
          </cell>
          <cell r="J1862" t="str">
            <v>No Internet</v>
          </cell>
          <cell r="L1862" t="str">
            <v>Yes</v>
          </cell>
          <cell r="M1862" t="str">
            <v>13-24 mo</v>
          </cell>
          <cell r="N1862" t="str">
            <v>46-60 yrs</v>
          </cell>
        </row>
        <row r="1863">
          <cell r="A1863" t="str">
            <v>C2862</v>
          </cell>
          <cell r="E1863" t="str">
            <v>Bangalore</v>
          </cell>
          <cell r="F1863" t="str">
            <v>Month-to-month</v>
          </cell>
          <cell r="H1863">
            <v>1099</v>
          </cell>
          <cell r="J1863" t="str">
            <v>Fiber</v>
          </cell>
          <cell r="L1863" t="str">
            <v>No</v>
          </cell>
          <cell r="M1863" t="str">
            <v>0-6 mo</v>
          </cell>
          <cell r="N1863" t="str">
            <v>60+ yrs</v>
          </cell>
        </row>
        <row r="1864">
          <cell r="A1864" t="str">
            <v>C2863</v>
          </cell>
          <cell r="E1864" t="str">
            <v>Delhi</v>
          </cell>
          <cell r="F1864" t="str">
            <v>One year</v>
          </cell>
          <cell r="H1864">
            <v>1149</v>
          </cell>
          <cell r="J1864" t="str">
            <v>Fiber</v>
          </cell>
          <cell r="L1864" t="str">
            <v>Yes</v>
          </cell>
          <cell r="M1864" t="str">
            <v>7-12 mo</v>
          </cell>
          <cell r="N1864" t="str">
            <v>26-35 yrs</v>
          </cell>
        </row>
        <row r="1865">
          <cell r="A1865" t="str">
            <v>C2864</v>
          </cell>
          <cell r="E1865" t="str">
            <v>Lucknow</v>
          </cell>
          <cell r="F1865" t="str">
            <v>Month-to-month</v>
          </cell>
          <cell r="H1865">
            <v>1099</v>
          </cell>
          <cell r="J1865" t="str">
            <v>Fiber</v>
          </cell>
          <cell r="L1865" t="str">
            <v>Yes</v>
          </cell>
          <cell r="M1865" t="str">
            <v>13-24 mo</v>
          </cell>
          <cell r="N1865" t="str">
            <v>26-35 yrs</v>
          </cell>
        </row>
        <row r="1866">
          <cell r="A1866" t="str">
            <v>C2865</v>
          </cell>
          <cell r="E1866" t="str">
            <v>Lucknow</v>
          </cell>
          <cell r="F1866" t="str">
            <v>One year</v>
          </cell>
          <cell r="H1866">
            <v>1099</v>
          </cell>
          <cell r="J1866" t="str">
            <v>Fiber</v>
          </cell>
          <cell r="L1866" t="str">
            <v>Yes</v>
          </cell>
          <cell r="M1866" t="str">
            <v>7-12 mo</v>
          </cell>
          <cell r="N1866" t="str">
            <v>60+ yrs</v>
          </cell>
        </row>
        <row r="1867">
          <cell r="A1867" t="str">
            <v>C2866</v>
          </cell>
          <cell r="E1867" t="str">
            <v>Indore</v>
          </cell>
          <cell r="F1867" t="str">
            <v>One year</v>
          </cell>
          <cell r="H1867">
            <v>649</v>
          </cell>
          <cell r="J1867" t="str">
            <v>DSL</v>
          </cell>
          <cell r="L1867" t="str">
            <v>No</v>
          </cell>
          <cell r="M1867" t="str">
            <v>13-24 mo</v>
          </cell>
          <cell r="N1867" t="str">
            <v>18-25 yrs</v>
          </cell>
        </row>
        <row r="1868">
          <cell r="A1868" t="str">
            <v>C2867</v>
          </cell>
          <cell r="E1868" t="str">
            <v>Jaipur</v>
          </cell>
          <cell r="F1868" t="str">
            <v>Two year</v>
          </cell>
          <cell r="H1868">
            <v>599</v>
          </cell>
          <cell r="J1868" t="str">
            <v>DSL</v>
          </cell>
          <cell r="L1868" t="str">
            <v>No</v>
          </cell>
          <cell r="M1868" t="str">
            <v>13-24 mo</v>
          </cell>
          <cell r="N1868" t="str">
            <v>46-60 yrs</v>
          </cell>
        </row>
        <row r="1869">
          <cell r="A1869" t="str">
            <v>C2868</v>
          </cell>
          <cell r="E1869" t="str">
            <v>Bhopal</v>
          </cell>
          <cell r="F1869" t="str">
            <v>Month-to-month</v>
          </cell>
          <cell r="H1869">
            <v>1049</v>
          </cell>
          <cell r="J1869" t="str">
            <v>Fiber</v>
          </cell>
          <cell r="L1869" t="str">
            <v>Yes</v>
          </cell>
          <cell r="M1869" t="str">
            <v>0-6 mo</v>
          </cell>
          <cell r="N1869" t="str">
            <v>36-45 yrs</v>
          </cell>
        </row>
        <row r="1870">
          <cell r="A1870" t="str">
            <v>C2869</v>
          </cell>
          <cell r="E1870" t="str">
            <v>Chennai</v>
          </cell>
          <cell r="F1870" t="str">
            <v>Two year</v>
          </cell>
          <cell r="H1870">
            <v>799</v>
          </cell>
          <cell r="J1870" t="str">
            <v>DSL</v>
          </cell>
          <cell r="L1870" t="str">
            <v>No</v>
          </cell>
          <cell r="M1870" t="str">
            <v>13-24 mo</v>
          </cell>
          <cell r="N1870" t="str">
            <v>36-45 yrs</v>
          </cell>
        </row>
        <row r="1871">
          <cell r="A1871" t="str">
            <v>C2870</v>
          </cell>
          <cell r="E1871" t="str">
            <v>Bangalore</v>
          </cell>
          <cell r="F1871" t="str">
            <v>Two year</v>
          </cell>
          <cell r="H1871">
            <v>1099</v>
          </cell>
          <cell r="J1871" t="str">
            <v>Fiber</v>
          </cell>
          <cell r="L1871" t="str">
            <v>No</v>
          </cell>
          <cell r="M1871" t="str">
            <v>0-6 mo</v>
          </cell>
          <cell r="N1871" t="str">
            <v>60+ yrs</v>
          </cell>
        </row>
        <row r="1872">
          <cell r="A1872" t="str">
            <v>C2871</v>
          </cell>
          <cell r="E1872" t="str">
            <v>Ahmedabad</v>
          </cell>
          <cell r="F1872" t="str">
            <v>Month-to-month</v>
          </cell>
          <cell r="H1872">
            <v>899</v>
          </cell>
          <cell r="J1872" t="str">
            <v>DSL</v>
          </cell>
          <cell r="L1872" t="str">
            <v>No</v>
          </cell>
          <cell r="M1872" t="str">
            <v>7-12 mo</v>
          </cell>
          <cell r="N1872" t="str">
            <v>46-60 yrs</v>
          </cell>
        </row>
        <row r="1873">
          <cell r="A1873" t="str">
            <v>C2872</v>
          </cell>
          <cell r="E1873" t="str">
            <v>Lucknow</v>
          </cell>
          <cell r="F1873" t="str">
            <v>Month-to-month</v>
          </cell>
          <cell r="H1873">
            <v>849</v>
          </cell>
          <cell r="J1873" t="str">
            <v>DSL</v>
          </cell>
          <cell r="L1873" t="str">
            <v>No</v>
          </cell>
          <cell r="M1873" t="str">
            <v>7-12 mo</v>
          </cell>
          <cell r="N1873" t="str">
            <v>18-25 yrs</v>
          </cell>
        </row>
        <row r="1874">
          <cell r="A1874" t="str">
            <v>C2873</v>
          </cell>
          <cell r="E1874" t="str">
            <v>Hyderabad</v>
          </cell>
          <cell r="F1874" t="str">
            <v>Month-to-month</v>
          </cell>
          <cell r="H1874">
            <v>599</v>
          </cell>
          <cell r="J1874" t="str">
            <v>DSL</v>
          </cell>
          <cell r="L1874" t="str">
            <v>No</v>
          </cell>
          <cell r="M1874" t="str">
            <v>0-6 mo</v>
          </cell>
          <cell r="N1874" t="str">
            <v>18-25 yrs</v>
          </cell>
        </row>
        <row r="1875">
          <cell r="A1875" t="str">
            <v>C2874</v>
          </cell>
          <cell r="E1875" t="str">
            <v>Ahmedabad</v>
          </cell>
          <cell r="F1875" t="str">
            <v>Two year</v>
          </cell>
          <cell r="H1875">
            <v>549</v>
          </cell>
          <cell r="J1875" t="str">
            <v>No Internet</v>
          </cell>
          <cell r="L1875" t="str">
            <v>No</v>
          </cell>
          <cell r="M1875" t="str">
            <v>13-24 mo</v>
          </cell>
          <cell r="N1875" t="str">
            <v>60+ yrs</v>
          </cell>
        </row>
        <row r="1876">
          <cell r="A1876" t="str">
            <v>C2875</v>
          </cell>
          <cell r="E1876" t="str">
            <v>Lucknow</v>
          </cell>
          <cell r="F1876" t="str">
            <v>Month-to-month</v>
          </cell>
          <cell r="H1876">
            <v>999</v>
          </cell>
          <cell r="J1876" t="str">
            <v>Fiber</v>
          </cell>
          <cell r="L1876" t="str">
            <v>No</v>
          </cell>
          <cell r="M1876" t="str">
            <v>0-6 mo</v>
          </cell>
          <cell r="N1876" t="str">
            <v>46-60 yrs</v>
          </cell>
        </row>
        <row r="1877">
          <cell r="A1877" t="str">
            <v>C2876</v>
          </cell>
          <cell r="E1877" t="str">
            <v>Kolkata</v>
          </cell>
          <cell r="F1877" t="str">
            <v>Month-to-month</v>
          </cell>
          <cell r="H1877">
            <v>849</v>
          </cell>
          <cell r="J1877" t="str">
            <v>DSL</v>
          </cell>
          <cell r="L1877" t="str">
            <v>Yes</v>
          </cell>
          <cell r="M1877" t="str">
            <v>13-24 mo</v>
          </cell>
          <cell r="N1877" t="str">
            <v>60+ yrs</v>
          </cell>
        </row>
        <row r="1878">
          <cell r="A1878" t="str">
            <v>C2877</v>
          </cell>
          <cell r="E1878" t="str">
            <v>Hyderabad</v>
          </cell>
          <cell r="F1878" t="str">
            <v>Month-to-month</v>
          </cell>
          <cell r="H1878">
            <v>599</v>
          </cell>
          <cell r="J1878" t="str">
            <v>DSL</v>
          </cell>
          <cell r="L1878" t="str">
            <v>Yes</v>
          </cell>
          <cell r="M1878" t="str">
            <v>0-6 mo</v>
          </cell>
          <cell r="N1878" t="str">
            <v>36-45 yrs</v>
          </cell>
        </row>
        <row r="1879">
          <cell r="A1879" t="str">
            <v>C2878</v>
          </cell>
          <cell r="E1879" t="str">
            <v>Hyderabad</v>
          </cell>
          <cell r="F1879" t="str">
            <v>Month-to-month</v>
          </cell>
          <cell r="H1879">
            <v>799</v>
          </cell>
          <cell r="J1879" t="str">
            <v>DSL</v>
          </cell>
          <cell r="L1879" t="str">
            <v>No</v>
          </cell>
          <cell r="M1879" t="str">
            <v>7-12 mo</v>
          </cell>
          <cell r="N1879" t="str">
            <v>60+ yrs</v>
          </cell>
        </row>
        <row r="1880">
          <cell r="A1880" t="str">
            <v>C2879</v>
          </cell>
          <cell r="E1880" t="str">
            <v>Delhi</v>
          </cell>
          <cell r="F1880" t="str">
            <v>Month-to-month</v>
          </cell>
          <cell r="H1880">
            <v>1299</v>
          </cell>
          <cell r="J1880" t="str">
            <v>Fiber</v>
          </cell>
          <cell r="L1880" t="str">
            <v>No</v>
          </cell>
          <cell r="M1880" t="str">
            <v>13-24 mo</v>
          </cell>
          <cell r="N1880" t="str">
            <v>18-25 yrs</v>
          </cell>
        </row>
        <row r="1881">
          <cell r="A1881" t="str">
            <v>C2880</v>
          </cell>
          <cell r="E1881" t="str">
            <v>Jaipur</v>
          </cell>
          <cell r="F1881" t="str">
            <v>Two year</v>
          </cell>
          <cell r="H1881">
            <v>799</v>
          </cell>
          <cell r="J1881" t="str">
            <v>DSL</v>
          </cell>
          <cell r="L1881" t="str">
            <v>No</v>
          </cell>
          <cell r="M1881" t="str">
            <v>49+ mo</v>
          </cell>
          <cell r="N1881" t="str">
            <v>60+ yrs</v>
          </cell>
        </row>
        <row r="1882">
          <cell r="A1882" t="str">
            <v>C2881</v>
          </cell>
          <cell r="E1882" t="str">
            <v>Indore</v>
          </cell>
          <cell r="F1882" t="str">
            <v>Month-to-month</v>
          </cell>
          <cell r="H1882">
            <v>1299</v>
          </cell>
          <cell r="J1882" t="str">
            <v>Fiber</v>
          </cell>
          <cell r="L1882" t="str">
            <v>Yes</v>
          </cell>
          <cell r="M1882" t="str">
            <v>13-24 mo</v>
          </cell>
          <cell r="N1882" t="str">
            <v>36-45 yrs</v>
          </cell>
        </row>
        <row r="1883">
          <cell r="A1883" t="str">
            <v>C2882</v>
          </cell>
          <cell r="E1883" t="str">
            <v>Chennai</v>
          </cell>
          <cell r="F1883" t="str">
            <v>Two year</v>
          </cell>
          <cell r="H1883">
            <v>649</v>
          </cell>
          <cell r="J1883" t="str">
            <v>DSL</v>
          </cell>
          <cell r="L1883" t="str">
            <v>No</v>
          </cell>
          <cell r="M1883" t="str">
            <v>7-12 mo</v>
          </cell>
          <cell r="N1883" t="str">
            <v>46-60 yrs</v>
          </cell>
        </row>
        <row r="1884">
          <cell r="A1884" t="str">
            <v>C2883</v>
          </cell>
          <cell r="E1884" t="str">
            <v>Indore</v>
          </cell>
          <cell r="F1884" t="str">
            <v>Month-to-month</v>
          </cell>
          <cell r="H1884">
            <v>999</v>
          </cell>
          <cell r="J1884" t="str">
            <v>Fiber</v>
          </cell>
          <cell r="L1884" t="str">
            <v>No</v>
          </cell>
          <cell r="M1884" t="str">
            <v>7-12 mo</v>
          </cell>
          <cell r="N1884" t="str">
            <v>18-25 yrs</v>
          </cell>
        </row>
        <row r="1885">
          <cell r="A1885" t="str">
            <v>C2884</v>
          </cell>
          <cell r="E1885" t="str">
            <v>Bhopal</v>
          </cell>
          <cell r="F1885" t="str">
            <v>Two year</v>
          </cell>
          <cell r="H1885">
            <v>1099</v>
          </cell>
          <cell r="J1885" t="str">
            <v>Fiber</v>
          </cell>
          <cell r="L1885" t="str">
            <v>No</v>
          </cell>
          <cell r="M1885" t="str">
            <v>0-6 mo</v>
          </cell>
          <cell r="N1885" t="str">
            <v>36-45 yrs</v>
          </cell>
        </row>
        <row r="1886">
          <cell r="A1886" t="str">
            <v>C2885</v>
          </cell>
          <cell r="E1886" t="str">
            <v>Pune</v>
          </cell>
          <cell r="F1886" t="str">
            <v>Two year</v>
          </cell>
          <cell r="H1886">
            <v>799</v>
          </cell>
          <cell r="J1886" t="str">
            <v>DSL</v>
          </cell>
          <cell r="L1886" t="str">
            <v>No</v>
          </cell>
          <cell r="M1886" t="str">
            <v>49+ mo</v>
          </cell>
          <cell r="N1886" t="str">
            <v>60+ yrs</v>
          </cell>
        </row>
        <row r="1887">
          <cell r="A1887" t="str">
            <v>C2886</v>
          </cell>
          <cell r="E1887" t="str">
            <v>Kolkata</v>
          </cell>
          <cell r="F1887" t="str">
            <v>Month-to-month</v>
          </cell>
          <cell r="H1887">
            <v>549</v>
          </cell>
          <cell r="J1887" t="str">
            <v>No Internet</v>
          </cell>
          <cell r="L1887" t="str">
            <v>Yes</v>
          </cell>
          <cell r="M1887" t="str">
            <v>13-24 mo</v>
          </cell>
          <cell r="N1887" t="str">
            <v>46-60 yrs</v>
          </cell>
        </row>
        <row r="1888">
          <cell r="A1888" t="str">
            <v>C2887</v>
          </cell>
          <cell r="E1888" t="str">
            <v>Pune</v>
          </cell>
          <cell r="F1888" t="str">
            <v>One year</v>
          </cell>
          <cell r="H1888">
            <v>849</v>
          </cell>
          <cell r="J1888" t="str">
            <v>DSL</v>
          </cell>
          <cell r="L1888" t="str">
            <v>No</v>
          </cell>
          <cell r="M1888" t="str">
            <v>0-6 mo</v>
          </cell>
          <cell r="N1888" t="str">
            <v>36-45 yrs</v>
          </cell>
        </row>
        <row r="1889">
          <cell r="A1889" t="str">
            <v>C2888</v>
          </cell>
          <cell r="E1889" t="str">
            <v>Kochi</v>
          </cell>
          <cell r="F1889" t="str">
            <v>Month-to-month</v>
          </cell>
          <cell r="H1889">
            <v>399</v>
          </cell>
          <cell r="J1889" t="str">
            <v>No Internet</v>
          </cell>
          <cell r="L1889" t="str">
            <v>Yes</v>
          </cell>
          <cell r="M1889" t="str">
            <v>13-24 mo</v>
          </cell>
          <cell r="N1889" t="str">
            <v>36-45 yrs</v>
          </cell>
        </row>
        <row r="1890">
          <cell r="A1890" t="str">
            <v>C2889</v>
          </cell>
          <cell r="E1890" t="str">
            <v>Lucknow</v>
          </cell>
          <cell r="F1890" t="str">
            <v>Two year</v>
          </cell>
          <cell r="H1890">
            <v>649</v>
          </cell>
          <cell r="J1890" t="str">
            <v>DSL</v>
          </cell>
          <cell r="L1890" t="str">
            <v>No</v>
          </cell>
          <cell r="M1890" t="str">
            <v>25-48 mo</v>
          </cell>
          <cell r="N1890" t="str">
            <v>46-60 yrs</v>
          </cell>
        </row>
        <row r="1891">
          <cell r="A1891" t="str">
            <v>C2890</v>
          </cell>
          <cell r="E1891" t="str">
            <v>Bangalore</v>
          </cell>
          <cell r="F1891" t="str">
            <v>One year</v>
          </cell>
          <cell r="H1891">
            <v>1199</v>
          </cell>
          <cell r="J1891" t="str">
            <v>Fiber</v>
          </cell>
          <cell r="L1891" t="str">
            <v>Yes</v>
          </cell>
          <cell r="M1891" t="str">
            <v>25-48 mo</v>
          </cell>
          <cell r="N1891" t="str">
            <v>36-45 yrs</v>
          </cell>
        </row>
        <row r="1892">
          <cell r="A1892" t="str">
            <v>C2891</v>
          </cell>
          <cell r="E1892" t="str">
            <v>Mumbai</v>
          </cell>
          <cell r="F1892" t="str">
            <v>One year</v>
          </cell>
          <cell r="H1892">
            <v>899</v>
          </cell>
          <cell r="J1892" t="str">
            <v>Fiber</v>
          </cell>
          <cell r="L1892" t="str">
            <v>Yes</v>
          </cell>
          <cell r="M1892" t="str">
            <v>25-48 mo</v>
          </cell>
          <cell r="N1892" t="str">
            <v>36-45 yrs</v>
          </cell>
        </row>
        <row r="1893">
          <cell r="A1893" t="str">
            <v>C2892</v>
          </cell>
          <cell r="E1893" t="str">
            <v>Ahmedabad</v>
          </cell>
          <cell r="F1893" t="str">
            <v>Month-to-month</v>
          </cell>
          <cell r="H1893">
            <v>1149</v>
          </cell>
          <cell r="J1893" t="str">
            <v>Fiber</v>
          </cell>
          <cell r="L1893" t="str">
            <v>Yes</v>
          </cell>
          <cell r="M1893" t="str">
            <v>13-24 mo</v>
          </cell>
          <cell r="N1893" t="str">
            <v>60+ yrs</v>
          </cell>
        </row>
        <row r="1894">
          <cell r="A1894" t="str">
            <v>C2893</v>
          </cell>
          <cell r="E1894" t="str">
            <v>Chennai</v>
          </cell>
          <cell r="F1894" t="str">
            <v>Month-to-month</v>
          </cell>
          <cell r="H1894">
            <v>1099</v>
          </cell>
          <cell r="J1894" t="str">
            <v>Fiber</v>
          </cell>
          <cell r="L1894" t="str">
            <v>No</v>
          </cell>
          <cell r="M1894" t="str">
            <v>7-12 mo</v>
          </cell>
          <cell r="N1894" t="str">
            <v>46-60 yrs</v>
          </cell>
        </row>
        <row r="1895">
          <cell r="A1895" t="str">
            <v>C2894</v>
          </cell>
          <cell r="E1895" t="str">
            <v>Jaipur</v>
          </cell>
          <cell r="F1895" t="str">
            <v>Two year</v>
          </cell>
          <cell r="H1895">
            <v>699</v>
          </cell>
          <cell r="J1895" t="str">
            <v>DSL</v>
          </cell>
          <cell r="L1895" t="str">
            <v>No</v>
          </cell>
          <cell r="M1895" t="str">
            <v>49+ mo</v>
          </cell>
          <cell r="N1895" t="str">
            <v>46-60 yrs</v>
          </cell>
        </row>
        <row r="1896">
          <cell r="A1896" t="str">
            <v>C2895</v>
          </cell>
          <cell r="E1896" t="str">
            <v>Lucknow</v>
          </cell>
          <cell r="F1896" t="str">
            <v>Month-to-month</v>
          </cell>
          <cell r="H1896">
            <v>1049</v>
          </cell>
          <cell r="J1896" t="str">
            <v>Fiber</v>
          </cell>
          <cell r="L1896" t="str">
            <v>Yes</v>
          </cell>
          <cell r="M1896" t="str">
            <v>13-24 mo</v>
          </cell>
          <cell r="N1896" t="str">
            <v>60+ yrs</v>
          </cell>
        </row>
        <row r="1897">
          <cell r="A1897" t="str">
            <v>C2896</v>
          </cell>
          <cell r="E1897" t="str">
            <v>Ahmedabad</v>
          </cell>
          <cell r="F1897" t="str">
            <v>Month-to-month</v>
          </cell>
          <cell r="H1897">
            <v>899</v>
          </cell>
          <cell r="J1897" t="str">
            <v>Fiber</v>
          </cell>
          <cell r="L1897" t="str">
            <v>No</v>
          </cell>
          <cell r="M1897" t="str">
            <v>13-24 mo</v>
          </cell>
          <cell r="N1897" t="str">
            <v>26-35 yrs</v>
          </cell>
        </row>
        <row r="1898">
          <cell r="A1898" t="str">
            <v>C2897</v>
          </cell>
          <cell r="E1898" t="str">
            <v>Jaipur</v>
          </cell>
          <cell r="F1898" t="str">
            <v>Month-to-month</v>
          </cell>
          <cell r="H1898">
            <v>799</v>
          </cell>
          <cell r="J1898" t="str">
            <v>DSL</v>
          </cell>
          <cell r="L1898" t="str">
            <v>Yes</v>
          </cell>
          <cell r="M1898" t="str">
            <v>13-24 mo</v>
          </cell>
          <cell r="N1898" t="str">
            <v>36-45 yrs</v>
          </cell>
        </row>
        <row r="1899">
          <cell r="A1899" t="str">
            <v>C2898</v>
          </cell>
          <cell r="E1899" t="str">
            <v>Indore</v>
          </cell>
          <cell r="F1899" t="str">
            <v>Two year</v>
          </cell>
          <cell r="H1899">
            <v>1299</v>
          </cell>
          <cell r="J1899" t="str">
            <v>Fiber</v>
          </cell>
          <cell r="L1899" t="str">
            <v>No</v>
          </cell>
          <cell r="M1899" t="str">
            <v>49+ mo</v>
          </cell>
          <cell r="N1899" t="str">
            <v>36-45 yrs</v>
          </cell>
        </row>
        <row r="1900">
          <cell r="A1900" t="str">
            <v>C2899</v>
          </cell>
          <cell r="E1900" t="str">
            <v>Kochi</v>
          </cell>
          <cell r="F1900" t="str">
            <v>Month-to-month</v>
          </cell>
          <cell r="H1900">
            <v>649</v>
          </cell>
          <cell r="J1900" t="str">
            <v>DSL</v>
          </cell>
          <cell r="L1900" t="str">
            <v>No</v>
          </cell>
          <cell r="M1900" t="str">
            <v>0-6 mo</v>
          </cell>
          <cell r="N1900" t="str">
            <v>46-60 yrs</v>
          </cell>
        </row>
        <row r="1901">
          <cell r="A1901" t="str">
            <v>C2900</v>
          </cell>
          <cell r="E1901" t="str">
            <v>Chandigarh</v>
          </cell>
          <cell r="F1901" t="str">
            <v>One year</v>
          </cell>
          <cell r="H1901">
            <v>1049</v>
          </cell>
          <cell r="J1901" t="str">
            <v>Fiber</v>
          </cell>
          <cell r="L1901" t="str">
            <v>No</v>
          </cell>
          <cell r="M1901" t="str">
            <v>13-24 mo</v>
          </cell>
          <cell r="N1901" t="str">
            <v>60+ yrs</v>
          </cell>
        </row>
        <row r="1902">
          <cell r="A1902" t="str">
            <v>C2901</v>
          </cell>
          <cell r="E1902" t="str">
            <v>Ahmedabad</v>
          </cell>
          <cell r="F1902" t="str">
            <v>Two year</v>
          </cell>
          <cell r="H1902">
            <v>1099</v>
          </cell>
          <cell r="J1902" t="str">
            <v>Fiber</v>
          </cell>
          <cell r="L1902" t="str">
            <v>Yes</v>
          </cell>
          <cell r="M1902" t="str">
            <v>25-48 mo</v>
          </cell>
          <cell r="N1902" t="str">
            <v>60+ yrs</v>
          </cell>
        </row>
        <row r="1903">
          <cell r="A1903" t="str">
            <v>C2902</v>
          </cell>
          <cell r="E1903" t="str">
            <v>Jaipur</v>
          </cell>
          <cell r="F1903" t="str">
            <v>Month-to-month</v>
          </cell>
          <cell r="H1903">
            <v>899</v>
          </cell>
          <cell r="J1903" t="str">
            <v>Fiber</v>
          </cell>
          <cell r="L1903" t="str">
            <v>Yes</v>
          </cell>
          <cell r="M1903" t="str">
            <v>13-24 mo</v>
          </cell>
          <cell r="N1903" t="str">
            <v>18-25 yrs</v>
          </cell>
        </row>
        <row r="1904">
          <cell r="A1904" t="str">
            <v>C2903</v>
          </cell>
          <cell r="E1904" t="str">
            <v>Bhopal</v>
          </cell>
          <cell r="F1904" t="str">
            <v>Month-to-month</v>
          </cell>
          <cell r="H1904">
            <v>699</v>
          </cell>
          <cell r="J1904" t="str">
            <v>DSL</v>
          </cell>
          <cell r="L1904" t="str">
            <v>No</v>
          </cell>
          <cell r="M1904" t="str">
            <v>7-12 mo</v>
          </cell>
          <cell r="N1904" t="str">
            <v>60+ yrs</v>
          </cell>
        </row>
        <row r="1905">
          <cell r="A1905" t="str">
            <v>C2904</v>
          </cell>
          <cell r="E1905" t="str">
            <v>Pune</v>
          </cell>
          <cell r="F1905" t="str">
            <v>Two year</v>
          </cell>
          <cell r="H1905">
            <v>1049</v>
          </cell>
          <cell r="J1905" t="str">
            <v>Fiber</v>
          </cell>
          <cell r="L1905" t="str">
            <v>No</v>
          </cell>
          <cell r="M1905" t="str">
            <v>49+ mo</v>
          </cell>
          <cell r="N1905" t="str">
            <v>46-60 yrs</v>
          </cell>
        </row>
        <row r="1906">
          <cell r="A1906" t="str">
            <v>C2905</v>
          </cell>
          <cell r="E1906" t="str">
            <v>Pune</v>
          </cell>
          <cell r="F1906" t="str">
            <v>Two year</v>
          </cell>
          <cell r="H1906">
            <v>1099</v>
          </cell>
          <cell r="J1906" t="str">
            <v>Fiber</v>
          </cell>
          <cell r="L1906" t="str">
            <v>No</v>
          </cell>
          <cell r="M1906" t="str">
            <v>49+ mo</v>
          </cell>
          <cell r="N1906" t="str">
            <v>18-25 yrs</v>
          </cell>
        </row>
        <row r="1907">
          <cell r="A1907" t="str">
            <v>C2906</v>
          </cell>
          <cell r="E1907" t="str">
            <v>Lucknow</v>
          </cell>
          <cell r="F1907" t="str">
            <v>Month-to-month</v>
          </cell>
          <cell r="H1907">
            <v>849</v>
          </cell>
          <cell r="J1907" t="str">
            <v>DSL</v>
          </cell>
          <cell r="L1907" t="str">
            <v>No</v>
          </cell>
          <cell r="M1907" t="str">
            <v>13-24 mo</v>
          </cell>
          <cell r="N1907" t="str">
            <v>18-25 yrs</v>
          </cell>
        </row>
        <row r="1908">
          <cell r="A1908" t="str">
            <v>C2907</v>
          </cell>
          <cell r="E1908" t="str">
            <v>Kolkata</v>
          </cell>
          <cell r="F1908" t="str">
            <v>Month-to-month</v>
          </cell>
          <cell r="H1908">
            <v>699</v>
          </cell>
          <cell r="J1908" t="str">
            <v>DSL</v>
          </cell>
          <cell r="L1908" t="str">
            <v>No</v>
          </cell>
          <cell r="M1908" t="str">
            <v>7-12 mo</v>
          </cell>
          <cell r="N1908" t="str">
            <v>46-60 yrs</v>
          </cell>
        </row>
        <row r="1909">
          <cell r="A1909" t="str">
            <v>C2908</v>
          </cell>
          <cell r="E1909" t="str">
            <v>Hyderabad</v>
          </cell>
          <cell r="F1909" t="str">
            <v>Month-to-month</v>
          </cell>
          <cell r="H1909">
            <v>1049</v>
          </cell>
          <cell r="J1909" t="str">
            <v>Fiber</v>
          </cell>
          <cell r="L1909" t="str">
            <v>No</v>
          </cell>
          <cell r="M1909" t="str">
            <v>0-6 mo</v>
          </cell>
          <cell r="N1909" t="str">
            <v>46-60 yrs</v>
          </cell>
        </row>
        <row r="1910">
          <cell r="A1910" t="str">
            <v>C2909</v>
          </cell>
          <cell r="E1910" t="str">
            <v>Chandigarh</v>
          </cell>
          <cell r="F1910" t="str">
            <v>Two year</v>
          </cell>
          <cell r="H1910">
            <v>749</v>
          </cell>
          <cell r="J1910" t="str">
            <v>DSL</v>
          </cell>
          <cell r="L1910" t="str">
            <v>No</v>
          </cell>
          <cell r="M1910" t="str">
            <v>25-48 mo</v>
          </cell>
          <cell r="N1910" t="str">
            <v>60+ yrs</v>
          </cell>
        </row>
        <row r="1911">
          <cell r="A1911" t="str">
            <v>C2910</v>
          </cell>
          <cell r="E1911" t="str">
            <v>Indore</v>
          </cell>
          <cell r="F1911" t="str">
            <v>Month-to-month</v>
          </cell>
          <cell r="H1911">
            <v>449</v>
          </cell>
          <cell r="J1911" t="str">
            <v>No Internet</v>
          </cell>
          <cell r="L1911" t="str">
            <v>No</v>
          </cell>
          <cell r="M1911" t="str">
            <v>13-24 mo</v>
          </cell>
          <cell r="N1911" t="str">
            <v>60+ yrs</v>
          </cell>
        </row>
        <row r="1912">
          <cell r="A1912" t="str">
            <v>C2911</v>
          </cell>
          <cell r="E1912" t="str">
            <v>Pune</v>
          </cell>
          <cell r="F1912" t="str">
            <v>One year</v>
          </cell>
          <cell r="H1912">
            <v>649</v>
          </cell>
          <cell r="J1912" t="str">
            <v>DSL</v>
          </cell>
          <cell r="L1912" t="str">
            <v>No</v>
          </cell>
          <cell r="M1912" t="str">
            <v>13-24 mo</v>
          </cell>
          <cell r="N1912" t="str">
            <v>46-60 yrs</v>
          </cell>
        </row>
        <row r="1913">
          <cell r="A1913" t="str">
            <v>C2912</v>
          </cell>
          <cell r="E1913" t="str">
            <v>Pune</v>
          </cell>
          <cell r="F1913" t="str">
            <v>Month-to-month</v>
          </cell>
          <cell r="H1913">
            <v>699</v>
          </cell>
          <cell r="J1913" t="str">
            <v>DSL</v>
          </cell>
          <cell r="L1913" t="str">
            <v>No</v>
          </cell>
          <cell r="M1913" t="str">
            <v>13-24 mo</v>
          </cell>
          <cell r="N1913" t="str">
            <v>60+ yrs</v>
          </cell>
        </row>
        <row r="1914">
          <cell r="A1914" t="str">
            <v>C2913</v>
          </cell>
          <cell r="E1914" t="str">
            <v>Jaipur</v>
          </cell>
          <cell r="F1914" t="str">
            <v>Two year</v>
          </cell>
          <cell r="H1914">
            <v>799</v>
          </cell>
          <cell r="J1914" t="str">
            <v>DSL</v>
          </cell>
          <cell r="L1914" t="str">
            <v>No</v>
          </cell>
          <cell r="M1914" t="str">
            <v>25-48 mo</v>
          </cell>
          <cell r="N1914" t="str">
            <v>18-25 yrs</v>
          </cell>
        </row>
        <row r="1915">
          <cell r="A1915" t="str">
            <v>C2914</v>
          </cell>
          <cell r="E1915" t="str">
            <v>Pune</v>
          </cell>
          <cell r="F1915" t="str">
            <v>One year</v>
          </cell>
          <cell r="H1915">
            <v>1099</v>
          </cell>
          <cell r="J1915" t="str">
            <v>Fiber</v>
          </cell>
          <cell r="L1915" t="str">
            <v>No</v>
          </cell>
          <cell r="M1915" t="str">
            <v>7-12 mo</v>
          </cell>
          <cell r="N1915" t="str">
            <v>60+ yrs</v>
          </cell>
        </row>
        <row r="1916">
          <cell r="A1916" t="str">
            <v>C2915</v>
          </cell>
          <cell r="E1916" t="str">
            <v>Pune</v>
          </cell>
          <cell r="F1916" t="str">
            <v>One year</v>
          </cell>
          <cell r="H1916">
            <v>999</v>
          </cell>
          <cell r="J1916" t="str">
            <v>Fiber</v>
          </cell>
          <cell r="L1916" t="str">
            <v>No</v>
          </cell>
          <cell r="M1916" t="str">
            <v>25-48 mo</v>
          </cell>
          <cell r="N1916" t="str">
            <v>18-25 yrs</v>
          </cell>
        </row>
        <row r="1917">
          <cell r="A1917" t="str">
            <v>C2916</v>
          </cell>
          <cell r="E1917" t="str">
            <v>Ahmedabad</v>
          </cell>
          <cell r="F1917" t="str">
            <v>Month-to-month</v>
          </cell>
          <cell r="H1917">
            <v>599</v>
          </cell>
          <cell r="J1917" t="str">
            <v>DSL</v>
          </cell>
          <cell r="L1917" t="str">
            <v>No</v>
          </cell>
          <cell r="M1917" t="str">
            <v>7-12 mo</v>
          </cell>
          <cell r="N1917" t="str">
            <v>26-35 yrs</v>
          </cell>
        </row>
        <row r="1918">
          <cell r="A1918" t="str">
            <v>C2917</v>
          </cell>
          <cell r="E1918" t="str">
            <v>Indore</v>
          </cell>
          <cell r="F1918" t="str">
            <v>Month-to-month</v>
          </cell>
          <cell r="H1918">
            <v>899</v>
          </cell>
          <cell r="J1918" t="str">
            <v>Fiber</v>
          </cell>
          <cell r="L1918" t="str">
            <v>No</v>
          </cell>
          <cell r="M1918" t="str">
            <v>0-6 mo</v>
          </cell>
          <cell r="N1918" t="str">
            <v>60+ yrs</v>
          </cell>
        </row>
        <row r="1919">
          <cell r="A1919" t="str">
            <v>C2918</v>
          </cell>
          <cell r="E1919" t="str">
            <v>Kochi</v>
          </cell>
          <cell r="F1919" t="str">
            <v>Month-to-month</v>
          </cell>
          <cell r="H1919">
            <v>1049</v>
          </cell>
          <cell r="J1919" t="str">
            <v>Fiber</v>
          </cell>
          <cell r="L1919" t="str">
            <v>Yes</v>
          </cell>
          <cell r="M1919" t="str">
            <v>7-12 mo</v>
          </cell>
          <cell r="N1919" t="str">
            <v>36-45 yrs</v>
          </cell>
        </row>
        <row r="1920">
          <cell r="A1920" t="str">
            <v>C2919</v>
          </cell>
          <cell r="E1920" t="str">
            <v>Ahmedabad</v>
          </cell>
          <cell r="F1920" t="str">
            <v>One year</v>
          </cell>
          <cell r="H1920">
            <v>1199</v>
          </cell>
          <cell r="J1920" t="str">
            <v>Fiber</v>
          </cell>
          <cell r="L1920" t="str">
            <v>No</v>
          </cell>
          <cell r="M1920" t="str">
            <v>13-24 mo</v>
          </cell>
          <cell r="N1920" t="str">
            <v>18-25 yrs</v>
          </cell>
        </row>
        <row r="1921">
          <cell r="A1921" t="str">
            <v>C2920</v>
          </cell>
          <cell r="E1921" t="str">
            <v>Chandigarh</v>
          </cell>
          <cell r="F1921" t="str">
            <v>Month-to-month</v>
          </cell>
          <cell r="H1921">
            <v>1049</v>
          </cell>
          <cell r="J1921" t="str">
            <v>Fiber</v>
          </cell>
          <cell r="L1921" t="str">
            <v>No</v>
          </cell>
          <cell r="M1921" t="str">
            <v>13-24 mo</v>
          </cell>
          <cell r="N1921" t="str">
            <v>46-60 yrs</v>
          </cell>
        </row>
        <row r="1922">
          <cell r="A1922" t="str">
            <v>C2921</v>
          </cell>
          <cell r="E1922" t="str">
            <v>Kolkata</v>
          </cell>
          <cell r="F1922" t="str">
            <v>Two year</v>
          </cell>
          <cell r="H1922">
            <v>899</v>
          </cell>
          <cell r="J1922" t="str">
            <v>Fiber</v>
          </cell>
          <cell r="L1922" t="str">
            <v>No</v>
          </cell>
          <cell r="M1922" t="str">
            <v>49+ mo</v>
          </cell>
          <cell r="N1922" t="str">
            <v>60+ yrs</v>
          </cell>
        </row>
        <row r="1923">
          <cell r="A1923" t="str">
            <v>C2922</v>
          </cell>
          <cell r="E1923" t="str">
            <v>Lucknow</v>
          </cell>
          <cell r="F1923" t="str">
            <v>Month-to-month</v>
          </cell>
          <cell r="H1923">
            <v>1049</v>
          </cell>
          <cell r="J1923" t="str">
            <v>Fiber</v>
          </cell>
          <cell r="L1923" t="str">
            <v>No</v>
          </cell>
          <cell r="M1923" t="str">
            <v>13-24 mo</v>
          </cell>
          <cell r="N1923" t="str">
            <v>46-60 yrs</v>
          </cell>
        </row>
        <row r="1924">
          <cell r="A1924" t="str">
            <v>C2923</v>
          </cell>
          <cell r="E1924" t="str">
            <v>Jaipur</v>
          </cell>
          <cell r="F1924" t="str">
            <v>One year</v>
          </cell>
          <cell r="H1924">
            <v>799</v>
          </cell>
          <cell r="J1924" t="str">
            <v>DSL</v>
          </cell>
          <cell r="L1924" t="str">
            <v>No</v>
          </cell>
          <cell r="M1924" t="str">
            <v>13-24 mo</v>
          </cell>
          <cell r="N1924" t="str">
            <v>18-25 yrs</v>
          </cell>
        </row>
        <row r="1925">
          <cell r="A1925" t="str">
            <v>C2924</v>
          </cell>
          <cell r="E1925" t="str">
            <v>Mumbai</v>
          </cell>
          <cell r="F1925" t="str">
            <v>Month-to-month</v>
          </cell>
          <cell r="H1925">
            <v>1049</v>
          </cell>
          <cell r="J1925" t="str">
            <v>Fiber</v>
          </cell>
          <cell r="L1925" t="str">
            <v>No</v>
          </cell>
          <cell r="M1925" t="str">
            <v>13-24 mo</v>
          </cell>
          <cell r="N1925" t="str">
            <v>60+ yrs</v>
          </cell>
        </row>
        <row r="1926">
          <cell r="A1926" t="str">
            <v>C2925</v>
          </cell>
          <cell r="E1926" t="str">
            <v>Lucknow</v>
          </cell>
          <cell r="F1926" t="str">
            <v>One year</v>
          </cell>
          <cell r="H1926">
            <v>549</v>
          </cell>
          <cell r="J1926" t="str">
            <v>No Internet</v>
          </cell>
          <cell r="L1926" t="str">
            <v>No</v>
          </cell>
          <cell r="M1926" t="str">
            <v>25-48 mo</v>
          </cell>
          <cell r="N1926" t="str">
            <v>36-45 yrs</v>
          </cell>
        </row>
        <row r="1927">
          <cell r="A1927" t="str">
            <v>C2926</v>
          </cell>
          <cell r="E1927" t="str">
            <v>Bhopal</v>
          </cell>
          <cell r="F1927" t="str">
            <v>One year</v>
          </cell>
          <cell r="H1927">
            <v>1199</v>
          </cell>
          <cell r="J1927" t="str">
            <v>Fiber</v>
          </cell>
          <cell r="L1927" t="str">
            <v>No</v>
          </cell>
          <cell r="M1927" t="str">
            <v>7-12 mo</v>
          </cell>
          <cell r="N1927" t="str">
            <v>46-60 yrs</v>
          </cell>
        </row>
        <row r="1928">
          <cell r="A1928" t="str">
            <v>C2927</v>
          </cell>
          <cell r="E1928" t="str">
            <v>Bhopal</v>
          </cell>
          <cell r="F1928" t="str">
            <v>One year</v>
          </cell>
          <cell r="H1928">
            <v>1199</v>
          </cell>
          <cell r="J1928" t="str">
            <v>Fiber</v>
          </cell>
          <cell r="L1928" t="str">
            <v>No</v>
          </cell>
          <cell r="M1928" t="str">
            <v>25-48 mo</v>
          </cell>
          <cell r="N1928" t="str">
            <v>46-60 yrs</v>
          </cell>
        </row>
        <row r="1929">
          <cell r="A1929" t="str">
            <v>C2928</v>
          </cell>
          <cell r="E1929" t="str">
            <v>Mumbai</v>
          </cell>
          <cell r="F1929" t="str">
            <v>Month-to-month</v>
          </cell>
          <cell r="H1929">
            <v>449</v>
          </cell>
          <cell r="J1929" t="str">
            <v>No Internet</v>
          </cell>
          <cell r="L1929" t="str">
            <v>No</v>
          </cell>
          <cell r="M1929" t="str">
            <v>13-24 mo</v>
          </cell>
          <cell r="N1929" t="str">
            <v>60+ yrs</v>
          </cell>
        </row>
        <row r="1930">
          <cell r="A1930" t="str">
            <v>C2929</v>
          </cell>
          <cell r="E1930" t="str">
            <v>Ahmedabad</v>
          </cell>
          <cell r="F1930" t="str">
            <v>One year</v>
          </cell>
          <cell r="H1930">
            <v>799</v>
          </cell>
          <cell r="J1930" t="str">
            <v>DSL</v>
          </cell>
          <cell r="L1930" t="str">
            <v>No</v>
          </cell>
          <cell r="M1930" t="str">
            <v>25-48 mo</v>
          </cell>
          <cell r="N1930" t="str">
            <v>36-45 yrs</v>
          </cell>
        </row>
        <row r="1931">
          <cell r="A1931" t="str">
            <v>C2930</v>
          </cell>
          <cell r="E1931" t="str">
            <v>Pune</v>
          </cell>
          <cell r="F1931" t="str">
            <v>One year</v>
          </cell>
          <cell r="H1931">
            <v>549</v>
          </cell>
          <cell r="J1931" t="str">
            <v>No Internet</v>
          </cell>
          <cell r="L1931" t="str">
            <v>No</v>
          </cell>
          <cell r="M1931" t="str">
            <v>7-12 mo</v>
          </cell>
          <cell r="N1931" t="str">
            <v>46-60 yrs</v>
          </cell>
        </row>
        <row r="1932">
          <cell r="A1932" t="str">
            <v>C2931</v>
          </cell>
          <cell r="E1932" t="str">
            <v>Delhi</v>
          </cell>
          <cell r="F1932" t="str">
            <v>Two year</v>
          </cell>
          <cell r="H1932">
            <v>899</v>
          </cell>
          <cell r="J1932" t="str">
            <v>DSL</v>
          </cell>
          <cell r="L1932" t="str">
            <v>No</v>
          </cell>
          <cell r="M1932" t="str">
            <v>13-24 mo</v>
          </cell>
          <cell r="N1932" t="str">
            <v>46-60 yrs</v>
          </cell>
        </row>
        <row r="1933">
          <cell r="A1933" t="str">
            <v>C2932</v>
          </cell>
          <cell r="E1933" t="str">
            <v>Chandigarh</v>
          </cell>
          <cell r="F1933" t="str">
            <v>Month-to-month</v>
          </cell>
          <cell r="H1933">
            <v>1299</v>
          </cell>
          <cell r="J1933" t="str">
            <v>Fiber</v>
          </cell>
          <cell r="L1933" t="str">
            <v>Yes</v>
          </cell>
          <cell r="M1933" t="str">
            <v>7-12 mo</v>
          </cell>
          <cell r="N1933" t="str">
            <v>46-60 yrs</v>
          </cell>
        </row>
        <row r="1934">
          <cell r="A1934" t="str">
            <v>C2933</v>
          </cell>
          <cell r="E1934" t="str">
            <v>Delhi</v>
          </cell>
          <cell r="F1934" t="str">
            <v>One year</v>
          </cell>
          <cell r="H1934">
            <v>1299</v>
          </cell>
          <cell r="J1934" t="str">
            <v>Fiber</v>
          </cell>
          <cell r="L1934" t="str">
            <v>Yes</v>
          </cell>
          <cell r="M1934" t="str">
            <v>0-6 mo</v>
          </cell>
          <cell r="N1934" t="str">
            <v>60+ yrs</v>
          </cell>
        </row>
        <row r="1935">
          <cell r="A1935" t="str">
            <v>C2934</v>
          </cell>
          <cell r="E1935" t="str">
            <v>Mumbai</v>
          </cell>
          <cell r="F1935" t="str">
            <v>Month-to-month</v>
          </cell>
          <cell r="H1935">
            <v>599</v>
          </cell>
          <cell r="J1935" t="str">
            <v>DSL</v>
          </cell>
          <cell r="L1935" t="str">
            <v>No</v>
          </cell>
          <cell r="M1935" t="str">
            <v>13-24 mo</v>
          </cell>
          <cell r="N1935" t="str">
            <v>60+ yrs</v>
          </cell>
        </row>
        <row r="1936">
          <cell r="A1936" t="str">
            <v>C2935</v>
          </cell>
          <cell r="E1936" t="str">
            <v>Bangalore</v>
          </cell>
          <cell r="F1936" t="str">
            <v>One year</v>
          </cell>
          <cell r="H1936">
            <v>649</v>
          </cell>
          <cell r="J1936" t="str">
            <v>DSL</v>
          </cell>
          <cell r="L1936" t="str">
            <v>Yes</v>
          </cell>
          <cell r="M1936" t="str">
            <v>7-12 mo</v>
          </cell>
          <cell r="N1936" t="str">
            <v>36-45 yrs</v>
          </cell>
        </row>
        <row r="1937">
          <cell r="A1937" t="str">
            <v>C2936</v>
          </cell>
          <cell r="E1937" t="str">
            <v>Jaipur</v>
          </cell>
          <cell r="F1937" t="str">
            <v>One year</v>
          </cell>
          <cell r="H1937">
            <v>599</v>
          </cell>
          <cell r="J1937" t="str">
            <v>DSL</v>
          </cell>
          <cell r="L1937" t="str">
            <v>No</v>
          </cell>
          <cell r="M1937" t="str">
            <v>13-24 mo</v>
          </cell>
          <cell r="N1937" t="str">
            <v>60+ yrs</v>
          </cell>
        </row>
        <row r="1938">
          <cell r="A1938" t="str">
            <v>C2937</v>
          </cell>
          <cell r="E1938" t="str">
            <v>Pune</v>
          </cell>
          <cell r="F1938" t="str">
            <v>Two year</v>
          </cell>
          <cell r="H1938">
            <v>999</v>
          </cell>
          <cell r="J1938" t="str">
            <v>Fiber</v>
          </cell>
          <cell r="L1938" t="str">
            <v>No</v>
          </cell>
          <cell r="M1938" t="str">
            <v>49+ mo</v>
          </cell>
          <cell r="N1938" t="str">
            <v>60+ yrs</v>
          </cell>
        </row>
        <row r="1939">
          <cell r="A1939" t="str">
            <v>C2938</v>
          </cell>
          <cell r="E1939" t="str">
            <v>Pune</v>
          </cell>
          <cell r="F1939" t="str">
            <v>Month-to-month</v>
          </cell>
          <cell r="H1939">
            <v>999</v>
          </cell>
          <cell r="J1939" t="str">
            <v>Fiber</v>
          </cell>
          <cell r="L1939" t="str">
            <v>Yes</v>
          </cell>
          <cell r="M1939" t="str">
            <v>13-24 mo</v>
          </cell>
          <cell r="N1939" t="str">
            <v>60+ yrs</v>
          </cell>
        </row>
        <row r="1940">
          <cell r="A1940" t="str">
            <v>C2939</v>
          </cell>
          <cell r="E1940" t="str">
            <v>Jaipur</v>
          </cell>
          <cell r="F1940" t="str">
            <v>Month-to-month</v>
          </cell>
          <cell r="H1940">
            <v>449</v>
          </cell>
          <cell r="J1940" t="str">
            <v>No Internet</v>
          </cell>
          <cell r="L1940" t="str">
            <v>No</v>
          </cell>
          <cell r="M1940" t="str">
            <v>13-24 mo</v>
          </cell>
          <cell r="N1940" t="str">
            <v>36-45 yrs</v>
          </cell>
        </row>
        <row r="1941">
          <cell r="A1941" t="str">
            <v>C2940</v>
          </cell>
          <cell r="E1941" t="str">
            <v>Kolkata</v>
          </cell>
          <cell r="F1941" t="str">
            <v>Month-to-month</v>
          </cell>
          <cell r="H1941">
            <v>1049</v>
          </cell>
          <cell r="J1941" t="str">
            <v>Fiber</v>
          </cell>
          <cell r="L1941" t="str">
            <v>Yes</v>
          </cell>
          <cell r="M1941" t="str">
            <v>0-6 mo</v>
          </cell>
          <cell r="N1941" t="str">
            <v>60+ yrs</v>
          </cell>
        </row>
        <row r="1942">
          <cell r="A1942" t="str">
            <v>C2941</v>
          </cell>
          <cell r="E1942" t="str">
            <v>Delhi</v>
          </cell>
          <cell r="F1942" t="str">
            <v>One year</v>
          </cell>
          <cell r="H1942">
            <v>399</v>
          </cell>
          <cell r="J1942" t="str">
            <v>No Internet</v>
          </cell>
          <cell r="L1942" t="str">
            <v>No</v>
          </cell>
          <cell r="M1942" t="str">
            <v>13-24 mo</v>
          </cell>
          <cell r="N1942" t="str">
            <v>46-60 yrs</v>
          </cell>
        </row>
        <row r="1943">
          <cell r="A1943" t="str">
            <v>C2942</v>
          </cell>
          <cell r="E1943" t="str">
            <v>Kochi</v>
          </cell>
          <cell r="F1943" t="str">
            <v>One year</v>
          </cell>
          <cell r="H1943">
            <v>1049</v>
          </cell>
          <cell r="J1943" t="str">
            <v>Fiber</v>
          </cell>
          <cell r="L1943" t="str">
            <v>No</v>
          </cell>
          <cell r="M1943" t="str">
            <v>13-24 mo</v>
          </cell>
          <cell r="N1943" t="str">
            <v>36-45 yrs</v>
          </cell>
        </row>
        <row r="1944">
          <cell r="A1944" t="str">
            <v>C2943</v>
          </cell>
          <cell r="E1944" t="str">
            <v>Bhopal</v>
          </cell>
          <cell r="F1944" t="str">
            <v>One year</v>
          </cell>
          <cell r="H1944">
            <v>799</v>
          </cell>
          <cell r="J1944" t="str">
            <v>DSL</v>
          </cell>
          <cell r="L1944" t="str">
            <v>No</v>
          </cell>
          <cell r="M1944" t="str">
            <v>7-12 mo</v>
          </cell>
          <cell r="N1944" t="str">
            <v>60+ yrs</v>
          </cell>
        </row>
        <row r="1945">
          <cell r="A1945" t="str">
            <v>C2944</v>
          </cell>
          <cell r="E1945" t="str">
            <v>Chandigarh</v>
          </cell>
          <cell r="F1945" t="str">
            <v>One year</v>
          </cell>
          <cell r="H1945">
            <v>599</v>
          </cell>
          <cell r="J1945" t="str">
            <v>DSL</v>
          </cell>
          <cell r="L1945" t="str">
            <v>Yes</v>
          </cell>
          <cell r="M1945" t="str">
            <v>13-24 mo</v>
          </cell>
          <cell r="N1945" t="str">
            <v>60+ yrs</v>
          </cell>
        </row>
        <row r="1946">
          <cell r="A1946" t="str">
            <v>C2945</v>
          </cell>
          <cell r="E1946" t="str">
            <v>Delhi</v>
          </cell>
          <cell r="F1946" t="str">
            <v>Month-to-month</v>
          </cell>
          <cell r="H1946">
            <v>999</v>
          </cell>
          <cell r="J1946" t="str">
            <v>Fiber</v>
          </cell>
          <cell r="L1946" t="str">
            <v>No</v>
          </cell>
          <cell r="M1946" t="str">
            <v>7-12 mo</v>
          </cell>
          <cell r="N1946" t="str">
            <v>26-35 yrs</v>
          </cell>
        </row>
        <row r="1947">
          <cell r="A1947" t="str">
            <v>C2946</v>
          </cell>
          <cell r="E1947" t="str">
            <v>Jaipur</v>
          </cell>
          <cell r="F1947" t="str">
            <v>One year</v>
          </cell>
          <cell r="H1947">
            <v>899</v>
          </cell>
          <cell r="J1947" t="str">
            <v>DSL</v>
          </cell>
          <cell r="L1947" t="str">
            <v>No</v>
          </cell>
          <cell r="M1947" t="str">
            <v>13-24 mo</v>
          </cell>
          <cell r="N1947" t="str">
            <v>18-25 yrs</v>
          </cell>
        </row>
        <row r="1948">
          <cell r="A1948" t="str">
            <v>C2947</v>
          </cell>
          <cell r="E1948" t="str">
            <v>Chennai</v>
          </cell>
          <cell r="F1948" t="str">
            <v>One year</v>
          </cell>
          <cell r="H1948">
            <v>349</v>
          </cell>
          <cell r="J1948" t="str">
            <v>No Internet</v>
          </cell>
          <cell r="L1948" t="str">
            <v>No</v>
          </cell>
          <cell r="M1948" t="str">
            <v>25-48 mo</v>
          </cell>
          <cell r="N1948" t="str">
            <v>36-45 yrs</v>
          </cell>
        </row>
        <row r="1949">
          <cell r="A1949" t="str">
            <v>C2948</v>
          </cell>
          <cell r="E1949" t="str">
            <v>Kochi</v>
          </cell>
          <cell r="F1949" t="str">
            <v>Month-to-month</v>
          </cell>
          <cell r="H1949">
            <v>599</v>
          </cell>
          <cell r="J1949" t="str">
            <v>Unknown</v>
          </cell>
          <cell r="L1949" t="str">
            <v>No</v>
          </cell>
          <cell r="M1949" t="str">
            <v>7-12 mo</v>
          </cell>
          <cell r="N1949" t="str">
            <v>46-60 yrs</v>
          </cell>
        </row>
        <row r="1950">
          <cell r="A1950" t="str">
            <v>C2949</v>
          </cell>
          <cell r="E1950" t="str">
            <v>Ahmedabad</v>
          </cell>
          <cell r="F1950" t="str">
            <v>Month-to-month</v>
          </cell>
          <cell r="H1950">
            <v>999</v>
          </cell>
          <cell r="J1950" t="str">
            <v>Fiber</v>
          </cell>
          <cell r="L1950" t="str">
            <v>No</v>
          </cell>
          <cell r="M1950" t="str">
            <v>13-24 mo</v>
          </cell>
          <cell r="N1950" t="str">
            <v>60+ yrs</v>
          </cell>
        </row>
        <row r="1951">
          <cell r="A1951" t="str">
            <v>C2950</v>
          </cell>
          <cell r="E1951" t="str">
            <v>Chandigarh</v>
          </cell>
          <cell r="F1951" t="str">
            <v>Two year</v>
          </cell>
          <cell r="H1951">
            <v>1049</v>
          </cell>
          <cell r="J1951" t="str">
            <v>Fiber</v>
          </cell>
          <cell r="L1951" t="str">
            <v>No</v>
          </cell>
          <cell r="M1951" t="str">
            <v>0-6 mo</v>
          </cell>
          <cell r="N1951" t="str">
            <v>60+ yrs</v>
          </cell>
        </row>
        <row r="1952">
          <cell r="A1952" t="str">
            <v>C2951</v>
          </cell>
          <cell r="E1952" t="str">
            <v>Unknown</v>
          </cell>
          <cell r="F1952" t="str">
            <v>Month-to-month</v>
          </cell>
          <cell r="H1952">
            <v>999</v>
          </cell>
          <cell r="J1952" t="str">
            <v>Fiber</v>
          </cell>
          <cell r="L1952" t="str">
            <v>Yes</v>
          </cell>
          <cell r="M1952" t="str">
            <v>7-12 mo</v>
          </cell>
          <cell r="N1952" t="str">
            <v>26-35 yrs</v>
          </cell>
        </row>
        <row r="1953">
          <cell r="A1953" t="str">
            <v>C2952</v>
          </cell>
          <cell r="E1953" t="str">
            <v>Chennai</v>
          </cell>
          <cell r="F1953" t="str">
            <v>Month-to-month</v>
          </cell>
          <cell r="J1953" t="str">
            <v>Fiber</v>
          </cell>
          <cell r="L1953" t="str">
            <v>No</v>
          </cell>
          <cell r="M1953" t="str">
            <v>13-24 mo</v>
          </cell>
          <cell r="N1953" t="str">
            <v>60+ yrs</v>
          </cell>
        </row>
        <row r="1954">
          <cell r="A1954" t="str">
            <v>C2953</v>
          </cell>
          <cell r="E1954" t="str">
            <v>Kolkata</v>
          </cell>
          <cell r="F1954" t="str">
            <v>Two year</v>
          </cell>
          <cell r="H1954">
            <v>749</v>
          </cell>
          <cell r="J1954" t="str">
            <v>DSL</v>
          </cell>
          <cell r="L1954" t="str">
            <v>No</v>
          </cell>
          <cell r="M1954" t="str">
            <v>13-24 mo</v>
          </cell>
          <cell r="N1954" t="str">
            <v>60+ yrs</v>
          </cell>
        </row>
        <row r="1955">
          <cell r="A1955" t="str">
            <v>C2954</v>
          </cell>
          <cell r="E1955" t="str">
            <v>Chandigarh</v>
          </cell>
          <cell r="F1955" t="str">
            <v>Month-to-month</v>
          </cell>
          <cell r="H1955">
            <v>449</v>
          </cell>
          <cell r="J1955" t="str">
            <v>No Internet</v>
          </cell>
          <cell r="L1955" t="str">
            <v>Yes</v>
          </cell>
          <cell r="M1955" t="str">
            <v>0-6 mo</v>
          </cell>
          <cell r="N1955" t="str">
            <v>46-60 yrs</v>
          </cell>
        </row>
        <row r="1956">
          <cell r="A1956" t="str">
            <v>C2955</v>
          </cell>
          <cell r="E1956" t="str">
            <v>Delhi</v>
          </cell>
          <cell r="F1956" t="str">
            <v>Month-to-month</v>
          </cell>
          <cell r="H1956">
            <v>1299</v>
          </cell>
          <cell r="J1956" t="str">
            <v>Fiber</v>
          </cell>
          <cell r="L1956" t="str">
            <v>Yes</v>
          </cell>
          <cell r="M1956" t="str">
            <v>13-24 mo</v>
          </cell>
          <cell r="N1956" t="str">
            <v>18-25 yrs</v>
          </cell>
        </row>
        <row r="1957">
          <cell r="A1957" t="str">
            <v>C2956</v>
          </cell>
          <cell r="E1957" t="str">
            <v>Hyderabad</v>
          </cell>
          <cell r="F1957" t="str">
            <v>Two year</v>
          </cell>
          <cell r="H1957">
            <v>1099</v>
          </cell>
          <cell r="J1957" t="str">
            <v>Fiber</v>
          </cell>
          <cell r="L1957" t="str">
            <v>No</v>
          </cell>
          <cell r="M1957" t="str">
            <v>7-12 mo</v>
          </cell>
          <cell r="N1957" t="str">
            <v>60+ yrs</v>
          </cell>
        </row>
        <row r="1958">
          <cell r="A1958" t="str">
            <v>C2957</v>
          </cell>
          <cell r="E1958" t="str">
            <v>Ahmedabad</v>
          </cell>
          <cell r="F1958" t="str">
            <v>Month-to-month</v>
          </cell>
          <cell r="H1958">
            <v>999</v>
          </cell>
          <cell r="J1958" t="str">
            <v>Unknown</v>
          </cell>
          <cell r="L1958" t="str">
            <v>No</v>
          </cell>
          <cell r="M1958" t="str">
            <v>13-24 mo</v>
          </cell>
          <cell r="N1958" t="str">
            <v>46-60 yrs</v>
          </cell>
        </row>
        <row r="1959">
          <cell r="A1959" t="str">
            <v>C2958</v>
          </cell>
          <cell r="E1959" t="str">
            <v>Pune</v>
          </cell>
          <cell r="F1959" t="str">
            <v>Month-to-month</v>
          </cell>
          <cell r="H1959">
            <v>999</v>
          </cell>
          <cell r="J1959" t="str">
            <v>Fiber</v>
          </cell>
          <cell r="L1959" t="str">
            <v>Yes</v>
          </cell>
          <cell r="M1959" t="str">
            <v>7-12 mo</v>
          </cell>
          <cell r="N1959" t="str">
            <v>26-35 yrs</v>
          </cell>
        </row>
        <row r="1960">
          <cell r="A1960" t="str">
            <v>C2959</v>
          </cell>
          <cell r="E1960" t="str">
            <v>Mumbai</v>
          </cell>
          <cell r="F1960" t="str">
            <v>Month-to-month</v>
          </cell>
          <cell r="H1960">
            <v>1049</v>
          </cell>
          <cell r="J1960" t="str">
            <v>Fiber</v>
          </cell>
          <cell r="L1960" t="str">
            <v>Yes</v>
          </cell>
          <cell r="M1960" t="str">
            <v>0-6 mo</v>
          </cell>
          <cell r="N1960" t="str">
            <v>18-25 yrs</v>
          </cell>
        </row>
        <row r="1961">
          <cell r="A1961" t="str">
            <v>C2960</v>
          </cell>
          <cell r="E1961" t="str">
            <v>Delhi</v>
          </cell>
          <cell r="F1961" t="str">
            <v>Month-to-month</v>
          </cell>
          <cell r="H1961">
            <v>999</v>
          </cell>
          <cell r="J1961" t="str">
            <v>Fiber</v>
          </cell>
          <cell r="L1961" t="str">
            <v>No</v>
          </cell>
          <cell r="M1961" t="str">
            <v>13-24 mo</v>
          </cell>
          <cell r="N1961" t="str">
            <v>46-60 yrs</v>
          </cell>
        </row>
        <row r="1962">
          <cell r="A1962" t="str">
            <v>C2961</v>
          </cell>
          <cell r="E1962" t="str">
            <v>Kochi</v>
          </cell>
          <cell r="F1962" t="str">
            <v>One year</v>
          </cell>
          <cell r="H1962">
            <v>999</v>
          </cell>
          <cell r="J1962" t="str">
            <v>Fiber</v>
          </cell>
          <cell r="L1962" t="str">
            <v>No</v>
          </cell>
          <cell r="M1962" t="str">
            <v>25-48 mo</v>
          </cell>
          <cell r="N1962" t="str">
            <v>36-45 yrs</v>
          </cell>
        </row>
        <row r="1963">
          <cell r="A1963" t="str">
            <v>C2962</v>
          </cell>
          <cell r="E1963" t="str">
            <v>Delhi</v>
          </cell>
          <cell r="F1963" t="str">
            <v>Month-to-month</v>
          </cell>
          <cell r="H1963">
            <v>899</v>
          </cell>
          <cell r="J1963" t="str">
            <v>Fiber</v>
          </cell>
          <cell r="L1963" t="str">
            <v>No</v>
          </cell>
          <cell r="M1963" t="str">
            <v>7-12 mo</v>
          </cell>
          <cell r="N1963" t="str">
            <v>18-25 yrs</v>
          </cell>
        </row>
        <row r="1964">
          <cell r="A1964" t="str">
            <v>C2963</v>
          </cell>
          <cell r="E1964" t="str">
            <v>Kochi</v>
          </cell>
          <cell r="F1964" t="str">
            <v>Month-to-month</v>
          </cell>
          <cell r="H1964">
            <v>1299</v>
          </cell>
          <cell r="J1964" t="str">
            <v>Fiber</v>
          </cell>
          <cell r="L1964" t="str">
            <v>No</v>
          </cell>
          <cell r="M1964" t="str">
            <v>0-6 mo</v>
          </cell>
          <cell r="N1964" t="str">
            <v>18-25 yrs</v>
          </cell>
        </row>
        <row r="1965">
          <cell r="A1965" t="str">
            <v>C2964</v>
          </cell>
          <cell r="E1965" t="str">
            <v>Jaipur</v>
          </cell>
          <cell r="F1965" t="str">
            <v>Two year</v>
          </cell>
          <cell r="H1965">
            <v>899</v>
          </cell>
          <cell r="J1965" t="str">
            <v>Fiber</v>
          </cell>
          <cell r="L1965" t="str">
            <v>No</v>
          </cell>
          <cell r="M1965" t="str">
            <v>49+ mo</v>
          </cell>
          <cell r="N1965" t="str">
            <v>26-35 yrs</v>
          </cell>
        </row>
        <row r="1966">
          <cell r="A1966" t="str">
            <v>C2965</v>
          </cell>
          <cell r="E1966" t="str">
            <v>Chandigarh</v>
          </cell>
          <cell r="F1966" t="str">
            <v>Two year</v>
          </cell>
          <cell r="H1966">
            <v>899</v>
          </cell>
          <cell r="J1966" t="str">
            <v>Fiber</v>
          </cell>
          <cell r="L1966" t="str">
            <v>Yes</v>
          </cell>
          <cell r="M1966" t="str">
            <v>49+ mo</v>
          </cell>
          <cell r="N1966" t="str">
            <v>36-45 yrs</v>
          </cell>
        </row>
        <row r="1967">
          <cell r="A1967" t="str">
            <v>C2966</v>
          </cell>
          <cell r="E1967" t="str">
            <v>Chennai</v>
          </cell>
          <cell r="F1967" t="str">
            <v>Month-to-month</v>
          </cell>
          <cell r="H1967">
            <v>999</v>
          </cell>
          <cell r="J1967" t="str">
            <v>Fiber</v>
          </cell>
          <cell r="L1967" t="str">
            <v>Yes</v>
          </cell>
          <cell r="M1967" t="str">
            <v>0-6 mo</v>
          </cell>
          <cell r="N1967" t="str">
            <v>46-60 yrs</v>
          </cell>
        </row>
        <row r="1968">
          <cell r="A1968" t="str">
            <v>C2967</v>
          </cell>
          <cell r="E1968" t="str">
            <v>Mumbai</v>
          </cell>
          <cell r="F1968" t="str">
            <v>One year</v>
          </cell>
          <cell r="H1968">
            <v>649</v>
          </cell>
          <cell r="J1968" t="str">
            <v>Unknown</v>
          </cell>
          <cell r="L1968" t="str">
            <v>No</v>
          </cell>
          <cell r="M1968" t="str">
            <v>13-24 mo</v>
          </cell>
          <cell r="N1968" t="str">
            <v>26-35 yrs</v>
          </cell>
        </row>
        <row r="1969">
          <cell r="A1969" t="str">
            <v>C2968</v>
          </cell>
          <cell r="E1969" t="str">
            <v>Chennai</v>
          </cell>
          <cell r="F1969" t="str">
            <v>One year</v>
          </cell>
          <cell r="H1969">
            <v>1099</v>
          </cell>
          <cell r="J1969" t="str">
            <v>Fiber</v>
          </cell>
          <cell r="L1969" t="str">
            <v>Yes</v>
          </cell>
          <cell r="M1969" t="str">
            <v>25-48 mo</v>
          </cell>
          <cell r="N1969" t="str">
            <v>26-35 yrs</v>
          </cell>
        </row>
        <row r="1970">
          <cell r="A1970" t="str">
            <v>C2969</v>
          </cell>
          <cell r="E1970" t="str">
            <v>Pune</v>
          </cell>
          <cell r="F1970" t="str">
            <v>Month-to-month</v>
          </cell>
          <cell r="H1970">
            <v>749</v>
          </cell>
          <cell r="J1970" t="str">
            <v>DSL</v>
          </cell>
          <cell r="L1970" t="str">
            <v>No</v>
          </cell>
          <cell r="M1970" t="str">
            <v>0-6 mo</v>
          </cell>
          <cell r="N1970" t="str">
            <v>46-60 yrs</v>
          </cell>
        </row>
        <row r="1971">
          <cell r="A1971" t="str">
            <v>C2970</v>
          </cell>
          <cell r="E1971" t="str">
            <v>Bangalore</v>
          </cell>
          <cell r="F1971" t="str">
            <v>Month-to-month</v>
          </cell>
          <cell r="H1971">
            <v>699</v>
          </cell>
          <cell r="J1971" t="str">
            <v>DSL</v>
          </cell>
          <cell r="L1971" t="str">
            <v>Unknown</v>
          </cell>
          <cell r="M1971" t="str">
            <v>13-24 mo</v>
          </cell>
          <cell r="N1971" t="str">
            <v>60+ yrs</v>
          </cell>
        </row>
        <row r="1972">
          <cell r="A1972" t="str">
            <v>C2971</v>
          </cell>
          <cell r="E1972" t="str">
            <v>Lucknow</v>
          </cell>
          <cell r="F1972" t="str">
            <v>One year</v>
          </cell>
          <cell r="H1972">
            <v>799</v>
          </cell>
          <cell r="J1972" t="str">
            <v>DSL</v>
          </cell>
          <cell r="L1972" t="str">
            <v>No</v>
          </cell>
          <cell r="M1972" t="str">
            <v>25-48 mo</v>
          </cell>
          <cell r="N1972" t="str">
            <v>18-25 yrs</v>
          </cell>
        </row>
        <row r="1973">
          <cell r="A1973" t="str">
            <v>C2972</v>
          </cell>
          <cell r="E1973" t="str">
            <v>Kochi</v>
          </cell>
          <cell r="F1973" t="str">
            <v>Month-to-month</v>
          </cell>
          <cell r="H1973">
            <v>1099</v>
          </cell>
          <cell r="J1973" t="str">
            <v>Fiber</v>
          </cell>
          <cell r="L1973" t="str">
            <v>No</v>
          </cell>
          <cell r="M1973" t="str">
            <v>13-24 mo</v>
          </cell>
          <cell r="N1973" t="str">
            <v>46-60 yrs</v>
          </cell>
        </row>
        <row r="1974">
          <cell r="A1974" t="str">
            <v>C2973</v>
          </cell>
          <cell r="E1974" t="str">
            <v>Delhi</v>
          </cell>
          <cell r="F1974" t="str">
            <v>Month-to-month</v>
          </cell>
          <cell r="H1974">
            <v>699</v>
          </cell>
          <cell r="J1974" t="str">
            <v>DSL</v>
          </cell>
          <cell r="L1974" t="str">
            <v>No</v>
          </cell>
          <cell r="M1974" t="str">
            <v>13-24 mo</v>
          </cell>
          <cell r="N1974" t="str">
            <v>18-25 yrs</v>
          </cell>
        </row>
        <row r="1975">
          <cell r="A1975" t="str">
            <v>C2974</v>
          </cell>
          <cell r="E1975" t="str">
            <v>Delhi</v>
          </cell>
          <cell r="F1975" t="str">
            <v>Month-to-month</v>
          </cell>
          <cell r="H1975">
            <v>899</v>
          </cell>
          <cell r="J1975" t="str">
            <v>Fiber</v>
          </cell>
          <cell r="L1975" t="str">
            <v>Yes</v>
          </cell>
          <cell r="M1975" t="str">
            <v>13-24 mo</v>
          </cell>
          <cell r="N1975" t="str">
            <v>46-60 yrs</v>
          </cell>
        </row>
        <row r="1976">
          <cell r="A1976" t="str">
            <v>C2975</v>
          </cell>
          <cell r="E1976" t="str">
            <v>Kochi</v>
          </cell>
          <cell r="F1976" t="str">
            <v>Month-to-month</v>
          </cell>
          <cell r="H1976">
            <v>399</v>
          </cell>
          <cell r="J1976" t="str">
            <v>No Internet</v>
          </cell>
          <cell r="L1976" t="str">
            <v>No</v>
          </cell>
          <cell r="M1976" t="str">
            <v>7-12 mo</v>
          </cell>
          <cell r="N1976" t="str">
            <v>60+ yrs</v>
          </cell>
        </row>
        <row r="1977">
          <cell r="A1977" t="str">
            <v>C2976</v>
          </cell>
          <cell r="E1977" t="str">
            <v>Chennai</v>
          </cell>
          <cell r="F1977" t="str">
            <v>Month-to-month</v>
          </cell>
          <cell r="H1977">
            <v>799</v>
          </cell>
          <cell r="J1977" t="str">
            <v>DSL</v>
          </cell>
          <cell r="L1977" t="str">
            <v>Yes</v>
          </cell>
          <cell r="M1977" t="str">
            <v>0-6 mo</v>
          </cell>
          <cell r="N1977" t="str">
            <v>46-60 yrs</v>
          </cell>
        </row>
        <row r="1978">
          <cell r="A1978" t="str">
            <v>C2977</v>
          </cell>
          <cell r="E1978" t="str">
            <v>Bangalore</v>
          </cell>
          <cell r="F1978" t="str">
            <v>Month-to-month</v>
          </cell>
          <cell r="H1978">
            <v>399</v>
          </cell>
          <cell r="J1978" t="str">
            <v>No Internet</v>
          </cell>
          <cell r="L1978" t="str">
            <v>No</v>
          </cell>
          <cell r="M1978" t="str">
            <v>0-6 mo</v>
          </cell>
          <cell r="N1978" t="str">
            <v>36-45 yrs</v>
          </cell>
        </row>
        <row r="1979">
          <cell r="A1979" t="str">
            <v>C2978</v>
          </cell>
          <cell r="E1979" t="str">
            <v>Pune</v>
          </cell>
          <cell r="F1979" t="str">
            <v>Month-to-month</v>
          </cell>
          <cell r="H1979">
            <v>599</v>
          </cell>
          <cell r="J1979" t="str">
            <v>DSL</v>
          </cell>
          <cell r="L1979" t="str">
            <v>Yes</v>
          </cell>
          <cell r="M1979" t="str">
            <v>7-12 mo</v>
          </cell>
          <cell r="N1979" t="str">
            <v>60+ yrs</v>
          </cell>
        </row>
        <row r="1980">
          <cell r="A1980" t="str">
            <v>C2979</v>
          </cell>
          <cell r="E1980" t="str">
            <v>Bhopal</v>
          </cell>
          <cell r="F1980" t="str">
            <v>Two year</v>
          </cell>
          <cell r="H1980">
            <v>899</v>
          </cell>
          <cell r="J1980" t="str">
            <v>Fiber</v>
          </cell>
          <cell r="L1980" t="str">
            <v>No</v>
          </cell>
          <cell r="M1980" t="str">
            <v>13-24 mo</v>
          </cell>
          <cell r="N1980" t="str">
            <v>60+ yrs</v>
          </cell>
        </row>
        <row r="1981">
          <cell r="A1981" t="str">
            <v>C2980</v>
          </cell>
          <cell r="E1981" t="str">
            <v>Kolkata</v>
          </cell>
          <cell r="F1981" t="str">
            <v>One year</v>
          </cell>
          <cell r="H1981">
            <v>749</v>
          </cell>
          <cell r="J1981" t="str">
            <v>DSL</v>
          </cell>
          <cell r="L1981" t="str">
            <v>No</v>
          </cell>
          <cell r="M1981" t="str">
            <v>0-6 mo</v>
          </cell>
          <cell r="N1981" t="str">
            <v>46-60 yrs</v>
          </cell>
        </row>
        <row r="1982">
          <cell r="A1982" t="str">
            <v>C2981</v>
          </cell>
          <cell r="E1982" t="str">
            <v>Chandigarh</v>
          </cell>
          <cell r="F1982" t="str">
            <v>One year</v>
          </cell>
          <cell r="H1982">
            <v>1099</v>
          </cell>
          <cell r="J1982" t="str">
            <v>Fiber</v>
          </cell>
          <cell r="L1982" t="str">
            <v>Yes</v>
          </cell>
          <cell r="M1982" t="str">
            <v>25-48 mo</v>
          </cell>
          <cell r="N1982" t="str">
            <v>60+ yrs</v>
          </cell>
        </row>
        <row r="1983">
          <cell r="A1983" t="str">
            <v>C2982</v>
          </cell>
          <cell r="E1983" t="str">
            <v>Mumbai</v>
          </cell>
          <cell r="F1983" t="str">
            <v>Two year</v>
          </cell>
          <cell r="H1983">
            <v>449</v>
          </cell>
          <cell r="J1983" t="str">
            <v>No Internet</v>
          </cell>
          <cell r="L1983" t="str">
            <v>No</v>
          </cell>
          <cell r="M1983" t="str">
            <v>49+ mo</v>
          </cell>
          <cell r="N1983" t="str">
            <v>60+ yrs</v>
          </cell>
        </row>
        <row r="1984">
          <cell r="A1984" t="str">
            <v>C2983</v>
          </cell>
          <cell r="E1984" t="str">
            <v>Chandigarh</v>
          </cell>
          <cell r="F1984" t="str">
            <v>Two year</v>
          </cell>
          <cell r="H1984">
            <v>1099</v>
          </cell>
          <cell r="J1984" t="str">
            <v>Fiber</v>
          </cell>
          <cell r="L1984" t="str">
            <v>No</v>
          </cell>
          <cell r="M1984" t="str">
            <v>25-48 mo</v>
          </cell>
          <cell r="N1984" t="str">
            <v>60+ yrs</v>
          </cell>
        </row>
        <row r="1985">
          <cell r="A1985" t="str">
            <v>C2984</v>
          </cell>
          <cell r="E1985" t="str">
            <v>Jaipur</v>
          </cell>
          <cell r="F1985" t="str">
            <v>Two year</v>
          </cell>
          <cell r="H1985">
            <v>849</v>
          </cell>
          <cell r="J1985" t="str">
            <v>DSL</v>
          </cell>
          <cell r="L1985" t="str">
            <v>No</v>
          </cell>
          <cell r="M1985" t="str">
            <v>49+ mo</v>
          </cell>
          <cell r="N1985" t="str">
            <v>18-25 yrs</v>
          </cell>
        </row>
        <row r="1986">
          <cell r="A1986" t="str">
            <v>C2985</v>
          </cell>
          <cell r="E1986" t="str">
            <v>Indore</v>
          </cell>
          <cell r="F1986" t="str">
            <v>Month-to-month</v>
          </cell>
          <cell r="H1986">
            <v>399</v>
          </cell>
          <cell r="J1986" t="str">
            <v>No Internet</v>
          </cell>
          <cell r="L1986" t="str">
            <v>Yes</v>
          </cell>
          <cell r="M1986" t="str">
            <v>0-6 mo</v>
          </cell>
          <cell r="N1986" t="str">
            <v>46-60 yrs</v>
          </cell>
        </row>
        <row r="1987">
          <cell r="A1987" t="str">
            <v>C2986</v>
          </cell>
          <cell r="E1987" t="str">
            <v>Ahmedabad</v>
          </cell>
          <cell r="F1987" t="str">
            <v>Month-to-month</v>
          </cell>
          <cell r="H1987">
            <v>449</v>
          </cell>
          <cell r="J1987" t="str">
            <v>No Internet</v>
          </cell>
          <cell r="L1987" t="str">
            <v>No</v>
          </cell>
          <cell r="M1987" t="str">
            <v>13-24 mo</v>
          </cell>
          <cell r="N1987" t="str">
            <v>18-25 yrs</v>
          </cell>
        </row>
        <row r="1988">
          <cell r="A1988" t="str">
            <v>C2987</v>
          </cell>
          <cell r="E1988" t="str">
            <v>Bangalore</v>
          </cell>
          <cell r="F1988" t="str">
            <v>One year</v>
          </cell>
          <cell r="H1988">
            <v>649</v>
          </cell>
          <cell r="J1988" t="str">
            <v>DSL</v>
          </cell>
          <cell r="L1988" t="str">
            <v>No</v>
          </cell>
          <cell r="M1988" t="str">
            <v>25-48 mo</v>
          </cell>
          <cell r="N1988" t="str">
            <v>46-60 yrs</v>
          </cell>
        </row>
        <row r="1989">
          <cell r="A1989" t="str">
            <v>C2988</v>
          </cell>
          <cell r="E1989" t="str">
            <v>Indore</v>
          </cell>
          <cell r="F1989" t="str">
            <v>Month-to-month</v>
          </cell>
          <cell r="H1989">
            <v>999</v>
          </cell>
          <cell r="J1989" t="str">
            <v>Fiber</v>
          </cell>
          <cell r="L1989" t="str">
            <v>Yes</v>
          </cell>
          <cell r="M1989" t="str">
            <v>7-12 mo</v>
          </cell>
          <cell r="N1989" t="str">
            <v>26-35 yrs</v>
          </cell>
        </row>
        <row r="1990">
          <cell r="A1990" t="str">
            <v>C2989</v>
          </cell>
          <cell r="E1990" t="str">
            <v>Chennai</v>
          </cell>
          <cell r="F1990" t="str">
            <v>One year</v>
          </cell>
          <cell r="H1990">
            <v>449</v>
          </cell>
          <cell r="J1990" t="str">
            <v>No Internet</v>
          </cell>
          <cell r="L1990" t="str">
            <v>No</v>
          </cell>
          <cell r="M1990" t="str">
            <v>25-48 mo</v>
          </cell>
          <cell r="N1990" t="str">
            <v>46-60 yrs</v>
          </cell>
        </row>
        <row r="1991">
          <cell r="A1991" t="str">
            <v>C2990</v>
          </cell>
          <cell r="E1991" t="str">
            <v>Pune</v>
          </cell>
          <cell r="F1991" t="str">
            <v>Two year</v>
          </cell>
          <cell r="H1991">
            <v>599</v>
          </cell>
          <cell r="J1991" t="str">
            <v>DSL</v>
          </cell>
          <cell r="L1991" t="str">
            <v>No</v>
          </cell>
          <cell r="M1991" t="str">
            <v>25-48 mo</v>
          </cell>
          <cell r="N1991" t="str">
            <v>26-35 yrs</v>
          </cell>
        </row>
        <row r="1992">
          <cell r="A1992" t="str">
            <v>C2991</v>
          </cell>
          <cell r="E1992" t="str">
            <v>Mumbai</v>
          </cell>
          <cell r="F1992" t="str">
            <v>Unknown</v>
          </cell>
          <cell r="H1992">
            <v>999</v>
          </cell>
          <cell r="J1992" t="str">
            <v>Fiber</v>
          </cell>
          <cell r="L1992" t="str">
            <v>Yes</v>
          </cell>
          <cell r="M1992" t="str">
            <v>0-6 mo</v>
          </cell>
          <cell r="N1992" t="str">
            <v>36-45 yrs</v>
          </cell>
        </row>
        <row r="1993">
          <cell r="A1993" t="str">
            <v>C2992</v>
          </cell>
          <cell r="E1993" t="str">
            <v>Delhi</v>
          </cell>
          <cell r="F1993" t="str">
            <v>Month-to-month</v>
          </cell>
          <cell r="H1993">
            <v>1049</v>
          </cell>
          <cell r="J1993" t="str">
            <v>Fiber</v>
          </cell>
          <cell r="L1993" t="str">
            <v>Yes</v>
          </cell>
          <cell r="M1993" t="str">
            <v>7-12 mo</v>
          </cell>
          <cell r="N1993" t="str">
            <v>60+ yrs</v>
          </cell>
        </row>
        <row r="1994">
          <cell r="A1994" t="str">
            <v>C2993</v>
          </cell>
          <cell r="E1994" t="str">
            <v>Jaipur</v>
          </cell>
          <cell r="F1994" t="str">
            <v>Month-to-month</v>
          </cell>
          <cell r="H1994">
            <v>849</v>
          </cell>
          <cell r="J1994" t="str">
            <v>DSL</v>
          </cell>
          <cell r="L1994" t="str">
            <v>Yes</v>
          </cell>
          <cell r="M1994" t="str">
            <v>0-6 mo</v>
          </cell>
          <cell r="N1994" t="str">
            <v>26-35 yrs</v>
          </cell>
        </row>
        <row r="1995">
          <cell r="A1995" t="str">
            <v>C2994</v>
          </cell>
          <cell r="E1995" t="str">
            <v>Kolkata</v>
          </cell>
          <cell r="F1995" t="str">
            <v>Month-to-month</v>
          </cell>
          <cell r="H1995">
            <v>849</v>
          </cell>
          <cell r="J1995" t="str">
            <v>DSL</v>
          </cell>
          <cell r="L1995" t="str">
            <v>No</v>
          </cell>
          <cell r="M1995" t="str">
            <v>0-6 mo</v>
          </cell>
          <cell r="N1995" t="str">
            <v>46-60 yrs</v>
          </cell>
        </row>
        <row r="1996">
          <cell r="A1996" t="str">
            <v>C2995</v>
          </cell>
          <cell r="E1996" t="str">
            <v>Pune</v>
          </cell>
          <cell r="F1996" t="str">
            <v>Month-to-month</v>
          </cell>
          <cell r="H1996">
            <v>449</v>
          </cell>
          <cell r="J1996" t="str">
            <v>No Internet</v>
          </cell>
          <cell r="L1996" t="str">
            <v>Yes</v>
          </cell>
          <cell r="M1996" t="str">
            <v>13-24 mo</v>
          </cell>
          <cell r="N1996" t="str">
            <v>60+ yrs</v>
          </cell>
        </row>
        <row r="1997">
          <cell r="A1997" t="str">
            <v>C2996</v>
          </cell>
          <cell r="E1997" t="str">
            <v>Kolkata</v>
          </cell>
          <cell r="F1997" t="str">
            <v>Two year</v>
          </cell>
          <cell r="H1997">
            <v>349</v>
          </cell>
          <cell r="J1997" t="str">
            <v>No Internet</v>
          </cell>
          <cell r="L1997" t="str">
            <v>No</v>
          </cell>
          <cell r="M1997" t="str">
            <v>25-48 mo</v>
          </cell>
          <cell r="N1997" t="str">
            <v>46-60 yrs</v>
          </cell>
        </row>
        <row r="1998">
          <cell r="A1998" t="str">
            <v>C2997</v>
          </cell>
          <cell r="E1998" t="str">
            <v>Ahmedabad</v>
          </cell>
          <cell r="F1998" t="str">
            <v>One year</v>
          </cell>
          <cell r="H1998">
            <v>1049</v>
          </cell>
          <cell r="J1998" t="str">
            <v>Fiber</v>
          </cell>
          <cell r="L1998" t="str">
            <v>No</v>
          </cell>
          <cell r="M1998" t="str">
            <v>13-24 mo</v>
          </cell>
          <cell r="N1998" t="str">
            <v>36-45 yrs</v>
          </cell>
        </row>
        <row r="1999">
          <cell r="A1999" t="str">
            <v>C2998</v>
          </cell>
          <cell r="E1999" t="str">
            <v>Mumbai</v>
          </cell>
          <cell r="F1999" t="str">
            <v>Month-to-month</v>
          </cell>
          <cell r="H1999">
            <v>1049</v>
          </cell>
          <cell r="J1999" t="str">
            <v>Fiber</v>
          </cell>
          <cell r="L1999" t="str">
            <v>No</v>
          </cell>
          <cell r="M1999" t="str">
            <v>0-6 mo</v>
          </cell>
          <cell r="N1999" t="str">
            <v>36-45 yrs</v>
          </cell>
        </row>
        <row r="2000">
          <cell r="A2000" t="str">
            <v>C2999</v>
          </cell>
          <cell r="E2000" t="str">
            <v>Delhi</v>
          </cell>
          <cell r="F2000" t="str">
            <v>Month-to-month</v>
          </cell>
          <cell r="H2000">
            <v>449</v>
          </cell>
          <cell r="J2000" t="str">
            <v>No Internet</v>
          </cell>
          <cell r="L2000" t="str">
            <v>No</v>
          </cell>
          <cell r="M2000" t="str">
            <v>13-24 mo</v>
          </cell>
          <cell r="N2000" t="str">
            <v>46-60 yrs</v>
          </cell>
        </row>
        <row r="2001">
          <cell r="A2001" t="str">
            <v>C3000</v>
          </cell>
          <cell r="E2001" t="str">
            <v>Mumbai</v>
          </cell>
          <cell r="F2001" t="str">
            <v>Two year</v>
          </cell>
          <cell r="H2001">
            <v>1299</v>
          </cell>
          <cell r="J2001" t="str">
            <v>Fiber</v>
          </cell>
          <cell r="L2001" t="str">
            <v>No</v>
          </cell>
          <cell r="M2001" t="str">
            <v>49+ mo</v>
          </cell>
          <cell r="N2001" t="str">
            <v>26-35 yrs</v>
          </cell>
        </row>
      </sheetData>
      <sheetData sheetId="2">
        <row r="2">
          <cell r="B2">
            <v>2000</v>
          </cell>
        </row>
        <row r="4">
          <cell r="B4">
            <v>0.33842239185750639</v>
          </cell>
        </row>
        <row r="5">
          <cell r="B5">
            <v>567095</v>
          </cell>
        </row>
        <row r="6">
          <cell r="B6">
            <v>6805140</v>
          </cell>
        </row>
        <row r="9">
          <cell r="A9" t="str">
            <v>Month-to-month</v>
          </cell>
          <cell r="D9">
            <v>0.4777777777777778</v>
          </cell>
        </row>
        <row r="10">
          <cell r="A10" t="str">
            <v>One year</v>
          </cell>
          <cell r="D10">
            <v>0.20162932790224034</v>
          </cell>
        </row>
        <row r="11">
          <cell r="A11" t="str">
            <v>Two year</v>
          </cell>
          <cell r="D11">
            <v>0.10869565217391304</v>
          </cell>
        </row>
        <row r="16">
          <cell r="A16" t="str">
            <v>DSL</v>
          </cell>
          <cell r="D16">
            <v>0.28654970760233917</v>
          </cell>
        </row>
        <row r="17">
          <cell r="A17" t="str">
            <v>Fiber</v>
          </cell>
          <cell r="D17">
            <v>0.37744533947065595</v>
          </cell>
        </row>
        <row r="18">
          <cell r="A18" t="str">
            <v>No Internet</v>
          </cell>
          <cell r="D18">
            <v>0.35135135135135137</v>
          </cell>
        </row>
        <row r="23">
          <cell r="A23" t="str">
            <v>Chennai</v>
          </cell>
          <cell r="D23">
            <v>0.38095238095238093</v>
          </cell>
        </row>
        <row r="24">
          <cell r="A24" t="str">
            <v>Indore</v>
          </cell>
          <cell r="D24">
            <v>0.37226277372262773</v>
          </cell>
        </row>
        <row r="25">
          <cell r="A25" t="str">
            <v>Chandigarh</v>
          </cell>
          <cell r="D25">
            <v>0.36496350364963503</v>
          </cell>
        </row>
        <row r="26">
          <cell r="A26" t="str">
            <v>Mumbai</v>
          </cell>
          <cell r="D26">
            <v>0.36434108527131781</v>
          </cell>
        </row>
        <row r="27">
          <cell r="A27" t="str">
            <v>Lucknow</v>
          </cell>
          <cell r="D27">
            <v>0.3546099290780142</v>
          </cell>
        </row>
        <row r="28">
          <cell r="A28" t="str">
            <v>Delhi</v>
          </cell>
          <cell r="D28">
            <v>0.35416666666666669</v>
          </cell>
        </row>
        <row r="29">
          <cell r="A29" t="str">
            <v>Jaipur</v>
          </cell>
          <cell r="D29">
            <v>0.34782608695652173</v>
          </cell>
        </row>
        <row r="30">
          <cell r="A30" t="str">
            <v>Hyderabad</v>
          </cell>
          <cell r="D30">
            <v>0.34328358208955223</v>
          </cell>
        </row>
        <row r="31">
          <cell r="A31" t="str">
            <v>Kochi</v>
          </cell>
          <cell r="D31">
            <v>0.34228187919463088</v>
          </cell>
        </row>
        <row r="32">
          <cell r="A32" t="str">
            <v>Bhopal</v>
          </cell>
          <cell r="D32">
            <v>0.34146341463414637</v>
          </cell>
        </row>
        <row r="33">
          <cell r="A33" t="str">
            <v>Pune</v>
          </cell>
          <cell r="D33">
            <v>0.31428571428571428</v>
          </cell>
        </row>
        <row r="34">
          <cell r="A34" t="str">
            <v>Ahmedabad</v>
          </cell>
          <cell r="D34">
            <v>0.29452054794520549</v>
          </cell>
        </row>
        <row r="35">
          <cell r="A35" t="str">
            <v>Bangalore</v>
          </cell>
          <cell r="D35">
            <v>0.29285714285714287</v>
          </cell>
        </row>
        <row r="36">
          <cell r="A36" t="str">
            <v>Kolkata</v>
          </cell>
          <cell r="D36">
            <v>0.28776978417266186</v>
          </cell>
        </row>
        <row r="41">
          <cell r="A41" t="str">
            <v>0-6 mo</v>
          </cell>
          <cell r="D41">
            <v>0.49729729729729732</v>
          </cell>
        </row>
        <row r="42">
          <cell r="A42" t="str">
            <v>7-12 mo</v>
          </cell>
          <cell r="D42">
            <v>0.38154613466334164</v>
          </cell>
        </row>
        <row r="43">
          <cell r="A43" t="str">
            <v>13-24 mo</v>
          </cell>
          <cell r="D43">
            <v>0.34986595174262736</v>
          </cell>
        </row>
        <row r="44">
          <cell r="A44" t="str">
            <v>25-48 mo</v>
          </cell>
          <cell r="D44">
            <v>0.16551724137931034</v>
          </cell>
        </row>
        <row r="45">
          <cell r="A45" t="str">
            <v>49+ mo</v>
          </cell>
          <cell r="D45">
            <v>8.5714285714285715E-2</v>
          </cell>
        </row>
        <row r="50">
          <cell r="A50" t="str">
            <v>18-25 yrs</v>
          </cell>
          <cell r="D50">
            <v>0.33073929961089493</v>
          </cell>
          <cell r="E50">
            <v>0.33842239185750639</v>
          </cell>
        </row>
        <row r="51">
          <cell r="A51" t="str">
            <v>26-35 yrs</v>
          </cell>
          <cell r="D51">
            <v>0.30303030303030304</v>
          </cell>
          <cell r="E51">
            <v>0.33842239185750639</v>
          </cell>
        </row>
        <row r="52">
          <cell r="A52" t="str">
            <v>36-45 yrs</v>
          </cell>
          <cell r="D52">
            <v>0.37230769230769228</v>
          </cell>
          <cell r="E52">
            <v>0.33842239185750639</v>
          </cell>
        </row>
        <row r="53">
          <cell r="A53" t="str">
            <v>46-60 yrs</v>
          </cell>
          <cell r="D53">
            <v>0.33156966490299822</v>
          </cell>
          <cell r="E53">
            <v>0.33842239185750639</v>
          </cell>
        </row>
        <row r="54">
          <cell r="A54" t="str">
            <v>60+ yrs</v>
          </cell>
          <cell r="D54">
            <v>0.35185185185185186</v>
          </cell>
          <cell r="E54">
            <v>0.33842239185750639</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6.859563078702" createdVersion="8" refreshedVersion="8" minRefreshableVersion="3" recordCount="2001" xr:uid="{1DC523F9-435A-4632-95EA-86AFA9C9F053}">
  <cacheSource type="worksheet">
    <worksheetSource ref="A1:T1048576" sheet="Customer_churn_data"/>
  </cacheSource>
  <cacheFields count="17">
    <cacheField name="CustID" numFmtId="0">
      <sharedItems containsBlank="1" count="2001">
        <s v="C1001"/>
        <s v="C1002"/>
        <s v="C1003"/>
        <s v="C1004"/>
        <s v="C1005"/>
        <s v="C1006"/>
        <s v="C1007"/>
        <s v="C1008"/>
        <s v="C1009"/>
        <s v="C1010"/>
        <s v="C1011"/>
        <s v="C1012"/>
        <s v="C1013"/>
        <s v="C1014"/>
        <s v="C1015"/>
        <s v="C1016"/>
        <s v="C1017"/>
        <s v="C1018"/>
        <s v="C1019"/>
        <s v="C1020"/>
        <s v="C1021"/>
        <s v="C1022"/>
        <s v="C1023"/>
        <s v="C1024"/>
        <s v="C1025"/>
        <s v="C1026"/>
        <s v="C1027"/>
        <s v="C1028"/>
        <s v="C1029"/>
        <s v="C1030"/>
        <s v="C1031"/>
        <s v="C1032"/>
        <s v="C1033"/>
        <s v="C1034"/>
        <s v="C1035"/>
        <s v="C1036"/>
        <s v="C1037"/>
        <s v="C1038"/>
        <s v="C1039"/>
        <s v="C1040"/>
        <s v="C1041"/>
        <s v="C1042"/>
        <s v="C1043"/>
        <s v="C1044"/>
        <s v="C1045"/>
        <s v="C1046"/>
        <s v="C1047"/>
        <s v="C1048"/>
        <s v="C1049"/>
        <s v="C1050"/>
        <s v="C1051"/>
        <s v="C1052"/>
        <s v="C1053"/>
        <s v="C1054"/>
        <s v="C1055"/>
        <s v="C1056"/>
        <s v="C1057"/>
        <s v="C1058"/>
        <s v="C1059"/>
        <s v="C1060"/>
        <s v="C1061"/>
        <s v="C1062"/>
        <s v="C1063"/>
        <s v="C1064"/>
        <s v="C1065"/>
        <s v="C1066"/>
        <s v="C1067"/>
        <s v="C1068"/>
        <s v="C1069"/>
        <s v="C1070"/>
        <s v="C1071"/>
        <s v="C1072"/>
        <s v="C1073"/>
        <s v="C1074"/>
        <s v="C1075"/>
        <s v="C1076"/>
        <s v="C1077"/>
        <s v="C1078"/>
        <s v="C1079"/>
        <s v="C1080"/>
        <s v="C1081"/>
        <s v="C1082"/>
        <s v="C1083"/>
        <s v="C1084"/>
        <s v="C1085"/>
        <s v="C1086"/>
        <s v="C1087"/>
        <s v="C1088"/>
        <s v="C1089"/>
        <s v="C1090"/>
        <s v="C1091"/>
        <s v="C1092"/>
        <s v="C1093"/>
        <s v="C1094"/>
        <s v="C1095"/>
        <s v="C1096"/>
        <s v="C1097"/>
        <s v="C1098"/>
        <s v="C1099"/>
        <s v="C1100"/>
        <s v="C1101"/>
        <s v="C1102"/>
        <s v="C1103"/>
        <s v="C1104"/>
        <s v="C1105"/>
        <s v="C1106"/>
        <s v="C1107"/>
        <s v="C1108"/>
        <s v="C1109"/>
        <s v="C1110"/>
        <s v="C1111"/>
        <s v="C1112"/>
        <s v="C1113"/>
        <s v="C1114"/>
        <s v="C1115"/>
        <s v="C1116"/>
        <s v="C1117"/>
        <s v="C1118"/>
        <s v="C1119"/>
        <s v="C1120"/>
        <s v="C1121"/>
        <s v="C1122"/>
        <s v="C1123"/>
        <s v="C1124"/>
        <s v="C1125"/>
        <s v="C1126"/>
        <s v="C1127"/>
        <s v="C1128"/>
        <s v="C1129"/>
        <s v="C1130"/>
        <s v="C1131"/>
        <s v="C1132"/>
        <s v="C1133"/>
        <s v="C1134"/>
        <s v="C1135"/>
        <s v="C1136"/>
        <s v="C1137"/>
        <s v="C1138"/>
        <s v="C1139"/>
        <s v="C1140"/>
        <s v="C1141"/>
        <s v="C1142"/>
        <s v="C1143"/>
        <s v="C1144"/>
        <s v="C1145"/>
        <s v="C1146"/>
        <s v="C1147"/>
        <s v="C1148"/>
        <s v="C1149"/>
        <s v="C1150"/>
        <s v="C1151"/>
        <s v="C1152"/>
        <s v="C1153"/>
        <s v="C1154"/>
        <s v="C1155"/>
        <s v="C1156"/>
        <s v="C1157"/>
        <s v="C1158"/>
        <s v="C1159"/>
        <s v="C1160"/>
        <s v="C1161"/>
        <s v="C1162"/>
        <s v="C1163"/>
        <s v="C1164"/>
        <s v="C1165"/>
        <s v="C1166"/>
        <s v="C1167"/>
        <s v="C1168"/>
        <s v="C1169"/>
        <s v="C1170"/>
        <s v="C1171"/>
        <s v="C1172"/>
        <s v="C1173"/>
        <s v="C1174"/>
        <s v="C1175"/>
        <s v="C1176"/>
        <s v="C1177"/>
        <s v="C1178"/>
        <s v="C1179"/>
        <s v="C1180"/>
        <s v="C1181"/>
        <s v="C1182"/>
        <s v="C1183"/>
        <s v="C1184"/>
        <s v="C1185"/>
        <s v="C1186"/>
        <s v="C1187"/>
        <s v="C1188"/>
        <s v="C1189"/>
        <s v="C1190"/>
        <s v="C1191"/>
        <s v="C1192"/>
        <s v="C1193"/>
        <s v="C1194"/>
        <s v="C1195"/>
        <s v="C1196"/>
        <s v="C1197"/>
        <s v="C1198"/>
        <s v="C1199"/>
        <s v="C1200"/>
        <s v="C1201"/>
        <s v="C1202"/>
        <s v="C1203"/>
        <s v="C1204"/>
        <s v="C1205"/>
        <s v="C1206"/>
        <s v="C1207"/>
        <s v="C1208"/>
        <s v="C1209"/>
        <s v="C1210"/>
        <s v="C1211"/>
        <s v="C1212"/>
        <s v="C1213"/>
        <s v="C1214"/>
        <s v="C1215"/>
        <s v="C1216"/>
        <s v="C1217"/>
        <s v="C1218"/>
        <s v="C1219"/>
        <s v="C1220"/>
        <s v="C1221"/>
        <s v="C1222"/>
        <s v="C1223"/>
        <s v="C1224"/>
        <s v="C1225"/>
        <s v="C1226"/>
        <s v="C1227"/>
        <s v="C1228"/>
        <s v="C1229"/>
        <s v="C1230"/>
        <s v="C1231"/>
        <s v="C1232"/>
        <s v="C1233"/>
        <s v="C1234"/>
        <s v="C1235"/>
        <s v="C1236"/>
        <s v="C1237"/>
        <s v="C1238"/>
        <s v="C1239"/>
        <s v="C1240"/>
        <s v="C1241"/>
        <s v="C1242"/>
        <s v="C1243"/>
        <s v="C1244"/>
        <s v="C1245"/>
        <s v="C1246"/>
        <s v="C1247"/>
        <s v="C1248"/>
        <s v="C1249"/>
        <s v="C1250"/>
        <s v="C1251"/>
        <s v="C1252"/>
        <s v="C1253"/>
        <s v="C1254"/>
        <s v="C1255"/>
        <s v="C1256"/>
        <s v="C1257"/>
        <s v="C1258"/>
        <s v="C1259"/>
        <s v="C1260"/>
        <s v="C1261"/>
        <s v="C1262"/>
        <s v="C1263"/>
        <s v="C1264"/>
        <s v="C1265"/>
        <s v="C1266"/>
        <s v="C1267"/>
        <s v="C1268"/>
        <s v="C1269"/>
        <s v="C1270"/>
        <s v="C1271"/>
        <s v="C1272"/>
        <s v="C1273"/>
        <s v="C1274"/>
        <s v="C1275"/>
        <s v="C1276"/>
        <s v="C1277"/>
        <s v="C1278"/>
        <s v="C1279"/>
        <s v="C1280"/>
        <s v="C1281"/>
        <s v="C1282"/>
        <s v="C1283"/>
        <s v="C1284"/>
        <s v="C1285"/>
        <s v="C1286"/>
        <s v="C1287"/>
        <s v="C1288"/>
        <s v="C1289"/>
        <s v="C1290"/>
        <s v="C1291"/>
        <s v="C1292"/>
        <s v="C1293"/>
        <s v="C1294"/>
        <s v="C1295"/>
        <s v="C1296"/>
        <s v="C1297"/>
        <s v="C1298"/>
        <s v="C1299"/>
        <s v="C1300"/>
        <s v="C1301"/>
        <s v="C1302"/>
        <s v="C1303"/>
        <s v="C1304"/>
        <s v="C1305"/>
        <s v="C1306"/>
        <s v="C1307"/>
        <s v="C1308"/>
        <s v="C1309"/>
        <s v="C1310"/>
        <s v="C1311"/>
        <s v="C1312"/>
        <s v="C1313"/>
        <s v="C1314"/>
        <s v="C1315"/>
        <s v="C1316"/>
        <s v="C1317"/>
        <s v="C1318"/>
        <s v="C1319"/>
        <s v="C1320"/>
        <s v="C1321"/>
        <s v="C1322"/>
        <s v="C1323"/>
        <s v="C1324"/>
        <s v="C1325"/>
        <s v="C1326"/>
        <s v="C1327"/>
        <s v="C1328"/>
        <s v="C1329"/>
        <s v="C1330"/>
        <s v="C1331"/>
        <s v="C1332"/>
        <s v="C1333"/>
        <s v="C1334"/>
        <s v="C1335"/>
        <s v="C1336"/>
        <s v="C1337"/>
        <s v="C1338"/>
        <s v="C1339"/>
        <s v="C1340"/>
        <s v="C1341"/>
        <s v="C1342"/>
        <s v="C1343"/>
        <s v="C1344"/>
        <s v="C1345"/>
        <s v="C1346"/>
        <s v="C1347"/>
        <s v="C1348"/>
        <s v="C1349"/>
        <s v="C1350"/>
        <s v="C1351"/>
        <s v="C1352"/>
        <s v="C1353"/>
        <s v="C1354"/>
        <s v="C1355"/>
        <s v="C1356"/>
        <s v="C1357"/>
        <s v="C1358"/>
        <s v="C1359"/>
        <s v="C1360"/>
        <s v="C1361"/>
        <s v="C1362"/>
        <s v="C1363"/>
        <s v="C1364"/>
        <s v="C1365"/>
        <s v="C1366"/>
        <s v="C1367"/>
        <s v="C1368"/>
        <s v="C1369"/>
        <s v="C1370"/>
        <s v="C1371"/>
        <s v="C1372"/>
        <s v="C1373"/>
        <s v="C1374"/>
        <s v="C1375"/>
        <s v="C1376"/>
        <s v="C1377"/>
        <s v="C1378"/>
        <s v="C1379"/>
        <s v="C1380"/>
        <s v="C1381"/>
        <s v="C1382"/>
        <s v="C1383"/>
        <s v="C1384"/>
        <s v="C1385"/>
        <s v="C1386"/>
        <s v="C1387"/>
        <s v="C1388"/>
        <s v="C1389"/>
        <s v="C1390"/>
        <s v="C1391"/>
        <s v="C1392"/>
        <s v="C1393"/>
        <s v="C1394"/>
        <s v="C1395"/>
        <s v="C1396"/>
        <s v="C1397"/>
        <s v="C1398"/>
        <s v="C1399"/>
        <s v="C1400"/>
        <s v="C1401"/>
        <s v="C1402"/>
        <s v="C1403"/>
        <s v="C1404"/>
        <s v="C1405"/>
        <s v="C1406"/>
        <s v="C1407"/>
        <s v="C1408"/>
        <s v="C1409"/>
        <s v="C1410"/>
        <s v="C1411"/>
        <s v="C1412"/>
        <s v="C1413"/>
        <s v="C1414"/>
        <s v="C1415"/>
        <s v="C1416"/>
        <s v="C1417"/>
        <s v="C1418"/>
        <s v="C1419"/>
        <s v="C1420"/>
        <s v="C1421"/>
        <s v="C1422"/>
        <s v="C1423"/>
        <s v="C1424"/>
        <s v="C1425"/>
        <s v="C1426"/>
        <s v="C1427"/>
        <s v="C1428"/>
        <s v="C1429"/>
        <s v="C1430"/>
        <s v="C1431"/>
        <s v="C1432"/>
        <s v="C1433"/>
        <s v="C1434"/>
        <s v="C1435"/>
        <s v="C1436"/>
        <s v="C1437"/>
        <s v="C1438"/>
        <s v="C1439"/>
        <s v="C1440"/>
        <s v="C1441"/>
        <s v="C1442"/>
        <s v="C1443"/>
        <s v="C1444"/>
        <s v="C1445"/>
        <s v="C1446"/>
        <s v="C1447"/>
        <s v="C1448"/>
        <s v="C1449"/>
        <s v="C1450"/>
        <s v="C1451"/>
        <s v="C1452"/>
        <s v="C1453"/>
        <s v="C1454"/>
        <s v="C1455"/>
        <s v="C1456"/>
        <s v="C1457"/>
        <s v="C1458"/>
        <s v="C1459"/>
        <s v="C1460"/>
        <s v="C1461"/>
        <s v="C1462"/>
        <s v="C1463"/>
        <s v="C1464"/>
        <s v="C1465"/>
        <s v="C1466"/>
        <s v="C1467"/>
        <s v="C1468"/>
        <s v="C1469"/>
        <s v="C1470"/>
        <s v="C1471"/>
        <s v="C1472"/>
        <s v="C1473"/>
        <s v="C1474"/>
        <s v="C1475"/>
        <s v="C1476"/>
        <s v="C1477"/>
        <s v="C1478"/>
        <s v="C1479"/>
        <s v="C1480"/>
        <s v="C1481"/>
        <s v="C1482"/>
        <s v="C1483"/>
        <s v="C1484"/>
        <s v="C1485"/>
        <s v="C1486"/>
        <s v="C1487"/>
        <s v="C1488"/>
        <s v="C1489"/>
        <s v="C1490"/>
        <s v="C1491"/>
        <s v="C1492"/>
        <s v="C1493"/>
        <s v="C1494"/>
        <s v="C1495"/>
        <s v="C1496"/>
        <s v="C1497"/>
        <s v="C1498"/>
        <s v="C1499"/>
        <s v="C1500"/>
        <s v="C1501"/>
        <s v="C1502"/>
        <s v="C1503"/>
        <s v="C1504"/>
        <s v="C1505"/>
        <s v="C1506"/>
        <s v="C1507"/>
        <s v="C1508"/>
        <s v="C1509"/>
        <s v="C1510"/>
        <s v="C1511"/>
        <s v="C1512"/>
        <s v="C1513"/>
        <s v="C1514"/>
        <s v="C1515"/>
        <s v="C1516"/>
        <s v="C1517"/>
        <s v="C1518"/>
        <s v="C1519"/>
        <s v="C1520"/>
        <s v="C1521"/>
        <s v="C1522"/>
        <s v="C1523"/>
        <s v="C1524"/>
        <s v="C1525"/>
        <s v="C1526"/>
        <s v="C1527"/>
        <s v="C1528"/>
        <s v="C1529"/>
        <s v="C1530"/>
        <s v="C1531"/>
        <s v="C1532"/>
        <s v="C1533"/>
        <s v="C1534"/>
        <s v="C1535"/>
        <s v="C1536"/>
        <s v="C1537"/>
        <s v="C1538"/>
        <s v="C1539"/>
        <s v="C1540"/>
        <s v="C1541"/>
        <s v="C1542"/>
        <s v="C1543"/>
        <s v="C1544"/>
        <s v="C1545"/>
        <s v="C1546"/>
        <s v="C1547"/>
        <s v="C1548"/>
        <s v="C1549"/>
        <s v="C1550"/>
        <s v="C1551"/>
        <s v="C1552"/>
        <s v="C1553"/>
        <s v="C1554"/>
        <s v="C1555"/>
        <s v="C1556"/>
        <s v="C1557"/>
        <s v="C1558"/>
        <s v="C1559"/>
        <s v="C1560"/>
        <s v="C1561"/>
        <s v="C1562"/>
        <s v="C1563"/>
        <s v="C1564"/>
        <s v="C1565"/>
        <s v="C1566"/>
        <s v="C1567"/>
        <s v="C1568"/>
        <s v="C1569"/>
        <s v="C1570"/>
        <s v="C1571"/>
        <s v="C1572"/>
        <s v="C1573"/>
        <s v="C1574"/>
        <s v="C1575"/>
        <s v="C1576"/>
        <s v="C1577"/>
        <s v="C1578"/>
        <s v="C1579"/>
        <s v="C1580"/>
        <s v="C1581"/>
        <s v="C1582"/>
        <s v="C1583"/>
        <s v="C1584"/>
        <s v="C1585"/>
        <s v="C1586"/>
        <s v="C1587"/>
        <s v="C1588"/>
        <s v="C1589"/>
        <s v="C1590"/>
        <s v="C1591"/>
        <s v="C1592"/>
        <s v="C1593"/>
        <s v="C1594"/>
        <s v="C1595"/>
        <s v="C1596"/>
        <s v="C1597"/>
        <s v="C1598"/>
        <s v="C1599"/>
        <s v="C1600"/>
        <s v="C1601"/>
        <s v="C1602"/>
        <s v="C1603"/>
        <s v="C1604"/>
        <s v="C1605"/>
        <s v="C1606"/>
        <s v="C1607"/>
        <s v="C1608"/>
        <s v="C1609"/>
        <s v="C1610"/>
        <s v="C1611"/>
        <s v="C1612"/>
        <s v="C1613"/>
        <s v="C1614"/>
        <s v="C1615"/>
        <s v="C1616"/>
        <s v="C1617"/>
        <s v="C1618"/>
        <s v="C1619"/>
        <s v="C1620"/>
        <s v="C1621"/>
        <s v="C1622"/>
        <s v="C1623"/>
        <s v="C1624"/>
        <s v="C1625"/>
        <s v="C1626"/>
        <s v="C1627"/>
        <s v="C1628"/>
        <s v="C1629"/>
        <s v="C1630"/>
        <s v="C1631"/>
        <s v="C1632"/>
        <s v="C1633"/>
        <s v="C1634"/>
        <s v="C1635"/>
        <s v="C1636"/>
        <s v="C1637"/>
        <s v="C1638"/>
        <s v="C1639"/>
        <s v="C1640"/>
        <s v="C1641"/>
        <s v="C1642"/>
        <s v="C1643"/>
        <s v="C1644"/>
        <s v="C1645"/>
        <s v="C1646"/>
        <s v="C1647"/>
        <s v="C1648"/>
        <s v="C1649"/>
        <s v="C1650"/>
        <s v="C1651"/>
        <s v="C1652"/>
        <s v="C1653"/>
        <s v="C1654"/>
        <s v="C1655"/>
        <s v="C1656"/>
        <s v="C1657"/>
        <s v="C1658"/>
        <s v="C1659"/>
        <s v="C1660"/>
        <s v="C1661"/>
        <s v="C1662"/>
        <s v="C1663"/>
        <s v="C1664"/>
        <s v="C1665"/>
        <s v="C1666"/>
        <s v="C1667"/>
        <s v="C1668"/>
        <s v="C1669"/>
        <s v="C1670"/>
        <s v="C1671"/>
        <s v="C1672"/>
        <s v="C1673"/>
        <s v="C1674"/>
        <s v="C1675"/>
        <s v="C1676"/>
        <s v="C1677"/>
        <s v="C1678"/>
        <s v="C1679"/>
        <s v="C1680"/>
        <s v="C1681"/>
        <s v="C1682"/>
        <s v="C1683"/>
        <s v="C1684"/>
        <s v="C1685"/>
        <s v="C1686"/>
        <s v="C1687"/>
        <s v="C1688"/>
        <s v="C1689"/>
        <s v="C1690"/>
        <s v="C1691"/>
        <s v="C1692"/>
        <s v="C1693"/>
        <s v="C1694"/>
        <s v="C1695"/>
        <s v="C1696"/>
        <s v="C1697"/>
        <s v="C1698"/>
        <s v="C1699"/>
        <s v="C1700"/>
        <s v="C1701"/>
        <s v="C1702"/>
        <s v="C1703"/>
        <s v="C1704"/>
        <s v="C1705"/>
        <s v="C1706"/>
        <s v="C1707"/>
        <s v="C1708"/>
        <s v="C1709"/>
        <s v="C1710"/>
        <s v="C1711"/>
        <s v="C1712"/>
        <s v="C1713"/>
        <s v="C1714"/>
        <s v="C1715"/>
        <s v="C1716"/>
        <s v="C1717"/>
        <s v="C1718"/>
        <s v="C1719"/>
        <s v="C1720"/>
        <s v="C1721"/>
        <s v="C1722"/>
        <s v="C1723"/>
        <s v="C1724"/>
        <s v="C1725"/>
        <s v="C1726"/>
        <s v="C1727"/>
        <s v="C1728"/>
        <s v="C1729"/>
        <s v="C1730"/>
        <s v="C1731"/>
        <s v="C1732"/>
        <s v="C1733"/>
        <s v="C1734"/>
        <s v="C1735"/>
        <s v="C1736"/>
        <s v="C1737"/>
        <s v="C1738"/>
        <s v="C1739"/>
        <s v="C1740"/>
        <s v="C1741"/>
        <s v="C1742"/>
        <s v="C1743"/>
        <s v="C1744"/>
        <s v="C1745"/>
        <s v="C1746"/>
        <s v="C1747"/>
        <s v="C1748"/>
        <s v="C1749"/>
        <s v="C1750"/>
        <s v="C1751"/>
        <s v="C1752"/>
        <s v="C1753"/>
        <s v="C1754"/>
        <s v="C1755"/>
        <s v="C1756"/>
        <s v="C1757"/>
        <s v="C1758"/>
        <s v="C1759"/>
        <s v="C1760"/>
        <s v="C1761"/>
        <s v="C1762"/>
        <s v="C1763"/>
        <s v="C1764"/>
        <s v="C1765"/>
        <s v="C1766"/>
        <s v="C1767"/>
        <s v="C1768"/>
        <s v="C1769"/>
        <s v="C1770"/>
        <s v="C1771"/>
        <s v="C1772"/>
        <s v="C1773"/>
        <s v="C1774"/>
        <s v="C1775"/>
        <s v="C1776"/>
        <s v="C1777"/>
        <s v="C1778"/>
        <s v="C1779"/>
        <s v="C1780"/>
        <s v="C1781"/>
        <s v="C1782"/>
        <s v="C1783"/>
        <s v="C1784"/>
        <s v="C1785"/>
        <s v="C1786"/>
        <s v="C1787"/>
        <s v="C1788"/>
        <s v="C1789"/>
        <s v="C1790"/>
        <s v="C1791"/>
        <s v="C1792"/>
        <s v="C1793"/>
        <s v="C1794"/>
        <s v="C1795"/>
        <s v="C1796"/>
        <s v="C1797"/>
        <s v="C1798"/>
        <s v="C1799"/>
        <s v="C1800"/>
        <s v="C1801"/>
        <s v="C1802"/>
        <s v="C1803"/>
        <s v="C1804"/>
        <s v="C1805"/>
        <s v="C1806"/>
        <s v="C1807"/>
        <s v="C1808"/>
        <s v="C1809"/>
        <s v="C1810"/>
        <s v="C1811"/>
        <s v="C1812"/>
        <s v="C1813"/>
        <s v="C1814"/>
        <s v="C1815"/>
        <s v="C1816"/>
        <s v="C1817"/>
        <s v="C1818"/>
        <s v="C1819"/>
        <s v="C1820"/>
        <s v="C1821"/>
        <s v="C1822"/>
        <s v="C1823"/>
        <s v="C1824"/>
        <s v="C1825"/>
        <s v="C1826"/>
        <s v="C1827"/>
        <s v="C1828"/>
        <s v="C1829"/>
        <s v="C1830"/>
        <s v="C1831"/>
        <s v="C1832"/>
        <s v="C1833"/>
        <s v="C1834"/>
        <s v="C1835"/>
        <s v="C1836"/>
        <s v="C1837"/>
        <s v="C1838"/>
        <s v="C1839"/>
        <s v="C1840"/>
        <s v="C1841"/>
        <s v="C1842"/>
        <s v="C1843"/>
        <s v="C1844"/>
        <s v="C1845"/>
        <s v="C1846"/>
        <s v="C1847"/>
        <s v="C1848"/>
        <s v="C1849"/>
        <s v="C1850"/>
        <s v="C1851"/>
        <s v="C1852"/>
        <s v="C1853"/>
        <s v="C1854"/>
        <s v="C1855"/>
        <s v="C1856"/>
        <s v="C1857"/>
        <s v="C1858"/>
        <s v="C1859"/>
        <s v="C1860"/>
        <s v="C1861"/>
        <s v="C1862"/>
        <s v="C1863"/>
        <s v="C1864"/>
        <s v="C1865"/>
        <s v="C1866"/>
        <s v="C1867"/>
        <s v="C1868"/>
        <s v="C1869"/>
        <s v="C1870"/>
        <s v="C1871"/>
        <s v="C1872"/>
        <s v="C1873"/>
        <s v="C1874"/>
        <s v="C1875"/>
        <s v="C1876"/>
        <s v="C1877"/>
        <s v="C1878"/>
        <s v="C1879"/>
        <s v="C1880"/>
        <s v="C1881"/>
        <s v="C1882"/>
        <s v="C1883"/>
        <s v="C1884"/>
        <s v="C1885"/>
        <s v="C1886"/>
        <s v="C1887"/>
        <s v="C1888"/>
        <s v="C1889"/>
        <s v="C1890"/>
        <s v="C1891"/>
        <s v="C1892"/>
        <s v="C1893"/>
        <s v="C1894"/>
        <s v="C1895"/>
        <s v="C1896"/>
        <s v="C1897"/>
        <s v="C1898"/>
        <s v="C1899"/>
        <s v="C1900"/>
        <s v="C1901"/>
        <s v="C1902"/>
        <s v="C1903"/>
        <s v="C1904"/>
        <s v="C1905"/>
        <s v="C1906"/>
        <s v="C1907"/>
        <s v="C1908"/>
        <s v="C1909"/>
        <s v="C1910"/>
        <s v="C1911"/>
        <s v="C1912"/>
        <s v="C1913"/>
        <s v="C1914"/>
        <s v="C1915"/>
        <s v="C1916"/>
        <s v="C1917"/>
        <s v="C1918"/>
        <s v="C1919"/>
        <s v="C1920"/>
        <s v="C1921"/>
        <s v="C1922"/>
        <s v="C1923"/>
        <s v="C1924"/>
        <s v="C1925"/>
        <s v="C1926"/>
        <s v="C1927"/>
        <s v="C1928"/>
        <s v="C1929"/>
        <s v="C1930"/>
        <s v="C1931"/>
        <s v="C1932"/>
        <s v="C1933"/>
        <s v="C1934"/>
        <s v="C1935"/>
        <s v="C1936"/>
        <s v="C1937"/>
        <s v="C1938"/>
        <s v="C1939"/>
        <s v="C1940"/>
        <s v="C1941"/>
        <s v="C1942"/>
        <s v="C1943"/>
        <s v="C1944"/>
        <s v="C1945"/>
        <s v="C1946"/>
        <s v="C1947"/>
        <s v="C1948"/>
        <s v="C1949"/>
        <s v="C1950"/>
        <s v="C1951"/>
        <s v="C1952"/>
        <s v="C1953"/>
        <s v="C1954"/>
        <s v="C1955"/>
        <s v="C1956"/>
        <s v="C1957"/>
        <s v="C1958"/>
        <s v="C1959"/>
        <s v="C1960"/>
        <s v="C1961"/>
        <s v="C1962"/>
        <s v="C1963"/>
        <s v="C1964"/>
        <s v="C1965"/>
        <s v="C1966"/>
        <s v="C1967"/>
        <s v="C1968"/>
        <s v="C1969"/>
        <s v="C1970"/>
        <s v="C1971"/>
        <s v="C1972"/>
        <s v="C1973"/>
        <s v="C1974"/>
        <s v="C1975"/>
        <s v="C1976"/>
        <s v="C1977"/>
        <s v="C1978"/>
        <s v="C1979"/>
        <s v="C1980"/>
        <s v="C1981"/>
        <s v="C1982"/>
        <s v="C1983"/>
        <s v="C1984"/>
        <s v="C1985"/>
        <s v="C1986"/>
        <s v="C1987"/>
        <s v="C1988"/>
        <s v="C1989"/>
        <s v="C1990"/>
        <s v="C1991"/>
        <s v="C1992"/>
        <s v="C1993"/>
        <s v="C1994"/>
        <s v="C1995"/>
        <s v="C1996"/>
        <s v="C1997"/>
        <s v="C1998"/>
        <s v="C1999"/>
        <s v="C2000"/>
        <s v="C2001"/>
        <s v="C2002"/>
        <s v="C2003"/>
        <s v="C2004"/>
        <s v="C2005"/>
        <s v="C2006"/>
        <s v="C2007"/>
        <s v="C2008"/>
        <s v="C2009"/>
        <s v="C2010"/>
        <s v="C2011"/>
        <s v="C2012"/>
        <s v="C2013"/>
        <s v="C2014"/>
        <s v="C2015"/>
        <s v="C2016"/>
        <s v="C2017"/>
        <s v="C2018"/>
        <s v="C2019"/>
        <s v="C2020"/>
        <s v="C2021"/>
        <s v="C2022"/>
        <s v="C2023"/>
        <s v="C2024"/>
        <s v="C2025"/>
        <s v="C2026"/>
        <s v="C2027"/>
        <s v="C2028"/>
        <s v="C2029"/>
        <s v="C2030"/>
        <s v="C2031"/>
        <s v="C2032"/>
        <s v="C2033"/>
        <s v="C2034"/>
        <s v="C2035"/>
        <s v="C2036"/>
        <s v="C2037"/>
        <s v="C2038"/>
        <s v="C2039"/>
        <s v="C2040"/>
        <s v="C2041"/>
        <s v="C2042"/>
        <s v="C2043"/>
        <s v="C2044"/>
        <s v="C2045"/>
        <s v="C2046"/>
        <s v="C2047"/>
        <s v="C2048"/>
        <s v="C2049"/>
        <s v="C2050"/>
        <s v="C2051"/>
        <s v="C2052"/>
        <s v="C2053"/>
        <s v="C2054"/>
        <s v="C2055"/>
        <s v="C2056"/>
        <s v="C2057"/>
        <s v="C2058"/>
        <s v="C2059"/>
        <s v="C2060"/>
        <s v="C2061"/>
        <s v="C2062"/>
        <s v="C2063"/>
        <s v="C2064"/>
        <s v="C2065"/>
        <s v="C2066"/>
        <s v="C2067"/>
        <s v="C2068"/>
        <s v="C2069"/>
        <s v="C2070"/>
        <s v="C2071"/>
        <s v="C2072"/>
        <s v="C2073"/>
        <s v="C2074"/>
        <s v="C2075"/>
        <s v="C2076"/>
        <s v="C2077"/>
        <s v="C2078"/>
        <s v="C2079"/>
        <s v="C2080"/>
        <s v="C2081"/>
        <s v="C2082"/>
        <s v="C2083"/>
        <s v="C2084"/>
        <s v="C2085"/>
        <s v="C2086"/>
        <s v="C2087"/>
        <s v="C2088"/>
        <s v="C2089"/>
        <s v="C2090"/>
        <s v="C2091"/>
        <s v="C2092"/>
        <s v="C2093"/>
        <s v="C2094"/>
        <s v="C2095"/>
        <s v="C2096"/>
        <s v="C2097"/>
        <s v="C2098"/>
        <s v="C2099"/>
        <s v="C2100"/>
        <s v="C2101"/>
        <s v="C2102"/>
        <s v="C2103"/>
        <s v="C2104"/>
        <s v="C2105"/>
        <s v="C2106"/>
        <s v="C2107"/>
        <s v="C2108"/>
        <s v="C2109"/>
        <s v="C2110"/>
        <s v="C2111"/>
        <s v="C2112"/>
        <s v="C2113"/>
        <s v="C2114"/>
        <s v="C2115"/>
        <s v="C2116"/>
        <s v="C2117"/>
        <s v="C2118"/>
        <s v="C2119"/>
        <s v="C2120"/>
        <s v="C2121"/>
        <s v="C2122"/>
        <s v="C2123"/>
        <s v="C2124"/>
        <s v="C2125"/>
        <s v="C2126"/>
        <s v="C2127"/>
        <s v="C2128"/>
        <s v="C2129"/>
        <s v="C2130"/>
        <s v="C2131"/>
        <s v="C2132"/>
        <s v="C2133"/>
        <s v="C2134"/>
        <s v="C2135"/>
        <s v="C2136"/>
        <s v="C2137"/>
        <s v="C2138"/>
        <s v="C2139"/>
        <s v="C2140"/>
        <s v="C2141"/>
        <s v="C2142"/>
        <s v="C2143"/>
        <s v="C2144"/>
        <s v="C2145"/>
        <s v="C2146"/>
        <s v="C2147"/>
        <s v="C2148"/>
        <s v="C2149"/>
        <s v="C2150"/>
        <s v="C2151"/>
        <s v="C2152"/>
        <s v="C2153"/>
        <s v="C2154"/>
        <s v="C2155"/>
        <s v="C2156"/>
        <s v="C2157"/>
        <s v="C2158"/>
        <s v="C2159"/>
        <s v="C2160"/>
        <s v="C2161"/>
        <s v="C2162"/>
        <s v="C2163"/>
        <s v="C2164"/>
        <s v="C2165"/>
        <s v="C2166"/>
        <s v="C2167"/>
        <s v="C2168"/>
        <s v="C2169"/>
        <s v="C2170"/>
        <s v="C2171"/>
        <s v="C2172"/>
        <s v="C2173"/>
        <s v="C2174"/>
        <s v="C2175"/>
        <s v="C2176"/>
        <s v="C2177"/>
        <s v="C2178"/>
        <s v="C2179"/>
        <s v="C2180"/>
        <s v="C2181"/>
        <s v="C2182"/>
        <s v="C2183"/>
        <s v="C2184"/>
        <s v="C2185"/>
        <s v="C2186"/>
        <s v="C2187"/>
        <s v="C2188"/>
        <s v="C2189"/>
        <s v="C2190"/>
        <s v="C2191"/>
        <s v="C2192"/>
        <s v="C2193"/>
        <s v="C2194"/>
        <s v="C2195"/>
        <s v="C2196"/>
        <s v="C2197"/>
        <s v="C2198"/>
        <s v="C2199"/>
        <s v="C2200"/>
        <s v="C2201"/>
        <s v="C2202"/>
        <s v="C2203"/>
        <s v="C2204"/>
        <s v="C2205"/>
        <s v="C2206"/>
        <s v="C2207"/>
        <s v="C2208"/>
        <s v="C2209"/>
        <s v="C2210"/>
        <s v="C2211"/>
        <s v="C2212"/>
        <s v="C2213"/>
        <s v="C2214"/>
        <s v="C2215"/>
        <s v="C2216"/>
        <s v="C2217"/>
        <s v="C2218"/>
        <s v="C2219"/>
        <s v="C2220"/>
        <s v="C2221"/>
        <s v="C2222"/>
        <s v="C2223"/>
        <s v="C2224"/>
        <s v="C2225"/>
        <s v="C2226"/>
        <s v="C2227"/>
        <s v="C2228"/>
        <s v="C2229"/>
        <s v="C2230"/>
        <s v="C2231"/>
        <s v="C2232"/>
        <s v="C2233"/>
        <s v="C2234"/>
        <s v="C2235"/>
        <s v="C2236"/>
        <s v="C2237"/>
        <s v="C2238"/>
        <s v="C2239"/>
        <s v="C2240"/>
        <s v="C2241"/>
        <s v="C2242"/>
        <s v="C2243"/>
        <s v="C2244"/>
        <s v="C2245"/>
        <s v="C2246"/>
        <s v="C2247"/>
        <s v="C2248"/>
        <s v="C2249"/>
        <s v="C2250"/>
        <s v="C2251"/>
        <s v="C2252"/>
        <s v="C2253"/>
        <s v="C2254"/>
        <s v="C2255"/>
        <s v="C2256"/>
        <s v="C2257"/>
        <s v="C2258"/>
        <s v="C2259"/>
        <s v="C2260"/>
        <s v="C2261"/>
        <s v="C2262"/>
        <s v="C2263"/>
        <s v="C2264"/>
        <s v="C2265"/>
        <s v="C2266"/>
        <s v="C2267"/>
        <s v="C2268"/>
        <s v="C2269"/>
        <s v="C2270"/>
        <s v="C2271"/>
        <s v="C2272"/>
        <s v="C2273"/>
        <s v="C2274"/>
        <s v="C2275"/>
        <s v="C2276"/>
        <s v="C2277"/>
        <s v="C2278"/>
        <s v="C2279"/>
        <s v="C2280"/>
        <s v="C2281"/>
        <s v="C2282"/>
        <s v="C2283"/>
        <s v="C2284"/>
        <s v="C2285"/>
        <s v="C2286"/>
        <s v="C2287"/>
        <s v="C2288"/>
        <s v="C2289"/>
        <s v="C2290"/>
        <s v="C2291"/>
        <s v="C2292"/>
        <s v="C2293"/>
        <s v="C2294"/>
        <s v="C2295"/>
        <s v="C2296"/>
        <s v="C2297"/>
        <s v="C2298"/>
        <s v="C2299"/>
        <s v="C2300"/>
        <s v="C2301"/>
        <s v="C2302"/>
        <s v="C2303"/>
        <s v="C2304"/>
        <s v="C2305"/>
        <s v="C2306"/>
        <s v="C2307"/>
        <s v="C2308"/>
        <s v="C2309"/>
        <s v="C2310"/>
        <s v="C2311"/>
        <s v="C2312"/>
        <s v="C2313"/>
        <s v="C2314"/>
        <s v="C2315"/>
        <s v="C2316"/>
        <s v="C2317"/>
        <s v="C2318"/>
        <s v="C2319"/>
        <s v="C2320"/>
        <s v="C2321"/>
        <s v="C2322"/>
        <s v="C2323"/>
        <s v="C2324"/>
        <s v="C2325"/>
        <s v="C2326"/>
        <s v="C2327"/>
        <s v="C2328"/>
        <s v="C2329"/>
        <s v="C2330"/>
        <s v="C2331"/>
        <s v="C2332"/>
        <s v="C2333"/>
        <s v="C2334"/>
        <s v="C2335"/>
        <s v="C2336"/>
        <s v="C2337"/>
        <s v="C2338"/>
        <s v="C2339"/>
        <s v="C2340"/>
        <s v="C2341"/>
        <s v="C2342"/>
        <s v="C2343"/>
        <s v="C2344"/>
        <s v="C2345"/>
        <s v="C2346"/>
        <s v="C2347"/>
        <s v="C2348"/>
        <s v="C2349"/>
        <s v="C2350"/>
        <s v="C2351"/>
        <s v="C2352"/>
        <s v="C2353"/>
        <s v="C2354"/>
        <s v="C2355"/>
        <s v="C2356"/>
        <s v="C2357"/>
        <s v="C2358"/>
        <s v="C2359"/>
        <s v="C2360"/>
        <s v="C2361"/>
        <s v="C2362"/>
        <s v="C2363"/>
        <s v="C2364"/>
        <s v="C2365"/>
        <s v="C2366"/>
        <s v="C2367"/>
        <s v="C2368"/>
        <s v="C2369"/>
        <s v="C2370"/>
        <s v="C2371"/>
        <s v="C2372"/>
        <s v="C2373"/>
        <s v="C2374"/>
        <s v="C2375"/>
        <s v="C2376"/>
        <s v="C2377"/>
        <s v="C2378"/>
        <s v="C2379"/>
        <s v="C2380"/>
        <s v="C2381"/>
        <s v="C2382"/>
        <s v="C2383"/>
        <s v="C2384"/>
        <s v="C2385"/>
        <s v="C2386"/>
        <s v="C2387"/>
        <s v="C2388"/>
        <s v="C2389"/>
        <s v="C2390"/>
        <s v="C2391"/>
        <s v="C2392"/>
        <s v="C2393"/>
        <s v="C2394"/>
        <s v="C2395"/>
        <s v="C2396"/>
        <s v="C2397"/>
        <s v="C2398"/>
        <s v="C2399"/>
        <s v="C2400"/>
        <s v="C2401"/>
        <s v="C2402"/>
        <s v="C2403"/>
        <s v="C2404"/>
        <s v="C2405"/>
        <s v="C2406"/>
        <s v="C2407"/>
        <s v="C2408"/>
        <s v="C2409"/>
        <s v="C2410"/>
        <s v="C2411"/>
        <s v="C2412"/>
        <s v="C2413"/>
        <s v="C2414"/>
        <s v="C2415"/>
        <s v="C2416"/>
        <s v="C2417"/>
        <s v="C2418"/>
        <s v="C2419"/>
        <s v="C2420"/>
        <s v="C2421"/>
        <s v="C2422"/>
        <s v="C2423"/>
        <s v="C2424"/>
        <s v="C2425"/>
        <s v="C2426"/>
        <s v="C2427"/>
        <s v="C2428"/>
        <s v="C2429"/>
        <s v="C2430"/>
        <s v="C2431"/>
        <s v="C2432"/>
        <s v="C2433"/>
        <s v="C2434"/>
        <s v="C2435"/>
        <s v="C2436"/>
        <s v="C2437"/>
        <s v="C2438"/>
        <s v="C2439"/>
        <s v="C2440"/>
        <s v="C2441"/>
        <s v="C2442"/>
        <s v="C2443"/>
        <s v="C2444"/>
        <s v="C2445"/>
        <s v="C2446"/>
        <s v="C2447"/>
        <s v="C2448"/>
        <s v="C2449"/>
        <s v="C2450"/>
        <s v="C2451"/>
        <s v="C2452"/>
        <s v="C2453"/>
        <s v="C2454"/>
        <s v="C2455"/>
        <s v="C2456"/>
        <s v="C2457"/>
        <s v="C2458"/>
        <s v="C2459"/>
        <s v="C2460"/>
        <s v="C2461"/>
        <s v="C2462"/>
        <s v="C2463"/>
        <s v="C2464"/>
        <s v="C2465"/>
        <s v="C2466"/>
        <s v="C2467"/>
        <s v="C2468"/>
        <s v="C2469"/>
        <s v="C2470"/>
        <s v="C2471"/>
        <s v="C2472"/>
        <s v="C2473"/>
        <s v="C2474"/>
        <s v="C2475"/>
        <s v="C2476"/>
        <s v="C2477"/>
        <s v="C2478"/>
        <s v="C2479"/>
        <s v="C2480"/>
        <s v="C2481"/>
        <s v="C2482"/>
        <s v="C2483"/>
        <s v="C2484"/>
        <s v="C2485"/>
        <s v="C2486"/>
        <s v="C2487"/>
        <s v="C2488"/>
        <s v="C2489"/>
        <s v="C2490"/>
        <s v="C2491"/>
        <s v="C2492"/>
        <s v="C2493"/>
        <s v="C2494"/>
        <s v="C2495"/>
        <s v="C2496"/>
        <s v="C2497"/>
        <s v="C2498"/>
        <s v="C2499"/>
        <s v="C2500"/>
        <s v="C2501"/>
        <s v="C2502"/>
        <s v="C2503"/>
        <s v="C2504"/>
        <s v="C2505"/>
        <s v="C2506"/>
        <s v="C2507"/>
        <s v="C2508"/>
        <s v="C2509"/>
        <s v="C2510"/>
        <s v="C2511"/>
        <s v="C2512"/>
        <s v="C2513"/>
        <s v="C2514"/>
        <s v="C2515"/>
        <s v="C2516"/>
        <s v="C2517"/>
        <s v="C2518"/>
        <s v="C2519"/>
        <s v="C2520"/>
        <s v="C2521"/>
        <s v="C2522"/>
        <s v="C2523"/>
        <s v="C2524"/>
        <s v="C2525"/>
        <s v="C2526"/>
        <s v="C2527"/>
        <s v="C2528"/>
        <s v="C2529"/>
        <s v="C2530"/>
        <s v="C2531"/>
        <s v="C2532"/>
        <s v="C2533"/>
        <s v="C2534"/>
        <s v="C2535"/>
        <s v="C2536"/>
        <s v="C2537"/>
        <s v="C2538"/>
        <s v="C2539"/>
        <s v="C2540"/>
        <s v="C2541"/>
        <s v="C2542"/>
        <s v="C2543"/>
        <s v="C2544"/>
        <s v="C2545"/>
        <s v="C2546"/>
        <s v="C2547"/>
        <s v="C2548"/>
        <s v="C2549"/>
        <s v="C2550"/>
        <s v="C2551"/>
        <s v="C2552"/>
        <s v="C2553"/>
        <s v="C2554"/>
        <s v="C2555"/>
        <s v="C2556"/>
        <s v="C2557"/>
        <s v="C2558"/>
        <s v="C2559"/>
        <s v="C2560"/>
        <s v="C2561"/>
        <s v="C2562"/>
        <s v="C2563"/>
        <s v="C2564"/>
        <s v="C2565"/>
        <s v="C2566"/>
        <s v="C2567"/>
        <s v="C2568"/>
        <s v="C2569"/>
        <s v="C2570"/>
        <s v="C2571"/>
        <s v="C2572"/>
        <s v="C2573"/>
        <s v="C2574"/>
        <s v="C2575"/>
        <s v="C2576"/>
        <s v="C2577"/>
        <s v="C2578"/>
        <s v="C2579"/>
        <s v="C2580"/>
        <s v="C2581"/>
        <s v="C2582"/>
        <s v="C2583"/>
        <s v="C2584"/>
        <s v="C2585"/>
        <s v="C2586"/>
        <s v="C2587"/>
        <s v="C2588"/>
        <s v="C2589"/>
        <s v="C2590"/>
        <s v="C2591"/>
        <s v="C2592"/>
        <s v="C2593"/>
        <s v="C2594"/>
        <s v="C2595"/>
        <s v="C2596"/>
        <s v="C2597"/>
        <s v="C2598"/>
        <s v="C2599"/>
        <s v="C2600"/>
        <s v="C2601"/>
        <s v="C2602"/>
        <s v="C2603"/>
        <s v="C2604"/>
        <s v="C2605"/>
        <s v="C2606"/>
        <s v="C2607"/>
        <s v="C2608"/>
        <s v="C2609"/>
        <s v="C2610"/>
        <s v="C2611"/>
        <s v="C2612"/>
        <s v="C2613"/>
        <s v="C2614"/>
        <s v="C2615"/>
        <s v="C2616"/>
        <s v="C2617"/>
        <s v="C2618"/>
        <s v="C2619"/>
        <s v="C2620"/>
        <s v="C2621"/>
        <s v="C2622"/>
        <s v="C2623"/>
        <s v="C2624"/>
        <s v="C2625"/>
        <s v="C2626"/>
        <s v="C2627"/>
        <s v="C2628"/>
        <s v="C2629"/>
        <s v="C2630"/>
        <s v="C2631"/>
        <s v="C2632"/>
        <s v="C2633"/>
        <s v="C2634"/>
        <s v="C2635"/>
        <s v="C2636"/>
        <s v="C2637"/>
        <s v="C2638"/>
        <s v="C2639"/>
        <s v="C2640"/>
        <s v="C2641"/>
        <s v="C2642"/>
        <s v="C2643"/>
        <s v="C2644"/>
        <s v="C2645"/>
        <s v="C2646"/>
        <s v="C2647"/>
        <s v="C2648"/>
        <s v="C2649"/>
        <s v="C2650"/>
        <s v="C2651"/>
        <s v="C2652"/>
        <s v="C2653"/>
        <s v="C2654"/>
        <s v="C2655"/>
        <s v="C2656"/>
        <s v="C2657"/>
        <s v="C2658"/>
        <s v="C2659"/>
        <s v="C2660"/>
        <s v="C2661"/>
        <s v="C2662"/>
        <s v="C2663"/>
        <s v="C2664"/>
        <s v="C2665"/>
        <s v="C2666"/>
        <s v="C2667"/>
        <s v="C2668"/>
        <s v="C2669"/>
        <s v="C2670"/>
        <s v="C2671"/>
        <s v="C2672"/>
        <s v="C2673"/>
        <s v="C2674"/>
        <s v="C2675"/>
        <s v="C2676"/>
        <s v="C2677"/>
        <s v="C2678"/>
        <s v="C2679"/>
        <s v="C2680"/>
        <s v="C2681"/>
        <s v="C2682"/>
        <s v="C2683"/>
        <s v="C2684"/>
        <s v="C2685"/>
        <s v="C2686"/>
        <s v="C2687"/>
        <s v="C2688"/>
        <s v="C2689"/>
        <s v="C2690"/>
        <s v="C2691"/>
        <s v="C2692"/>
        <s v="C2693"/>
        <s v="C2694"/>
        <s v="C2695"/>
        <s v="C2696"/>
        <s v="C2697"/>
        <s v="C2698"/>
        <s v="C2699"/>
        <s v="C2700"/>
        <s v="C2701"/>
        <s v="C2702"/>
        <s v="C2703"/>
        <s v="C2704"/>
        <s v="C2705"/>
        <s v="C2706"/>
        <s v="C2707"/>
        <s v="C2708"/>
        <s v="C2709"/>
        <s v="C2710"/>
        <s v="C2711"/>
        <s v="C2712"/>
        <s v="C2713"/>
        <s v="C2714"/>
        <s v="C2715"/>
        <s v="C2716"/>
        <s v="C2717"/>
        <s v="C2718"/>
        <s v="C2719"/>
        <s v="C2720"/>
        <s v="C2721"/>
        <s v="C2722"/>
        <s v="C2723"/>
        <s v="C2724"/>
        <s v="C2725"/>
        <s v="C2726"/>
        <s v="C2727"/>
        <s v="C2728"/>
        <s v="C2729"/>
        <s v="C2730"/>
        <s v="C2731"/>
        <s v="C2732"/>
        <s v="C2733"/>
        <s v="C2734"/>
        <s v="C2735"/>
        <s v="C2736"/>
        <s v="C2737"/>
        <s v="C2738"/>
        <s v="C2739"/>
        <s v="C2740"/>
        <s v="C2741"/>
        <s v="C2742"/>
        <s v="C2743"/>
        <s v="C2744"/>
        <s v="C2745"/>
        <s v="C2746"/>
        <s v="C2747"/>
        <s v="C2748"/>
        <s v="C2749"/>
        <s v="C2750"/>
        <s v="C2751"/>
        <s v="C2752"/>
        <s v="C2753"/>
        <s v="C2754"/>
        <s v="C2755"/>
        <s v="C2756"/>
        <s v="C2757"/>
        <s v="C2758"/>
        <s v="C2759"/>
        <s v="C2760"/>
        <s v="C2761"/>
        <s v="C2762"/>
        <s v="C2763"/>
        <s v="C2764"/>
        <s v="C2765"/>
        <s v="C2766"/>
        <s v="C2767"/>
        <s v="C2768"/>
        <s v="C2769"/>
        <s v="C2770"/>
        <s v="C2771"/>
        <s v="C2772"/>
        <s v="C2773"/>
        <s v="C2774"/>
        <s v="C2775"/>
        <s v="C2776"/>
        <s v="C2777"/>
        <s v="C2778"/>
        <s v="C2779"/>
        <s v="C2780"/>
        <s v="C2781"/>
        <s v="C2782"/>
        <s v="C2783"/>
        <s v="C2784"/>
        <s v="C2785"/>
        <s v="C2786"/>
        <s v="C2787"/>
        <s v="C2788"/>
        <s v="C2789"/>
        <s v="C2790"/>
        <s v="C2791"/>
        <s v="C2792"/>
        <s v="C2793"/>
        <s v="C2794"/>
        <s v="C2795"/>
        <s v="C2796"/>
        <s v="C2797"/>
        <s v="C2798"/>
        <s v="C2799"/>
        <s v="C2800"/>
        <s v="C2801"/>
        <s v="C2802"/>
        <s v="C2803"/>
        <s v="C2804"/>
        <s v="C2805"/>
        <s v="C2806"/>
        <s v="C2807"/>
        <s v="C2808"/>
        <s v="C2809"/>
        <s v="C2810"/>
        <s v="C2811"/>
        <s v="C2812"/>
        <s v="C2813"/>
        <s v="C2814"/>
        <s v="C2815"/>
        <s v="C2816"/>
        <s v="C2817"/>
        <s v="C2818"/>
        <s v="C2819"/>
        <s v="C2820"/>
        <s v="C2821"/>
        <s v="C2822"/>
        <s v="C2823"/>
        <s v="C2824"/>
        <s v="C2825"/>
        <s v="C2826"/>
        <s v="C2827"/>
        <s v="C2828"/>
        <s v="C2829"/>
        <s v="C2830"/>
        <s v="C2831"/>
        <s v="C2832"/>
        <s v="C2833"/>
        <s v="C2834"/>
        <s v="C2835"/>
        <s v="C2836"/>
        <s v="C2837"/>
        <s v="C2838"/>
        <s v="C2839"/>
        <s v="C2840"/>
        <s v="C2841"/>
        <s v="C2842"/>
        <s v="C2843"/>
        <s v="C2844"/>
        <s v="C2845"/>
        <s v="C2846"/>
        <s v="C2847"/>
        <s v="C2848"/>
        <s v="C2849"/>
        <s v="C2850"/>
        <s v="C2851"/>
        <s v="C2852"/>
        <s v="C2853"/>
        <s v="C2854"/>
        <s v="C2855"/>
        <s v="C2856"/>
        <s v="C2857"/>
        <s v="C2858"/>
        <s v="C2859"/>
        <s v="C2860"/>
        <s v="C2861"/>
        <s v="C2862"/>
        <s v="C2863"/>
        <s v="C2864"/>
        <s v="C2865"/>
        <s v="C2866"/>
        <s v="C2867"/>
        <s v="C2868"/>
        <s v="C2869"/>
        <s v="C2870"/>
        <s v="C2871"/>
        <s v="C2872"/>
        <s v="C2873"/>
        <s v="C2874"/>
        <s v="C2875"/>
        <s v="C2876"/>
        <s v="C2877"/>
        <s v="C2878"/>
        <s v="C2879"/>
        <s v="C2880"/>
        <s v="C2881"/>
        <s v="C2882"/>
        <s v="C2883"/>
        <s v="C2884"/>
        <s v="C2885"/>
        <s v="C2886"/>
        <s v="C2887"/>
        <s v="C2888"/>
        <s v="C2889"/>
        <s v="C2890"/>
        <s v="C2891"/>
        <s v="C2892"/>
        <s v="C2893"/>
        <s v="C2894"/>
        <s v="C2895"/>
        <s v="C2896"/>
        <s v="C2897"/>
        <s v="C2898"/>
        <s v="C2899"/>
        <s v="C2900"/>
        <s v="C2901"/>
        <s v="C2902"/>
        <s v="C2903"/>
        <s v="C2904"/>
        <s v="C2905"/>
        <s v="C2906"/>
        <s v="C2907"/>
        <s v="C2908"/>
        <s v="C2909"/>
        <s v="C2910"/>
        <s v="C2911"/>
        <s v="C2912"/>
        <s v="C2913"/>
        <s v="C2914"/>
        <s v="C2915"/>
        <s v="C2916"/>
        <s v="C2917"/>
        <s v="C2918"/>
        <s v="C2919"/>
        <s v="C2920"/>
        <s v="C2921"/>
        <s v="C2922"/>
        <s v="C2923"/>
        <s v="C2924"/>
        <s v="C2925"/>
        <s v="C2926"/>
        <s v="C2927"/>
        <s v="C2928"/>
        <s v="C2929"/>
        <s v="C2930"/>
        <s v="C2931"/>
        <s v="C2932"/>
        <s v="C2933"/>
        <s v="C2934"/>
        <s v="C2935"/>
        <s v="C2936"/>
        <s v="C2937"/>
        <s v="C2938"/>
        <s v="C2939"/>
        <s v="C2940"/>
        <s v="C2941"/>
        <s v="C2942"/>
        <s v="C2943"/>
        <s v="C2944"/>
        <s v="C2945"/>
        <s v="C2946"/>
        <s v="C2947"/>
        <s v="C2948"/>
        <s v="C2949"/>
        <s v="C2950"/>
        <s v="C2951"/>
        <s v="C2952"/>
        <s v="C2953"/>
        <s v="C2954"/>
        <s v="C2955"/>
        <s v="C2956"/>
        <s v="C2957"/>
        <s v="C2958"/>
        <s v="C2959"/>
        <s v="C2960"/>
        <s v="C2961"/>
        <s v="C2962"/>
        <s v="C2963"/>
        <s v="C2964"/>
        <s v="C2965"/>
        <s v="C2966"/>
        <s v="C2967"/>
        <s v="C2968"/>
        <s v="C2969"/>
        <s v="C2970"/>
        <s v="C2971"/>
        <s v="C2972"/>
        <s v="C2973"/>
        <s v="C2974"/>
        <s v="C2975"/>
        <s v="C2976"/>
        <s v="C2977"/>
        <s v="C2978"/>
        <s v="C2979"/>
        <s v="C2980"/>
        <s v="C2981"/>
        <s v="C2982"/>
        <s v="C2983"/>
        <s v="C2984"/>
        <s v="C2985"/>
        <s v="C2986"/>
        <s v="C2987"/>
        <s v="C2988"/>
        <s v="C2989"/>
        <s v="C2990"/>
        <s v="C2991"/>
        <s v="C2992"/>
        <s v="C2993"/>
        <s v="C2994"/>
        <s v="C2995"/>
        <s v="C2996"/>
        <s v="C2997"/>
        <s v="C2998"/>
        <s v="C2999"/>
        <s v="C3000"/>
        <m/>
      </sharedItems>
    </cacheField>
    <cacheField name="Customer Name" numFmtId="0">
      <sharedItems containsBlank="1"/>
    </cacheField>
    <cacheField name="Gender" numFmtId="0">
      <sharedItems containsBlank="1"/>
    </cacheField>
    <cacheField name="Age" numFmtId="0">
      <sharedItems containsString="0" containsBlank="1" containsNumber="1" containsInteger="1" minValue="18" maxValue="75"/>
    </cacheField>
    <cacheField name="City" numFmtId="0">
      <sharedItems containsBlank="1"/>
    </cacheField>
    <cacheField name="Contract Type" numFmtId="0">
      <sharedItems containsBlank="1" count="5">
        <s v="Month-to-month"/>
        <s v="One year"/>
        <s v="Two year"/>
        <s v="Unknown"/>
        <m/>
      </sharedItems>
    </cacheField>
    <cacheField name="Tenure (Months)" numFmtId="0">
      <sharedItems containsString="0" containsBlank="1" containsNumber="1" containsInteger="1" minValue="1" maxValue="72"/>
    </cacheField>
    <cacheField name="Monthly Charges (₹)" numFmtId="0">
      <sharedItems containsString="0" containsBlank="1" containsNumber="1" containsInteger="1" minValue="349" maxValue="1299"/>
    </cacheField>
    <cacheField name="Total Charges (₹)" numFmtId="0">
      <sharedItems containsString="0" containsBlank="1" containsNumber="1" containsInteger="1" minValue="399" maxValue="89631"/>
    </cacheField>
    <cacheField name="Internet Service" numFmtId="0">
      <sharedItems containsBlank="1"/>
    </cacheField>
    <cacheField name="Signup Date" numFmtId="0">
      <sharedItems containsNonDate="0" containsDate="1" containsString="0" containsBlank="1" minDate="2019-10-03T00:00:00" maxDate="2025-08-30T00:00:00"/>
    </cacheField>
    <cacheField name="Churn" numFmtId="0">
      <sharedItems containsBlank="1"/>
    </cacheField>
    <cacheField name="Age_Imputed" numFmtId="0">
      <sharedItems containsBlank="1"/>
    </cacheField>
    <cacheField name="Tenure_Imputed" numFmtId="0">
      <sharedItems containsBlank="1"/>
    </cacheField>
    <cacheField name="Monthly_Imputed" numFmtId="0">
      <sharedItems containsBlank="1"/>
    </cacheField>
    <cacheField name="Total_Imputed" numFmtId="0">
      <sharedItems containsBlank="1"/>
    </cacheField>
    <cacheField name="Needs_Review"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6.864241782408" createdVersion="8" refreshedVersion="8" minRefreshableVersion="3" recordCount="2000" xr:uid="{3E1AD4E8-3E69-4794-8D24-3E139CD0A26A}">
  <cacheSource type="worksheet">
    <worksheetSource ref="A1:T2001" sheet="Customer_churn_data"/>
  </cacheSource>
  <cacheFields count="17">
    <cacheField name="CustID" numFmtId="0">
      <sharedItems/>
    </cacheField>
    <cacheField name="Customer Name" numFmtId="0">
      <sharedItems/>
    </cacheField>
    <cacheField name="Gender" numFmtId="0">
      <sharedItems/>
    </cacheField>
    <cacheField name="Age" numFmtId="0">
      <sharedItems containsSemiMixedTypes="0" containsString="0" containsNumber="1" containsInteger="1" minValue="18" maxValue="75"/>
    </cacheField>
    <cacheField name="City" numFmtId="0">
      <sharedItems count="15">
        <s v="Hyderabad"/>
        <s v="Jaipur"/>
        <s v="Pune"/>
        <s v="Delhi"/>
        <s v="Mumbai"/>
        <s v="Chennai"/>
        <s v="Chandigarh"/>
        <s v="Ahmedabad"/>
        <s v="Bangalore"/>
        <s v="Indore"/>
        <s v="Unknown"/>
        <s v="Lucknow"/>
        <s v="Kolkata"/>
        <s v="Kochi"/>
        <s v="Bhopal"/>
      </sharedItems>
    </cacheField>
    <cacheField name="Contract Type" numFmtId="0">
      <sharedItems count="4">
        <s v="Month-to-month"/>
        <s v="One year"/>
        <s v="Two year"/>
        <s v="Unknown"/>
      </sharedItems>
    </cacheField>
    <cacheField name="Tenure (Months)" numFmtId="0">
      <sharedItems containsString="0" containsBlank="1" containsNumber="1" containsInteger="1" minValue="1" maxValue="72" count="73">
        <n v="22"/>
        <n v="35"/>
        <n v="11"/>
        <n v="25"/>
        <n v="10"/>
        <n v="72"/>
        <n v="19"/>
        <n v="38"/>
        <n v="15"/>
        <n v="24"/>
        <n v="17"/>
        <n v="20"/>
        <m/>
        <n v="5"/>
        <n v="37"/>
        <n v="6"/>
        <n v="12"/>
        <n v="13"/>
        <n v="70"/>
        <n v="27"/>
        <n v="28"/>
        <n v="1"/>
        <n v="2"/>
        <n v="23"/>
        <n v="3"/>
        <n v="39"/>
        <n v="21"/>
        <n v="7"/>
        <n v="8"/>
        <n v="34"/>
        <n v="18"/>
        <n v="59"/>
        <n v="4"/>
        <n v="14"/>
        <n v="60"/>
        <n v="9"/>
        <n v="16"/>
        <n v="36"/>
        <n v="52"/>
        <n v="29"/>
        <n v="58"/>
        <n v="50"/>
        <n v="26"/>
        <n v="41"/>
        <n v="67"/>
        <n v="31"/>
        <n v="33"/>
        <n v="32"/>
        <n v="66"/>
        <n v="71"/>
        <n v="55"/>
        <n v="61"/>
        <n v="49"/>
        <n v="48"/>
        <n v="69"/>
        <n v="56"/>
        <n v="54"/>
        <n v="30"/>
        <n v="51"/>
        <n v="45"/>
        <n v="68"/>
        <n v="63"/>
        <n v="53"/>
        <n v="42"/>
        <n v="40"/>
        <n v="43"/>
        <n v="62"/>
        <n v="47"/>
        <n v="64"/>
        <n v="44"/>
        <n v="46"/>
        <n v="57"/>
        <n v="65"/>
      </sharedItems>
    </cacheField>
    <cacheField name="Monthly Charges (₹)" numFmtId="3">
      <sharedItems containsString="0" containsBlank="1" containsNumber="1" containsInteger="1" minValue="349" maxValue="1299"/>
    </cacheField>
    <cacheField name="Total Charges (₹)" numFmtId="3">
      <sharedItems containsString="0" containsBlank="1" containsNumber="1" containsInteger="1" minValue="399" maxValue="89631"/>
    </cacheField>
    <cacheField name="Internet Service" numFmtId="0">
      <sharedItems count="4">
        <s v="Fiber"/>
        <s v="DSL"/>
        <s v="No Internet"/>
        <s v="Unknown"/>
      </sharedItems>
    </cacheField>
    <cacheField name="Signup Date" numFmtId="164">
      <sharedItems containsNonDate="0" containsDate="1" containsString="0" containsBlank="1" minDate="2019-10-03T00:00:00" maxDate="2025-08-30T00:00:00"/>
    </cacheField>
    <cacheField name="Churn" numFmtId="0">
      <sharedItems count="3">
        <s v="No"/>
        <s v="Yes"/>
        <s v="Unknown"/>
      </sharedItems>
    </cacheField>
    <cacheField name="Age_Imputed" numFmtId="0">
      <sharedItems/>
    </cacheField>
    <cacheField name="Tenure_Imputed" numFmtId="0">
      <sharedItems/>
    </cacheField>
    <cacheField name="Monthly_Imputed" numFmtId="0">
      <sharedItems count="2">
        <s v="No"/>
        <s v="Yes"/>
      </sharedItems>
    </cacheField>
    <cacheField name="Total_Imputed" numFmtId="0">
      <sharedItems count="2">
        <s v="No"/>
        <s v="Yes"/>
      </sharedItems>
    </cacheField>
    <cacheField name="Needs_Review"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7.509196180552" createdVersion="8" refreshedVersion="8" minRefreshableVersion="3" recordCount="2000" xr:uid="{5DC1E628-4760-47B3-B6A3-224F4C0F9363}">
  <cacheSource type="worksheet">
    <worksheetSource name="Table2"/>
  </cacheSource>
  <cacheFields count="20">
    <cacheField name="CustID" numFmtId="0">
      <sharedItems/>
    </cacheField>
    <cacheField name="Customer Name" numFmtId="0">
      <sharedItems/>
    </cacheField>
    <cacheField name="Gender" numFmtId="0">
      <sharedItems/>
    </cacheField>
    <cacheField name="Age" numFmtId="0">
      <sharedItems containsSemiMixedTypes="0" containsString="0" containsNumber="1" containsInteger="1" minValue="18" maxValue="75"/>
    </cacheField>
    <cacheField name="age group " numFmtId="0">
      <sharedItems count="5">
        <s v="26-35"/>
        <s v="46-60"/>
        <s v="60+"/>
        <s v="36-45"/>
        <s v="18-25"/>
      </sharedItems>
    </cacheField>
    <cacheField name="City" numFmtId="0">
      <sharedItems count="15">
        <s v="Hyderabad"/>
        <s v="Jaipur"/>
        <s v="Pune"/>
        <s v="Delhi"/>
        <s v="Mumbai"/>
        <s v="Chennai"/>
        <s v="Chandigarh"/>
        <s v="Ahmedabad"/>
        <s v="Bangalore"/>
        <s v="Indore"/>
        <s v="Unknown"/>
        <s v="Lucknow"/>
        <s v="Kolkata"/>
        <s v="Kochi"/>
        <s v="Bhopal"/>
      </sharedItems>
    </cacheField>
    <cacheField name="Contract Type" numFmtId="0">
      <sharedItems/>
    </cacheField>
    <cacheField name="Tenure (Months)" numFmtId="0">
      <sharedItems containsString="0" containsBlank="1" containsNumber="1" containsInteger="1" minValue="1" maxValue="72"/>
    </cacheField>
    <cacheField name="Tenure  Bucket " numFmtId="0">
      <sharedItems count="5">
        <s v="13-24 months"/>
        <s v="25-48 months"/>
        <s v="7-12 months"/>
        <s v="49+ months"/>
        <s v="0-6 months"/>
      </sharedItems>
    </cacheField>
    <cacheField name="Monthly Charges (₹)" numFmtId="3">
      <sharedItems containsString="0" containsBlank="1" containsNumber="1" containsInteger="1" minValue="349" maxValue="1299"/>
    </cacheField>
    <cacheField name="Total Charges (₹)" numFmtId="3">
      <sharedItems containsString="0" containsBlank="1" containsNumber="1" containsInteger="1" minValue="399" maxValue="89631"/>
    </cacheField>
    <cacheField name="Internet Service" numFmtId="0">
      <sharedItems/>
    </cacheField>
    <cacheField name="Signup Date" numFmtId="164">
      <sharedItems containsNonDate="0" containsDate="1" containsString="0" containsBlank="1" minDate="2019-10-03T00:00:00" maxDate="2025-08-30T00:00:00"/>
    </cacheField>
    <cacheField name="Churn" numFmtId="0">
      <sharedItems/>
    </cacheField>
    <cacheField name="Churn_Flag" numFmtId="0">
      <sharedItems containsMixedTypes="1" containsNumber="1" containsInteger="1" minValue="0" maxValue="1"/>
    </cacheField>
    <cacheField name="Age_Imputed" numFmtId="0">
      <sharedItems/>
    </cacheField>
    <cacheField name="Tenure_Imputed" numFmtId="0">
      <sharedItems/>
    </cacheField>
    <cacheField name="Monthly_Imputed" numFmtId="0">
      <sharedItems/>
    </cacheField>
    <cacheField name="Total_Imputed" numFmtId="0">
      <sharedItems/>
    </cacheField>
    <cacheField name="Needs_Review"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s v="Rahul Agarwal"/>
    <s v="Male"/>
    <n v="35"/>
    <s v="Hyderabad"/>
    <x v="0"/>
    <n v="22"/>
    <n v="1149"/>
    <n v="25278"/>
    <s v="Fiber"/>
    <d v="2023-12-07T00:00:00"/>
    <s v="No"/>
    <s v="No"/>
    <s v="No"/>
    <s v="No"/>
    <s v="No"/>
    <s v="No"/>
  </r>
  <r>
    <x v="1"/>
    <s v="Vikram Mehta"/>
    <s v="Male"/>
    <n v="32"/>
    <s v="Jaipur"/>
    <x v="1"/>
    <n v="35"/>
    <n v="999"/>
    <n v="34965"/>
    <s v="Fiber"/>
    <d v="2022-10-19T00:00:00"/>
    <s v="No"/>
    <s v="No"/>
    <s v="No"/>
    <s v="No"/>
    <s v="No"/>
    <s v="No"/>
  </r>
  <r>
    <x v="2"/>
    <s v="Arjun Pandey"/>
    <s v="Male"/>
    <n v="47"/>
    <s v="Pune"/>
    <x v="0"/>
    <n v="11"/>
    <n v="599"/>
    <n v="6589"/>
    <s v="DSL"/>
    <d v="2024-10-06T00:00:00"/>
    <s v="Yes"/>
    <s v="Yes"/>
    <s v="No"/>
    <s v="No"/>
    <s v="No"/>
    <s v="No"/>
  </r>
  <r>
    <x v="3"/>
    <s v="Riya Malhotra"/>
    <s v="Female"/>
    <n v="69"/>
    <s v="Delhi"/>
    <x v="1"/>
    <n v="25"/>
    <n v="1149"/>
    <n v="28725"/>
    <s v="Fiber"/>
    <d v="2023-08-21T00:00:00"/>
    <s v="Unknown"/>
    <s v="No"/>
    <s v="No"/>
    <s v="No"/>
    <s v="No"/>
    <s v="Churn unknown"/>
  </r>
  <r>
    <x v="4"/>
    <s v="Tanvi Mehta"/>
    <s v="Female"/>
    <n v="63"/>
    <s v="Mumbai"/>
    <x v="0"/>
    <n v="10"/>
    <n v="599"/>
    <n v="5990"/>
    <s v="DSL"/>
    <d v="2024-11-20T00:00:00"/>
    <s v="No"/>
    <s v="No"/>
    <s v="No"/>
    <s v="No"/>
    <s v="No"/>
    <s v="No"/>
  </r>
  <r>
    <x v="5"/>
    <s v="Shreya Chopra"/>
    <s v="Female"/>
    <n v="71"/>
    <s v="Pune"/>
    <x v="0"/>
    <n v="22"/>
    <n v="1199"/>
    <n v="26378"/>
    <s v="Fiber"/>
    <d v="2023-12-03T00:00:00"/>
    <s v="No"/>
    <s v="No"/>
    <s v="No"/>
    <s v="No"/>
    <s v="No"/>
    <s v="No"/>
  </r>
  <r>
    <x v="6"/>
    <s v="Arjun Kapoor"/>
    <s v="Male"/>
    <n v="42"/>
    <s v="Chennai"/>
    <x v="2"/>
    <n v="72"/>
    <n v="1199"/>
    <n v="86328"/>
    <s v="Fiber"/>
    <d v="2019-10-06T00:00:00"/>
    <s v="No"/>
    <s v="No"/>
    <s v="No"/>
    <s v="No"/>
    <s v="No"/>
    <s v="No"/>
  </r>
  <r>
    <x v="7"/>
    <s v="Manish Verma"/>
    <s v="Male"/>
    <n v="69"/>
    <s v="Pune"/>
    <x v="0"/>
    <n v="19"/>
    <n v="849"/>
    <n v="16131"/>
    <s v="DSL"/>
    <d v="2024-02-24T00:00:00"/>
    <s v="No"/>
    <s v="No"/>
    <s v="No"/>
    <s v="No"/>
    <s v="No"/>
    <s v="No"/>
  </r>
  <r>
    <x v="8"/>
    <s v="Pooja Malhotra"/>
    <s v="Female"/>
    <n v="26"/>
    <s v="Hyderabad"/>
    <x v="1"/>
    <n v="38"/>
    <n v="1149"/>
    <n v="43662"/>
    <s v="Fiber"/>
    <d v="2022-08-11T00:00:00"/>
    <s v="No"/>
    <s v="No"/>
    <s v="No"/>
    <s v="No"/>
    <s v="Yes"/>
    <s v="No"/>
  </r>
  <r>
    <x v="9"/>
    <s v="Neha Verma"/>
    <s v="Female"/>
    <n v="73"/>
    <s v="Mumbai"/>
    <x v="0"/>
    <n v="22"/>
    <n v="749"/>
    <n v="16478"/>
    <s v="DSL"/>
    <m/>
    <s v="Yes"/>
    <s v="No"/>
    <s v="No"/>
    <s v="No"/>
    <s v="No"/>
    <s v="Date missing"/>
  </r>
  <r>
    <x v="10"/>
    <s v="Payal Malhotra"/>
    <s v="Female"/>
    <n v="53"/>
    <s v="Chandigarh"/>
    <x v="2"/>
    <n v="15"/>
    <n v="1149"/>
    <n v="17235"/>
    <s v="Fiber"/>
    <d v="2024-06-25T00:00:00"/>
    <s v="No"/>
    <s v="No"/>
    <s v="No"/>
    <s v="No"/>
    <s v="No"/>
    <s v="No"/>
  </r>
  <r>
    <x v="11"/>
    <s v="Harsh Tiwari"/>
    <s v="Male"/>
    <n v="28"/>
    <s v="Ahmedabad"/>
    <x v="0"/>
    <n v="24"/>
    <n v="1149"/>
    <n v="27576"/>
    <s v="Fiber"/>
    <d v="2023-10-06T00:00:00"/>
    <s v="No"/>
    <s v="No"/>
    <s v="No"/>
    <s v="No"/>
    <s v="No"/>
    <s v="No"/>
  </r>
  <r>
    <x v="12"/>
    <s v="Payal Yadav"/>
    <s v="Unknown"/>
    <n v="30"/>
    <s v="Bangalore"/>
    <x v="0"/>
    <n v="17"/>
    <n v="599"/>
    <n v="10183"/>
    <s v="DSL"/>
    <d v="2024-05-03T00:00:00"/>
    <s v="No"/>
    <s v="No"/>
    <s v="No"/>
    <s v="No"/>
    <s v="No"/>
    <s v="No"/>
  </r>
  <r>
    <x v="13"/>
    <s v="Aditi Nair"/>
    <s v="Female"/>
    <n v="21"/>
    <s v="Hyderabad"/>
    <x v="2"/>
    <n v="11"/>
    <n v="349"/>
    <n v="3839"/>
    <s v="No Internet"/>
    <d v="2024-10-16T00:00:00"/>
    <s v="No"/>
    <s v="No"/>
    <s v="No"/>
    <s v="No"/>
    <s v="No"/>
    <s v="No"/>
  </r>
  <r>
    <x v="14"/>
    <s v="Rohit Saxena"/>
    <s v="Unknown"/>
    <n v="48"/>
    <s v="Jaipur"/>
    <x v="0"/>
    <n v="20"/>
    <n v="999"/>
    <n v="19980"/>
    <s v="Fiber"/>
    <d v="2024-01-15T00:00:00"/>
    <s v="No"/>
    <s v="No"/>
    <s v="No"/>
    <s v="No"/>
    <s v="No"/>
    <s v="No"/>
  </r>
  <r>
    <x v="15"/>
    <s v="Harsh Rao"/>
    <s v="Male"/>
    <n v="60"/>
    <s v="Indore"/>
    <x v="0"/>
    <m/>
    <m/>
    <n v="5985"/>
    <s v="No Internet"/>
    <d v="2024-07-05T00:00:00"/>
    <s v="Yes"/>
    <s v="No"/>
    <s v="No"/>
    <s v="No"/>
    <s v="No"/>
    <s v="Monthly missing; Tenure missing"/>
  </r>
  <r>
    <x v="16"/>
    <s v="Rajesh Nair"/>
    <s v="Male"/>
    <n v="18"/>
    <s v="Mumbai"/>
    <x v="1"/>
    <n v="5"/>
    <n v="599"/>
    <n v="2995"/>
    <s v="DSL"/>
    <d v="2025-04-24T00:00:00"/>
    <s v="Yes"/>
    <s v="No"/>
    <s v="No"/>
    <s v="No"/>
    <s v="No"/>
    <s v="No"/>
  </r>
  <r>
    <x v="17"/>
    <s v="Komal Mehta"/>
    <s v="Female"/>
    <n v="52"/>
    <s v="Bangalore"/>
    <x v="1"/>
    <n v="37"/>
    <n v="499"/>
    <n v="18463"/>
    <s v="No Internet"/>
    <d v="2022-09-08T00:00:00"/>
    <s v="No"/>
    <s v="No"/>
    <s v="No"/>
    <s v="No"/>
    <s v="No"/>
    <s v="No"/>
  </r>
  <r>
    <x v="18"/>
    <s v="Karan Saxena"/>
    <s v="Male"/>
    <n v="45"/>
    <s v="Pune"/>
    <x v="0"/>
    <n v="24"/>
    <n v="1199"/>
    <n v="28776"/>
    <s v="Fiber"/>
    <d v="2023-09-16T00:00:00"/>
    <s v="Yes"/>
    <s v="No"/>
    <s v="No"/>
    <s v="No"/>
    <s v="No"/>
    <s v="No"/>
  </r>
  <r>
    <x v="19"/>
    <s v="Anjali Nair"/>
    <s v="Female"/>
    <n v="30"/>
    <s v="Hyderabad"/>
    <x v="0"/>
    <n v="6"/>
    <n v="699"/>
    <n v="4194"/>
    <s v="DSL"/>
    <d v="2025-03-30T00:00:00"/>
    <s v="No"/>
    <s v="No"/>
    <s v="No"/>
    <s v="No"/>
    <s v="Yes"/>
    <s v="No"/>
  </r>
  <r>
    <x v="20"/>
    <s v="Sonal Reddy"/>
    <s v="Female"/>
    <n v="21"/>
    <s v="Indore"/>
    <x v="2"/>
    <n v="12"/>
    <n v="399"/>
    <n v="4788"/>
    <s v="No Internet"/>
    <d v="2024-09-18T00:00:00"/>
    <s v="No"/>
    <s v="No"/>
    <s v="No"/>
    <s v="No"/>
    <s v="Yes"/>
    <s v="No"/>
  </r>
  <r>
    <x v="21"/>
    <s v="Deepika Rao"/>
    <s v="Female"/>
    <n v="75"/>
    <s v="Delhi"/>
    <x v="0"/>
    <n v="13"/>
    <n v="699"/>
    <n v="9087"/>
    <s v="DSL"/>
    <d v="2024-08-12T00:00:00"/>
    <s v="Yes"/>
    <s v="No"/>
    <s v="No"/>
    <s v="No"/>
    <s v="No"/>
    <s v="No"/>
  </r>
  <r>
    <x v="22"/>
    <s v="Pooja Mehta"/>
    <s v="Female"/>
    <n v="36"/>
    <s v="Hyderabad"/>
    <x v="2"/>
    <n v="70"/>
    <n v="1199"/>
    <n v="83930"/>
    <s v="Fiber"/>
    <d v="2019-12-11T00:00:00"/>
    <s v="Yes"/>
    <s v="No"/>
    <s v="No"/>
    <s v="No"/>
    <s v="No"/>
    <s v="No"/>
  </r>
  <r>
    <x v="23"/>
    <s v="Payal Jain"/>
    <s v="Female"/>
    <n v="28"/>
    <s v="Unknown"/>
    <x v="2"/>
    <n v="24"/>
    <n v="599"/>
    <n v="14376"/>
    <s v="DSL"/>
    <d v="2023-10-02T00:00:00"/>
    <s v="No"/>
    <s v="No"/>
    <s v="No"/>
    <s v="No"/>
    <s v="No"/>
    <s v="No"/>
  </r>
  <r>
    <x v="24"/>
    <s v="Anjali Bose"/>
    <s v="Female"/>
    <n v="33"/>
    <s v="Lucknow"/>
    <x v="1"/>
    <n v="27"/>
    <n v="1149"/>
    <n v="31023"/>
    <s v="Fiber"/>
    <d v="2023-06-12T00:00:00"/>
    <s v="No"/>
    <s v="No"/>
    <s v="No"/>
    <s v="No"/>
    <s v="No"/>
    <s v="No"/>
  </r>
  <r>
    <x v="25"/>
    <s v="Deepika Saxena"/>
    <s v="Female"/>
    <n v="63"/>
    <s v="Pune"/>
    <x v="0"/>
    <n v="22"/>
    <n v="1049"/>
    <n v="23078"/>
    <s v="Fiber"/>
    <m/>
    <s v="Yes"/>
    <s v="No"/>
    <s v="No"/>
    <s v="No"/>
    <s v="No"/>
    <s v="Date missing"/>
  </r>
  <r>
    <x v="26"/>
    <s v="Rahul Kapoor"/>
    <s v="Male"/>
    <n v="57"/>
    <s v="Lucknow"/>
    <x v="2"/>
    <n v="28"/>
    <n v="799"/>
    <n v="22372"/>
    <s v="DSL"/>
    <d v="2023-05-14T00:00:00"/>
    <s v="No"/>
    <s v="No"/>
    <s v="No"/>
    <s v="No"/>
    <s v="No"/>
    <s v="No"/>
  </r>
  <r>
    <x v="27"/>
    <s v="Unknown"/>
    <s v="Male"/>
    <n v="36"/>
    <s v="Bangalore"/>
    <x v="0"/>
    <n v="10"/>
    <n v="1299"/>
    <n v="12990"/>
    <s v="Fiber"/>
    <d v="2024-11-06T00:00:00"/>
    <s v="Yes"/>
    <s v="No"/>
    <s v="No"/>
    <s v="No"/>
    <s v="No"/>
    <s v="No"/>
  </r>
  <r>
    <x v="28"/>
    <s v="Anjali Singh"/>
    <s v="Female"/>
    <n v="34"/>
    <s v="Mumbai"/>
    <x v="2"/>
    <n v="20"/>
    <n v="1049"/>
    <n v="20980"/>
    <s v="Fiber"/>
    <m/>
    <s v="No"/>
    <s v="No"/>
    <s v="Yes"/>
    <s v="No"/>
    <s v="No"/>
    <s v="Date missing"/>
  </r>
  <r>
    <x v="29"/>
    <s v="Suresh Jain"/>
    <s v="Male"/>
    <n v="49"/>
    <s v="Chennai"/>
    <x v="3"/>
    <n v="12"/>
    <n v="449"/>
    <n v="5388"/>
    <s v="No Internet"/>
    <d v="2024-09-23T00:00:00"/>
    <s v="Yes"/>
    <s v="No"/>
    <s v="No"/>
    <s v="No"/>
    <s v="No"/>
    <s v="No"/>
  </r>
  <r>
    <x v="30"/>
    <s v="Suresh Gupta"/>
    <s v="Male"/>
    <n v="65"/>
    <s v="Ahmedabad"/>
    <x v="1"/>
    <n v="1"/>
    <n v="899"/>
    <n v="899"/>
    <s v="Fiber"/>
    <d v="2025-08-03T00:00:00"/>
    <s v="No"/>
    <s v="No"/>
    <s v="No"/>
    <s v="No"/>
    <s v="Yes"/>
    <s v="No"/>
  </r>
  <r>
    <x v="31"/>
    <s v="Tanvi Mishra"/>
    <s v="Female"/>
    <n v="27"/>
    <s v="Kolkata"/>
    <x v="0"/>
    <n v="2"/>
    <n v="699"/>
    <n v="1398"/>
    <s v="DSL"/>
    <d v="2025-07-19T00:00:00"/>
    <s v="No"/>
    <s v="No"/>
    <s v="No"/>
    <s v="No"/>
    <s v="No"/>
    <s v="No"/>
  </r>
  <r>
    <x v="32"/>
    <s v="Riya Agarwal"/>
    <s v="Female"/>
    <n v="27"/>
    <s v="Hyderabad"/>
    <x v="2"/>
    <n v="23"/>
    <n v="399"/>
    <n v="9177"/>
    <s v="No Internet"/>
    <d v="2023-10-29T00:00:00"/>
    <s v="No"/>
    <s v="No"/>
    <s v="No"/>
    <s v="No"/>
    <s v="No"/>
    <s v="No"/>
  </r>
  <r>
    <x v="33"/>
    <s v="Ritu Malhotra"/>
    <s v="Female"/>
    <n v="28"/>
    <s v="Kochi"/>
    <x v="1"/>
    <n v="3"/>
    <n v="1099"/>
    <n v="3297"/>
    <s v="Fiber"/>
    <d v="2025-06-01T00:00:00"/>
    <s v="Yes"/>
    <s v="No"/>
    <s v="No"/>
    <s v="No"/>
    <s v="No"/>
    <s v="No"/>
  </r>
  <r>
    <x v="34"/>
    <s v="Isha Iyer"/>
    <s v="Female"/>
    <n v="70"/>
    <s v="Kochi"/>
    <x v="2"/>
    <n v="25"/>
    <n v="749"/>
    <n v="18725"/>
    <s v="DSL"/>
    <d v="2023-08-16T00:00:00"/>
    <s v="No"/>
    <s v="No"/>
    <s v="No"/>
    <s v="No"/>
    <s v="No"/>
    <s v="No"/>
  </r>
  <r>
    <x v="35"/>
    <s v="Isha Chopra"/>
    <s v="Female"/>
    <n v="50"/>
    <s v="Kolkata"/>
    <x v="1"/>
    <n v="22"/>
    <n v="449"/>
    <n v="9878"/>
    <s v="No Internet"/>
    <d v="2023-11-30T00:00:00"/>
    <s v="No"/>
    <s v="No"/>
    <s v="No"/>
    <s v="No"/>
    <s v="No"/>
    <s v="No"/>
  </r>
  <r>
    <x v="36"/>
    <s v="Karan Yadav"/>
    <s v="Male"/>
    <n v="45"/>
    <s v="Pune"/>
    <x v="1"/>
    <n v="39"/>
    <n v="799"/>
    <n v="31161"/>
    <s v="DSL"/>
    <d v="2022-07-10T00:00:00"/>
    <s v="No"/>
    <s v="No"/>
    <s v="No"/>
    <s v="No"/>
    <s v="No"/>
    <s v="No"/>
  </r>
  <r>
    <x v="37"/>
    <s v="Sneha Pandey"/>
    <s v="Female"/>
    <n v="45"/>
    <s v="Delhi"/>
    <x v="0"/>
    <n v="22"/>
    <n v="399"/>
    <n v="8778"/>
    <s v="No Internet"/>
    <d v="2023-12-06T00:00:00"/>
    <s v="Yes"/>
    <s v="No"/>
    <s v="No"/>
    <s v="Yes"/>
    <s v="No"/>
    <s v="No"/>
  </r>
  <r>
    <x v="38"/>
    <s v="Riya Joshi"/>
    <s v="Female"/>
    <n v="60"/>
    <s v="Chandigarh"/>
    <x v="0"/>
    <n v="17"/>
    <n v="499"/>
    <n v="8483"/>
    <s v="No Internet"/>
    <d v="2024-04-14T00:00:00"/>
    <s v="Yes"/>
    <s v="No"/>
    <s v="Yes"/>
    <s v="No"/>
    <s v="No"/>
    <s v="No"/>
  </r>
  <r>
    <x v="39"/>
    <s v="Sonal Singh"/>
    <s v="Female"/>
    <n v="30"/>
    <s v="Kolkata"/>
    <x v="1"/>
    <n v="12"/>
    <n v="1149"/>
    <n v="13788"/>
    <s v="Fiber"/>
    <d v="2024-09-07T00:00:00"/>
    <s v="No"/>
    <s v="No"/>
    <s v="Yes"/>
    <s v="No"/>
    <s v="No"/>
    <s v="No"/>
  </r>
  <r>
    <x v="40"/>
    <s v="Harsh Iyer"/>
    <s v="Male"/>
    <n v="31"/>
    <s v="Kolkata"/>
    <x v="1"/>
    <n v="21"/>
    <n v="1099"/>
    <n v="23079"/>
    <s v="Fiber"/>
    <d v="2023-12-22T00:00:00"/>
    <s v="No"/>
    <s v="No"/>
    <s v="No"/>
    <s v="No"/>
    <s v="No"/>
    <s v="No"/>
  </r>
  <r>
    <x v="41"/>
    <s v="Meera Saxena"/>
    <s v="Female"/>
    <n v="23"/>
    <s v="Chennai"/>
    <x v="0"/>
    <n v="11"/>
    <n v="1299"/>
    <n v="14289"/>
    <s v="Fiber"/>
    <d v="2024-10-26T00:00:00"/>
    <s v="No"/>
    <s v="No"/>
    <s v="No"/>
    <s v="No"/>
    <s v="No"/>
    <s v="No"/>
  </r>
  <r>
    <x v="42"/>
    <s v="Rohit Sharma"/>
    <s v="Male"/>
    <n v="20"/>
    <s v="Hyderabad"/>
    <x v="2"/>
    <n v="10"/>
    <n v="1099"/>
    <n v="10990"/>
    <s v="Fiber"/>
    <d v="2024-11-10T00:00:00"/>
    <s v="No"/>
    <s v="No"/>
    <s v="No"/>
    <s v="No"/>
    <s v="No"/>
    <s v="No"/>
  </r>
  <r>
    <x v="43"/>
    <s v="Komal Rao"/>
    <s v="Female"/>
    <n v="33"/>
    <s v="Bangalore"/>
    <x v="1"/>
    <n v="7"/>
    <n v="899"/>
    <n v="6293"/>
    <s v="DSL"/>
    <d v="2025-02-08T00:00:00"/>
    <s v="No"/>
    <s v="No"/>
    <s v="No"/>
    <s v="No"/>
    <s v="No"/>
    <s v="No"/>
  </r>
  <r>
    <x v="44"/>
    <s v="Sneha Mishra"/>
    <s v="Female"/>
    <n v="33"/>
    <s v="Chandigarh"/>
    <x v="0"/>
    <n v="15"/>
    <n v="849"/>
    <n v="12735"/>
    <s v="DSL"/>
    <d v="2024-06-11T00:00:00"/>
    <s v="No"/>
    <s v="No"/>
    <s v="No"/>
    <s v="No"/>
    <s v="No"/>
    <s v="No"/>
  </r>
  <r>
    <x v="45"/>
    <s v="Riya Agarwal"/>
    <s v="Female"/>
    <n v="75"/>
    <s v="Jaipur"/>
    <x v="0"/>
    <n v="15"/>
    <n v="499"/>
    <n v="7485"/>
    <s v="No Internet"/>
    <d v="2024-06-11T00:00:00"/>
    <s v="No"/>
    <s v="No"/>
    <s v="No"/>
    <s v="No"/>
    <s v="No"/>
    <s v="No"/>
  </r>
  <r>
    <x v="46"/>
    <s v="Suresh Jain"/>
    <s v="Male"/>
    <n v="49"/>
    <s v="Indore"/>
    <x v="0"/>
    <n v="23"/>
    <n v="999"/>
    <n v="22977"/>
    <s v="Fiber"/>
    <d v="2023-10-11T00:00:00"/>
    <s v="Yes"/>
    <s v="No"/>
    <s v="Yes"/>
    <s v="No"/>
    <s v="No"/>
    <s v="No"/>
  </r>
  <r>
    <x v="47"/>
    <s v="Rohit Singh"/>
    <s v="Male"/>
    <n v="32"/>
    <s v="Kolkata"/>
    <x v="1"/>
    <n v="5"/>
    <n v="1099"/>
    <n v="5495"/>
    <s v="Fiber"/>
    <d v="2025-04-18T00:00:00"/>
    <s v="No"/>
    <s v="No"/>
    <s v="No"/>
    <s v="No"/>
    <s v="No"/>
    <s v="No"/>
  </r>
  <r>
    <x v="48"/>
    <s v="Sanjay Tiwari"/>
    <s v="Male"/>
    <n v="42"/>
    <s v="Kochi"/>
    <x v="1"/>
    <n v="37"/>
    <n v="1099"/>
    <n v="40663"/>
    <s v="Fiber"/>
    <d v="2022-09-05T00:00:00"/>
    <s v="No"/>
    <s v="No"/>
    <s v="No"/>
    <s v="No"/>
    <s v="No"/>
    <s v="No"/>
  </r>
  <r>
    <x v="49"/>
    <s v="Nisha Mishra"/>
    <s v="Female"/>
    <n v="65"/>
    <s v="Bhopal"/>
    <x v="0"/>
    <n v="8"/>
    <n v="999"/>
    <n v="7992"/>
    <s v="Fiber"/>
    <d v="2025-01-31T00:00:00"/>
    <s v="Yes"/>
    <s v="No"/>
    <s v="No"/>
    <s v="No"/>
    <s v="No"/>
    <s v="No"/>
  </r>
  <r>
    <x v="50"/>
    <s v="Swati Saxena"/>
    <s v="Female"/>
    <n v="61"/>
    <s v="Kochi"/>
    <x v="0"/>
    <m/>
    <m/>
    <n v="9735"/>
    <s v="DSL"/>
    <d v="2024-06-23T00:00:00"/>
    <s v="Yes"/>
    <s v="No"/>
    <s v="No"/>
    <s v="No"/>
    <s v="No"/>
    <s v="Monthly missing; Tenure missing"/>
  </r>
  <r>
    <x v="51"/>
    <s v="Vikram Chopra"/>
    <s v="Male"/>
    <n v="45"/>
    <s v="Bangalore"/>
    <x v="2"/>
    <n v="34"/>
    <n v="749"/>
    <n v="25466"/>
    <s v="DSL"/>
    <d v="2022-12-03T00:00:00"/>
    <s v="No"/>
    <s v="No"/>
    <s v="No"/>
    <s v="No"/>
    <s v="No"/>
    <s v="No"/>
  </r>
  <r>
    <x v="52"/>
    <s v="Kavita Tiwari"/>
    <s v="Female"/>
    <n v="34"/>
    <s v="Chandigarh"/>
    <x v="0"/>
    <n v="18"/>
    <n v="599"/>
    <n v="10782"/>
    <s v="DSL"/>
    <d v="2024-03-13T00:00:00"/>
    <s v="No"/>
    <s v="No"/>
    <s v="No"/>
    <s v="No"/>
    <s v="No"/>
    <s v="No"/>
  </r>
  <r>
    <x v="53"/>
    <s v="Rahul Nair"/>
    <s v="Male"/>
    <n v="30"/>
    <s v="Chandigarh"/>
    <x v="0"/>
    <n v="5"/>
    <n v="749"/>
    <n v="3745"/>
    <s v="DSL"/>
    <d v="2025-04-25T00:00:00"/>
    <s v="Yes"/>
    <s v="No"/>
    <s v="No"/>
    <s v="No"/>
    <s v="No"/>
    <s v="No"/>
  </r>
  <r>
    <x v="54"/>
    <s v="Kavita Patel"/>
    <s v="Unknown"/>
    <n v="28"/>
    <s v="Lucknow"/>
    <x v="1"/>
    <n v="8"/>
    <n v="1299"/>
    <n v="10392"/>
    <s v="Fiber"/>
    <d v="2025-01-28T00:00:00"/>
    <s v="Unknown"/>
    <s v="No"/>
    <s v="No"/>
    <s v="No"/>
    <s v="No"/>
    <s v="Churn unknown"/>
  </r>
  <r>
    <x v="55"/>
    <s v="Harsh Bose"/>
    <s v="Male"/>
    <n v="61"/>
    <s v="Kolkata"/>
    <x v="0"/>
    <n v="3"/>
    <n v="1199"/>
    <n v="3597"/>
    <s v="Fiber"/>
    <d v="2025-06-06T00:00:00"/>
    <s v="Yes"/>
    <s v="No"/>
    <s v="No"/>
    <s v="No"/>
    <s v="Yes"/>
    <s v="No"/>
  </r>
  <r>
    <x v="56"/>
    <s v="Riya Reddy"/>
    <s v="Female"/>
    <n v="68"/>
    <s v="Lucknow"/>
    <x v="1"/>
    <n v="28"/>
    <n v="849"/>
    <n v="23772"/>
    <s v="DSL"/>
    <d v="2023-06-01T00:00:00"/>
    <s v="No"/>
    <s v="No"/>
    <s v="No"/>
    <s v="No"/>
    <s v="No"/>
    <s v="No"/>
  </r>
  <r>
    <x v="57"/>
    <s v="Vivek Desai"/>
    <s v="Male"/>
    <n v="24"/>
    <s v="Kolkata"/>
    <x v="2"/>
    <n v="59"/>
    <n v="999"/>
    <n v="58941"/>
    <s v="Fiber"/>
    <d v="2020-11-07T00:00:00"/>
    <s v="No"/>
    <s v="No"/>
    <s v="No"/>
    <s v="No"/>
    <s v="No"/>
    <s v="No"/>
  </r>
  <r>
    <x v="58"/>
    <s v="Riya Mishra"/>
    <s v="Female"/>
    <n v="67"/>
    <s v="Ahmedabad"/>
    <x v="0"/>
    <n v="19"/>
    <n v="399"/>
    <n v="7581"/>
    <s v="No Internet"/>
    <d v="2024-03-05T00:00:00"/>
    <s v="No"/>
    <s v="No"/>
    <s v="No"/>
    <s v="No"/>
    <s v="No"/>
    <s v="No"/>
  </r>
  <r>
    <x v="59"/>
    <s v="Shreya Nair"/>
    <s v="Female"/>
    <n v="66"/>
    <s v="Ahmedabad"/>
    <x v="1"/>
    <n v="22"/>
    <n v="1099"/>
    <n v="24178"/>
    <s v="Fiber"/>
    <d v="2023-12-02T00:00:00"/>
    <s v="Yes"/>
    <s v="No"/>
    <s v="No"/>
    <s v="Yes"/>
    <s v="No"/>
    <s v="No"/>
  </r>
  <r>
    <x v="60"/>
    <s v="Unknown"/>
    <s v="Unknown"/>
    <n v="35"/>
    <s v="Lucknow"/>
    <x v="1"/>
    <n v="1"/>
    <n v="799"/>
    <n v="799"/>
    <s v="DSL"/>
    <d v="2025-08-16T00:00:00"/>
    <s v="Yes"/>
    <s v="No"/>
    <s v="No"/>
    <s v="No"/>
    <s v="No"/>
    <s v="No"/>
  </r>
  <r>
    <x v="61"/>
    <s v="Sonal Nair"/>
    <s v="Female"/>
    <n v="62"/>
    <s v="Ahmedabad"/>
    <x v="1"/>
    <n v="2"/>
    <n v="1049"/>
    <n v="2098"/>
    <s v="Fiber"/>
    <d v="2025-07-23T00:00:00"/>
    <s v="No"/>
    <s v="No"/>
    <s v="No"/>
    <s v="No"/>
    <s v="No"/>
    <s v="No"/>
  </r>
  <r>
    <x v="62"/>
    <s v="Tanvi Patel"/>
    <s v="Female"/>
    <n v="48"/>
    <s v="Jaipur"/>
    <x v="0"/>
    <n v="24"/>
    <n v="1049"/>
    <n v="25176"/>
    <s v="Fiber"/>
    <d v="2023-10-01T00:00:00"/>
    <s v="No"/>
    <s v="No"/>
    <s v="No"/>
    <s v="No"/>
    <s v="No"/>
    <s v="No"/>
  </r>
  <r>
    <x v="63"/>
    <s v="Kavita Nair"/>
    <s v="Female"/>
    <n v="25"/>
    <s v="Bhopal"/>
    <x v="0"/>
    <n v="18"/>
    <n v="899"/>
    <n v="16182"/>
    <s v="DSL"/>
    <d v="2024-03-14T00:00:00"/>
    <s v="Yes"/>
    <s v="No"/>
    <s v="No"/>
    <s v="No"/>
    <s v="No"/>
    <s v="No"/>
  </r>
  <r>
    <x v="64"/>
    <s v="Kavita Agarwal"/>
    <s v="Female"/>
    <n v="47"/>
    <s v="Kochi"/>
    <x v="0"/>
    <n v="4"/>
    <n v="899"/>
    <n v="3596"/>
    <s v="DSL"/>
    <d v="2025-05-26T00:00:00"/>
    <s v="Yes"/>
    <s v="Yes"/>
    <s v="No"/>
    <s v="No"/>
    <s v="No"/>
    <s v="No"/>
  </r>
  <r>
    <x v="65"/>
    <s v="Priya Pandey"/>
    <s v="Female"/>
    <n v="52"/>
    <s v="Bangalore"/>
    <x v="3"/>
    <n v="18"/>
    <n v="399"/>
    <n v="7182"/>
    <s v="No Internet"/>
    <d v="2024-03-13T00:00:00"/>
    <s v="No"/>
    <s v="No"/>
    <s v="No"/>
    <s v="No"/>
    <s v="No"/>
    <s v="No"/>
  </r>
  <r>
    <x v="66"/>
    <s v="Anjali Sharma"/>
    <s v="Female"/>
    <n v="54"/>
    <s v="Chennai"/>
    <x v="0"/>
    <n v="6"/>
    <n v="1049"/>
    <n v="6294"/>
    <s v="Fiber"/>
    <d v="2025-03-30T00:00:00"/>
    <s v="Yes"/>
    <s v="No"/>
    <s v="No"/>
    <s v="No"/>
    <s v="No"/>
    <s v="No"/>
  </r>
  <r>
    <x v="67"/>
    <s v="Komal Kumar"/>
    <s v="Female"/>
    <n v="54"/>
    <s v="Indore"/>
    <x v="1"/>
    <n v="37"/>
    <n v="699"/>
    <n v="25863"/>
    <s v="DSL"/>
    <d v="2022-08-21T00:00:00"/>
    <s v="Yes"/>
    <s v="No"/>
    <s v="No"/>
    <s v="No"/>
    <s v="No"/>
    <s v="No"/>
  </r>
  <r>
    <x v="68"/>
    <s v="Riya Yadav"/>
    <s v="Female"/>
    <n v="68"/>
    <s v="Lucknow"/>
    <x v="0"/>
    <n v="15"/>
    <n v="1049"/>
    <n v="15735"/>
    <s v="Fiber"/>
    <d v="2024-06-26T00:00:00"/>
    <s v="No"/>
    <s v="No"/>
    <s v="No"/>
    <s v="No"/>
    <s v="No"/>
    <s v="No"/>
  </r>
  <r>
    <x v="69"/>
    <s v="Pankaj Agarwal"/>
    <s v="Male"/>
    <n v="24"/>
    <s v="Kochi"/>
    <x v="0"/>
    <n v="22"/>
    <n v="599"/>
    <n v="13178"/>
    <s v="DSL"/>
    <m/>
    <s v="Yes"/>
    <s v="No"/>
    <s v="No"/>
    <s v="No"/>
    <s v="Yes"/>
    <s v="Date missing"/>
  </r>
  <r>
    <x v="70"/>
    <s v="Rahul Tiwari"/>
    <s v="Male"/>
    <n v="46"/>
    <s v="Bhopal"/>
    <x v="1"/>
    <n v="15"/>
    <n v="699"/>
    <n v="10485"/>
    <s v="DSL"/>
    <d v="2024-06-21T00:00:00"/>
    <s v="No"/>
    <s v="No"/>
    <s v="No"/>
    <s v="No"/>
    <s v="No"/>
    <s v="No"/>
  </r>
  <r>
    <x v="71"/>
    <s v="Manish Malhotra"/>
    <s v="Male"/>
    <n v="68"/>
    <s v="Kochi"/>
    <x v="1"/>
    <n v="13"/>
    <n v="899"/>
    <n v="11687"/>
    <s v="Fiber"/>
    <d v="2024-08-30T00:00:00"/>
    <s v="No"/>
    <s v="No"/>
    <s v="No"/>
    <s v="No"/>
    <s v="No"/>
    <s v="No"/>
  </r>
  <r>
    <x v="72"/>
    <s v="Pooja Kumar"/>
    <s v="Female"/>
    <n v="21"/>
    <s v="Unknown"/>
    <x v="1"/>
    <n v="37"/>
    <n v="1099"/>
    <n v="40663"/>
    <s v="Fiber"/>
    <d v="2022-09-05T00:00:00"/>
    <s v="No"/>
    <s v="No"/>
    <s v="No"/>
    <s v="No"/>
    <s v="No"/>
    <s v="No"/>
  </r>
  <r>
    <x v="73"/>
    <s v="Kavita Jain"/>
    <s v="Female"/>
    <n v="52"/>
    <s v="Ahmedabad"/>
    <x v="0"/>
    <n v="14"/>
    <n v="1049"/>
    <n v="14686"/>
    <s v="Fiber"/>
    <m/>
    <s v="Yes"/>
    <s v="No"/>
    <s v="No"/>
    <s v="No"/>
    <s v="No"/>
    <s v="Date missing"/>
  </r>
  <r>
    <x v="74"/>
    <s v="Rajesh Bose"/>
    <s v="Male"/>
    <n v="19"/>
    <s v="Kochi"/>
    <x v="1"/>
    <n v="3"/>
    <n v="899"/>
    <n v="2697"/>
    <s v="DSL"/>
    <d v="2025-06-10T00:00:00"/>
    <s v="No"/>
    <s v="No"/>
    <s v="No"/>
    <s v="No"/>
    <s v="No"/>
    <s v="No"/>
  </r>
  <r>
    <x v="75"/>
    <s v="Kavita Gupta"/>
    <s v="Female"/>
    <n v="55"/>
    <s v="Kolkata"/>
    <x v="1"/>
    <n v="6"/>
    <n v="1049"/>
    <n v="6294"/>
    <s v="Fiber"/>
    <d v="2025-03-11T00:00:00"/>
    <s v="No"/>
    <s v="No"/>
    <s v="No"/>
    <s v="No"/>
    <s v="No"/>
    <s v="No"/>
  </r>
  <r>
    <x v="76"/>
    <s v="Arjun Joshi"/>
    <s v="Male"/>
    <n v="44"/>
    <s v="Bhopal"/>
    <x v="0"/>
    <n v="13"/>
    <n v="1299"/>
    <n v="16887"/>
    <s v="Fiber"/>
    <d v="2024-09-01T00:00:00"/>
    <s v="Yes"/>
    <s v="No"/>
    <s v="No"/>
    <s v="No"/>
    <s v="No"/>
    <s v="No"/>
  </r>
  <r>
    <x v="77"/>
    <s v="Kavita Joshi"/>
    <s v="Female"/>
    <n v="25"/>
    <s v="Kochi"/>
    <x v="0"/>
    <n v="1"/>
    <n v="1299"/>
    <n v="1299"/>
    <s v="Fiber"/>
    <d v="2025-08-28T00:00:00"/>
    <s v="Yes"/>
    <s v="No"/>
    <s v="No"/>
    <s v="No"/>
    <s v="No"/>
    <s v="No"/>
  </r>
  <r>
    <x v="78"/>
    <s v="Mohit Patel"/>
    <s v="Unknown"/>
    <n v="57"/>
    <s v="Kochi"/>
    <x v="0"/>
    <n v="2"/>
    <n v="1049"/>
    <n v="2098"/>
    <s v="Fiber"/>
    <d v="2025-07-21T00:00:00"/>
    <s v="Yes"/>
    <s v="No"/>
    <s v="No"/>
    <s v="No"/>
    <s v="No"/>
    <s v="No"/>
  </r>
  <r>
    <x v="79"/>
    <s v="Komal Reddy"/>
    <s v="Female"/>
    <n v="47"/>
    <s v="Indore"/>
    <x v="1"/>
    <n v="11"/>
    <n v="699"/>
    <n v="7689"/>
    <s v="DSL"/>
    <d v="2024-10-31T00:00:00"/>
    <s v="No"/>
    <s v="Yes"/>
    <s v="No"/>
    <s v="Yes"/>
    <s v="No"/>
    <s v="No"/>
  </r>
  <r>
    <x v="80"/>
    <s v="Karan Kapoor"/>
    <s v="Male"/>
    <n v="25"/>
    <s v="Indore"/>
    <x v="2"/>
    <n v="38"/>
    <n v="1199"/>
    <n v="45562"/>
    <s v="Fiber"/>
    <d v="2022-07-31T00:00:00"/>
    <s v="No"/>
    <s v="No"/>
    <s v="No"/>
    <s v="No"/>
    <s v="No"/>
    <s v="No"/>
  </r>
  <r>
    <x v="81"/>
    <s v="Ritu Kapoor"/>
    <s v="Unknown"/>
    <n v="53"/>
    <s v="Bangalore"/>
    <x v="0"/>
    <n v="17"/>
    <n v="349"/>
    <n v="5933"/>
    <s v="No Internet"/>
    <d v="2024-04-11T00:00:00"/>
    <s v="Yes"/>
    <s v="No"/>
    <s v="No"/>
    <s v="No"/>
    <s v="No"/>
    <s v="No"/>
  </r>
  <r>
    <x v="82"/>
    <s v="Swati Jain"/>
    <s v="Female"/>
    <n v="35"/>
    <s v="Chandigarh"/>
    <x v="0"/>
    <n v="19"/>
    <n v="1199"/>
    <n v="22781"/>
    <s v="Fiber"/>
    <d v="2024-02-22T00:00:00"/>
    <s v="No"/>
    <s v="No"/>
    <s v="No"/>
    <s v="No"/>
    <s v="No"/>
    <s v="No"/>
  </r>
  <r>
    <x v="83"/>
    <s v="Isha Joshi"/>
    <s v="Female"/>
    <n v="53"/>
    <s v="Kochi"/>
    <x v="0"/>
    <n v="11"/>
    <n v="999"/>
    <n v="10989"/>
    <s v="Fiber"/>
    <d v="2024-10-26T00:00:00"/>
    <s v="No"/>
    <s v="No"/>
    <s v="No"/>
    <s v="No"/>
    <s v="No"/>
    <s v="No"/>
  </r>
  <r>
    <x v="84"/>
    <s v="Sneha Joshi"/>
    <s v="Female"/>
    <n v="65"/>
    <s v="Ahmedabad"/>
    <x v="1"/>
    <n v="25"/>
    <n v="399"/>
    <n v="9975"/>
    <s v="No Internet"/>
    <d v="2023-09-08T00:00:00"/>
    <s v="No"/>
    <s v="No"/>
    <s v="No"/>
    <s v="No"/>
    <s v="No"/>
    <s v="No"/>
  </r>
  <r>
    <x v="85"/>
    <s v="Mohit Bose"/>
    <s v="Male"/>
    <n v="39"/>
    <s v="Chandigarh"/>
    <x v="0"/>
    <n v="4"/>
    <n v="349"/>
    <n v="1396"/>
    <s v="No Internet"/>
    <d v="2025-05-18T00:00:00"/>
    <s v="No"/>
    <s v="No"/>
    <s v="No"/>
    <s v="No"/>
    <s v="No"/>
    <s v="No"/>
  </r>
  <r>
    <x v="86"/>
    <s v="Unknown"/>
    <s v="Male"/>
    <n v="68"/>
    <s v="Chennai"/>
    <x v="0"/>
    <m/>
    <n v="1299"/>
    <m/>
    <s v="Fiber"/>
    <d v="2023-12-11T00:00:00"/>
    <s v="No"/>
    <s v="No"/>
    <s v="No"/>
    <s v="No"/>
    <s v="No"/>
    <s v="Total missing; Tenure missing"/>
  </r>
  <r>
    <x v="87"/>
    <s v="Swati Chopra"/>
    <s v="Female"/>
    <n v="63"/>
    <s v="Kochi"/>
    <x v="0"/>
    <n v="20"/>
    <n v="999"/>
    <n v="19980"/>
    <s v="Fiber"/>
    <d v="2024-01-14T00:00:00"/>
    <s v="No"/>
    <s v="No"/>
    <s v="No"/>
    <s v="No"/>
    <s v="No"/>
    <s v="No"/>
  </r>
  <r>
    <x v="88"/>
    <s v="Vivek Reddy"/>
    <s v="Male"/>
    <n v="66"/>
    <s v="Indore"/>
    <x v="1"/>
    <n v="11"/>
    <n v="849"/>
    <n v="9339"/>
    <s v="DSL"/>
    <d v="2024-10-08T00:00:00"/>
    <s v="Yes"/>
    <s v="No"/>
    <s v="No"/>
    <s v="No"/>
    <s v="No"/>
    <s v="No"/>
  </r>
  <r>
    <x v="89"/>
    <s v="Harsh Patel"/>
    <s v="Male"/>
    <n v="47"/>
    <s v="Kolkata"/>
    <x v="0"/>
    <n v="19"/>
    <n v="1299"/>
    <n v="24681"/>
    <s v="Fiber"/>
    <d v="2024-03-05T00:00:00"/>
    <s v="Yes"/>
    <s v="Yes"/>
    <s v="No"/>
    <s v="No"/>
    <s v="No"/>
    <s v="No"/>
  </r>
  <r>
    <x v="90"/>
    <s v="Unknown"/>
    <s v="Female"/>
    <n v="33"/>
    <s v="Ahmedabad"/>
    <x v="2"/>
    <n v="60"/>
    <n v="849"/>
    <n v="50940"/>
    <s v="DSL"/>
    <d v="2020-10-24T00:00:00"/>
    <s v="No"/>
    <s v="No"/>
    <s v="No"/>
    <s v="No"/>
    <s v="No"/>
    <s v="No"/>
  </r>
  <r>
    <x v="91"/>
    <s v="Aditi Saxena"/>
    <s v="Female"/>
    <n v="47"/>
    <s v="Bangalore"/>
    <x v="0"/>
    <n v="19"/>
    <n v="499"/>
    <n v="9481"/>
    <s v="No Internet"/>
    <d v="2024-02-22T00:00:00"/>
    <s v="No"/>
    <s v="Yes"/>
    <s v="No"/>
    <s v="No"/>
    <s v="No"/>
    <s v="No"/>
  </r>
  <r>
    <x v="92"/>
    <s v="Unknown"/>
    <s v="Female"/>
    <n v="72"/>
    <s v="Ahmedabad"/>
    <x v="0"/>
    <n v="12"/>
    <n v="1049"/>
    <n v="12588"/>
    <s v="Fiber"/>
    <d v="2024-09-07T00:00:00"/>
    <s v="Yes"/>
    <s v="No"/>
    <s v="Yes"/>
    <s v="No"/>
    <s v="No"/>
    <s v="No"/>
  </r>
  <r>
    <x v="93"/>
    <s v="Kavita Sharma"/>
    <s v="Female"/>
    <n v="54"/>
    <s v="Chandigarh"/>
    <x v="1"/>
    <n v="4"/>
    <n v="1199"/>
    <n v="4796"/>
    <s v="Fiber"/>
    <d v="2025-05-03T00:00:00"/>
    <s v="No"/>
    <s v="No"/>
    <s v="No"/>
    <s v="No"/>
    <s v="No"/>
    <s v="No"/>
  </r>
  <r>
    <x v="94"/>
    <s v="Ritu Yadav"/>
    <s v="Unknown"/>
    <n v="69"/>
    <s v="Pune"/>
    <x v="0"/>
    <n v="9"/>
    <n v="849"/>
    <n v="7641"/>
    <s v="DSL"/>
    <d v="2024-12-04T00:00:00"/>
    <s v="No"/>
    <s v="No"/>
    <s v="No"/>
    <s v="No"/>
    <s v="No"/>
    <s v="No"/>
  </r>
  <r>
    <x v="95"/>
    <s v="Harsh Kapoor"/>
    <s v="Male"/>
    <n v="20"/>
    <s v="Lucknow"/>
    <x v="0"/>
    <n v="10"/>
    <n v="699"/>
    <n v="6990"/>
    <s v="DSL"/>
    <d v="2024-11-28T00:00:00"/>
    <s v="Yes"/>
    <s v="No"/>
    <s v="No"/>
    <s v="No"/>
    <s v="No"/>
    <s v="No"/>
  </r>
  <r>
    <x v="96"/>
    <s v="Payal Jain"/>
    <s v="Female"/>
    <n v="35"/>
    <s v="Chandigarh"/>
    <x v="0"/>
    <n v="16"/>
    <n v="449"/>
    <n v="7184"/>
    <s v="No Internet"/>
    <d v="2024-05-22T00:00:00"/>
    <s v="No"/>
    <s v="No"/>
    <s v="No"/>
    <s v="No"/>
    <s v="No"/>
    <s v="No"/>
  </r>
  <r>
    <x v="97"/>
    <s v="Rohit Nair"/>
    <s v="Male"/>
    <n v="73"/>
    <s v="Indore"/>
    <x v="1"/>
    <n v="36"/>
    <n v="499"/>
    <n v="17964"/>
    <s v="No Internet"/>
    <m/>
    <s v="Yes"/>
    <s v="No"/>
    <s v="No"/>
    <s v="No"/>
    <s v="No"/>
    <s v="Date missing"/>
  </r>
  <r>
    <x v="98"/>
    <s v="Ankit Patel"/>
    <s v="Male"/>
    <n v="61"/>
    <s v="Bhopal"/>
    <x v="1"/>
    <n v="24"/>
    <n v="1199"/>
    <n v="28776"/>
    <s v="Fiber"/>
    <d v="2023-09-20T00:00:00"/>
    <s v="No"/>
    <s v="No"/>
    <s v="No"/>
    <s v="No"/>
    <s v="No"/>
    <s v="No"/>
  </r>
  <r>
    <x v="99"/>
    <s v="Riya Nair"/>
    <s v="Female"/>
    <n v="59"/>
    <s v="Mumbai"/>
    <x v="1"/>
    <n v="20"/>
    <n v="1099"/>
    <n v="21980"/>
    <s v="Fiber"/>
    <d v="2024-02-05T00:00:00"/>
    <s v="Yes"/>
    <s v="No"/>
    <s v="No"/>
    <s v="No"/>
    <s v="Yes"/>
    <s v="No"/>
  </r>
  <r>
    <x v="100"/>
    <s v="Komal Reddy"/>
    <s v="Female"/>
    <n v="24"/>
    <s v="Hyderabad"/>
    <x v="2"/>
    <n v="59"/>
    <n v="699"/>
    <n v="41241"/>
    <s v="DSL"/>
    <d v="2020-10-31T00:00:00"/>
    <s v="No"/>
    <s v="No"/>
    <s v="No"/>
    <s v="No"/>
    <s v="No"/>
    <s v="No"/>
  </r>
  <r>
    <x v="101"/>
    <s v="Vivek Chopra"/>
    <s v="Male"/>
    <n v="24"/>
    <s v="Chandigarh"/>
    <x v="0"/>
    <n v="9"/>
    <n v="1199"/>
    <n v="10791"/>
    <s v="Fiber"/>
    <d v="2024-12-18T00:00:00"/>
    <s v="Yes"/>
    <s v="No"/>
    <s v="No"/>
    <s v="No"/>
    <s v="No"/>
    <s v="No"/>
  </r>
  <r>
    <x v="102"/>
    <s v="Aman Reddy"/>
    <s v="Male"/>
    <n v="61"/>
    <s v="Unknown"/>
    <x v="0"/>
    <n v="12"/>
    <n v="449"/>
    <n v="5388"/>
    <s v="No Internet"/>
    <d v="2024-09-30T00:00:00"/>
    <s v="Yes"/>
    <s v="No"/>
    <s v="No"/>
    <s v="No"/>
    <s v="No"/>
    <s v="No"/>
  </r>
  <r>
    <x v="103"/>
    <s v="Neha Saxena"/>
    <s v="Female"/>
    <n v="31"/>
    <s v="Indore"/>
    <x v="1"/>
    <n v="4"/>
    <n v="399"/>
    <n v="1596"/>
    <s v="No Internet"/>
    <d v="2025-05-06T00:00:00"/>
    <s v="No"/>
    <s v="No"/>
    <s v="No"/>
    <s v="No"/>
    <s v="No"/>
    <s v="No"/>
  </r>
  <r>
    <x v="104"/>
    <s v="Vikram Mishra"/>
    <s v="Male"/>
    <n v="47"/>
    <s v="Lucknow"/>
    <x v="0"/>
    <n v="11"/>
    <n v="549"/>
    <n v="6039"/>
    <s v="Unknown"/>
    <d v="2024-10-06T00:00:00"/>
    <s v="Yes"/>
    <s v="Yes"/>
    <s v="No"/>
    <s v="No"/>
    <s v="No"/>
    <s v="No"/>
  </r>
  <r>
    <x v="105"/>
    <s v="Rohit Mishra"/>
    <s v="Male"/>
    <n v="34"/>
    <s v="Kochi"/>
    <x v="0"/>
    <n v="1"/>
    <n v="899"/>
    <n v="899"/>
    <s v="Fiber"/>
    <d v="2025-08-22T00:00:00"/>
    <s v="No"/>
    <s v="No"/>
    <s v="No"/>
    <s v="No"/>
    <s v="No"/>
    <s v="No"/>
  </r>
  <r>
    <x v="106"/>
    <s v="Priya Gupta"/>
    <s v="Female"/>
    <n v="34"/>
    <s v="Delhi"/>
    <x v="0"/>
    <n v="4"/>
    <n v="899"/>
    <n v="3596"/>
    <s v="Fiber"/>
    <d v="2025-05-20T00:00:00"/>
    <s v="Yes"/>
    <s v="No"/>
    <s v="No"/>
    <s v="No"/>
    <s v="No"/>
    <s v="No"/>
  </r>
  <r>
    <x v="107"/>
    <s v="Ankit Jain"/>
    <s v="Male"/>
    <n v="32"/>
    <s v="Lucknow"/>
    <x v="0"/>
    <n v="22"/>
    <n v="1049"/>
    <n v="23078"/>
    <s v="Fiber"/>
    <d v="2023-12-08T00:00:00"/>
    <s v="No"/>
    <s v="No"/>
    <s v="No"/>
    <s v="No"/>
    <s v="No"/>
    <s v="No"/>
  </r>
  <r>
    <x v="108"/>
    <s v="Gaurav Rao"/>
    <s v="Male"/>
    <n v="45"/>
    <s v="Indore"/>
    <x v="0"/>
    <n v="15"/>
    <n v="899"/>
    <n v="13485"/>
    <s v="Fiber"/>
    <d v="2024-07-03T00:00:00"/>
    <s v="No"/>
    <s v="No"/>
    <s v="No"/>
    <s v="No"/>
    <s v="No"/>
    <s v="No"/>
  </r>
  <r>
    <x v="109"/>
    <s v="Suresh Yadav"/>
    <s v="Male"/>
    <n v="58"/>
    <s v="Lucknow"/>
    <x v="0"/>
    <n v="20"/>
    <n v="799"/>
    <n v="15980"/>
    <s v="DSL"/>
    <d v="2024-01-24T00:00:00"/>
    <s v="No"/>
    <s v="No"/>
    <s v="No"/>
    <s v="No"/>
    <s v="No"/>
    <s v="No"/>
  </r>
  <r>
    <x v="110"/>
    <s v="Karan Chopra"/>
    <s v="Male"/>
    <n v="59"/>
    <s v="Kochi"/>
    <x v="1"/>
    <n v="28"/>
    <n v="499"/>
    <n v="13972"/>
    <s v="No Internet"/>
    <d v="2023-05-28T00:00:00"/>
    <s v="No"/>
    <s v="No"/>
    <s v="No"/>
    <s v="No"/>
    <s v="No"/>
    <s v="No"/>
  </r>
  <r>
    <x v="111"/>
    <s v="Nisha Agarwal"/>
    <s v="Female"/>
    <n v="24"/>
    <s v="Pune"/>
    <x v="0"/>
    <n v="12"/>
    <n v="1199"/>
    <n v="14388"/>
    <s v="Fiber"/>
    <d v="2024-09-07T00:00:00"/>
    <s v="Yes"/>
    <s v="No"/>
    <s v="No"/>
    <s v="No"/>
    <s v="No"/>
    <s v="No"/>
  </r>
  <r>
    <x v="112"/>
    <s v="Vikram Tiwari"/>
    <s v="Male"/>
    <n v="24"/>
    <s v="Bhopal"/>
    <x v="1"/>
    <n v="36"/>
    <n v="549"/>
    <n v="19764"/>
    <s v="Unknown"/>
    <d v="2022-09-23T00:00:00"/>
    <s v="No"/>
    <s v="No"/>
    <s v="No"/>
    <s v="No"/>
    <s v="No"/>
    <s v="No"/>
  </r>
  <r>
    <x v="113"/>
    <s v="Vivek Patel"/>
    <s v="Male"/>
    <n v="73"/>
    <s v="Indore"/>
    <x v="2"/>
    <n v="7"/>
    <n v="1149"/>
    <n v="8043"/>
    <s v="Fiber"/>
    <d v="2025-02-12T00:00:00"/>
    <s v="No"/>
    <s v="No"/>
    <s v="No"/>
    <s v="No"/>
    <s v="No"/>
    <s v="No"/>
  </r>
  <r>
    <x v="114"/>
    <s v="Rohit Saxena"/>
    <s v="Male"/>
    <n v="48"/>
    <s v="Hyderabad"/>
    <x v="2"/>
    <n v="72"/>
    <n v="899"/>
    <n v="64728"/>
    <s v="Fiber"/>
    <d v="2019-10-05T00:00:00"/>
    <s v="No"/>
    <s v="No"/>
    <s v="No"/>
    <s v="No"/>
    <s v="No"/>
    <s v="No"/>
  </r>
  <r>
    <x v="115"/>
    <s v="Sonal Yadav"/>
    <s v="Female"/>
    <n v="57"/>
    <s v="Indore"/>
    <x v="1"/>
    <n v="18"/>
    <n v="599"/>
    <n v="10782"/>
    <s v="DSL"/>
    <d v="2024-03-28T00:00:00"/>
    <s v="No"/>
    <s v="No"/>
    <s v="No"/>
    <s v="No"/>
    <s v="No"/>
    <s v="No"/>
  </r>
  <r>
    <x v="116"/>
    <s v="Isha Sharma"/>
    <s v="Female"/>
    <n v="29"/>
    <s v="Chandigarh"/>
    <x v="0"/>
    <n v="3"/>
    <n v="1199"/>
    <n v="3597"/>
    <s v="Fiber"/>
    <d v="2025-06-14T00:00:00"/>
    <s v="Yes"/>
    <s v="No"/>
    <s v="No"/>
    <s v="No"/>
    <s v="No"/>
    <s v="No"/>
  </r>
  <r>
    <x v="117"/>
    <s v="Deepak Tiwari"/>
    <s v="Male"/>
    <n v="47"/>
    <s v="Pune"/>
    <x v="0"/>
    <n v="11"/>
    <n v="899"/>
    <n v="9889"/>
    <s v="DSL"/>
    <d v="2024-11-01T00:00:00"/>
    <s v="Yes"/>
    <s v="No"/>
    <s v="No"/>
    <s v="No"/>
    <s v="No"/>
    <s v="No"/>
  </r>
  <r>
    <x v="118"/>
    <s v="Arjun Yadav"/>
    <s v="Male"/>
    <n v="21"/>
    <s v="Indore"/>
    <x v="0"/>
    <n v="14"/>
    <n v="1149"/>
    <n v="16086"/>
    <s v="Fiber"/>
    <d v="2024-07-29T00:00:00"/>
    <s v="Yes"/>
    <s v="No"/>
    <s v="No"/>
    <s v="No"/>
    <s v="No"/>
    <s v="No"/>
  </r>
  <r>
    <x v="119"/>
    <s v="Aman Tiwari"/>
    <s v="Male"/>
    <n v="25"/>
    <s v="Chennai"/>
    <x v="1"/>
    <n v="34"/>
    <n v="1049"/>
    <n v="35666"/>
    <s v="Fiber"/>
    <d v="2022-11-24T00:00:00"/>
    <s v="No"/>
    <s v="No"/>
    <s v="No"/>
    <s v="No"/>
    <s v="No"/>
    <s v="No"/>
  </r>
  <r>
    <x v="120"/>
    <s v="Rahul Mehta"/>
    <s v="Male"/>
    <n v="47"/>
    <s v="Hyderabad"/>
    <x v="1"/>
    <n v="19"/>
    <n v="899"/>
    <n v="17081"/>
    <s v="Fiber"/>
    <d v="2024-02-23T00:00:00"/>
    <s v="No"/>
    <s v="Yes"/>
    <s v="No"/>
    <s v="No"/>
    <s v="No"/>
    <s v="No"/>
  </r>
  <r>
    <x v="121"/>
    <s v="Rohit Rao"/>
    <s v="Male"/>
    <n v="52"/>
    <s v="Bhopal"/>
    <x v="0"/>
    <n v="22"/>
    <n v="1049"/>
    <n v="23078"/>
    <s v="Fiber"/>
    <d v="2023-11-15T00:00:00"/>
    <s v="Yes"/>
    <s v="No"/>
    <s v="No"/>
    <s v="No"/>
    <s v="No"/>
    <s v="No"/>
  </r>
  <r>
    <x v="122"/>
    <s v="Vivek Sharma"/>
    <s v="Male"/>
    <n v="47"/>
    <s v="Mumbai"/>
    <x v="2"/>
    <n v="52"/>
    <n v="1199"/>
    <n v="62348"/>
    <s v="Fiber"/>
    <d v="2021-06-09T00:00:00"/>
    <s v="No"/>
    <s v="No"/>
    <s v="No"/>
    <s v="No"/>
    <s v="No"/>
    <s v="No"/>
  </r>
  <r>
    <x v="123"/>
    <s v="Nikhil Gupta"/>
    <s v="Male"/>
    <n v="69"/>
    <s v="Lucknow"/>
    <x v="0"/>
    <n v="12"/>
    <n v="1099"/>
    <n v="13188"/>
    <s v="Fiber"/>
    <d v="2024-09-15T00:00:00"/>
    <s v="Yes"/>
    <s v="No"/>
    <s v="No"/>
    <s v="No"/>
    <s v="No"/>
    <s v="No"/>
  </r>
  <r>
    <x v="124"/>
    <s v="Payal Kumar"/>
    <s v="Female"/>
    <n v="43"/>
    <s v="Chandigarh"/>
    <x v="0"/>
    <n v="11"/>
    <n v="899"/>
    <n v="9889"/>
    <s v="DSL"/>
    <d v="2024-10-30T00:00:00"/>
    <s v="No"/>
    <s v="No"/>
    <s v="No"/>
    <s v="No"/>
    <s v="No"/>
    <s v="No"/>
  </r>
  <r>
    <x v="125"/>
    <s v="Aman Patel"/>
    <s v="Male"/>
    <n v="64"/>
    <s v="Chandigarh"/>
    <x v="1"/>
    <n v="7"/>
    <n v="649"/>
    <n v="4543"/>
    <s v="DSL"/>
    <d v="2025-02-26T00:00:00"/>
    <s v="No"/>
    <s v="No"/>
    <s v="No"/>
    <s v="No"/>
    <s v="No"/>
    <s v="No"/>
  </r>
  <r>
    <x v="126"/>
    <s v="Arjun Chopra"/>
    <s v="Male"/>
    <n v="49"/>
    <s v="Ahmedabad"/>
    <x v="3"/>
    <n v="29"/>
    <n v="1149"/>
    <n v="33321"/>
    <s v="Fiber"/>
    <d v="2023-04-22T00:00:00"/>
    <s v="No"/>
    <s v="No"/>
    <s v="No"/>
    <s v="No"/>
    <s v="No"/>
    <s v="No"/>
  </r>
  <r>
    <x v="127"/>
    <s v="Pooja Kapoor"/>
    <s v="Female"/>
    <n v="22"/>
    <s v="Ahmedabad"/>
    <x v="0"/>
    <n v="9"/>
    <n v="799"/>
    <n v="7191"/>
    <s v="DSL"/>
    <d v="2024-12-23T00:00:00"/>
    <s v="No"/>
    <s v="No"/>
    <s v="No"/>
    <s v="No"/>
    <s v="No"/>
    <s v="No"/>
  </r>
  <r>
    <x v="128"/>
    <s v="Shreya Verma"/>
    <s v="Female"/>
    <n v="21"/>
    <s v="Pune"/>
    <x v="2"/>
    <n v="12"/>
    <n v="799"/>
    <n v="9588"/>
    <s v="DSL"/>
    <d v="2024-09-15T00:00:00"/>
    <s v="No"/>
    <s v="No"/>
    <s v="No"/>
    <s v="No"/>
    <s v="No"/>
    <s v="No"/>
  </r>
  <r>
    <x v="129"/>
    <s v="Ankit Bose"/>
    <s v="Male"/>
    <n v="59"/>
    <s v="Hyderabad"/>
    <x v="0"/>
    <n v="5"/>
    <n v="1099"/>
    <n v="5495"/>
    <s v="Fiber"/>
    <d v="2025-04-05T00:00:00"/>
    <s v="No"/>
    <s v="No"/>
    <s v="No"/>
    <s v="No"/>
    <s v="Yes"/>
    <s v="No"/>
  </r>
  <r>
    <x v="130"/>
    <s v="Neha Jain"/>
    <s v="Female"/>
    <n v="59"/>
    <s v="Bangalore"/>
    <x v="0"/>
    <n v="15"/>
    <n v="1149"/>
    <n v="17235"/>
    <s v="Fiber"/>
    <d v="2024-06-24T00:00:00"/>
    <s v="Yes"/>
    <s v="No"/>
    <s v="No"/>
    <s v="No"/>
    <s v="No"/>
    <s v="No"/>
  </r>
  <r>
    <x v="131"/>
    <s v="Divya Tiwari"/>
    <s v="Female"/>
    <n v="67"/>
    <s v="Pune"/>
    <x v="1"/>
    <n v="22"/>
    <n v="599"/>
    <n v="13178"/>
    <s v="DSL"/>
    <d v="2023-11-26T00:00:00"/>
    <s v="No"/>
    <s v="No"/>
    <s v="No"/>
    <s v="No"/>
    <s v="No"/>
    <s v="No"/>
  </r>
  <r>
    <x v="132"/>
    <s v="Kavita Agarwal"/>
    <s v="Female"/>
    <n v="72"/>
    <s v="Indore"/>
    <x v="2"/>
    <n v="20"/>
    <n v="899"/>
    <n v="17980"/>
    <s v="Fiber"/>
    <d v="2024-01-08T00:00:00"/>
    <s v="No"/>
    <s v="No"/>
    <s v="No"/>
    <s v="No"/>
    <s v="No"/>
    <s v="No"/>
  </r>
  <r>
    <x v="133"/>
    <s v="Aditi Chopra"/>
    <s v="Female"/>
    <n v="62"/>
    <s v="Indore"/>
    <x v="0"/>
    <n v="3"/>
    <n v="1149"/>
    <n v="3447"/>
    <s v="Fiber"/>
    <d v="2025-06-20T00:00:00"/>
    <s v="No"/>
    <s v="No"/>
    <s v="No"/>
    <s v="No"/>
    <s v="No"/>
    <s v="No"/>
  </r>
  <r>
    <x v="134"/>
    <s v="Mohit Kumar"/>
    <s v="Male"/>
    <n v="59"/>
    <s v="Indore"/>
    <x v="0"/>
    <n v="12"/>
    <n v="999"/>
    <n v="11988"/>
    <s v="Fiber"/>
    <d v="2024-09-09T00:00:00"/>
    <s v="Yes"/>
    <s v="No"/>
    <s v="No"/>
    <s v="No"/>
    <s v="No"/>
    <s v="No"/>
  </r>
  <r>
    <x v="135"/>
    <s v="Deepika Nair"/>
    <s v="Female"/>
    <n v="26"/>
    <s v="Bangalore"/>
    <x v="0"/>
    <n v="4"/>
    <n v="549"/>
    <n v="2196"/>
    <s v="No Internet"/>
    <d v="2025-05-03T00:00:00"/>
    <s v="No"/>
    <s v="No"/>
    <s v="No"/>
    <s v="No"/>
    <s v="No"/>
    <s v="No"/>
  </r>
  <r>
    <x v="136"/>
    <s v="Nikhil Yadav"/>
    <s v="Male"/>
    <n v="26"/>
    <s v="Lucknow"/>
    <x v="0"/>
    <n v="23"/>
    <n v="899"/>
    <n v="20677"/>
    <s v="DSL"/>
    <d v="2023-11-07T00:00:00"/>
    <s v="No"/>
    <s v="No"/>
    <s v="No"/>
    <s v="No"/>
    <s v="No"/>
    <s v="No"/>
  </r>
  <r>
    <x v="137"/>
    <s v="Isha Saxena"/>
    <s v="Female"/>
    <n v="64"/>
    <s v="Hyderabad"/>
    <x v="2"/>
    <n v="58"/>
    <n v="1149"/>
    <n v="66642"/>
    <s v="Fiber"/>
    <d v="2020-11-28T00:00:00"/>
    <s v="No"/>
    <s v="No"/>
    <s v="No"/>
    <s v="No"/>
    <s v="No"/>
    <s v="No"/>
  </r>
  <r>
    <x v="138"/>
    <s v="Deepika Patel"/>
    <s v="Female"/>
    <n v="61"/>
    <s v="Lucknow"/>
    <x v="2"/>
    <n v="37"/>
    <n v="1099"/>
    <n v="40663"/>
    <s v="Fiber"/>
    <d v="2022-09-09T00:00:00"/>
    <s v="No"/>
    <s v="No"/>
    <s v="No"/>
    <s v="No"/>
    <s v="No"/>
    <s v="No"/>
  </r>
  <r>
    <x v="139"/>
    <s v="Pankaj Singh"/>
    <s v="Male"/>
    <n v="73"/>
    <s v="Chennai"/>
    <x v="0"/>
    <n v="12"/>
    <n v="899"/>
    <n v="10788"/>
    <s v="Fiber"/>
    <d v="2024-09-24T00:00:00"/>
    <s v="No"/>
    <s v="No"/>
    <s v="No"/>
    <s v="No"/>
    <s v="No"/>
    <s v="No"/>
  </r>
  <r>
    <x v="140"/>
    <s v="Arjun Malhotra"/>
    <s v="Male"/>
    <n v="46"/>
    <s v="Jaipur"/>
    <x v="0"/>
    <n v="8"/>
    <n v="1099"/>
    <n v="8792"/>
    <s v="Fiber"/>
    <d v="2025-01-18T00:00:00"/>
    <s v="No"/>
    <s v="No"/>
    <s v="No"/>
    <s v="No"/>
    <s v="No"/>
    <s v="No"/>
  </r>
  <r>
    <x v="141"/>
    <s v="Deepak Jain"/>
    <s v="Male"/>
    <n v="41"/>
    <s v="Hyderabad"/>
    <x v="0"/>
    <n v="8"/>
    <n v="599"/>
    <n v="4792"/>
    <s v="DSL"/>
    <d v="2025-01-11T00:00:00"/>
    <s v="No"/>
    <s v="No"/>
    <s v="No"/>
    <s v="No"/>
    <s v="No"/>
    <s v="No"/>
  </r>
  <r>
    <x v="142"/>
    <s v="Pooja Singh"/>
    <s v="Female"/>
    <n v="20"/>
    <s v="Chennai"/>
    <x v="2"/>
    <n v="18"/>
    <n v="1199"/>
    <n v="21582"/>
    <s v="Fiber"/>
    <d v="2024-04-06T00:00:00"/>
    <s v="No"/>
    <s v="No"/>
    <s v="No"/>
    <s v="No"/>
    <s v="No"/>
    <s v="No"/>
  </r>
  <r>
    <x v="143"/>
    <s v="Rahul Malhotra"/>
    <s v="Male"/>
    <n v="31"/>
    <s v="Chandigarh"/>
    <x v="0"/>
    <n v="20"/>
    <n v="349"/>
    <n v="6980"/>
    <s v="No Internet"/>
    <d v="2024-01-30T00:00:00"/>
    <s v="No"/>
    <s v="No"/>
    <s v="No"/>
    <s v="No"/>
    <s v="No"/>
    <s v="No"/>
  </r>
  <r>
    <x v="144"/>
    <s v="Anjali Verma"/>
    <s v="Female"/>
    <n v="33"/>
    <s v="Kolkata"/>
    <x v="1"/>
    <n v="5"/>
    <n v="1299"/>
    <n v="6495"/>
    <s v="Fiber"/>
    <d v="2025-05-01T00:00:00"/>
    <s v="No"/>
    <s v="No"/>
    <s v="No"/>
    <s v="No"/>
    <s v="No"/>
    <s v="No"/>
  </r>
  <r>
    <x v="145"/>
    <s v="Rohit Iyer"/>
    <s v="Male"/>
    <n v="45"/>
    <s v="Delhi"/>
    <x v="1"/>
    <n v="27"/>
    <n v="649"/>
    <n v="17523"/>
    <s v="DSL"/>
    <d v="2023-06-30T00:00:00"/>
    <s v="No"/>
    <s v="No"/>
    <s v="No"/>
    <s v="No"/>
    <s v="No"/>
    <s v="No"/>
  </r>
  <r>
    <x v="146"/>
    <s v="Mohit Mishra"/>
    <s v="Male"/>
    <n v="50"/>
    <s v="Kochi"/>
    <x v="2"/>
    <n v="50"/>
    <n v="1099"/>
    <n v="54950"/>
    <s v="Fiber"/>
    <d v="2021-08-09T00:00:00"/>
    <s v="No"/>
    <s v="No"/>
    <s v="No"/>
    <s v="No"/>
    <s v="No"/>
    <s v="No"/>
  </r>
  <r>
    <x v="147"/>
    <s v="Priya Patel"/>
    <s v="Female"/>
    <n v="68"/>
    <s v="Mumbai"/>
    <x v="0"/>
    <n v="21"/>
    <n v="1299"/>
    <n v="27279"/>
    <s v="Fiber"/>
    <d v="2023-12-28T00:00:00"/>
    <s v="No"/>
    <s v="No"/>
    <s v="No"/>
    <s v="No"/>
    <s v="No"/>
    <s v="No"/>
  </r>
  <r>
    <x v="148"/>
    <s v="Amit Patel"/>
    <s v="Male"/>
    <n v="52"/>
    <s v="Pune"/>
    <x v="2"/>
    <n v="60"/>
    <n v="849"/>
    <n v="50940"/>
    <s v="DSL"/>
    <d v="2020-10-22T00:00:00"/>
    <s v="No"/>
    <s v="No"/>
    <s v="No"/>
    <s v="No"/>
    <s v="No"/>
    <s v="No"/>
  </r>
  <r>
    <x v="149"/>
    <s v="Sneha Iyer"/>
    <s v="Female"/>
    <n v="30"/>
    <s v="Delhi"/>
    <x v="1"/>
    <n v="21"/>
    <n v="499"/>
    <n v="10479"/>
    <s v="No Internet"/>
    <d v="2023-12-21T00:00:00"/>
    <s v="No"/>
    <s v="No"/>
    <s v="No"/>
    <s v="No"/>
    <s v="No"/>
    <s v="No"/>
  </r>
  <r>
    <x v="150"/>
    <s v="Kavita Verma"/>
    <s v="Female"/>
    <n v="66"/>
    <s v="Indore"/>
    <x v="3"/>
    <n v="2"/>
    <n v="1199"/>
    <n v="2398"/>
    <s v="Fiber"/>
    <d v="2025-07-05T00:00:00"/>
    <s v="Yes"/>
    <s v="No"/>
    <s v="No"/>
    <s v="No"/>
    <s v="No"/>
    <s v="No"/>
  </r>
  <r>
    <x v="151"/>
    <s v="Nisha Rao"/>
    <s v="Female"/>
    <n v="65"/>
    <s v="Ahmedabad"/>
    <x v="2"/>
    <n v="24"/>
    <n v="1199"/>
    <n v="28776"/>
    <s v="Fiber"/>
    <m/>
    <s v="No"/>
    <s v="No"/>
    <s v="Yes"/>
    <s v="No"/>
    <s v="No"/>
    <s v="Date missing"/>
  </r>
  <r>
    <x v="152"/>
    <s v="Neha Agarwal"/>
    <s v="Female"/>
    <n v="45"/>
    <s v="Mumbai"/>
    <x v="0"/>
    <n v="6"/>
    <n v="449"/>
    <n v="2694"/>
    <s v="No Internet"/>
    <d v="2025-03-22T00:00:00"/>
    <s v="Yes"/>
    <s v="No"/>
    <s v="No"/>
    <s v="No"/>
    <s v="No"/>
    <s v="No"/>
  </r>
  <r>
    <x v="153"/>
    <s v="Aditi Kapoor"/>
    <s v="Female"/>
    <n v="56"/>
    <s v="Bhopal"/>
    <x v="0"/>
    <n v="12"/>
    <n v="899"/>
    <n v="10788"/>
    <s v="Fiber"/>
    <d v="2024-09-20T00:00:00"/>
    <s v="No"/>
    <s v="No"/>
    <s v="No"/>
    <s v="Yes"/>
    <s v="No"/>
    <s v="No"/>
  </r>
  <r>
    <x v="154"/>
    <s v="Sneha Kumar"/>
    <s v="Female"/>
    <n v="60"/>
    <s v="Indore"/>
    <x v="0"/>
    <n v="24"/>
    <n v="999"/>
    <n v="23976"/>
    <s v="Fiber"/>
    <d v="2023-09-20T00:00:00"/>
    <s v="Yes"/>
    <s v="No"/>
    <s v="No"/>
    <s v="No"/>
    <s v="No"/>
    <s v="No"/>
  </r>
  <r>
    <x v="155"/>
    <s v="Sneha Singh"/>
    <s v="Female"/>
    <n v="22"/>
    <s v="Hyderabad"/>
    <x v="1"/>
    <n v="25"/>
    <n v="899"/>
    <n v="22475"/>
    <s v="Fiber"/>
    <d v="2023-08-26T00:00:00"/>
    <s v="Yes"/>
    <s v="No"/>
    <s v="No"/>
    <s v="No"/>
    <s v="No"/>
    <s v="No"/>
  </r>
  <r>
    <x v="156"/>
    <s v="Isha Kapoor"/>
    <s v="Female"/>
    <n v="47"/>
    <s v="Mumbai"/>
    <x v="1"/>
    <n v="26"/>
    <n v="1199"/>
    <n v="31174"/>
    <s v="Fiber"/>
    <d v="2023-08-07T00:00:00"/>
    <s v="No"/>
    <s v="Yes"/>
    <s v="No"/>
    <s v="No"/>
    <s v="No"/>
    <s v="No"/>
  </r>
  <r>
    <x v="157"/>
    <s v="Arjun Desai"/>
    <s v="Male"/>
    <n v="51"/>
    <s v="Kolkata"/>
    <x v="2"/>
    <n v="34"/>
    <n v="849"/>
    <n v="28866"/>
    <s v="DSL"/>
    <d v="2022-12-04T00:00:00"/>
    <s v="No"/>
    <s v="No"/>
    <s v="No"/>
    <s v="No"/>
    <s v="No"/>
    <s v="No"/>
  </r>
  <r>
    <x v="158"/>
    <s v="Deepika Reddy"/>
    <s v="Female"/>
    <n v="26"/>
    <s v="Chandigarh"/>
    <x v="0"/>
    <n v="23"/>
    <n v="749"/>
    <n v="17227"/>
    <s v="DSL"/>
    <d v="2023-10-17T00:00:00"/>
    <s v="No"/>
    <s v="No"/>
    <s v="No"/>
    <s v="Yes"/>
    <s v="No"/>
    <s v="No"/>
  </r>
  <r>
    <x v="159"/>
    <s v="Sachin Mishra"/>
    <s v="Male"/>
    <n v="36"/>
    <s v="Chennai"/>
    <x v="2"/>
    <n v="23"/>
    <n v="1049"/>
    <n v="24127"/>
    <s v="Fiber"/>
    <d v="2023-11-02T00:00:00"/>
    <s v="No"/>
    <s v="No"/>
    <s v="No"/>
    <s v="No"/>
    <s v="No"/>
    <s v="No"/>
  </r>
  <r>
    <x v="160"/>
    <s v="Manish Desai"/>
    <s v="Male"/>
    <n v="19"/>
    <s v="Pune"/>
    <x v="1"/>
    <n v="36"/>
    <n v="1149"/>
    <n v="41364"/>
    <s v="Fiber"/>
    <d v="2022-10-02T00:00:00"/>
    <s v="Yes"/>
    <s v="No"/>
    <s v="No"/>
    <s v="No"/>
    <s v="No"/>
    <s v="No"/>
  </r>
  <r>
    <x v="161"/>
    <s v="Payal Tiwari"/>
    <s v="Unknown"/>
    <n v="67"/>
    <s v="Kolkata"/>
    <x v="2"/>
    <n v="41"/>
    <n v="849"/>
    <n v="34809"/>
    <s v="DSL"/>
    <d v="2022-05-01T00:00:00"/>
    <s v="No"/>
    <s v="No"/>
    <s v="No"/>
    <s v="No"/>
    <s v="No"/>
    <s v="No"/>
  </r>
  <r>
    <x v="162"/>
    <s v="Pooja Mishra"/>
    <s v="Female"/>
    <n v="58"/>
    <s v="Lucknow"/>
    <x v="0"/>
    <n v="14"/>
    <n v="349"/>
    <n v="4886"/>
    <s v="No Internet"/>
    <d v="2024-07-19T00:00:00"/>
    <s v="No"/>
    <s v="No"/>
    <s v="No"/>
    <s v="No"/>
    <s v="No"/>
    <s v="No"/>
  </r>
  <r>
    <x v="163"/>
    <s v="Harsh Gupta"/>
    <s v="Male"/>
    <n v="28"/>
    <s v="Pune"/>
    <x v="2"/>
    <n v="67"/>
    <n v="699"/>
    <n v="46833"/>
    <s v="DSL"/>
    <d v="2020-03-08T00:00:00"/>
    <s v="No"/>
    <s v="No"/>
    <s v="No"/>
    <s v="No"/>
    <s v="No"/>
    <s v="No"/>
  </r>
  <r>
    <x v="164"/>
    <s v="Pooja Chopra"/>
    <s v="Female"/>
    <n v="37"/>
    <s v="Lucknow"/>
    <x v="0"/>
    <n v="6"/>
    <n v="1149"/>
    <n v="6894"/>
    <s v="Fiber"/>
    <d v="2025-03-13T00:00:00"/>
    <s v="Yes"/>
    <s v="No"/>
    <s v="No"/>
    <s v="No"/>
    <s v="No"/>
    <s v="No"/>
  </r>
  <r>
    <x v="165"/>
    <s v="Tanvi Verma"/>
    <s v="Female"/>
    <n v="70"/>
    <s v="Chandigarh"/>
    <x v="0"/>
    <n v="21"/>
    <n v="899"/>
    <n v="18879"/>
    <s v="DSL"/>
    <d v="2023-12-14T00:00:00"/>
    <s v="No"/>
    <s v="No"/>
    <s v="No"/>
    <s v="No"/>
    <s v="No"/>
    <s v="No"/>
  </r>
  <r>
    <x v="166"/>
    <s v="Riya Chopra"/>
    <s v="Female"/>
    <n v="19"/>
    <s v="Ahmedabad"/>
    <x v="2"/>
    <n v="39"/>
    <n v="999"/>
    <n v="38961"/>
    <s v="Fiber"/>
    <d v="2022-07-14T00:00:00"/>
    <s v="No"/>
    <s v="No"/>
    <s v="No"/>
    <s v="No"/>
    <s v="Yes"/>
    <s v="No"/>
  </r>
  <r>
    <x v="167"/>
    <s v="Arjun Kapoor"/>
    <s v="Male"/>
    <n v="44"/>
    <s v="Ahmedabad"/>
    <x v="0"/>
    <n v="5"/>
    <n v="699"/>
    <n v="3495"/>
    <s v="DSL"/>
    <d v="2025-04-04T00:00:00"/>
    <s v="No"/>
    <s v="No"/>
    <s v="No"/>
    <s v="No"/>
    <s v="Yes"/>
    <s v="No"/>
  </r>
  <r>
    <x v="168"/>
    <s v="Divya Singh"/>
    <s v="Female"/>
    <n v="66"/>
    <s v="Pune"/>
    <x v="0"/>
    <n v="8"/>
    <n v="749"/>
    <n v="5992"/>
    <s v="DSL"/>
    <d v="2025-01-27T00:00:00"/>
    <s v="No"/>
    <s v="No"/>
    <s v="No"/>
    <s v="No"/>
    <s v="No"/>
    <s v="No"/>
  </r>
  <r>
    <x v="169"/>
    <s v="Amit Iyer"/>
    <s v="Male"/>
    <n v="42"/>
    <s v="Chandigarh"/>
    <x v="1"/>
    <n v="11"/>
    <n v="899"/>
    <n v="9889"/>
    <s v="DSL"/>
    <d v="2024-10-27T00:00:00"/>
    <s v="No"/>
    <s v="No"/>
    <s v="No"/>
    <s v="Yes"/>
    <s v="No"/>
    <s v="No"/>
  </r>
  <r>
    <x v="170"/>
    <s v="Gaurav Jain"/>
    <s v="Male"/>
    <n v="47"/>
    <s v="Ahmedabad"/>
    <x v="2"/>
    <n v="12"/>
    <n v="1149"/>
    <n v="13788"/>
    <s v="Fiber"/>
    <m/>
    <s v="No"/>
    <s v="No"/>
    <s v="No"/>
    <s v="No"/>
    <s v="No"/>
    <s v="Date missing"/>
  </r>
  <r>
    <x v="171"/>
    <s v="Sneha Verma"/>
    <s v="Female"/>
    <n v="36"/>
    <s v="Ahmedabad"/>
    <x v="1"/>
    <n v="31"/>
    <n v="349"/>
    <n v="10819"/>
    <s v="No Internet"/>
    <d v="2023-02-28T00:00:00"/>
    <s v="No"/>
    <s v="No"/>
    <s v="No"/>
    <s v="No"/>
    <s v="No"/>
    <s v="No"/>
  </r>
  <r>
    <x v="172"/>
    <s v="Suresh Agarwal"/>
    <s v="Male"/>
    <n v="41"/>
    <s v="Kochi"/>
    <x v="0"/>
    <n v="2"/>
    <n v="799"/>
    <n v="1598"/>
    <s v="DSL"/>
    <d v="2025-07-21T00:00:00"/>
    <s v="Yes"/>
    <s v="No"/>
    <s v="No"/>
    <s v="No"/>
    <s v="No"/>
    <s v="No"/>
  </r>
  <r>
    <x v="173"/>
    <s v="Deepak Jain"/>
    <s v="Male"/>
    <n v="46"/>
    <s v="Kochi"/>
    <x v="0"/>
    <n v="20"/>
    <n v="349"/>
    <n v="6980"/>
    <s v="No Internet"/>
    <d v="2024-02-03T00:00:00"/>
    <s v="Yes"/>
    <s v="No"/>
    <s v="No"/>
    <s v="No"/>
    <s v="No"/>
    <s v="No"/>
  </r>
  <r>
    <x v="174"/>
    <s v="Isha Joshi"/>
    <s v="Female"/>
    <n v="53"/>
    <s v="Pune"/>
    <x v="1"/>
    <n v="33"/>
    <n v="749"/>
    <n v="24717"/>
    <s v="DSL"/>
    <d v="2023-01-08T00:00:00"/>
    <s v="Yes"/>
    <s v="No"/>
    <s v="No"/>
    <s v="No"/>
    <s v="Yes"/>
    <s v="No"/>
  </r>
  <r>
    <x v="175"/>
    <s v="Komal Jain"/>
    <s v="Female"/>
    <n v="47"/>
    <s v="Bangalore"/>
    <x v="3"/>
    <n v="21"/>
    <n v="1049"/>
    <n v="22029"/>
    <s v="Fiber"/>
    <d v="2023-12-19T00:00:00"/>
    <s v="No"/>
    <s v="No"/>
    <s v="No"/>
    <s v="Yes"/>
    <s v="No"/>
    <s v="No"/>
  </r>
  <r>
    <x v="176"/>
    <s v="Tanvi Joshi"/>
    <s v="Female"/>
    <n v="50"/>
    <s v="Chandigarh"/>
    <x v="0"/>
    <n v="19"/>
    <n v="1099"/>
    <n v="20881"/>
    <s v="Fiber"/>
    <d v="2024-02-15T00:00:00"/>
    <s v="Yes"/>
    <s v="No"/>
    <s v="No"/>
    <s v="No"/>
    <s v="No"/>
    <s v="No"/>
  </r>
  <r>
    <x v="177"/>
    <s v="Vivek Bose"/>
    <s v="Male"/>
    <n v="37"/>
    <s v="Kochi"/>
    <x v="3"/>
    <n v="4"/>
    <n v="449"/>
    <n v="1796"/>
    <s v="No Internet"/>
    <d v="2025-05-06T00:00:00"/>
    <s v="No"/>
    <s v="No"/>
    <s v="No"/>
    <s v="No"/>
    <s v="No"/>
    <s v="No"/>
  </r>
  <r>
    <x v="178"/>
    <s v="Amit Bose"/>
    <s v="Male"/>
    <n v="48"/>
    <s v="Bangalore"/>
    <x v="0"/>
    <n v="13"/>
    <n v="1299"/>
    <n v="16887"/>
    <s v="Fiber"/>
    <d v="2024-08-12T00:00:00"/>
    <s v="Yes"/>
    <s v="No"/>
    <s v="No"/>
    <s v="No"/>
    <s v="No"/>
    <s v="No"/>
  </r>
  <r>
    <x v="179"/>
    <s v="Sanjay Sharma"/>
    <s v="Male"/>
    <n v="46"/>
    <s v="Pune"/>
    <x v="0"/>
    <n v="7"/>
    <n v="1149"/>
    <n v="8043"/>
    <s v="Fiber"/>
    <d v="2025-02-03T00:00:00"/>
    <s v="No"/>
    <s v="No"/>
    <s v="No"/>
    <s v="No"/>
    <s v="No"/>
    <s v="No"/>
  </r>
  <r>
    <x v="180"/>
    <s v="Rohit Jain"/>
    <s v="Male"/>
    <n v="31"/>
    <s v="Jaipur"/>
    <x v="0"/>
    <n v="17"/>
    <n v="1049"/>
    <n v="17833"/>
    <s v="Fiber"/>
    <d v="2024-04-19T00:00:00"/>
    <s v="Yes"/>
    <s v="No"/>
    <s v="No"/>
    <s v="No"/>
    <s v="No"/>
    <s v="No"/>
  </r>
  <r>
    <x v="181"/>
    <s v="Sonal Patel"/>
    <s v="Female"/>
    <n v="61"/>
    <s v="Kochi"/>
    <x v="2"/>
    <n v="34"/>
    <n v="1099"/>
    <n v="37366"/>
    <s v="Fiber"/>
    <d v="2022-12-05T00:00:00"/>
    <s v="No"/>
    <s v="No"/>
    <s v="No"/>
    <s v="No"/>
    <s v="No"/>
    <s v="No"/>
  </r>
  <r>
    <x v="182"/>
    <s v="Ritu Iyer"/>
    <s v="Female"/>
    <n v="67"/>
    <s v="Chennai"/>
    <x v="1"/>
    <n v="32"/>
    <n v="1099"/>
    <n v="35168"/>
    <s v="Fiber"/>
    <d v="2023-01-13T00:00:00"/>
    <s v="No"/>
    <s v="No"/>
    <s v="No"/>
    <s v="No"/>
    <s v="Yes"/>
    <s v="No"/>
  </r>
  <r>
    <x v="183"/>
    <s v="Aditi Reddy"/>
    <s v="Female"/>
    <n v="54"/>
    <s v="Indore"/>
    <x v="0"/>
    <n v="13"/>
    <n v="399"/>
    <n v="5187"/>
    <s v="No Internet"/>
    <d v="2024-08-25T00:00:00"/>
    <s v="Yes"/>
    <s v="No"/>
    <s v="No"/>
    <s v="No"/>
    <s v="No"/>
    <s v="No"/>
  </r>
  <r>
    <x v="184"/>
    <s v="Aman Kapoor"/>
    <s v="Male"/>
    <n v="59"/>
    <s v="Chennai"/>
    <x v="1"/>
    <n v="35"/>
    <n v="699"/>
    <n v="24465"/>
    <s v="DSL"/>
    <d v="2022-10-25T00:00:00"/>
    <s v="Unknown"/>
    <s v="No"/>
    <s v="No"/>
    <s v="No"/>
    <s v="No"/>
    <s v="Churn unknown"/>
  </r>
  <r>
    <x v="185"/>
    <s v="Manish Verma"/>
    <s v="Male"/>
    <n v="60"/>
    <s v="Jaipur"/>
    <x v="0"/>
    <n v="4"/>
    <n v="749"/>
    <n v="2996"/>
    <s v="DSL"/>
    <d v="2025-05-07T00:00:00"/>
    <s v="Unknown"/>
    <s v="No"/>
    <s v="No"/>
    <s v="No"/>
    <s v="No"/>
    <s v="Churn unknown"/>
  </r>
  <r>
    <x v="186"/>
    <s v="Rahul Mishra"/>
    <s v="Male"/>
    <n v="28"/>
    <s v="Kolkata"/>
    <x v="1"/>
    <n v="31"/>
    <n v="399"/>
    <n v="12369"/>
    <s v="No Internet"/>
    <d v="2023-03-04T00:00:00"/>
    <s v="No"/>
    <s v="No"/>
    <s v="No"/>
    <s v="No"/>
    <s v="No"/>
    <s v="No"/>
  </r>
  <r>
    <x v="187"/>
    <s v="Aditi Chopra"/>
    <s v="Female"/>
    <n v="21"/>
    <s v="Kochi"/>
    <x v="0"/>
    <n v="18"/>
    <n v="1199"/>
    <n v="21582"/>
    <s v="Fiber"/>
    <d v="2024-04-01T00:00:00"/>
    <s v="No"/>
    <s v="No"/>
    <s v="No"/>
    <s v="No"/>
    <s v="No"/>
    <s v="No"/>
  </r>
  <r>
    <x v="188"/>
    <s v="Meera Verma"/>
    <s v="Female"/>
    <n v="71"/>
    <s v="Kolkata"/>
    <x v="1"/>
    <n v="19"/>
    <n v="599"/>
    <n v="11381"/>
    <s v="DSL"/>
    <d v="2024-03-04T00:00:00"/>
    <s v="No"/>
    <s v="No"/>
    <s v="No"/>
    <s v="No"/>
    <s v="No"/>
    <s v="No"/>
  </r>
  <r>
    <x v="189"/>
    <s v="Aditi Kapoor"/>
    <s v="Female"/>
    <n v="59"/>
    <s v="Jaipur"/>
    <x v="0"/>
    <n v="5"/>
    <n v="499"/>
    <n v="2495"/>
    <s v="No Internet"/>
    <d v="2025-04-06T00:00:00"/>
    <s v="Yes"/>
    <s v="No"/>
    <s v="No"/>
    <s v="No"/>
    <s v="No"/>
    <s v="No"/>
  </r>
  <r>
    <x v="190"/>
    <s v="Nikhil Gupta"/>
    <s v="Male"/>
    <n v="64"/>
    <s v="Ahmedabad"/>
    <x v="1"/>
    <n v="1"/>
    <n v="1049"/>
    <n v="1049"/>
    <s v="Fiber"/>
    <d v="2025-08-05T00:00:00"/>
    <s v="No"/>
    <s v="No"/>
    <s v="No"/>
    <s v="No"/>
    <s v="No"/>
    <s v="No"/>
  </r>
  <r>
    <x v="191"/>
    <s v="Arjun Yadav"/>
    <s v="Male"/>
    <n v="72"/>
    <s v="Indore"/>
    <x v="2"/>
    <n v="66"/>
    <n v="499"/>
    <n v="32934"/>
    <s v="No Internet"/>
    <d v="2020-04-22T00:00:00"/>
    <s v="No"/>
    <s v="No"/>
    <s v="No"/>
    <s v="No"/>
    <s v="No"/>
    <s v="No"/>
  </r>
  <r>
    <x v="192"/>
    <s v="Gaurav Joshi"/>
    <s v="Male"/>
    <n v="33"/>
    <s v="Delhi"/>
    <x v="0"/>
    <n v="9"/>
    <n v="699"/>
    <n v="6291"/>
    <s v="DSL"/>
    <d v="2025-01-01T00:00:00"/>
    <s v="No"/>
    <s v="No"/>
    <s v="No"/>
    <s v="No"/>
    <s v="No"/>
    <s v="No"/>
  </r>
  <r>
    <x v="193"/>
    <s v="Isha Pandey"/>
    <s v="Female"/>
    <n v="33"/>
    <s v="Delhi"/>
    <x v="1"/>
    <n v="11"/>
    <n v="1199"/>
    <n v="13189"/>
    <s v="Fiber"/>
    <d v="2024-10-05T00:00:00"/>
    <s v="No"/>
    <s v="No"/>
    <s v="No"/>
    <s v="No"/>
    <s v="No"/>
    <s v="No"/>
  </r>
  <r>
    <x v="194"/>
    <s v="Anjali Chopra"/>
    <s v="Female"/>
    <n v="36"/>
    <s v="Pune"/>
    <x v="1"/>
    <n v="9"/>
    <n v="749"/>
    <n v="6741"/>
    <s v="DSL"/>
    <d v="2024-12-13T00:00:00"/>
    <s v="No"/>
    <s v="No"/>
    <s v="No"/>
    <s v="No"/>
    <s v="No"/>
    <s v="No"/>
  </r>
  <r>
    <x v="195"/>
    <s v="Nisha Pandey"/>
    <s v="Female"/>
    <n v="53"/>
    <s v="Ahmedabad"/>
    <x v="1"/>
    <n v="14"/>
    <n v="549"/>
    <n v="7686"/>
    <s v="No Internet"/>
    <d v="2024-08-02T00:00:00"/>
    <s v="No"/>
    <s v="No"/>
    <s v="No"/>
    <s v="No"/>
    <s v="No"/>
    <s v="No"/>
  </r>
  <r>
    <x v="196"/>
    <s v="Payal Pandey"/>
    <s v="Female"/>
    <n v="41"/>
    <s v="Mumbai"/>
    <x v="2"/>
    <n v="71"/>
    <n v="799"/>
    <n v="56729"/>
    <s v="DSL"/>
    <d v="2019-11-24T00:00:00"/>
    <s v="No"/>
    <s v="No"/>
    <s v="No"/>
    <s v="No"/>
    <s v="Yes"/>
    <s v="No"/>
  </r>
  <r>
    <x v="197"/>
    <s v="Payal Kapoor"/>
    <s v="Female"/>
    <n v="25"/>
    <s v="Indore"/>
    <x v="0"/>
    <n v="3"/>
    <n v="1099"/>
    <n v="3297"/>
    <s v="Fiber"/>
    <d v="2025-06-14T00:00:00"/>
    <s v="Yes"/>
    <s v="No"/>
    <s v="No"/>
    <s v="No"/>
    <s v="No"/>
    <s v="No"/>
  </r>
  <r>
    <x v="198"/>
    <s v="Shreya Bose"/>
    <s v="Female"/>
    <n v="21"/>
    <s v="Unknown"/>
    <x v="0"/>
    <n v="24"/>
    <n v="449"/>
    <n v="10776"/>
    <s v="No Internet"/>
    <d v="2023-09-16T00:00:00"/>
    <s v="No"/>
    <s v="No"/>
    <s v="No"/>
    <s v="No"/>
    <s v="No"/>
    <s v="No"/>
  </r>
  <r>
    <x v="199"/>
    <s v="Rajesh Kumar"/>
    <s v="Male"/>
    <n v="20"/>
    <s v="Kolkata"/>
    <x v="0"/>
    <n v="2"/>
    <n v="599"/>
    <n v="1198"/>
    <s v="DSL"/>
    <d v="2025-07-25T00:00:00"/>
    <s v="Yes"/>
    <s v="No"/>
    <s v="No"/>
    <s v="No"/>
    <s v="No"/>
    <s v="No"/>
  </r>
  <r>
    <x v="200"/>
    <s v="Vivek Patel"/>
    <s v="Male"/>
    <n v="75"/>
    <s v="Kolkata"/>
    <x v="0"/>
    <n v="13"/>
    <n v="549"/>
    <n v="7137"/>
    <s v="No Internet"/>
    <d v="2024-08-07T00:00:00"/>
    <s v="Yes"/>
    <s v="No"/>
    <s v="No"/>
    <s v="No"/>
    <s v="No"/>
    <s v="No"/>
  </r>
  <r>
    <x v="201"/>
    <s v="Anjali Gupta"/>
    <s v="Female"/>
    <n v="52"/>
    <s v="Kolkata"/>
    <x v="0"/>
    <n v="8"/>
    <n v="899"/>
    <n v="7192"/>
    <s v="Fiber"/>
    <d v="2025-01-17T00:00:00"/>
    <s v="No"/>
    <s v="No"/>
    <s v="No"/>
    <s v="No"/>
    <s v="No"/>
    <s v="No"/>
  </r>
  <r>
    <x v="202"/>
    <s v="Sonal Rao"/>
    <s v="Female"/>
    <n v="70"/>
    <s v="Hyderabad"/>
    <x v="0"/>
    <n v="9"/>
    <n v="649"/>
    <n v="5841"/>
    <s v="DSL"/>
    <d v="2024-12-11T00:00:00"/>
    <s v="Yes"/>
    <s v="No"/>
    <s v="No"/>
    <s v="Yes"/>
    <s v="No"/>
    <s v="No"/>
  </r>
  <r>
    <x v="203"/>
    <s v="Riya Sharma"/>
    <s v="Female"/>
    <n v="33"/>
    <s v="Hyderabad"/>
    <x v="0"/>
    <n v="15"/>
    <n v="1199"/>
    <n v="17985"/>
    <s v="Fiber"/>
    <d v="2024-07-04T00:00:00"/>
    <s v="Yes"/>
    <s v="No"/>
    <s v="No"/>
    <s v="No"/>
    <s v="No"/>
    <s v="No"/>
  </r>
  <r>
    <x v="204"/>
    <s v="Shreya Nair"/>
    <s v="Female"/>
    <n v="52"/>
    <s v="Hyderabad"/>
    <x v="1"/>
    <n v="9"/>
    <n v="1049"/>
    <n v="9441"/>
    <s v="Fiber"/>
    <d v="2024-12-09T00:00:00"/>
    <s v="No"/>
    <s v="No"/>
    <s v="No"/>
    <s v="Yes"/>
    <s v="No"/>
    <s v="No"/>
  </r>
  <r>
    <x v="205"/>
    <s v="Tanvi Yadav"/>
    <s v="Female"/>
    <n v="67"/>
    <s v="Indore"/>
    <x v="2"/>
    <n v="19"/>
    <n v="849"/>
    <n v="16131"/>
    <s v="DSL"/>
    <d v="2024-02-28T00:00:00"/>
    <s v="No"/>
    <s v="No"/>
    <s v="No"/>
    <s v="No"/>
    <s v="No"/>
    <s v="No"/>
  </r>
  <r>
    <x v="206"/>
    <s v="Sachin Bose"/>
    <s v="Unknown"/>
    <n v="47"/>
    <s v="Bhopal"/>
    <x v="2"/>
    <n v="55"/>
    <n v="1099"/>
    <n v="60445"/>
    <s v="Fiber"/>
    <d v="2021-03-03T00:00:00"/>
    <s v="No"/>
    <s v="Yes"/>
    <s v="No"/>
    <s v="No"/>
    <s v="No"/>
    <s v="No"/>
  </r>
  <r>
    <x v="207"/>
    <s v="Payal Joshi"/>
    <s v="Female"/>
    <n v="62"/>
    <s v="Kolkata"/>
    <x v="0"/>
    <n v="6"/>
    <n v="899"/>
    <n v="5394"/>
    <s v="DSL"/>
    <d v="2025-03-25T00:00:00"/>
    <s v="Yes"/>
    <s v="No"/>
    <s v="No"/>
    <s v="No"/>
    <s v="No"/>
    <s v="No"/>
  </r>
  <r>
    <x v="208"/>
    <s v="Pooja Kapoor"/>
    <s v="Female"/>
    <n v="21"/>
    <s v="Jaipur"/>
    <x v="0"/>
    <n v="17"/>
    <n v="1099"/>
    <n v="18683"/>
    <s v="Unknown"/>
    <d v="2024-04-26T00:00:00"/>
    <s v="Yes"/>
    <s v="No"/>
    <s v="Yes"/>
    <s v="No"/>
    <s v="No"/>
    <s v="No"/>
  </r>
  <r>
    <x v="209"/>
    <s v="Ankit Patel"/>
    <s v="Male"/>
    <n v="23"/>
    <s v="Jaipur"/>
    <x v="1"/>
    <n v="18"/>
    <n v="749"/>
    <n v="13482"/>
    <s v="DSL"/>
    <d v="2024-03-10T00:00:00"/>
    <s v="No"/>
    <s v="No"/>
    <s v="No"/>
    <s v="No"/>
    <s v="No"/>
    <s v="No"/>
  </r>
  <r>
    <x v="210"/>
    <s v="Sanjay Bose"/>
    <s v="Unknown"/>
    <n v="64"/>
    <s v="Indore"/>
    <x v="1"/>
    <n v="22"/>
    <n v="899"/>
    <n v="19778"/>
    <s v="Fiber"/>
    <d v="2023-11-15T00:00:00"/>
    <s v="No"/>
    <s v="No"/>
    <s v="No"/>
    <s v="No"/>
    <s v="No"/>
    <s v="No"/>
  </r>
  <r>
    <x v="211"/>
    <s v="Gaurav Nair"/>
    <s v="Male"/>
    <n v="62"/>
    <s v="Lucknow"/>
    <x v="1"/>
    <n v="16"/>
    <n v="1049"/>
    <n v="16784"/>
    <s v="Fiber"/>
    <d v="2024-05-19T00:00:00"/>
    <s v="No"/>
    <s v="No"/>
    <s v="No"/>
    <s v="No"/>
    <s v="No"/>
    <s v="No"/>
  </r>
  <r>
    <x v="212"/>
    <s v="Aditi Malhotra"/>
    <s v="Female"/>
    <n v="41"/>
    <s v="Jaipur"/>
    <x v="2"/>
    <n v="61"/>
    <n v="1299"/>
    <n v="79239"/>
    <s v="Fiber"/>
    <d v="2020-09-13T00:00:00"/>
    <s v="No"/>
    <s v="No"/>
    <s v="No"/>
    <s v="No"/>
    <s v="No"/>
    <s v="No"/>
  </r>
  <r>
    <x v="213"/>
    <s v="Nisha Verma"/>
    <s v="Female"/>
    <n v="54"/>
    <s v="Chandigarh"/>
    <x v="0"/>
    <n v="9"/>
    <n v="799"/>
    <n v="7191"/>
    <s v="DSL"/>
    <d v="2024-12-23T00:00:00"/>
    <s v="No"/>
    <s v="No"/>
    <s v="No"/>
    <s v="No"/>
    <s v="No"/>
    <s v="No"/>
  </r>
  <r>
    <x v="214"/>
    <s v="Sanjay Joshi"/>
    <s v="Male"/>
    <n v="32"/>
    <s v="Kolkata"/>
    <x v="1"/>
    <n v="36"/>
    <n v="849"/>
    <n v="30564"/>
    <s v="DSL"/>
    <d v="2022-09-18T00:00:00"/>
    <s v="No"/>
    <s v="No"/>
    <s v="No"/>
    <s v="No"/>
    <s v="No"/>
    <s v="No"/>
  </r>
  <r>
    <x v="215"/>
    <s v="Komal Kapoor"/>
    <s v="Unknown"/>
    <n v="28"/>
    <s v="Bhopal"/>
    <x v="1"/>
    <n v="35"/>
    <n v="749"/>
    <n v="26215"/>
    <s v="DSL"/>
    <d v="2022-11-12T00:00:00"/>
    <s v="No"/>
    <s v="No"/>
    <s v="No"/>
    <s v="No"/>
    <s v="Yes"/>
    <s v="No"/>
  </r>
  <r>
    <x v="216"/>
    <s v="Vikram Saxena"/>
    <s v="Male"/>
    <n v="21"/>
    <s v="Kochi"/>
    <x v="0"/>
    <n v="21"/>
    <n v="649"/>
    <n v="13629"/>
    <s v="DSL"/>
    <d v="2023-12-22T00:00:00"/>
    <s v="Yes"/>
    <s v="No"/>
    <s v="No"/>
    <s v="No"/>
    <s v="No"/>
    <s v="No"/>
  </r>
  <r>
    <x v="217"/>
    <s v="Isha Verma"/>
    <s v="Female"/>
    <n v="57"/>
    <s v="Indore"/>
    <x v="1"/>
    <n v="31"/>
    <n v="1099"/>
    <n v="34069"/>
    <s v="Fiber"/>
    <d v="2023-02-24T00:00:00"/>
    <s v="Yes"/>
    <s v="No"/>
    <s v="No"/>
    <s v="No"/>
    <s v="No"/>
    <s v="No"/>
  </r>
  <r>
    <x v="218"/>
    <s v="Priya Sharma"/>
    <s v="Female"/>
    <n v="51"/>
    <s v="Bhopal"/>
    <x v="0"/>
    <n v="1"/>
    <n v="499"/>
    <n v="499"/>
    <s v="No Internet"/>
    <d v="2025-07-31T00:00:00"/>
    <s v="No"/>
    <s v="No"/>
    <s v="No"/>
    <s v="No"/>
    <s v="No"/>
    <s v="No"/>
  </r>
  <r>
    <x v="219"/>
    <s v="Karan Reddy"/>
    <s v="Male"/>
    <n v="51"/>
    <s v="Bangalore"/>
    <x v="0"/>
    <n v="9"/>
    <n v="1049"/>
    <n v="9441"/>
    <s v="Fiber"/>
    <d v="2024-12-30T00:00:00"/>
    <s v="No"/>
    <s v="No"/>
    <s v="No"/>
    <s v="No"/>
    <s v="No"/>
    <s v="No"/>
  </r>
  <r>
    <x v="220"/>
    <s v="Divya Kapoor"/>
    <s v="Female"/>
    <n v="54"/>
    <s v="Hyderabad"/>
    <x v="2"/>
    <n v="11"/>
    <n v="849"/>
    <n v="9339"/>
    <s v="DSL"/>
    <d v="2024-10-21T00:00:00"/>
    <s v="No"/>
    <s v="No"/>
    <s v="No"/>
    <s v="No"/>
    <s v="No"/>
    <s v="No"/>
  </r>
  <r>
    <x v="221"/>
    <s v="Sonal Desai"/>
    <s v="Female"/>
    <n v="47"/>
    <s v="Indore"/>
    <x v="0"/>
    <n v="16"/>
    <n v="899"/>
    <n v="14384"/>
    <s v="DSL"/>
    <d v="2024-05-09T00:00:00"/>
    <s v="No"/>
    <s v="Yes"/>
    <s v="No"/>
    <s v="No"/>
    <s v="No"/>
    <s v="No"/>
  </r>
  <r>
    <x v="222"/>
    <s v="Mohit Verma"/>
    <s v="Male"/>
    <n v="32"/>
    <s v="Hyderabad"/>
    <x v="2"/>
    <n v="61"/>
    <n v="899"/>
    <n v="54839"/>
    <s v="Fiber"/>
    <d v="2020-09-16T00:00:00"/>
    <s v="No"/>
    <s v="No"/>
    <s v="No"/>
    <s v="No"/>
    <s v="Yes"/>
    <s v="No"/>
  </r>
  <r>
    <x v="223"/>
    <s v="Unknown"/>
    <s v="Male"/>
    <n v="19"/>
    <s v="Hyderabad"/>
    <x v="1"/>
    <n v="26"/>
    <n v="1049"/>
    <n v="27274"/>
    <s v="Fiber"/>
    <d v="2023-07-23T00:00:00"/>
    <s v="No"/>
    <s v="No"/>
    <s v="No"/>
    <s v="No"/>
    <s v="No"/>
    <s v="No"/>
  </r>
  <r>
    <x v="224"/>
    <s v="Sonal Joshi"/>
    <s v="Female"/>
    <n v="42"/>
    <s v="Kochi"/>
    <x v="1"/>
    <n v="6"/>
    <n v="1199"/>
    <n v="7194"/>
    <s v="Fiber"/>
    <d v="2025-03-19T00:00:00"/>
    <s v="Yes"/>
    <s v="No"/>
    <s v="No"/>
    <s v="No"/>
    <s v="No"/>
    <s v="No"/>
  </r>
  <r>
    <x v="225"/>
    <s v="Vikram Joshi"/>
    <s v="Male"/>
    <n v="56"/>
    <s v="Kochi"/>
    <x v="1"/>
    <n v="21"/>
    <n v="1199"/>
    <n v="25179"/>
    <s v="Fiber"/>
    <d v="2023-12-24T00:00:00"/>
    <s v="No"/>
    <s v="No"/>
    <s v="No"/>
    <s v="No"/>
    <s v="No"/>
    <s v="No"/>
  </r>
  <r>
    <x v="226"/>
    <s v="Ritu Patel"/>
    <s v="Female"/>
    <n v="53"/>
    <s v="Kolkata"/>
    <x v="0"/>
    <n v="22"/>
    <n v="899"/>
    <n v="19778"/>
    <s v="Fiber"/>
    <d v="2023-12-01T00:00:00"/>
    <s v="Yes"/>
    <s v="No"/>
    <s v="No"/>
    <s v="No"/>
    <s v="No"/>
    <s v="No"/>
  </r>
  <r>
    <x v="227"/>
    <s v="Vikram Malhotra"/>
    <s v="Male"/>
    <n v="27"/>
    <s v="Kolkata"/>
    <x v="1"/>
    <n v="25"/>
    <n v="1049"/>
    <n v="26225"/>
    <s v="Fiber"/>
    <d v="2023-08-31T00:00:00"/>
    <s v="Yes"/>
    <s v="No"/>
    <s v="Yes"/>
    <s v="No"/>
    <s v="No"/>
    <s v="No"/>
  </r>
  <r>
    <x v="228"/>
    <s v="Isha Malhotra"/>
    <s v="Female"/>
    <n v="24"/>
    <s v="Bangalore"/>
    <x v="0"/>
    <n v="18"/>
    <n v="1149"/>
    <n v="20682"/>
    <s v="Fiber"/>
    <d v="2024-04-04T00:00:00"/>
    <s v="Yes"/>
    <s v="No"/>
    <s v="No"/>
    <s v="No"/>
    <s v="No"/>
    <s v="No"/>
  </r>
  <r>
    <x v="229"/>
    <s v="Sonal Kumar"/>
    <s v="Female"/>
    <n v="56"/>
    <s v="Lucknow"/>
    <x v="1"/>
    <n v="1"/>
    <n v="499"/>
    <n v="499"/>
    <s v="No Internet"/>
    <d v="2025-08-06T00:00:00"/>
    <s v="No"/>
    <s v="No"/>
    <s v="No"/>
    <s v="No"/>
    <s v="No"/>
    <s v="No"/>
  </r>
  <r>
    <x v="230"/>
    <s v="Rajesh Jain"/>
    <s v="Male"/>
    <n v="28"/>
    <s v="Indore"/>
    <x v="0"/>
    <n v="10"/>
    <n v="699"/>
    <n v="6990"/>
    <s v="DSL"/>
    <d v="2024-11-19T00:00:00"/>
    <s v="Yes"/>
    <s v="No"/>
    <s v="No"/>
    <s v="No"/>
    <s v="No"/>
    <s v="No"/>
  </r>
  <r>
    <x v="231"/>
    <s v="Nisha Iyer"/>
    <s v="Unknown"/>
    <n v="48"/>
    <s v="Kochi"/>
    <x v="0"/>
    <n v="8"/>
    <n v="849"/>
    <n v="6792"/>
    <s v="DSL"/>
    <d v="2025-01-25T00:00:00"/>
    <s v="No"/>
    <s v="No"/>
    <s v="No"/>
    <s v="No"/>
    <s v="No"/>
    <s v="No"/>
  </r>
  <r>
    <x v="232"/>
    <s v="Anjali Singh"/>
    <s v="Female"/>
    <n v="37"/>
    <s v="Delhi"/>
    <x v="2"/>
    <n v="49"/>
    <n v="899"/>
    <n v="44051"/>
    <s v="DSL"/>
    <d v="2021-09-06T00:00:00"/>
    <s v="No"/>
    <s v="No"/>
    <s v="No"/>
    <s v="No"/>
    <s v="No"/>
    <s v="No"/>
  </r>
  <r>
    <x v="233"/>
    <s v="Harsh Joshi"/>
    <s v="Male"/>
    <n v="56"/>
    <s v="Bhopal"/>
    <x v="0"/>
    <n v="13"/>
    <n v="699"/>
    <n v="9087"/>
    <s v="DSL"/>
    <d v="2024-08-09T00:00:00"/>
    <s v="No"/>
    <s v="No"/>
    <s v="No"/>
    <s v="No"/>
    <s v="No"/>
    <s v="No"/>
  </r>
  <r>
    <x v="234"/>
    <s v="Nikhil Rao"/>
    <s v="Male"/>
    <n v="35"/>
    <s v="Chandigarh"/>
    <x v="1"/>
    <n v="37"/>
    <n v="1149"/>
    <n v="42513"/>
    <s v="Fiber"/>
    <d v="2022-08-21T00:00:00"/>
    <s v="Yes"/>
    <s v="No"/>
    <s v="No"/>
    <s v="No"/>
    <s v="No"/>
    <s v="No"/>
  </r>
  <r>
    <x v="235"/>
    <s v="Ankit Pandey"/>
    <s v="Male"/>
    <n v="31"/>
    <s v="Ahmedabad"/>
    <x v="1"/>
    <n v="5"/>
    <n v="499"/>
    <n v="2495"/>
    <s v="No Internet"/>
    <d v="2025-04-27T00:00:00"/>
    <s v="No"/>
    <s v="No"/>
    <s v="No"/>
    <s v="No"/>
    <s v="No"/>
    <s v="No"/>
  </r>
  <r>
    <x v="236"/>
    <s v="Ritu Malhotra"/>
    <s v="Female"/>
    <n v="60"/>
    <s v="Bangalore"/>
    <x v="1"/>
    <n v="5"/>
    <n v="1149"/>
    <n v="5745"/>
    <s v="Fiber"/>
    <d v="2025-04-14T00:00:00"/>
    <s v="No"/>
    <s v="No"/>
    <s v="No"/>
    <s v="No"/>
    <s v="No"/>
    <s v="No"/>
  </r>
  <r>
    <x v="237"/>
    <s v="Sonal Verma"/>
    <s v="Female"/>
    <n v="68"/>
    <s v="Pune"/>
    <x v="1"/>
    <n v="39"/>
    <n v="349"/>
    <n v="13611"/>
    <s v="No Internet"/>
    <d v="2022-06-25T00:00:00"/>
    <s v="No"/>
    <s v="No"/>
    <s v="No"/>
    <s v="No"/>
    <s v="No"/>
    <s v="No"/>
  </r>
  <r>
    <x v="238"/>
    <s v="Meera Chopra"/>
    <s v="Female"/>
    <n v="57"/>
    <s v="Delhi"/>
    <x v="1"/>
    <n v="26"/>
    <n v="1049"/>
    <n v="27274"/>
    <s v="Fiber"/>
    <d v="2023-08-07T00:00:00"/>
    <s v="Yes"/>
    <s v="No"/>
    <s v="No"/>
    <s v="No"/>
    <s v="No"/>
    <s v="No"/>
  </r>
  <r>
    <x v="239"/>
    <s v="Ritu Jain"/>
    <s v="Female"/>
    <n v="65"/>
    <s v="Jaipur"/>
    <x v="1"/>
    <n v="15"/>
    <n v="1049"/>
    <n v="15735"/>
    <s v="Fiber"/>
    <d v="2024-06-14T00:00:00"/>
    <s v="No"/>
    <s v="No"/>
    <s v="No"/>
    <s v="No"/>
    <s v="No"/>
    <s v="No"/>
  </r>
  <r>
    <x v="240"/>
    <s v="Aman Sharma"/>
    <s v="Male"/>
    <n v="48"/>
    <s v="Mumbai"/>
    <x v="0"/>
    <n v="3"/>
    <n v="399"/>
    <n v="1197"/>
    <s v="No Internet"/>
    <d v="2025-06-20T00:00:00"/>
    <s v="Yes"/>
    <s v="No"/>
    <s v="No"/>
    <s v="Yes"/>
    <s v="No"/>
    <s v="No"/>
  </r>
  <r>
    <x v="241"/>
    <s v="Deepika Jain"/>
    <s v="Female"/>
    <n v="48"/>
    <s v="Pune"/>
    <x v="0"/>
    <n v="23"/>
    <n v="1049"/>
    <n v="24127"/>
    <s v="Fiber"/>
    <d v="2023-10-14T00:00:00"/>
    <s v="Yes"/>
    <s v="No"/>
    <s v="No"/>
    <s v="No"/>
    <s v="Yes"/>
    <s v="No"/>
  </r>
  <r>
    <x v="242"/>
    <s v="Rahul Joshi"/>
    <s v="Unknown"/>
    <n v="59"/>
    <s v="Mumbai"/>
    <x v="1"/>
    <n v="16"/>
    <n v="799"/>
    <n v="12784"/>
    <s v="Unknown"/>
    <d v="2024-05-19T00:00:00"/>
    <s v="No"/>
    <s v="No"/>
    <s v="No"/>
    <s v="No"/>
    <s v="No"/>
    <s v="No"/>
  </r>
  <r>
    <x v="243"/>
    <s v="Shreya Nair"/>
    <s v="Female"/>
    <n v="69"/>
    <s v="Kolkata"/>
    <x v="1"/>
    <n v="28"/>
    <n v="749"/>
    <n v="20972"/>
    <s v="DSL"/>
    <d v="2023-05-28T00:00:00"/>
    <s v="No"/>
    <s v="No"/>
    <s v="No"/>
    <s v="No"/>
    <s v="No"/>
    <s v="No"/>
  </r>
  <r>
    <x v="244"/>
    <s v="Divya Sharma"/>
    <s v="Female"/>
    <n v="63"/>
    <s v="Hyderabad"/>
    <x v="0"/>
    <n v="3"/>
    <n v="899"/>
    <n v="2697"/>
    <s v="Fiber"/>
    <d v="2025-06-20T00:00:00"/>
    <s v="Yes"/>
    <s v="No"/>
    <s v="No"/>
    <s v="No"/>
    <s v="No"/>
    <s v="No"/>
  </r>
  <r>
    <x v="245"/>
    <s v="Unknown"/>
    <s v="Male"/>
    <n v="34"/>
    <s v="Indore"/>
    <x v="2"/>
    <n v="41"/>
    <n v="1099"/>
    <n v="45059"/>
    <s v="Fiber"/>
    <d v="2022-05-14T00:00:00"/>
    <s v="No"/>
    <s v="No"/>
    <s v="No"/>
    <s v="No"/>
    <s v="No"/>
    <s v="No"/>
  </r>
  <r>
    <x v="246"/>
    <s v="Isha Kapoor"/>
    <s v="Female"/>
    <n v="57"/>
    <s v="Bangalore"/>
    <x v="2"/>
    <n v="39"/>
    <n v="1149"/>
    <n v="44811"/>
    <s v="Fiber"/>
    <d v="2022-07-06T00:00:00"/>
    <s v="No"/>
    <s v="No"/>
    <s v="No"/>
    <s v="No"/>
    <s v="No"/>
    <s v="No"/>
  </r>
  <r>
    <x v="247"/>
    <s v="Manish Iyer"/>
    <s v="Male"/>
    <n v="25"/>
    <s v="Bangalore"/>
    <x v="0"/>
    <n v="13"/>
    <n v="749"/>
    <n v="9737"/>
    <s v="DSL"/>
    <d v="2024-08-21T00:00:00"/>
    <s v="No"/>
    <s v="No"/>
    <s v="No"/>
    <s v="No"/>
    <s v="No"/>
    <s v="No"/>
  </r>
  <r>
    <x v="248"/>
    <s v="Gaurav Chopra"/>
    <s v="Male"/>
    <n v="52"/>
    <s v="Bhopal"/>
    <x v="2"/>
    <n v="23"/>
    <n v="499"/>
    <n v="11477"/>
    <s v="No Internet"/>
    <d v="2023-11-03T00:00:00"/>
    <s v="No"/>
    <s v="No"/>
    <s v="No"/>
    <s v="No"/>
    <s v="No"/>
    <s v="No"/>
  </r>
  <r>
    <x v="249"/>
    <s v="Shreya Yadav"/>
    <s v="Female"/>
    <n v="21"/>
    <s v="Chandigarh"/>
    <x v="0"/>
    <n v="5"/>
    <n v="649"/>
    <n v="3245"/>
    <s v="DSL"/>
    <d v="2025-04-15T00:00:00"/>
    <s v="No"/>
    <s v="No"/>
    <s v="No"/>
    <s v="No"/>
    <s v="No"/>
    <s v="No"/>
  </r>
  <r>
    <x v="250"/>
    <s v="Nisha Saxena"/>
    <s v="Female"/>
    <n v="49"/>
    <s v="Kolkata"/>
    <x v="1"/>
    <n v="11"/>
    <n v="1149"/>
    <n v="12639"/>
    <s v="Fiber"/>
    <d v="2024-10-26T00:00:00"/>
    <s v="No"/>
    <s v="No"/>
    <s v="No"/>
    <s v="No"/>
    <s v="No"/>
    <s v="No"/>
  </r>
  <r>
    <x v="251"/>
    <s v="Sneha Malhotra"/>
    <s v="Female"/>
    <n v="32"/>
    <s v="Jaipur"/>
    <x v="0"/>
    <n v="19"/>
    <n v="1299"/>
    <n v="24681"/>
    <s v="Fiber"/>
    <d v="2024-03-04T00:00:00"/>
    <s v="No"/>
    <s v="No"/>
    <s v="Yes"/>
    <s v="No"/>
    <s v="No"/>
    <s v="No"/>
  </r>
  <r>
    <x v="252"/>
    <s v="Suresh Mishra"/>
    <s v="Male"/>
    <n v="70"/>
    <s v="Pune"/>
    <x v="0"/>
    <n v="24"/>
    <n v="1149"/>
    <n v="27576"/>
    <s v="Fiber"/>
    <d v="2023-10-06T00:00:00"/>
    <s v="No"/>
    <s v="No"/>
    <s v="No"/>
    <s v="No"/>
    <s v="No"/>
    <s v="No"/>
  </r>
  <r>
    <x v="253"/>
    <s v="Harsh Verma"/>
    <s v="Male"/>
    <n v="46"/>
    <s v="Chennai"/>
    <x v="0"/>
    <n v="15"/>
    <n v="399"/>
    <n v="5985"/>
    <s v="No Internet"/>
    <d v="2024-06-12T00:00:00"/>
    <s v="Yes"/>
    <s v="No"/>
    <s v="No"/>
    <s v="No"/>
    <s v="Yes"/>
    <s v="No"/>
  </r>
  <r>
    <x v="254"/>
    <s v="Riya Chopra"/>
    <s v="Female"/>
    <n v="45"/>
    <s v="Bangalore"/>
    <x v="1"/>
    <n v="14"/>
    <n v="899"/>
    <n v="12586"/>
    <s v="Fiber"/>
    <d v="2024-07-27T00:00:00"/>
    <s v="No"/>
    <s v="No"/>
    <s v="No"/>
    <s v="No"/>
    <s v="No"/>
    <s v="No"/>
  </r>
  <r>
    <x v="255"/>
    <s v="Nikhil Pandey"/>
    <s v="Male"/>
    <n v="36"/>
    <s v="Chennai"/>
    <x v="1"/>
    <n v="33"/>
    <n v="349"/>
    <n v="11517"/>
    <s v="No Internet"/>
    <d v="2022-12-19T00:00:00"/>
    <s v="Yes"/>
    <s v="No"/>
    <s v="No"/>
    <s v="No"/>
    <s v="No"/>
    <s v="No"/>
  </r>
  <r>
    <x v="256"/>
    <s v="Sneha Malhotra"/>
    <s v="Female"/>
    <n v="73"/>
    <s v="Indore"/>
    <x v="0"/>
    <n v="8"/>
    <n v="449"/>
    <n v="3592"/>
    <s v="No Internet"/>
    <d v="2025-01-07T00:00:00"/>
    <s v="No"/>
    <s v="No"/>
    <s v="No"/>
    <s v="No"/>
    <s v="No"/>
    <s v="No"/>
  </r>
  <r>
    <x v="257"/>
    <s v="Komal Singh"/>
    <s v="Female"/>
    <n v="54"/>
    <s v="Indore"/>
    <x v="0"/>
    <n v="15"/>
    <n v="1199"/>
    <n v="17985"/>
    <s v="Fiber"/>
    <d v="2024-06-12T00:00:00"/>
    <s v="Yes"/>
    <s v="No"/>
    <s v="No"/>
    <s v="No"/>
    <s v="No"/>
    <s v="No"/>
  </r>
  <r>
    <x v="258"/>
    <s v="Isha Kapoor"/>
    <s v="Female"/>
    <n v="49"/>
    <s v="Pune"/>
    <x v="1"/>
    <n v="6"/>
    <n v="449"/>
    <n v="2694"/>
    <s v="No Internet"/>
    <d v="2025-03-07T00:00:00"/>
    <s v="No"/>
    <s v="No"/>
    <s v="No"/>
    <s v="No"/>
    <s v="No"/>
    <s v="No"/>
  </r>
  <r>
    <x v="259"/>
    <s v="Deepika Tiwari"/>
    <s v="Female"/>
    <n v="70"/>
    <s v="Hyderabad"/>
    <x v="0"/>
    <n v="10"/>
    <n v="699"/>
    <n v="6990"/>
    <s v="DSL"/>
    <d v="2024-11-05T00:00:00"/>
    <s v="Yes"/>
    <s v="No"/>
    <s v="No"/>
    <s v="No"/>
    <s v="No"/>
    <s v="No"/>
  </r>
  <r>
    <x v="260"/>
    <s v="Swati Saxena"/>
    <s v="Female"/>
    <n v="66"/>
    <s v="Delhi"/>
    <x v="0"/>
    <n v="15"/>
    <n v="899"/>
    <n v="13485"/>
    <s v="Fiber"/>
    <d v="2024-07-05T00:00:00"/>
    <s v="Yes"/>
    <s v="No"/>
    <s v="No"/>
    <s v="No"/>
    <s v="No"/>
    <s v="No"/>
  </r>
  <r>
    <x v="261"/>
    <s v="Deepika Pandey"/>
    <s v="Female"/>
    <n v="26"/>
    <s v="Indore"/>
    <x v="0"/>
    <n v="9"/>
    <n v="449"/>
    <n v="4041"/>
    <s v="No Internet"/>
    <d v="2024-12-21T00:00:00"/>
    <s v="Yes"/>
    <s v="No"/>
    <s v="No"/>
    <s v="No"/>
    <s v="No"/>
    <s v="No"/>
  </r>
  <r>
    <x v="262"/>
    <s v="Amit Rao"/>
    <s v="Male"/>
    <n v="58"/>
    <s v="Chennai"/>
    <x v="1"/>
    <n v="28"/>
    <n v="899"/>
    <n v="25172"/>
    <s v="Fiber"/>
    <d v="2023-05-27T00:00:00"/>
    <s v="Yes"/>
    <s v="No"/>
    <s v="No"/>
    <s v="No"/>
    <s v="No"/>
    <s v="No"/>
  </r>
  <r>
    <x v="263"/>
    <s v="Rohit Bose"/>
    <s v="Male"/>
    <n v="32"/>
    <s v="Jaipur"/>
    <x v="1"/>
    <n v="22"/>
    <n v="899"/>
    <n v="19778"/>
    <s v="DSL"/>
    <d v="2023-11-23T00:00:00"/>
    <s v="No"/>
    <s v="No"/>
    <s v="No"/>
    <s v="No"/>
    <s v="No"/>
    <s v="No"/>
  </r>
  <r>
    <x v="264"/>
    <s v="Manish Rao"/>
    <s v="Male"/>
    <n v="23"/>
    <s v="Bhopal"/>
    <x v="2"/>
    <n v="48"/>
    <n v="699"/>
    <n v="33552"/>
    <s v="DSL"/>
    <d v="2021-09-25T00:00:00"/>
    <s v="No"/>
    <s v="No"/>
    <s v="No"/>
    <s v="No"/>
    <s v="No"/>
    <s v="No"/>
  </r>
  <r>
    <x v="265"/>
    <s v="Rohit Kumar"/>
    <s v="Male"/>
    <n v="51"/>
    <s v="Lucknow"/>
    <x v="0"/>
    <n v="15"/>
    <n v="1199"/>
    <n v="17985"/>
    <s v="Fiber"/>
    <d v="2024-07-01T00:00:00"/>
    <s v="No"/>
    <s v="No"/>
    <s v="No"/>
    <s v="No"/>
    <s v="No"/>
    <s v="No"/>
  </r>
  <r>
    <x v="266"/>
    <s v="Riya Saxena"/>
    <s v="Female"/>
    <n v="46"/>
    <s v="Chandigarh"/>
    <x v="0"/>
    <n v="5"/>
    <n v="549"/>
    <n v="2745"/>
    <s v="No Internet"/>
    <d v="2025-04-20T00:00:00"/>
    <s v="No"/>
    <s v="No"/>
    <s v="No"/>
    <s v="No"/>
    <s v="No"/>
    <s v="No"/>
  </r>
  <r>
    <x v="267"/>
    <s v="Swati Singh"/>
    <s v="Female"/>
    <n v="33"/>
    <s v="Chennai"/>
    <x v="1"/>
    <n v="39"/>
    <n v="799"/>
    <n v="31161"/>
    <s v="DSL"/>
    <d v="2022-06-24T00:00:00"/>
    <s v="No"/>
    <s v="No"/>
    <s v="No"/>
    <s v="No"/>
    <s v="No"/>
    <s v="No"/>
  </r>
  <r>
    <x v="268"/>
    <s v="Harsh Mehta"/>
    <s v="Male"/>
    <n v="51"/>
    <s v="Lucknow"/>
    <x v="0"/>
    <n v="10"/>
    <n v="899"/>
    <n v="8990"/>
    <s v="Fiber"/>
    <d v="2024-11-29T00:00:00"/>
    <s v="No"/>
    <s v="No"/>
    <s v="No"/>
    <s v="No"/>
    <s v="No"/>
    <s v="No"/>
  </r>
  <r>
    <x v="269"/>
    <s v="Gaurav Chopra"/>
    <s v="Male"/>
    <n v="56"/>
    <s v="Mumbai"/>
    <x v="0"/>
    <n v="12"/>
    <n v="499"/>
    <n v="5988"/>
    <s v="No Internet"/>
    <d v="2024-09-15T00:00:00"/>
    <s v="No"/>
    <s v="No"/>
    <s v="No"/>
    <s v="No"/>
    <s v="No"/>
    <s v="No"/>
  </r>
  <r>
    <x v="270"/>
    <s v="Unknown"/>
    <s v="Female"/>
    <n v="61"/>
    <s v="Bangalore"/>
    <x v="1"/>
    <n v="5"/>
    <m/>
    <m/>
    <s v="No Internet"/>
    <d v="2025-04-25T00:00:00"/>
    <s v="Yes"/>
    <s v="No"/>
    <s v="No"/>
    <s v="No"/>
    <s v="No"/>
    <s v="Monthly missing; Total missing"/>
  </r>
  <r>
    <x v="271"/>
    <s v="Amit Rao"/>
    <s v="Male"/>
    <n v="50"/>
    <s v="Chennai"/>
    <x v="1"/>
    <n v="27"/>
    <n v="1199"/>
    <n v="32373"/>
    <s v="Fiber"/>
    <d v="2023-06-24T00:00:00"/>
    <s v="Yes"/>
    <s v="No"/>
    <s v="No"/>
    <s v="No"/>
    <s v="No"/>
    <s v="No"/>
  </r>
  <r>
    <x v="272"/>
    <s v="Suresh Kumar"/>
    <s v="Male"/>
    <n v="37"/>
    <s v="Mumbai"/>
    <x v="0"/>
    <n v="5"/>
    <n v="799"/>
    <n v="3995"/>
    <s v="DSL"/>
    <d v="2025-04-07T00:00:00"/>
    <s v="No"/>
    <s v="No"/>
    <s v="No"/>
    <s v="No"/>
    <s v="No"/>
    <s v="No"/>
  </r>
  <r>
    <x v="273"/>
    <s v="Harsh Pandey"/>
    <s v="Male"/>
    <n v="45"/>
    <s v="Bhopal"/>
    <x v="2"/>
    <n v="32"/>
    <n v="599"/>
    <n v="19168"/>
    <s v="DSL"/>
    <d v="2023-01-23T00:00:00"/>
    <s v="No"/>
    <s v="No"/>
    <s v="No"/>
    <s v="No"/>
    <s v="No"/>
    <s v="No"/>
  </r>
  <r>
    <x v="274"/>
    <s v="Harsh Saxena"/>
    <s v="Male"/>
    <n v="65"/>
    <s v="Unknown"/>
    <x v="1"/>
    <n v="9"/>
    <n v="849"/>
    <n v="7641"/>
    <s v="DSL"/>
    <d v="2024-12-21T00:00:00"/>
    <s v="No"/>
    <s v="No"/>
    <s v="No"/>
    <s v="No"/>
    <s v="No"/>
    <s v="No"/>
  </r>
  <r>
    <x v="275"/>
    <s v="Meera Patel"/>
    <s v="Female"/>
    <n v="26"/>
    <s v="Bhopal"/>
    <x v="1"/>
    <n v="8"/>
    <n v="899"/>
    <n v="7192"/>
    <s v="DSL"/>
    <d v="2025-01-23T00:00:00"/>
    <s v="No"/>
    <s v="No"/>
    <s v="No"/>
    <s v="No"/>
    <s v="No"/>
    <s v="No"/>
  </r>
  <r>
    <x v="276"/>
    <s v="Suresh Pandey"/>
    <s v="Male"/>
    <n v="54"/>
    <s v="Unknown"/>
    <x v="0"/>
    <n v="12"/>
    <n v="1099"/>
    <n v="13188"/>
    <s v="Fiber"/>
    <d v="2024-09-28T00:00:00"/>
    <s v="Yes"/>
    <s v="No"/>
    <s v="No"/>
    <s v="No"/>
    <s v="No"/>
    <s v="No"/>
  </r>
  <r>
    <x v="277"/>
    <s v="Anjali Bose"/>
    <s v="Female"/>
    <n v="61"/>
    <s v="Unknown"/>
    <x v="0"/>
    <n v="1"/>
    <n v="1299"/>
    <n v="1299"/>
    <s v="Fiber"/>
    <d v="2025-08-14T00:00:00"/>
    <s v="Yes"/>
    <s v="No"/>
    <s v="No"/>
    <s v="No"/>
    <s v="No"/>
    <s v="No"/>
  </r>
  <r>
    <x v="278"/>
    <s v="Divya Singh"/>
    <s v="Female"/>
    <n v="29"/>
    <s v="Chandigarh"/>
    <x v="0"/>
    <n v="23"/>
    <n v="499"/>
    <n v="11477"/>
    <s v="No Internet"/>
    <d v="2023-11-01T00:00:00"/>
    <s v="Yes"/>
    <s v="No"/>
    <s v="No"/>
    <s v="No"/>
    <s v="No"/>
    <s v="No"/>
  </r>
  <r>
    <x v="279"/>
    <s v="Swati Malhotra"/>
    <s v="Female"/>
    <n v="70"/>
    <s v="Mumbai"/>
    <x v="1"/>
    <n v="4"/>
    <n v="649"/>
    <n v="2596"/>
    <s v="Unknown"/>
    <d v="2025-05-19T00:00:00"/>
    <s v="No"/>
    <s v="No"/>
    <s v="No"/>
    <s v="No"/>
    <s v="No"/>
    <s v="No"/>
  </r>
  <r>
    <x v="280"/>
    <s v="Ankit Iyer"/>
    <s v="Male"/>
    <n v="67"/>
    <s v="Chandigarh"/>
    <x v="0"/>
    <n v="15"/>
    <n v="599"/>
    <n v="8985"/>
    <s v="DSL"/>
    <d v="2024-06-10T00:00:00"/>
    <s v="Yes"/>
    <s v="No"/>
    <s v="No"/>
    <s v="No"/>
    <s v="No"/>
    <s v="No"/>
  </r>
  <r>
    <x v="281"/>
    <s v="Riya Nair"/>
    <s v="Female"/>
    <n v="47"/>
    <s v="Pune"/>
    <x v="1"/>
    <n v="13"/>
    <n v="1149"/>
    <n v="14937"/>
    <s v="Fiber"/>
    <d v="2024-08-05T00:00:00"/>
    <s v="Yes"/>
    <s v="No"/>
    <s v="No"/>
    <s v="No"/>
    <s v="Yes"/>
    <s v="No"/>
  </r>
  <r>
    <x v="282"/>
    <s v="Priya Nair"/>
    <s v="Female"/>
    <n v="52"/>
    <s v="Pune"/>
    <x v="1"/>
    <n v="1"/>
    <n v="899"/>
    <n v="899"/>
    <s v="Fiber"/>
    <d v="2025-08-06T00:00:00"/>
    <s v="No"/>
    <s v="No"/>
    <s v="No"/>
    <s v="No"/>
    <s v="No"/>
    <s v="No"/>
  </r>
  <r>
    <x v="283"/>
    <s v="Unknown"/>
    <s v="Unknown"/>
    <n v="51"/>
    <s v="Hyderabad"/>
    <x v="0"/>
    <n v="5"/>
    <n v="349"/>
    <n v="1745"/>
    <s v="No Internet"/>
    <d v="2025-04-24T00:00:00"/>
    <s v="Yes"/>
    <s v="No"/>
    <s v="No"/>
    <s v="No"/>
    <s v="No"/>
    <s v="No"/>
  </r>
  <r>
    <x v="284"/>
    <s v="Isha Kapoor"/>
    <s v="Female"/>
    <n v="65"/>
    <s v="Mumbai"/>
    <x v="1"/>
    <n v="26"/>
    <n v="1149"/>
    <n v="29874"/>
    <s v="Fiber"/>
    <d v="2023-07-20T00:00:00"/>
    <s v="Yes"/>
    <s v="No"/>
    <s v="No"/>
    <s v="No"/>
    <s v="No"/>
    <s v="No"/>
  </r>
  <r>
    <x v="285"/>
    <s v="Manish Iyer"/>
    <s v="Male"/>
    <n v="34"/>
    <s v="Chandigarh"/>
    <x v="0"/>
    <n v="23"/>
    <n v="449"/>
    <n v="10327"/>
    <s v="No Internet"/>
    <d v="2023-10-31T00:00:00"/>
    <s v="Yes"/>
    <s v="No"/>
    <s v="No"/>
    <s v="No"/>
    <s v="No"/>
    <s v="No"/>
  </r>
  <r>
    <x v="286"/>
    <s v="Vikram Mehta"/>
    <s v="Male"/>
    <n v="26"/>
    <s v="Kochi"/>
    <x v="1"/>
    <n v="7"/>
    <n v="649"/>
    <n v="4543"/>
    <s v="DSL"/>
    <d v="2025-02-27T00:00:00"/>
    <s v="No"/>
    <s v="No"/>
    <s v="No"/>
    <s v="No"/>
    <s v="No"/>
    <s v="No"/>
  </r>
  <r>
    <x v="287"/>
    <s v="Deepika Kapoor"/>
    <s v="Female"/>
    <n v="37"/>
    <s v="Ahmedabad"/>
    <x v="0"/>
    <n v="6"/>
    <n v="899"/>
    <n v="5394"/>
    <s v="DSL"/>
    <d v="2025-03-10T00:00:00"/>
    <s v="No"/>
    <s v="No"/>
    <s v="No"/>
    <s v="No"/>
    <s v="No"/>
    <s v="No"/>
  </r>
  <r>
    <x v="288"/>
    <s v="Sanjay Joshi"/>
    <s v="Male"/>
    <n v="27"/>
    <s v="Mumbai"/>
    <x v="1"/>
    <n v="26"/>
    <n v="449"/>
    <n v="11674"/>
    <s v="No Internet"/>
    <d v="2023-08-05T00:00:00"/>
    <s v="No"/>
    <s v="No"/>
    <s v="No"/>
    <s v="No"/>
    <s v="No"/>
    <s v="No"/>
  </r>
  <r>
    <x v="289"/>
    <s v="Deepak Kapoor"/>
    <s v="Male"/>
    <n v="53"/>
    <s v="Bhopal"/>
    <x v="1"/>
    <n v="7"/>
    <n v="899"/>
    <n v="6293"/>
    <s v="DSL"/>
    <d v="2025-03-01T00:00:00"/>
    <s v="Yes"/>
    <s v="No"/>
    <s v="No"/>
    <s v="No"/>
    <s v="No"/>
    <s v="No"/>
  </r>
  <r>
    <x v="290"/>
    <s v="Rohit Mehta"/>
    <s v="Male"/>
    <n v="70"/>
    <s v="Kolkata"/>
    <x v="0"/>
    <n v="21"/>
    <n v="1149"/>
    <n v="24129"/>
    <s v="Fiber"/>
    <d v="2023-12-12T00:00:00"/>
    <s v="Yes"/>
    <s v="No"/>
    <s v="No"/>
    <s v="No"/>
    <s v="No"/>
    <s v="No"/>
  </r>
  <r>
    <x v="291"/>
    <s v="Rahul Kumar"/>
    <s v="Male"/>
    <n v="30"/>
    <s v="Indore"/>
    <x v="0"/>
    <n v="11"/>
    <n v="599"/>
    <n v="6589"/>
    <s v="DSL"/>
    <d v="2024-10-04T00:00:00"/>
    <s v="Yes"/>
    <s v="No"/>
    <s v="No"/>
    <s v="No"/>
    <s v="No"/>
    <s v="No"/>
  </r>
  <r>
    <x v="292"/>
    <s v="Divya Desai"/>
    <s v="Female"/>
    <n v="19"/>
    <s v="Kolkata"/>
    <x v="1"/>
    <n v="14"/>
    <n v="649"/>
    <n v="9086"/>
    <s v="DSL"/>
    <d v="2024-07-31T00:00:00"/>
    <s v="No"/>
    <s v="No"/>
    <s v="No"/>
    <s v="No"/>
    <s v="No"/>
    <s v="No"/>
  </r>
  <r>
    <x v="293"/>
    <s v="Pankaj Yadav"/>
    <s v="Male"/>
    <n v="57"/>
    <s v="Hyderabad"/>
    <x v="1"/>
    <n v="36"/>
    <n v="899"/>
    <n v="32364"/>
    <s v="Fiber"/>
    <d v="2022-10-10T00:00:00"/>
    <s v="No"/>
    <s v="No"/>
    <s v="No"/>
    <s v="No"/>
    <s v="Yes"/>
    <s v="No"/>
  </r>
  <r>
    <x v="294"/>
    <s v="Deepika Chopra"/>
    <s v="Unknown"/>
    <n v="74"/>
    <s v="Kochi"/>
    <x v="0"/>
    <n v="18"/>
    <n v="899"/>
    <n v="16182"/>
    <s v="Fiber"/>
    <d v="2024-03-26T00:00:00"/>
    <s v="No"/>
    <s v="No"/>
    <s v="No"/>
    <s v="No"/>
    <s v="No"/>
    <s v="No"/>
  </r>
  <r>
    <x v="295"/>
    <s v="Sonal Desai"/>
    <s v="Female"/>
    <n v="40"/>
    <s v="Lucknow"/>
    <x v="0"/>
    <n v="6"/>
    <n v="1049"/>
    <n v="6294"/>
    <s v="Fiber"/>
    <d v="2025-03-04T00:00:00"/>
    <s v="Yes"/>
    <s v="No"/>
    <s v="No"/>
    <s v="No"/>
    <s v="No"/>
    <s v="No"/>
  </r>
  <r>
    <x v="296"/>
    <s v="Sneha Desai"/>
    <s v="Female"/>
    <n v="51"/>
    <s v="Pune"/>
    <x v="1"/>
    <n v="11"/>
    <n v="399"/>
    <n v="4389"/>
    <s v="No Internet"/>
    <d v="2024-10-07T00:00:00"/>
    <s v="No"/>
    <s v="No"/>
    <s v="No"/>
    <s v="Yes"/>
    <s v="No"/>
    <s v="No"/>
  </r>
  <r>
    <x v="297"/>
    <s v="Manish Bose"/>
    <s v="Male"/>
    <n v="72"/>
    <s v="Kochi"/>
    <x v="0"/>
    <n v="6"/>
    <n v="549"/>
    <n v="3294"/>
    <s v="No Internet"/>
    <d v="2025-03-09T00:00:00"/>
    <s v="Yes"/>
    <s v="No"/>
    <s v="No"/>
    <s v="No"/>
    <s v="No"/>
    <s v="No"/>
  </r>
  <r>
    <x v="298"/>
    <s v="Tanvi Sharma"/>
    <s v="Female"/>
    <n v="63"/>
    <s v="Bhopal"/>
    <x v="0"/>
    <n v="5"/>
    <n v="999"/>
    <n v="4995"/>
    <s v="Fiber"/>
    <d v="2025-04-26T00:00:00"/>
    <s v="Yes"/>
    <s v="No"/>
    <s v="No"/>
    <s v="No"/>
    <s v="No"/>
    <s v="No"/>
  </r>
  <r>
    <x v="299"/>
    <s v="Sneha Kumar"/>
    <s v="Female"/>
    <n v="21"/>
    <s v="Hyderabad"/>
    <x v="1"/>
    <n v="31"/>
    <n v="599"/>
    <n v="18569"/>
    <s v="DSL"/>
    <d v="2023-03-09T00:00:00"/>
    <s v="No"/>
    <s v="No"/>
    <s v="No"/>
    <s v="No"/>
    <s v="No"/>
    <s v="No"/>
  </r>
  <r>
    <x v="300"/>
    <s v="Meera Joshi"/>
    <s v="Female"/>
    <n v="21"/>
    <s v="Delhi"/>
    <x v="0"/>
    <n v="5"/>
    <n v="899"/>
    <n v="4495"/>
    <s v="Fiber"/>
    <d v="2025-04-29T00:00:00"/>
    <s v="No"/>
    <s v="No"/>
    <s v="No"/>
    <s v="No"/>
    <s v="No"/>
    <s v="No"/>
  </r>
  <r>
    <x v="301"/>
    <s v="Divya Bose"/>
    <s v="Female"/>
    <n v="24"/>
    <s v="Pune"/>
    <x v="0"/>
    <n v="6"/>
    <n v="849"/>
    <n v="5094"/>
    <s v="DSL"/>
    <d v="2025-03-27T00:00:00"/>
    <s v="No"/>
    <s v="No"/>
    <s v="No"/>
    <s v="No"/>
    <s v="Yes"/>
    <s v="No"/>
  </r>
  <r>
    <x v="302"/>
    <s v="Ritu Saxena"/>
    <s v="Female"/>
    <n v="55"/>
    <s v="Chandigarh"/>
    <x v="0"/>
    <n v="23"/>
    <n v="699"/>
    <n v="16077"/>
    <s v="DSL"/>
    <d v="2023-10-17T00:00:00"/>
    <s v="No"/>
    <s v="No"/>
    <s v="No"/>
    <s v="No"/>
    <s v="No"/>
    <s v="No"/>
  </r>
  <r>
    <x v="303"/>
    <s v="Tanvi Verma"/>
    <s v="Female"/>
    <n v="29"/>
    <s v="Lucknow"/>
    <x v="0"/>
    <n v="20"/>
    <m/>
    <m/>
    <s v="No Internet"/>
    <m/>
    <s v="Yes"/>
    <s v="No"/>
    <s v="No"/>
    <s v="No"/>
    <s v="No"/>
    <s v="Monthly missing; Total missing; Date missing"/>
  </r>
  <r>
    <x v="304"/>
    <s v="Nikhil Agarwal"/>
    <s v="Male"/>
    <n v="22"/>
    <s v="Unknown"/>
    <x v="0"/>
    <n v="21"/>
    <n v="599"/>
    <n v="12579"/>
    <s v="DSL"/>
    <d v="2023-12-30T00:00:00"/>
    <s v="No"/>
    <s v="No"/>
    <s v="No"/>
    <s v="No"/>
    <s v="No"/>
    <s v="No"/>
  </r>
  <r>
    <x v="305"/>
    <s v="Manish Pandey"/>
    <s v="Male"/>
    <n v="22"/>
    <s v="Unknown"/>
    <x v="0"/>
    <n v="1"/>
    <n v="599"/>
    <n v="599"/>
    <s v="DSL"/>
    <d v="2025-08-24T00:00:00"/>
    <s v="No"/>
    <s v="No"/>
    <s v="No"/>
    <s v="No"/>
    <s v="No"/>
    <s v="No"/>
  </r>
  <r>
    <x v="306"/>
    <s v="Komal Rao"/>
    <s v="Female"/>
    <n v="40"/>
    <s v="Jaipur"/>
    <x v="0"/>
    <n v="19"/>
    <n v="399"/>
    <n v="7581"/>
    <s v="No Internet"/>
    <d v="2024-03-05T00:00:00"/>
    <s v="Yes"/>
    <s v="No"/>
    <s v="No"/>
    <s v="No"/>
    <s v="No"/>
    <s v="No"/>
  </r>
  <r>
    <x v="307"/>
    <s v="Harsh Sharma"/>
    <s v="Male"/>
    <n v="47"/>
    <s v="Chennai"/>
    <x v="2"/>
    <n v="22"/>
    <n v="749"/>
    <n v="16478"/>
    <s v="DSL"/>
    <d v="2023-11-10T00:00:00"/>
    <s v="No"/>
    <s v="Yes"/>
    <s v="No"/>
    <s v="No"/>
    <s v="Yes"/>
    <s v="No"/>
  </r>
  <r>
    <x v="308"/>
    <s v="Nikhil Yadav"/>
    <s v="Male"/>
    <n v="57"/>
    <s v="Ahmedabad"/>
    <x v="1"/>
    <n v="11"/>
    <n v="1099"/>
    <n v="12089"/>
    <s v="Fiber"/>
    <d v="2024-10-23T00:00:00"/>
    <s v="Yes"/>
    <s v="No"/>
    <s v="No"/>
    <s v="No"/>
    <s v="No"/>
    <s v="No"/>
  </r>
  <r>
    <x v="309"/>
    <s v="Sanjay Tiwari"/>
    <s v="Male"/>
    <n v="62"/>
    <s v="Jaipur"/>
    <x v="1"/>
    <n v="17"/>
    <m/>
    <m/>
    <s v="Fiber"/>
    <d v="2024-05-05T00:00:00"/>
    <s v="No"/>
    <s v="No"/>
    <s v="No"/>
    <s v="No"/>
    <s v="No"/>
    <s v="Monthly missing; Total missing"/>
  </r>
  <r>
    <x v="310"/>
    <s v="Tanvi Mishra"/>
    <s v="Female"/>
    <n v="71"/>
    <s v="Ahmedabad"/>
    <x v="0"/>
    <n v="14"/>
    <n v="1049"/>
    <n v="14686"/>
    <s v="Fiber"/>
    <d v="2024-08-01T00:00:00"/>
    <s v="No"/>
    <s v="No"/>
    <s v="No"/>
    <s v="No"/>
    <s v="No"/>
    <s v="No"/>
  </r>
  <r>
    <x v="311"/>
    <s v="Sanjay Gupta"/>
    <s v="Male"/>
    <n v="58"/>
    <s v="Chennai"/>
    <x v="2"/>
    <n v="15"/>
    <n v="1299"/>
    <n v="19485"/>
    <s v="Fiber"/>
    <d v="2024-06-07T00:00:00"/>
    <s v="No"/>
    <s v="No"/>
    <s v="No"/>
    <s v="No"/>
    <s v="No"/>
    <s v="No"/>
  </r>
  <r>
    <x v="312"/>
    <s v="Neha Chopra"/>
    <s v="Female"/>
    <n v="52"/>
    <s v="Kolkata"/>
    <x v="0"/>
    <n v="12"/>
    <n v="349"/>
    <n v="4188"/>
    <s v="No Internet"/>
    <d v="2024-09-19T00:00:00"/>
    <s v="Yes"/>
    <s v="No"/>
    <s v="No"/>
    <s v="No"/>
    <s v="No"/>
    <s v="No"/>
  </r>
  <r>
    <x v="313"/>
    <s v="Ritu Malhotra"/>
    <s v="Female"/>
    <n v="54"/>
    <s v="Delhi"/>
    <x v="0"/>
    <n v="4"/>
    <n v="1199"/>
    <n v="4796"/>
    <s v="Fiber"/>
    <d v="2025-05-18T00:00:00"/>
    <s v="No"/>
    <s v="No"/>
    <s v="No"/>
    <s v="No"/>
    <s v="No"/>
    <s v="No"/>
  </r>
  <r>
    <x v="314"/>
    <s v="Sachin Verma"/>
    <s v="Male"/>
    <n v="71"/>
    <s v="Kolkata"/>
    <x v="2"/>
    <n v="69"/>
    <n v="1299"/>
    <n v="89631"/>
    <s v="Fiber"/>
    <d v="2020-01-21T00:00:00"/>
    <s v="No"/>
    <s v="No"/>
    <s v="No"/>
    <s v="No"/>
    <s v="No"/>
    <s v="No"/>
  </r>
  <r>
    <x v="315"/>
    <s v="Aditi Kumar"/>
    <s v="Unknown"/>
    <n v="43"/>
    <s v="Chandigarh"/>
    <x v="1"/>
    <n v="34"/>
    <n v="1149"/>
    <n v="39066"/>
    <s v="Fiber"/>
    <d v="2022-11-19T00:00:00"/>
    <s v="Yes"/>
    <s v="No"/>
    <s v="No"/>
    <s v="No"/>
    <s v="No"/>
    <s v="No"/>
  </r>
  <r>
    <x v="316"/>
    <s v="Meera Gupta"/>
    <s v="Female"/>
    <n v="31"/>
    <s v="Kochi"/>
    <x v="0"/>
    <n v="3"/>
    <n v="849"/>
    <n v="2547"/>
    <s v="DSL"/>
    <d v="2025-06-10T00:00:00"/>
    <s v="No"/>
    <s v="No"/>
    <s v="No"/>
    <s v="No"/>
    <s v="No"/>
    <s v="No"/>
  </r>
  <r>
    <x v="317"/>
    <s v="Pankaj Malhotra"/>
    <s v="Male"/>
    <n v="38"/>
    <s v="Bhopal"/>
    <x v="2"/>
    <n v="50"/>
    <n v="799"/>
    <n v="39950"/>
    <s v="DSL"/>
    <d v="2021-08-12T00:00:00"/>
    <s v="No"/>
    <s v="No"/>
    <s v="No"/>
    <s v="No"/>
    <s v="No"/>
    <s v="No"/>
  </r>
  <r>
    <x v="318"/>
    <s v="Priya Pandey"/>
    <s v="Female"/>
    <n v="57"/>
    <s v="Lucknow"/>
    <x v="0"/>
    <n v="14"/>
    <n v="999"/>
    <n v="13986"/>
    <s v="Fiber"/>
    <d v="2024-07-11T00:00:00"/>
    <s v="No"/>
    <s v="No"/>
    <s v="No"/>
    <s v="No"/>
    <s v="No"/>
    <s v="No"/>
  </r>
  <r>
    <x v="319"/>
    <s v="Karan Bose"/>
    <s v="Male"/>
    <n v="67"/>
    <s v="Mumbai"/>
    <x v="1"/>
    <n v="23"/>
    <n v="499"/>
    <n v="11477"/>
    <s v="No Internet"/>
    <d v="2023-10-21T00:00:00"/>
    <s v="No"/>
    <s v="No"/>
    <s v="No"/>
    <s v="No"/>
    <s v="No"/>
    <s v="No"/>
  </r>
  <r>
    <x v="320"/>
    <s v="Sneha Gupta"/>
    <s v="Female"/>
    <n v="35"/>
    <s v="Kolkata"/>
    <x v="0"/>
    <n v="23"/>
    <n v="899"/>
    <n v="20677"/>
    <s v="Fiber"/>
    <d v="2023-10-29T00:00:00"/>
    <s v="No"/>
    <s v="No"/>
    <s v="No"/>
    <s v="No"/>
    <s v="No"/>
    <s v="No"/>
  </r>
  <r>
    <x v="321"/>
    <s v="Amit Agarwal"/>
    <s v="Male"/>
    <n v="48"/>
    <s v="Chennai"/>
    <x v="2"/>
    <n v="39"/>
    <n v="699"/>
    <n v="27261"/>
    <s v="DSL"/>
    <d v="2022-06-25T00:00:00"/>
    <s v="No"/>
    <s v="No"/>
    <s v="No"/>
    <s v="No"/>
    <s v="No"/>
    <s v="No"/>
  </r>
  <r>
    <x v="322"/>
    <s v="Manish Singh"/>
    <s v="Male"/>
    <n v="37"/>
    <s v="Bhopal"/>
    <x v="0"/>
    <n v="9"/>
    <n v="549"/>
    <n v="4941"/>
    <s v="Unknown"/>
    <d v="2024-12-26T00:00:00"/>
    <s v="No"/>
    <s v="No"/>
    <s v="No"/>
    <s v="No"/>
    <s v="Yes"/>
    <s v="No"/>
  </r>
  <r>
    <x v="323"/>
    <s v="Deepika Tiwari"/>
    <s v="Female"/>
    <n v="65"/>
    <s v="Ahmedabad"/>
    <x v="3"/>
    <n v="4"/>
    <n v="399"/>
    <n v="1596"/>
    <s v="No Internet"/>
    <d v="2025-05-09T00:00:00"/>
    <s v="Yes"/>
    <s v="No"/>
    <s v="No"/>
    <s v="No"/>
    <s v="No"/>
    <s v="No"/>
  </r>
  <r>
    <x v="324"/>
    <s v="Unknown"/>
    <s v="Female"/>
    <n v="74"/>
    <s v="Lucknow"/>
    <x v="0"/>
    <n v="7"/>
    <n v="899"/>
    <n v="6293"/>
    <s v="DSL"/>
    <d v="2025-03-01T00:00:00"/>
    <s v="Yes"/>
    <s v="No"/>
    <s v="No"/>
    <s v="No"/>
    <s v="Yes"/>
    <s v="No"/>
  </r>
  <r>
    <x v="325"/>
    <s v="Deepika Malhotra"/>
    <s v="Female"/>
    <n v="41"/>
    <s v="Chandigarh"/>
    <x v="0"/>
    <n v="4"/>
    <n v="899"/>
    <n v="3596"/>
    <s v="Fiber"/>
    <d v="2025-05-12T00:00:00"/>
    <s v="Yes"/>
    <s v="No"/>
    <s v="No"/>
    <s v="No"/>
    <s v="Yes"/>
    <s v="No"/>
  </r>
  <r>
    <x v="326"/>
    <s v="Meera Desai"/>
    <s v="Female"/>
    <n v="55"/>
    <s v="Jaipur"/>
    <x v="0"/>
    <n v="9"/>
    <n v="849"/>
    <n v="7641"/>
    <s v="DSL"/>
    <d v="2024-12-20T00:00:00"/>
    <s v="Yes"/>
    <s v="No"/>
    <s v="No"/>
    <s v="No"/>
    <s v="No"/>
    <s v="No"/>
  </r>
  <r>
    <x v="327"/>
    <s v="Arjun Bose"/>
    <s v="Male"/>
    <n v="67"/>
    <s v="Hyderabad"/>
    <x v="2"/>
    <n v="27"/>
    <n v="1199"/>
    <n v="32373"/>
    <s v="Fiber"/>
    <d v="2023-06-14T00:00:00"/>
    <s v="No"/>
    <s v="No"/>
    <s v="No"/>
    <s v="No"/>
    <s v="No"/>
    <s v="No"/>
  </r>
  <r>
    <x v="328"/>
    <s v="Gaurav Singh"/>
    <s v="Male"/>
    <n v="59"/>
    <s v="Bangalore"/>
    <x v="1"/>
    <n v="17"/>
    <n v="799"/>
    <n v="13583"/>
    <s v="DSL"/>
    <d v="2024-04-14T00:00:00"/>
    <s v="No"/>
    <s v="No"/>
    <s v="No"/>
    <s v="No"/>
    <s v="No"/>
    <s v="No"/>
  </r>
  <r>
    <x v="329"/>
    <s v="Nisha Rao"/>
    <s v="Female"/>
    <n v="72"/>
    <s v="Pune"/>
    <x v="0"/>
    <n v="10"/>
    <n v="849"/>
    <n v="8490"/>
    <s v="DSL"/>
    <d v="2024-11-29T00:00:00"/>
    <s v="Unknown"/>
    <s v="No"/>
    <s v="No"/>
    <s v="No"/>
    <s v="No"/>
    <s v="Churn unknown"/>
  </r>
  <r>
    <x v="330"/>
    <s v="Mohit Saxena"/>
    <s v="Male"/>
    <n v="71"/>
    <s v="Chandigarh"/>
    <x v="0"/>
    <n v="20"/>
    <n v="1049"/>
    <n v="20980"/>
    <s v="Fiber"/>
    <d v="2024-01-27T00:00:00"/>
    <s v="No"/>
    <s v="No"/>
    <s v="No"/>
    <s v="No"/>
    <s v="No"/>
    <s v="No"/>
  </r>
  <r>
    <x v="331"/>
    <s v="Swati Malhotra"/>
    <s v="Female"/>
    <n v="34"/>
    <s v="Indore"/>
    <x v="1"/>
    <n v="20"/>
    <n v="549"/>
    <n v="10980"/>
    <s v="No Internet"/>
    <m/>
    <s v="No"/>
    <s v="No"/>
    <s v="No"/>
    <s v="No"/>
    <s v="No"/>
    <s v="Date missing"/>
  </r>
  <r>
    <x v="332"/>
    <s v="Pankaj Rao"/>
    <s v="Male"/>
    <n v="60"/>
    <s v="Pune"/>
    <x v="1"/>
    <n v="32"/>
    <n v="1049"/>
    <n v="33568"/>
    <s v="Fiber"/>
    <d v="2023-01-19T00:00:00"/>
    <s v="No"/>
    <s v="No"/>
    <s v="No"/>
    <s v="No"/>
    <s v="No"/>
    <s v="No"/>
  </r>
  <r>
    <x v="333"/>
    <s v="Rajesh Pandey"/>
    <s v="Male"/>
    <n v="54"/>
    <s v="Chandigarh"/>
    <x v="0"/>
    <n v="8"/>
    <n v="1149"/>
    <n v="9192"/>
    <s v="Fiber"/>
    <d v="2025-01-10T00:00:00"/>
    <s v="No"/>
    <s v="No"/>
    <s v="No"/>
    <s v="Yes"/>
    <s v="No"/>
    <s v="No"/>
  </r>
  <r>
    <x v="334"/>
    <s v="Unknown"/>
    <s v="Female"/>
    <n v="72"/>
    <s v="Bangalore"/>
    <x v="2"/>
    <n v="24"/>
    <n v="499"/>
    <n v="11976"/>
    <s v="No Internet"/>
    <d v="2023-10-01T00:00:00"/>
    <s v="No"/>
    <s v="No"/>
    <s v="No"/>
    <s v="No"/>
    <s v="No"/>
    <s v="No"/>
  </r>
  <r>
    <x v="335"/>
    <s v="Nikhil Chopra"/>
    <s v="Male"/>
    <n v="23"/>
    <s v="Hyderabad"/>
    <x v="0"/>
    <n v="10"/>
    <n v="1299"/>
    <n v="12990"/>
    <s v="Fiber"/>
    <d v="2024-11-14T00:00:00"/>
    <s v="Yes"/>
    <s v="No"/>
    <s v="No"/>
    <s v="No"/>
    <s v="No"/>
    <s v="No"/>
  </r>
  <r>
    <x v="336"/>
    <s v="Shreya Reddy"/>
    <s v="Female"/>
    <n v="48"/>
    <s v="Delhi"/>
    <x v="2"/>
    <n v="10"/>
    <n v="999"/>
    <n v="9990"/>
    <s v="Fiber"/>
    <m/>
    <s v="Yes"/>
    <s v="No"/>
    <s v="No"/>
    <s v="No"/>
    <s v="No"/>
    <s v="Date missing"/>
  </r>
  <r>
    <x v="337"/>
    <s v="Payal Iyer"/>
    <s v="Female"/>
    <n v="44"/>
    <s v="Delhi"/>
    <x v="2"/>
    <n v="26"/>
    <n v="699"/>
    <n v="18174"/>
    <s v="DSL"/>
    <d v="2023-07-27T00:00:00"/>
    <s v="No"/>
    <s v="No"/>
    <s v="No"/>
    <s v="No"/>
    <s v="No"/>
    <s v="No"/>
  </r>
  <r>
    <x v="338"/>
    <s v="Nikhil Pandey"/>
    <s v="Male"/>
    <n v="29"/>
    <s v="Kochi"/>
    <x v="0"/>
    <n v="6"/>
    <n v="699"/>
    <n v="4194"/>
    <s v="DSL"/>
    <d v="2025-03-24T00:00:00"/>
    <s v="Yes"/>
    <s v="No"/>
    <s v="Yes"/>
    <s v="No"/>
    <s v="No"/>
    <s v="No"/>
  </r>
  <r>
    <x v="339"/>
    <s v="Arjun Bose"/>
    <s v="Male"/>
    <n v="66"/>
    <s v="Bangalore"/>
    <x v="0"/>
    <n v="3"/>
    <n v="1149"/>
    <n v="3447"/>
    <s v="Fiber"/>
    <d v="2025-06-18T00:00:00"/>
    <s v="No"/>
    <s v="No"/>
    <s v="No"/>
    <s v="No"/>
    <s v="No"/>
    <s v="No"/>
  </r>
  <r>
    <x v="340"/>
    <s v="Komal Rao"/>
    <s v="Female"/>
    <n v="18"/>
    <s v="Delhi"/>
    <x v="0"/>
    <n v="1"/>
    <n v="1299"/>
    <n v="1299"/>
    <s v="Fiber"/>
    <d v="2025-08-08T00:00:00"/>
    <s v="Yes"/>
    <s v="No"/>
    <s v="No"/>
    <s v="No"/>
    <s v="No"/>
    <s v="No"/>
  </r>
  <r>
    <x v="341"/>
    <s v="Manish Nair"/>
    <s v="Male"/>
    <n v="62"/>
    <s v="Pune"/>
    <x v="0"/>
    <n v="17"/>
    <n v="799"/>
    <n v="13583"/>
    <s v="DSL"/>
    <d v="2024-05-05T00:00:00"/>
    <s v="Yes"/>
    <s v="No"/>
    <s v="No"/>
    <s v="No"/>
    <s v="No"/>
    <s v="No"/>
  </r>
  <r>
    <x v="342"/>
    <s v="Aditi Kapoor"/>
    <s v="Female"/>
    <n v="64"/>
    <s v="Jaipur"/>
    <x v="1"/>
    <n v="9"/>
    <n v="699"/>
    <n v="6291"/>
    <s v="DSL"/>
    <d v="2024-12-27T00:00:00"/>
    <s v="No"/>
    <s v="No"/>
    <s v="No"/>
    <s v="No"/>
    <s v="No"/>
    <s v="No"/>
  </r>
  <r>
    <x v="343"/>
    <s v="Priya Nair"/>
    <s v="Female"/>
    <n v="32"/>
    <s v="Bhopal"/>
    <x v="2"/>
    <n v="3"/>
    <n v="799"/>
    <n v="2397"/>
    <s v="DSL"/>
    <d v="2025-06-08T00:00:00"/>
    <s v="Yes"/>
    <s v="No"/>
    <s v="No"/>
    <s v="No"/>
    <s v="No"/>
    <s v="No"/>
  </r>
  <r>
    <x v="344"/>
    <s v="Deepak Chopra"/>
    <s v="Male"/>
    <n v="34"/>
    <s v="Kochi"/>
    <x v="0"/>
    <n v="2"/>
    <n v="849"/>
    <n v="1698"/>
    <s v="DSL"/>
    <d v="2025-07-27T00:00:00"/>
    <s v="Yes"/>
    <s v="No"/>
    <s v="No"/>
    <s v="No"/>
    <s v="No"/>
    <s v="No"/>
  </r>
  <r>
    <x v="345"/>
    <s v="Shreya Rao"/>
    <s v="Female"/>
    <n v="25"/>
    <s v="Unknown"/>
    <x v="0"/>
    <n v="7"/>
    <n v="1199"/>
    <n v="8393"/>
    <s v="Fiber"/>
    <d v="2025-02-09T00:00:00"/>
    <s v="Yes"/>
    <s v="No"/>
    <s v="No"/>
    <s v="No"/>
    <s v="No"/>
    <s v="No"/>
  </r>
  <r>
    <x v="346"/>
    <s v="Mohit Malhotra"/>
    <s v="Male"/>
    <n v="57"/>
    <s v="Lucknow"/>
    <x v="1"/>
    <n v="7"/>
    <n v="1199"/>
    <n v="8393"/>
    <s v="Fiber"/>
    <d v="2025-02-27T00:00:00"/>
    <s v="Yes"/>
    <s v="No"/>
    <s v="No"/>
    <s v="No"/>
    <s v="No"/>
    <s v="No"/>
  </r>
  <r>
    <x v="347"/>
    <s v="Gaurav Mehta"/>
    <s v="Male"/>
    <n v="56"/>
    <s v="Hyderabad"/>
    <x v="1"/>
    <n v="13"/>
    <n v="499"/>
    <n v="6487"/>
    <s v="No Internet"/>
    <d v="2024-09-02T00:00:00"/>
    <s v="No"/>
    <s v="No"/>
    <s v="No"/>
    <s v="No"/>
    <s v="No"/>
    <s v="No"/>
  </r>
  <r>
    <x v="348"/>
    <s v="Deepika Pandey"/>
    <s v="Female"/>
    <n v="48"/>
    <s v="Pune"/>
    <x v="0"/>
    <n v="3"/>
    <n v="599"/>
    <n v="1797"/>
    <s v="DSL"/>
    <d v="2025-06-26T00:00:00"/>
    <s v="No"/>
    <s v="No"/>
    <s v="No"/>
    <s v="No"/>
    <s v="No"/>
    <s v="No"/>
  </r>
  <r>
    <x v="349"/>
    <s v="Mohit Kumar"/>
    <s v="Male"/>
    <n v="64"/>
    <s v="Bhopal"/>
    <x v="0"/>
    <n v="8"/>
    <n v="749"/>
    <n v="5992"/>
    <s v="DSL"/>
    <d v="2025-01-28T00:00:00"/>
    <s v="No"/>
    <s v="No"/>
    <s v="No"/>
    <s v="No"/>
    <s v="No"/>
    <s v="No"/>
  </r>
  <r>
    <x v="350"/>
    <s v="Amit Iyer"/>
    <s v="Male"/>
    <n v="41"/>
    <s v="Unknown"/>
    <x v="1"/>
    <n v="8"/>
    <n v="1299"/>
    <n v="10392"/>
    <s v="Fiber"/>
    <d v="2025-01-27T00:00:00"/>
    <s v="Yes"/>
    <s v="No"/>
    <s v="No"/>
    <s v="No"/>
    <s v="No"/>
    <s v="No"/>
  </r>
  <r>
    <x v="351"/>
    <s v="Nikhil Patel"/>
    <s v="Male"/>
    <n v="75"/>
    <s v="Ahmedabad"/>
    <x v="2"/>
    <n v="12"/>
    <n v="699"/>
    <n v="8388"/>
    <s v="DSL"/>
    <d v="2024-09-21T00:00:00"/>
    <s v="No"/>
    <s v="No"/>
    <s v="No"/>
    <s v="No"/>
    <s v="No"/>
    <s v="No"/>
  </r>
  <r>
    <x v="352"/>
    <s v="Shreya Malhotra"/>
    <s v="Female"/>
    <n v="71"/>
    <s v="Kolkata"/>
    <x v="1"/>
    <n v="27"/>
    <n v="1299"/>
    <n v="35073"/>
    <s v="Fiber"/>
    <d v="2023-06-19T00:00:00"/>
    <s v="Yes"/>
    <s v="No"/>
    <s v="No"/>
    <s v="No"/>
    <s v="No"/>
    <s v="No"/>
  </r>
  <r>
    <x v="353"/>
    <s v="Arjun Reddy"/>
    <s v="Male"/>
    <n v="44"/>
    <s v="Lucknow"/>
    <x v="0"/>
    <n v="15"/>
    <n v="1149"/>
    <n v="17235"/>
    <s v="Fiber"/>
    <d v="2024-06-16T00:00:00"/>
    <s v="No"/>
    <s v="No"/>
    <s v="No"/>
    <s v="No"/>
    <s v="No"/>
    <s v="No"/>
  </r>
  <r>
    <x v="354"/>
    <s v="Rohit Desai"/>
    <s v="Male"/>
    <n v="49"/>
    <s v="Mumbai"/>
    <x v="2"/>
    <n v="9"/>
    <n v="1199"/>
    <n v="10791"/>
    <s v="Fiber"/>
    <m/>
    <s v="Yes"/>
    <s v="No"/>
    <s v="No"/>
    <s v="No"/>
    <s v="Yes"/>
    <s v="Date missing"/>
  </r>
  <r>
    <x v="355"/>
    <s v="Nikhil Jain"/>
    <s v="Male"/>
    <n v="51"/>
    <s v="Unknown"/>
    <x v="1"/>
    <n v="16"/>
    <n v="749"/>
    <n v="11984"/>
    <s v="DSL"/>
    <d v="2024-05-10T00:00:00"/>
    <s v="Yes"/>
    <s v="No"/>
    <s v="No"/>
    <s v="No"/>
    <s v="No"/>
    <s v="No"/>
  </r>
  <r>
    <x v="356"/>
    <s v="Rahul Chopra"/>
    <s v="Male"/>
    <n v="28"/>
    <s v="Jaipur"/>
    <x v="2"/>
    <n v="22"/>
    <n v="499"/>
    <n v="10978"/>
    <s v="No Internet"/>
    <d v="2023-11-28T00:00:00"/>
    <s v="No"/>
    <s v="No"/>
    <s v="No"/>
    <s v="No"/>
    <s v="No"/>
    <s v="No"/>
  </r>
  <r>
    <x v="357"/>
    <s v="Sneha Jain"/>
    <s v="Female"/>
    <n v="32"/>
    <s v="Jaipur"/>
    <x v="1"/>
    <n v="16"/>
    <n v="1099"/>
    <n v="17584"/>
    <s v="Fiber"/>
    <d v="2024-05-22T00:00:00"/>
    <s v="No"/>
    <s v="No"/>
    <s v="No"/>
    <s v="No"/>
    <s v="No"/>
    <s v="No"/>
  </r>
  <r>
    <x v="358"/>
    <s v="Gaurav Kapoor"/>
    <s v="Male"/>
    <n v="38"/>
    <s v="Mumbai"/>
    <x v="2"/>
    <n v="3"/>
    <n v="1099"/>
    <n v="3297"/>
    <s v="Fiber"/>
    <d v="2025-06-13T00:00:00"/>
    <s v="Yes"/>
    <s v="No"/>
    <s v="No"/>
    <s v="No"/>
    <s v="No"/>
    <s v="No"/>
  </r>
  <r>
    <x v="359"/>
    <s v="Vikram Yadav"/>
    <s v="Male"/>
    <n v="57"/>
    <s v="Indore"/>
    <x v="0"/>
    <n v="7"/>
    <n v="1199"/>
    <n v="8393"/>
    <s v="Fiber"/>
    <d v="2025-02-19T00:00:00"/>
    <s v="No"/>
    <s v="No"/>
    <s v="No"/>
    <s v="No"/>
    <s v="No"/>
    <s v="No"/>
  </r>
  <r>
    <x v="360"/>
    <s v="Manish Kapoor"/>
    <s v="Male"/>
    <n v="39"/>
    <s v="Jaipur"/>
    <x v="1"/>
    <n v="24"/>
    <n v="1099"/>
    <n v="26376"/>
    <s v="Fiber"/>
    <d v="2023-09-18T00:00:00"/>
    <s v="Yes"/>
    <s v="No"/>
    <s v="No"/>
    <s v="No"/>
    <s v="No"/>
    <s v="No"/>
  </r>
  <r>
    <x v="361"/>
    <s v="Rahul Joshi"/>
    <s v="Male"/>
    <n v="40"/>
    <s v="Chandigarh"/>
    <x v="1"/>
    <n v="36"/>
    <n v="1049"/>
    <n v="37764"/>
    <s v="Fiber"/>
    <d v="2022-10-09T00:00:00"/>
    <s v="Yes"/>
    <s v="No"/>
    <s v="No"/>
    <s v="No"/>
    <s v="No"/>
    <s v="No"/>
  </r>
  <r>
    <x v="362"/>
    <s v="Pooja Pandey"/>
    <s v="Female"/>
    <n v="65"/>
    <s v="Bhopal"/>
    <x v="0"/>
    <n v="7"/>
    <n v="649"/>
    <n v="4543"/>
    <s v="DSL"/>
    <d v="2025-02-04T00:00:00"/>
    <s v="Yes"/>
    <s v="No"/>
    <s v="No"/>
    <s v="No"/>
    <s v="No"/>
    <s v="No"/>
  </r>
  <r>
    <x v="363"/>
    <s v="Nikhil Reddy"/>
    <s v="Male"/>
    <n v="66"/>
    <s v="Kolkata"/>
    <x v="0"/>
    <n v="22"/>
    <n v="899"/>
    <n v="19778"/>
    <s v="Fiber"/>
    <d v="2023-11-20T00:00:00"/>
    <s v="Yes"/>
    <s v="No"/>
    <s v="No"/>
    <s v="No"/>
    <s v="No"/>
    <s v="No"/>
  </r>
  <r>
    <x v="364"/>
    <s v="Gaurav Sharma"/>
    <s v="Male"/>
    <n v="51"/>
    <s v="Bhopal"/>
    <x v="0"/>
    <n v="19"/>
    <n v="399"/>
    <n v="7581"/>
    <s v="No Internet"/>
    <d v="2024-03-02T00:00:00"/>
    <s v="No"/>
    <s v="No"/>
    <s v="No"/>
    <s v="No"/>
    <s v="No"/>
    <s v="No"/>
  </r>
  <r>
    <x v="365"/>
    <s v="Karan Rao"/>
    <s v="Male"/>
    <n v="60"/>
    <s v="Lucknow"/>
    <x v="1"/>
    <n v="25"/>
    <n v="749"/>
    <n v="18725"/>
    <s v="DSL"/>
    <d v="2023-08-30T00:00:00"/>
    <s v="No"/>
    <s v="No"/>
    <s v="No"/>
    <s v="No"/>
    <s v="No"/>
    <s v="No"/>
  </r>
  <r>
    <x v="366"/>
    <s v="Shreya Singh"/>
    <s v="Female"/>
    <n v="26"/>
    <s v="Kolkata"/>
    <x v="1"/>
    <n v="33"/>
    <n v="549"/>
    <n v="18117"/>
    <s v="No Internet"/>
    <d v="2022-12-21T00:00:00"/>
    <s v="No"/>
    <s v="No"/>
    <s v="No"/>
    <s v="No"/>
    <s v="Yes"/>
    <s v="No"/>
  </r>
  <r>
    <x v="367"/>
    <s v="Sanjay Mehta"/>
    <s v="Male"/>
    <n v="57"/>
    <s v="Bhopal"/>
    <x v="0"/>
    <n v="22"/>
    <n v="649"/>
    <n v="14278"/>
    <s v="Unknown"/>
    <d v="2023-11-16T00:00:00"/>
    <s v="No"/>
    <s v="No"/>
    <s v="No"/>
    <s v="No"/>
    <s v="Yes"/>
    <s v="No"/>
  </r>
  <r>
    <x v="368"/>
    <s v="Anjali Patel"/>
    <s v="Female"/>
    <n v="53"/>
    <s v="Ahmedabad"/>
    <x v="1"/>
    <n v="27"/>
    <n v="549"/>
    <n v="14823"/>
    <s v="No Internet"/>
    <d v="2023-06-14T00:00:00"/>
    <s v="No"/>
    <s v="No"/>
    <s v="No"/>
    <s v="No"/>
    <s v="No"/>
    <s v="No"/>
  </r>
  <r>
    <x v="369"/>
    <s v="Priya Jain"/>
    <s v="Female"/>
    <n v="24"/>
    <s v="Delhi"/>
    <x v="0"/>
    <n v="2"/>
    <n v="649"/>
    <n v="1298"/>
    <s v="DSL"/>
    <d v="2025-07-09T00:00:00"/>
    <s v="No"/>
    <s v="No"/>
    <s v="No"/>
    <s v="No"/>
    <s v="No"/>
    <s v="No"/>
  </r>
  <r>
    <x v="370"/>
    <s v="Pooja Verma"/>
    <s v="Female"/>
    <n v="62"/>
    <s v="Kochi"/>
    <x v="0"/>
    <n v="2"/>
    <n v="1299"/>
    <n v="2598"/>
    <s v="Fiber"/>
    <d v="2025-07-03T00:00:00"/>
    <s v="Yes"/>
    <s v="No"/>
    <s v="No"/>
    <s v="No"/>
    <s v="No"/>
    <s v="No"/>
  </r>
  <r>
    <x v="371"/>
    <s v="Sachin Rao"/>
    <s v="Male"/>
    <n v="33"/>
    <s v="Jaipur"/>
    <x v="1"/>
    <n v="19"/>
    <n v="1199"/>
    <n v="22781"/>
    <s v="Fiber"/>
    <d v="2024-02-24T00:00:00"/>
    <s v="No"/>
    <s v="No"/>
    <s v="No"/>
    <s v="No"/>
    <s v="No"/>
    <s v="No"/>
  </r>
  <r>
    <x v="372"/>
    <s v="Swati Mishra"/>
    <s v="Unknown"/>
    <n v="21"/>
    <s v="Delhi"/>
    <x v="3"/>
    <n v="29"/>
    <n v="899"/>
    <n v="26071"/>
    <s v="DSL"/>
    <d v="2023-04-25T00:00:00"/>
    <s v="No"/>
    <s v="No"/>
    <s v="No"/>
    <s v="No"/>
    <s v="No"/>
    <s v="No"/>
  </r>
  <r>
    <x v="373"/>
    <s v="Sanjay Iyer"/>
    <s v="Male"/>
    <n v="46"/>
    <s v="Bangalore"/>
    <x v="2"/>
    <n v="23"/>
    <n v="849"/>
    <n v="19527"/>
    <s v="DSL"/>
    <m/>
    <s v="No"/>
    <s v="No"/>
    <s v="No"/>
    <s v="No"/>
    <s v="No"/>
    <s v="Date missing"/>
  </r>
  <r>
    <x v="374"/>
    <s v="Sonal Malhotra"/>
    <s v="Female"/>
    <n v="26"/>
    <s v="Bangalore"/>
    <x v="1"/>
    <n v="22"/>
    <n v="749"/>
    <n v="16478"/>
    <s v="DSL"/>
    <d v="2023-11-09T00:00:00"/>
    <s v="Yes"/>
    <s v="No"/>
    <s v="No"/>
    <s v="No"/>
    <s v="No"/>
    <s v="No"/>
  </r>
  <r>
    <x v="375"/>
    <s v="Riya Verma"/>
    <s v="Female"/>
    <n v="67"/>
    <s v="Indore"/>
    <x v="1"/>
    <n v="32"/>
    <n v="1149"/>
    <n v="36768"/>
    <s v="Fiber"/>
    <d v="2023-01-17T00:00:00"/>
    <s v="No"/>
    <s v="No"/>
    <s v="No"/>
    <s v="No"/>
    <s v="No"/>
    <s v="No"/>
  </r>
  <r>
    <x v="376"/>
    <s v="Payal Nair"/>
    <s v="Female"/>
    <n v="29"/>
    <s v="Jaipur"/>
    <x v="0"/>
    <n v="14"/>
    <n v="1149"/>
    <n v="16086"/>
    <s v="Fiber"/>
    <d v="2024-07-28T00:00:00"/>
    <s v="Yes"/>
    <s v="No"/>
    <s v="No"/>
    <s v="No"/>
    <s v="No"/>
    <s v="No"/>
  </r>
  <r>
    <x v="377"/>
    <s v="Nikhil Joshi"/>
    <s v="Male"/>
    <n v="41"/>
    <s v="Chennai"/>
    <x v="0"/>
    <n v="17"/>
    <n v="1149"/>
    <n v="19533"/>
    <s v="Fiber"/>
    <d v="2024-04-25T00:00:00"/>
    <s v="Yes"/>
    <s v="No"/>
    <s v="No"/>
    <s v="No"/>
    <s v="No"/>
    <s v="No"/>
  </r>
  <r>
    <x v="378"/>
    <s v="Ritu Chopra"/>
    <s v="Female"/>
    <n v="57"/>
    <s v="Lucknow"/>
    <x v="0"/>
    <n v="11"/>
    <n v="749"/>
    <n v="8239"/>
    <s v="DSL"/>
    <d v="2024-10-16T00:00:00"/>
    <s v="Yes"/>
    <s v="No"/>
    <s v="No"/>
    <s v="No"/>
    <s v="No"/>
    <s v="No"/>
  </r>
  <r>
    <x v="379"/>
    <s v="Priya Jain"/>
    <s v="Female"/>
    <n v="70"/>
    <s v="Kochi"/>
    <x v="0"/>
    <n v="15"/>
    <n v="449"/>
    <n v="6735"/>
    <s v="No Internet"/>
    <d v="2024-06-29T00:00:00"/>
    <s v="No"/>
    <s v="No"/>
    <s v="No"/>
    <s v="No"/>
    <s v="No"/>
    <s v="No"/>
  </r>
  <r>
    <x v="380"/>
    <s v="Payal Kumar"/>
    <s v="Female"/>
    <n v="47"/>
    <s v="Unknown"/>
    <x v="2"/>
    <n v="69"/>
    <n v="1199"/>
    <n v="82731"/>
    <s v="Fiber"/>
    <d v="2020-01-08T00:00:00"/>
    <s v="No"/>
    <s v="Yes"/>
    <s v="No"/>
    <s v="No"/>
    <s v="No"/>
    <s v="No"/>
  </r>
  <r>
    <x v="381"/>
    <s v="Vivek Reddy"/>
    <s v="Male"/>
    <n v="31"/>
    <s v="Jaipur"/>
    <x v="2"/>
    <n v="56"/>
    <n v="349"/>
    <n v="19544"/>
    <s v="No Internet"/>
    <d v="2021-02-17T00:00:00"/>
    <s v="No"/>
    <s v="No"/>
    <s v="No"/>
    <s v="No"/>
    <s v="No"/>
    <s v="No"/>
  </r>
  <r>
    <x v="382"/>
    <s v="Ankit Pandey"/>
    <s v="Male"/>
    <n v="39"/>
    <s v="Delhi"/>
    <x v="0"/>
    <n v="9"/>
    <n v="799"/>
    <n v="7191"/>
    <s v="DSL"/>
    <m/>
    <s v="No"/>
    <s v="No"/>
    <s v="No"/>
    <s v="No"/>
    <s v="No"/>
    <s v="Date missing"/>
  </r>
  <r>
    <x v="383"/>
    <s v="Nisha Rao"/>
    <s v="Female"/>
    <n v="46"/>
    <s v="Indore"/>
    <x v="0"/>
    <n v="13"/>
    <n v="849"/>
    <n v="11037"/>
    <s v="DSL"/>
    <d v="2024-08-11T00:00:00"/>
    <s v="Yes"/>
    <s v="No"/>
    <s v="No"/>
    <s v="No"/>
    <s v="No"/>
    <s v="No"/>
  </r>
  <r>
    <x v="384"/>
    <s v="Rajesh Verma"/>
    <s v="Male"/>
    <n v="62"/>
    <s v="Chandigarh"/>
    <x v="0"/>
    <n v="4"/>
    <n v="449"/>
    <n v="1796"/>
    <s v="No Internet"/>
    <d v="2025-05-22T00:00:00"/>
    <s v="No"/>
    <s v="No"/>
    <s v="No"/>
    <s v="No"/>
    <s v="No"/>
    <s v="No"/>
  </r>
  <r>
    <x v="385"/>
    <s v="Divya Rao"/>
    <s v="Female"/>
    <n v="47"/>
    <s v="Indore"/>
    <x v="0"/>
    <n v="8"/>
    <n v="649"/>
    <n v="5192"/>
    <s v="DSL"/>
    <d v="2025-01-04T00:00:00"/>
    <s v="No"/>
    <s v="Yes"/>
    <s v="No"/>
    <s v="No"/>
    <s v="No"/>
    <s v="No"/>
  </r>
  <r>
    <x v="386"/>
    <s v="Unknown"/>
    <s v="Female"/>
    <n v="61"/>
    <s v="Kochi"/>
    <x v="2"/>
    <n v="2"/>
    <n v="1299"/>
    <n v="2598"/>
    <s v="Fiber"/>
    <d v="2025-07-29T00:00:00"/>
    <s v="Yes"/>
    <s v="No"/>
    <s v="No"/>
    <s v="No"/>
    <s v="No"/>
    <s v="No"/>
  </r>
  <r>
    <x v="387"/>
    <s v="Rajesh Yadav"/>
    <s v="Male"/>
    <n v="43"/>
    <s v="Jaipur"/>
    <x v="0"/>
    <n v="7"/>
    <n v="849"/>
    <n v="5943"/>
    <s v="DSL"/>
    <d v="2025-02-02T00:00:00"/>
    <s v="Yes"/>
    <s v="No"/>
    <s v="No"/>
    <s v="No"/>
    <s v="No"/>
    <s v="No"/>
  </r>
  <r>
    <x v="388"/>
    <s v="Arjun Gupta"/>
    <s v="Male"/>
    <n v="32"/>
    <s v="Lucknow"/>
    <x v="2"/>
    <n v="24"/>
    <n v="849"/>
    <n v="20376"/>
    <s v="DSL"/>
    <d v="2023-09-12T00:00:00"/>
    <s v="No"/>
    <s v="No"/>
    <s v="No"/>
    <s v="No"/>
    <s v="No"/>
    <s v="No"/>
  </r>
  <r>
    <x v="389"/>
    <s v="Sonal Kumar"/>
    <s v="Female"/>
    <n v="36"/>
    <s v="Indore"/>
    <x v="0"/>
    <n v="24"/>
    <n v="799"/>
    <n v="19176"/>
    <s v="DSL"/>
    <d v="2023-09-18T00:00:00"/>
    <s v="Yes"/>
    <s v="No"/>
    <s v="No"/>
    <s v="No"/>
    <s v="No"/>
    <s v="No"/>
  </r>
  <r>
    <x v="390"/>
    <s v="Karan Iyer"/>
    <s v="Male"/>
    <n v="57"/>
    <s v="Mumbai"/>
    <x v="2"/>
    <n v="58"/>
    <n v="699"/>
    <n v="40542"/>
    <s v="DSL"/>
    <d v="2020-12-19T00:00:00"/>
    <s v="No"/>
    <s v="No"/>
    <s v="No"/>
    <s v="No"/>
    <s v="No"/>
    <s v="No"/>
  </r>
  <r>
    <x v="391"/>
    <s v="Swati Tiwari"/>
    <s v="Female"/>
    <n v="28"/>
    <s v="Delhi"/>
    <x v="0"/>
    <n v="23"/>
    <n v="1199"/>
    <n v="27577"/>
    <s v="Fiber"/>
    <d v="2023-10-28T00:00:00"/>
    <s v="Yes"/>
    <s v="No"/>
    <s v="No"/>
    <s v="No"/>
    <s v="No"/>
    <s v="No"/>
  </r>
  <r>
    <x v="392"/>
    <s v="Nikhil Desai"/>
    <s v="Male"/>
    <n v="47"/>
    <s v="Ahmedabad"/>
    <x v="0"/>
    <n v="18"/>
    <n v="599"/>
    <n v="10782"/>
    <s v="DSL"/>
    <d v="2024-03-29T00:00:00"/>
    <s v="Yes"/>
    <s v="No"/>
    <s v="No"/>
    <s v="No"/>
    <s v="No"/>
    <s v="No"/>
  </r>
  <r>
    <x v="393"/>
    <s v="Sachin Mehta"/>
    <s v="Unknown"/>
    <n v="34"/>
    <s v="Bhopal"/>
    <x v="2"/>
    <n v="10"/>
    <n v="599"/>
    <n v="5990"/>
    <s v="DSL"/>
    <d v="2024-11-06T00:00:00"/>
    <s v="No"/>
    <s v="No"/>
    <s v="No"/>
    <s v="No"/>
    <s v="No"/>
    <s v="No"/>
  </r>
  <r>
    <x v="394"/>
    <s v="Tanvi Mehta"/>
    <s v="Female"/>
    <n v="20"/>
    <s v="Jaipur"/>
    <x v="0"/>
    <n v="18"/>
    <n v="399"/>
    <n v="7182"/>
    <s v="No Internet"/>
    <d v="2024-03-30T00:00:00"/>
    <s v="Yes"/>
    <s v="No"/>
    <s v="No"/>
    <s v="No"/>
    <s v="No"/>
    <s v="No"/>
  </r>
  <r>
    <x v="395"/>
    <s v="Pooja Kapoor"/>
    <s v="Female"/>
    <n v="50"/>
    <s v="Jaipur"/>
    <x v="0"/>
    <n v="1"/>
    <n v="999"/>
    <n v="999"/>
    <s v="Fiber"/>
    <d v="2025-08-05T00:00:00"/>
    <s v="No"/>
    <s v="No"/>
    <s v="No"/>
    <s v="No"/>
    <s v="No"/>
    <s v="No"/>
  </r>
  <r>
    <x v="396"/>
    <s v="Ankit Gupta"/>
    <s v="Male"/>
    <n v="29"/>
    <s v="Lucknow"/>
    <x v="2"/>
    <n v="19"/>
    <n v="1199"/>
    <n v="22781"/>
    <s v="Fiber"/>
    <d v="2024-03-06T00:00:00"/>
    <s v="No"/>
    <s v="No"/>
    <s v="No"/>
    <s v="No"/>
    <s v="No"/>
    <s v="No"/>
  </r>
  <r>
    <x v="397"/>
    <s v="Gaurav Nair"/>
    <s v="Male"/>
    <n v="22"/>
    <s v="Chennai"/>
    <x v="0"/>
    <n v="7"/>
    <n v="799"/>
    <n v="5593"/>
    <s v="DSL"/>
    <d v="2025-02-01T00:00:00"/>
    <s v="Yes"/>
    <s v="No"/>
    <s v="No"/>
    <s v="No"/>
    <s v="Yes"/>
    <s v="No"/>
  </r>
  <r>
    <x v="398"/>
    <s v="Sneha Verma"/>
    <s v="Female"/>
    <n v="59"/>
    <s v="Pune"/>
    <x v="0"/>
    <n v="21"/>
    <n v="449"/>
    <n v="9429"/>
    <s v="No Internet"/>
    <d v="2023-12-20T00:00:00"/>
    <s v="No"/>
    <s v="No"/>
    <s v="No"/>
    <s v="No"/>
    <s v="No"/>
    <s v="No"/>
  </r>
  <r>
    <x v="399"/>
    <s v="Deepak Chopra"/>
    <s v="Male"/>
    <n v="42"/>
    <s v="Pune"/>
    <x v="1"/>
    <n v="5"/>
    <n v="499"/>
    <n v="2495"/>
    <s v="No Internet"/>
    <d v="2025-04-24T00:00:00"/>
    <s v="No"/>
    <s v="No"/>
    <s v="No"/>
    <s v="No"/>
    <s v="No"/>
    <s v="No"/>
  </r>
  <r>
    <x v="400"/>
    <s v="Isha Patel"/>
    <s v="Female"/>
    <n v="49"/>
    <s v="Kochi"/>
    <x v="0"/>
    <n v="17"/>
    <n v="1099"/>
    <n v="18683"/>
    <s v="Fiber"/>
    <d v="2024-04-20T00:00:00"/>
    <s v="Yes"/>
    <s v="No"/>
    <s v="No"/>
    <s v="No"/>
    <s v="Yes"/>
    <s v="No"/>
  </r>
  <r>
    <x v="401"/>
    <s v="Deepika Singh"/>
    <s v="Female"/>
    <n v="29"/>
    <s v="Bangalore"/>
    <x v="0"/>
    <n v="4"/>
    <n v="999"/>
    <n v="3996"/>
    <s v="Fiber"/>
    <d v="2025-05-08T00:00:00"/>
    <s v="No"/>
    <s v="No"/>
    <s v="No"/>
    <s v="No"/>
    <s v="No"/>
    <s v="No"/>
  </r>
  <r>
    <x v="402"/>
    <s v="Gaurav Saxena"/>
    <s v="Male"/>
    <n v="48"/>
    <s v="Ahmedabad"/>
    <x v="0"/>
    <n v="14"/>
    <n v="599"/>
    <n v="8386"/>
    <s v="DSL"/>
    <d v="2024-07-17T00:00:00"/>
    <s v="Yes"/>
    <s v="No"/>
    <s v="Yes"/>
    <s v="No"/>
    <s v="No"/>
    <s v="No"/>
  </r>
  <r>
    <x v="403"/>
    <s v="Rohit Chopra"/>
    <s v="Male"/>
    <n v="50"/>
    <s v="Delhi"/>
    <x v="3"/>
    <n v="22"/>
    <n v="699"/>
    <n v="15378"/>
    <s v="DSL"/>
    <d v="2023-11-19T00:00:00"/>
    <s v="Unknown"/>
    <s v="No"/>
    <s v="No"/>
    <s v="No"/>
    <s v="No"/>
    <s v="Churn unknown"/>
  </r>
  <r>
    <x v="404"/>
    <s v="Harsh Kumar"/>
    <s v="Male"/>
    <n v="31"/>
    <s v="Ahmedabad"/>
    <x v="1"/>
    <n v="31"/>
    <n v="999"/>
    <n v="30969"/>
    <s v="Fiber"/>
    <d v="2023-02-16T00:00:00"/>
    <s v="No"/>
    <s v="No"/>
    <s v="No"/>
    <s v="No"/>
    <s v="No"/>
    <s v="No"/>
  </r>
  <r>
    <x v="405"/>
    <s v="Pankaj Saxena"/>
    <s v="Male"/>
    <n v="50"/>
    <s v="Chennai"/>
    <x v="0"/>
    <n v="15"/>
    <n v="1149"/>
    <n v="17235"/>
    <s v="Fiber"/>
    <d v="2024-06-23T00:00:00"/>
    <s v="Yes"/>
    <s v="No"/>
    <s v="No"/>
    <s v="No"/>
    <s v="No"/>
    <s v="No"/>
  </r>
  <r>
    <x v="406"/>
    <s v="Karan Sharma"/>
    <s v="Male"/>
    <n v="30"/>
    <s v="Jaipur"/>
    <x v="2"/>
    <n v="54"/>
    <n v="999"/>
    <n v="53946"/>
    <s v="Fiber"/>
    <d v="2021-04-07T00:00:00"/>
    <s v="Yes"/>
    <s v="No"/>
    <s v="No"/>
    <s v="No"/>
    <s v="No"/>
    <s v="No"/>
  </r>
  <r>
    <x v="407"/>
    <s v="Sachin Jain"/>
    <s v="Male"/>
    <n v="66"/>
    <s v="Mumbai"/>
    <x v="0"/>
    <n v="20"/>
    <n v="1299"/>
    <n v="25980"/>
    <s v="Fiber"/>
    <d v="2024-01-13T00:00:00"/>
    <s v="No"/>
    <s v="No"/>
    <s v="No"/>
    <s v="No"/>
    <s v="No"/>
    <s v="No"/>
  </r>
  <r>
    <x v="408"/>
    <s v="Payal Tiwari"/>
    <s v="Female"/>
    <n v="41"/>
    <s v="Chandigarh"/>
    <x v="0"/>
    <n v="8"/>
    <n v="1099"/>
    <n v="8792"/>
    <s v="Fiber"/>
    <d v="2025-01-06T00:00:00"/>
    <s v="Yes"/>
    <s v="No"/>
    <s v="No"/>
    <s v="No"/>
    <s v="No"/>
    <s v="No"/>
  </r>
  <r>
    <x v="409"/>
    <s v="Vivek Singh"/>
    <s v="Male"/>
    <n v="34"/>
    <s v="Ahmedabad"/>
    <x v="1"/>
    <n v="6"/>
    <n v="549"/>
    <n v="3294"/>
    <s v="No Internet"/>
    <d v="2025-03-26T00:00:00"/>
    <s v="No"/>
    <s v="No"/>
    <s v="No"/>
    <s v="No"/>
    <s v="No"/>
    <s v="No"/>
  </r>
  <r>
    <x v="410"/>
    <s v="Rahul Bose"/>
    <s v="Male"/>
    <n v="51"/>
    <s v="Mumbai"/>
    <x v="0"/>
    <n v="7"/>
    <n v="1299"/>
    <n v="9093"/>
    <s v="Fiber"/>
    <d v="2025-02-27T00:00:00"/>
    <s v="Yes"/>
    <s v="No"/>
    <s v="Yes"/>
    <s v="No"/>
    <s v="No"/>
    <s v="No"/>
  </r>
  <r>
    <x v="411"/>
    <s v="Vivek Chopra"/>
    <s v="Male"/>
    <n v="55"/>
    <s v="Chennai"/>
    <x v="0"/>
    <n v="19"/>
    <n v="1149"/>
    <n v="21831"/>
    <s v="Fiber"/>
    <d v="2024-02-24T00:00:00"/>
    <s v="No"/>
    <s v="No"/>
    <s v="No"/>
    <s v="No"/>
    <s v="No"/>
    <s v="No"/>
  </r>
  <r>
    <x v="412"/>
    <s v="Vivek Mishra"/>
    <s v="Male"/>
    <n v="68"/>
    <s v="Jaipur"/>
    <x v="0"/>
    <n v="18"/>
    <n v="1049"/>
    <n v="18882"/>
    <s v="Fiber"/>
    <d v="2024-03-13T00:00:00"/>
    <s v="No"/>
    <s v="No"/>
    <s v="No"/>
    <s v="No"/>
    <s v="No"/>
    <s v="No"/>
  </r>
  <r>
    <x v="413"/>
    <s v="Pooja Saxena"/>
    <s v="Female"/>
    <n v="25"/>
    <s v="Bhopal"/>
    <x v="0"/>
    <n v="6"/>
    <n v="999"/>
    <n v="5994"/>
    <s v="Fiber"/>
    <d v="2025-03-22T00:00:00"/>
    <s v="Yes"/>
    <s v="No"/>
    <s v="No"/>
    <s v="No"/>
    <s v="Yes"/>
    <s v="No"/>
  </r>
  <r>
    <x v="414"/>
    <s v="Arjun Rao"/>
    <s v="Male"/>
    <n v="58"/>
    <s v="Delhi"/>
    <x v="2"/>
    <n v="61"/>
    <n v="349"/>
    <n v="21289"/>
    <s v="No Internet"/>
    <d v="2020-09-17T00:00:00"/>
    <s v="Yes"/>
    <s v="No"/>
    <s v="No"/>
    <s v="No"/>
    <s v="No"/>
    <s v="No"/>
  </r>
  <r>
    <x v="415"/>
    <s v="Neha Yadav"/>
    <s v="Female"/>
    <n v="20"/>
    <s v="Bhopal"/>
    <x v="0"/>
    <n v="20"/>
    <n v="449"/>
    <n v="8980"/>
    <s v="No Internet"/>
    <d v="2024-01-18T00:00:00"/>
    <s v="No"/>
    <s v="No"/>
    <s v="No"/>
    <s v="No"/>
    <s v="No"/>
    <s v="No"/>
  </r>
  <r>
    <x v="416"/>
    <s v="Arjun Chopra"/>
    <s v="Male"/>
    <n v="49"/>
    <s v="Ahmedabad"/>
    <x v="0"/>
    <m/>
    <n v="349"/>
    <m/>
    <s v="No Internet"/>
    <m/>
    <s v="No"/>
    <s v="No"/>
    <s v="No"/>
    <s v="No"/>
    <s v="No"/>
    <s v="Total missing; Tenure missing; Date missing"/>
  </r>
  <r>
    <x v="417"/>
    <s v="Pankaj Gupta"/>
    <s v="Male"/>
    <n v="61"/>
    <s v="Delhi"/>
    <x v="0"/>
    <n v="6"/>
    <n v="1049"/>
    <n v="6294"/>
    <s v="Fiber"/>
    <d v="2025-03-20T00:00:00"/>
    <s v="Yes"/>
    <s v="No"/>
    <s v="No"/>
    <s v="No"/>
    <s v="No"/>
    <s v="No"/>
  </r>
  <r>
    <x v="418"/>
    <s v="Tanvi Mehta"/>
    <s v="Female"/>
    <n v="51"/>
    <s v="Delhi"/>
    <x v="1"/>
    <n v="6"/>
    <n v="799"/>
    <n v="4794"/>
    <s v="DSL"/>
    <d v="2025-03-21T00:00:00"/>
    <s v="No"/>
    <s v="No"/>
    <s v="No"/>
    <s v="No"/>
    <s v="No"/>
    <s v="No"/>
  </r>
  <r>
    <x v="419"/>
    <s v="Kavita Nair"/>
    <s v="Female"/>
    <n v="56"/>
    <s v="Hyderabad"/>
    <x v="0"/>
    <n v="1"/>
    <n v="999"/>
    <n v="999"/>
    <s v="Fiber"/>
    <d v="2025-08-12T00:00:00"/>
    <s v="Yes"/>
    <s v="No"/>
    <s v="No"/>
    <s v="No"/>
    <s v="No"/>
    <s v="No"/>
  </r>
  <r>
    <x v="420"/>
    <s v="Unknown"/>
    <s v="Male"/>
    <n v="39"/>
    <s v="Mumbai"/>
    <x v="2"/>
    <n v="69"/>
    <n v="549"/>
    <n v="37881"/>
    <s v="No Internet"/>
    <d v="2020-01-14T00:00:00"/>
    <s v="No"/>
    <s v="No"/>
    <s v="No"/>
    <s v="No"/>
    <s v="No"/>
    <s v="No"/>
  </r>
  <r>
    <x v="421"/>
    <s v="Tanvi Desai"/>
    <s v="Female"/>
    <n v="67"/>
    <s v="Hyderabad"/>
    <x v="1"/>
    <n v="30"/>
    <n v="549"/>
    <n v="16470"/>
    <s v="No Internet"/>
    <d v="2023-03-28T00:00:00"/>
    <s v="No"/>
    <s v="No"/>
    <s v="No"/>
    <s v="No"/>
    <s v="No"/>
    <s v="No"/>
  </r>
  <r>
    <x v="422"/>
    <s v="Suresh Kumar"/>
    <s v="Male"/>
    <n v="42"/>
    <s v="Indore"/>
    <x v="1"/>
    <n v="15"/>
    <n v="899"/>
    <n v="13485"/>
    <s v="DSL"/>
    <d v="2024-06-19T00:00:00"/>
    <s v="No"/>
    <s v="No"/>
    <s v="No"/>
    <s v="No"/>
    <s v="No"/>
    <s v="No"/>
  </r>
  <r>
    <x v="423"/>
    <s v="Suresh Nair"/>
    <s v="Male"/>
    <n v="36"/>
    <s v="Mumbai"/>
    <x v="0"/>
    <n v="11"/>
    <n v="1149"/>
    <n v="12639"/>
    <s v="Fiber"/>
    <d v="2024-10-22T00:00:00"/>
    <s v="No"/>
    <s v="No"/>
    <s v="No"/>
    <s v="No"/>
    <s v="No"/>
    <s v="No"/>
  </r>
  <r>
    <x v="424"/>
    <s v="Rajesh Malhotra"/>
    <s v="Male"/>
    <n v="29"/>
    <s v="Bhopal"/>
    <x v="1"/>
    <n v="32"/>
    <n v="399"/>
    <n v="12768"/>
    <s v="No Internet"/>
    <d v="2023-01-15T00:00:00"/>
    <s v="No"/>
    <s v="No"/>
    <s v="No"/>
    <s v="No"/>
    <s v="No"/>
    <s v="No"/>
  </r>
  <r>
    <x v="425"/>
    <s v="Deepika Nair"/>
    <s v="Unknown"/>
    <n v="30"/>
    <s v="Chandigarh"/>
    <x v="0"/>
    <n v="5"/>
    <n v="899"/>
    <n v="4495"/>
    <s v="Fiber"/>
    <d v="2025-04-10T00:00:00"/>
    <s v="No"/>
    <s v="No"/>
    <s v="No"/>
    <s v="No"/>
    <s v="No"/>
    <s v="No"/>
  </r>
  <r>
    <x v="426"/>
    <s v="Riya Sharma"/>
    <s v="Female"/>
    <n v="66"/>
    <s v="Chandigarh"/>
    <x v="0"/>
    <n v="16"/>
    <n v="699"/>
    <n v="11184"/>
    <s v="DSL"/>
    <d v="2024-05-08T00:00:00"/>
    <s v="No"/>
    <s v="No"/>
    <s v="No"/>
    <s v="No"/>
    <s v="No"/>
    <s v="No"/>
  </r>
  <r>
    <x v="427"/>
    <s v="Komal Gupta"/>
    <s v="Female"/>
    <n v="66"/>
    <s v="Jaipur"/>
    <x v="0"/>
    <n v="19"/>
    <n v="649"/>
    <n v="12331"/>
    <s v="DSL"/>
    <d v="2024-02-21T00:00:00"/>
    <s v="No"/>
    <s v="No"/>
    <s v="No"/>
    <s v="No"/>
    <s v="No"/>
    <s v="No"/>
  </r>
  <r>
    <x v="428"/>
    <s v="Mohit Patel"/>
    <s v="Male"/>
    <n v="43"/>
    <s v="Chandigarh"/>
    <x v="1"/>
    <n v="8"/>
    <n v="849"/>
    <n v="6792"/>
    <s v="DSL"/>
    <d v="2025-01-31T00:00:00"/>
    <s v="No"/>
    <s v="No"/>
    <s v="No"/>
    <s v="No"/>
    <s v="No"/>
    <s v="No"/>
  </r>
  <r>
    <x v="429"/>
    <s v="Sanjay Rao"/>
    <s v="Male"/>
    <n v="55"/>
    <s v="Mumbai"/>
    <x v="0"/>
    <n v="9"/>
    <n v="1149"/>
    <n v="10341"/>
    <s v="Fiber"/>
    <d v="2024-12-17T00:00:00"/>
    <s v="Yes"/>
    <s v="No"/>
    <s v="No"/>
    <s v="No"/>
    <s v="No"/>
    <s v="No"/>
  </r>
  <r>
    <x v="430"/>
    <s v="Isha Gupta"/>
    <s v="Female"/>
    <n v="49"/>
    <s v="Kolkata"/>
    <x v="0"/>
    <n v="12"/>
    <n v="1299"/>
    <n v="15588"/>
    <s v="Fiber"/>
    <d v="2024-09-28T00:00:00"/>
    <s v="Yes"/>
    <s v="No"/>
    <s v="No"/>
    <s v="No"/>
    <s v="No"/>
    <s v="No"/>
  </r>
  <r>
    <x v="431"/>
    <s v="Rajesh Saxena"/>
    <s v="Male"/>
    <n v="32"/>
    <s v="Chandigarh"/>
    <x v="0"/>
    <n v="8"/>
    <n v="799"/>
    <n v="6392"/>
    <s v="DSL"/>
    <d v="2025-01-06T00:00:00"/>
    <s v="Yes"/>
    <s v="No"/>
    <s v="No"/>
    <s v="No"/>
    <s v="No"/>
    <s v="No"/>
  </r>
  <r>
    <x v="432"/>
    <s v="Gaurav Sharma"/>
    <s v="Male"/>
    <n v="29"/>
    <s v="Kolkata"/>
    <x v="0"/>
    <n v="21"/>
    <n v="449"/>
    <n v="9429"/>
    <s v="No Internet"/>
    <d v="2023-12-29T00:00:00"/>
    <s v="No"/>
    <s v="No"/>
    <s v="No"/>
    <s v="No"/>
    <s v="No"/>
    <s v="No"/>
  </r>
  <r>
    <x v="433"/>
    <s v="Sonal Bose"/>
    <s v="Female"/>
    <n v="21"/>
    <s v="Kolkata"/>
    <x v="0"/>
    <n v="7"/>
    <n v="899"/>
    <n v="6293"/>
    <s v="DSL"/>
    <d v="2025-02-27T00:00:00"/>
    <s v="No"/>
    <s v="No"/>
    <s v="No"/>
    <s v="No"/>
    <s v="Yes"/>
    <s v="No"/>
  </r>
  <r>
    <x v="434"/>
    <s v="Swati Malhotra"/>
    <s v="Female"/>
    <n v="41"/>
    <s v="Pune"/>
    <x v="1"/>
    <n v="17"/>
    <n v="499"/>
    <n v="8483"/>
    <s v="No Internet"/>
    <d v="2024-04-09T00:00:00"/>
    <s v="Yes"/>
    <s v="No"/>
    <s v="No"/>
    <s v="No"/>
    <s v="Yes"/>
    <s v="No"/>
  </r>
  <r>
    <x v="435"/>
    <s v="Rajesh Bose"/>
    <s v="Male"/>
    <n v="59"/>
    <s v="Indore"/>
    <x v="0"/>
    <n v="10"/>
    <n v="549"/>
    <n v="5490"/>
    <s v="No Internet"/>
    <d v="2024-11-09T00:00:00"/>
    <s v="No"/>
    <s v="No"/>
    <s v="No"/>
    <s v="No"/>
    <s v="No"/>
    <s v="No"/>
  </r>
  <r>
    <x v="436"/>
    <s v="Neha Rao"/>
    <s v="Female"/>
    <n v="57"/>
    <s v="Chennai"/>
    <x v="0"/>
    <n v="6"/>
    <n v="449"/>
    <n v="2694"/>
    <s v="No Internet"/>
    <d v="2025-03-13T00:00:00"/>
    <s v="No"/>
    <s v="No"/>
    <s v="No"/>
    <s v="No"/>
    <s v="No"/>
    <s v="No"/>
  </r>
  <r>
    <x v="437"/>
    <s v="Neha Kumar"/>
    <s v="Unknown"/>
    <n v="28"/>
    <s v="Pune"/>
    <x v="0"/>
    <n v="10"/>
    <n v="849"/>
    <n v="8490"/>
    <s v="DSL"/>
    <d v="2024-11-24T00:00:00"/>
    <s v="No"/>
    <s v="No"/>
    <s v="No"/>
    <s v="No"/>
    <s v="Yes"/>
    <s v="No"/>
  </r>
  <r>
    <x v="438"/>
    <s v="Isha Agarwal"/>
    <s v="Female"/>
    <n v="55"/>
    <s v="Jaipur"/>
    <x v="2"/>
    <n v="24"/>
    <n v="899"/>
    <n v="21576"/>
    <s v="Fiber"/>
    <d v="2023-09-18T00:00:00"/>
    <s v="No"/>
    <s v="No"/>
    <s v="No"/>
    <s v="No"/>
    <s v="No"/>
    <s v="No"/>
  </r>
  <r>
    <x v="439"/>
    <s v="Neha Mehta"/>
    <s v="Female"/>
    <n v="28"/>
    <s v="Kolkata"/>
    <x v="0"/>
    <n v="16"/>
    <n v="799"/>
    <n v="12784"/>
    <s v="DSL"/>
    <d v="2024-05-20T00:00:00"/>
    <s v="No"/>
    <s v="No"/>
    <s v="No"/>
    <s v="No"/>
    <s v="No"/>
    <s v="No"/>
  </r>
  <r>
    <x v="440"/>
    <s v="Karan Malhotra"/>
    <s v="Male"/>
    <n v="57"/>
    <s v="Bangalore"/>
    <x v="0"/>
    <n v="13"/>
    <n v="399"/>
    <n v="5187"/>
    <s v="No Internet"/>
    <d v="2024-08-20T00:00:00"/>
    <s v="No"/>
    <s v="No"/>
    <s v="No"/>
    <s v="No"/>
    <s v="Yes"/>
    <s v="No"/>
  </r>
  <r>
    <x v="441"/>
    <s v="Rohit Jain"/>
    <s v="Male"/>
    <n v="71"/>
    <s v="Bangalore"/>
    <x v="0"/>
    <n v="11"/>
    <n v="1099"/>
    <n v="12089"/>
    <s v="Fiber"/>
    <d v="2024-10-16T00:00:00"/>
    <s v="No"/>
    <s v="No"/>
    <s v="No"/>
    <s v="No"/>
    <s v="No"/>
    <s v="No"/>
  </r>
  <r>
    <x v="442"/>
    <s v="Sonal Kapoor"/>
    <s v="Female"/>
    <n v="26"/>
    <s v="Bhopal"/>
    <x v="0"/>
    <n v="15"/>
    <n v="1199"/>
    <n v="17985"/>
    <s v="Fiber"/>
    <d v="2024-06-15T00:00:00"/>
    <s v="Yes"/>
    <s v="No"/>
    <s v="No"/>
    <s v="No"/>
    <s v="No"/>
    <s v="No"/>
  </r>
  <r>
    <x v="443"/>
    <s v="Isha Desai"/>
    <s v="Female"/>
    <n v="52"/>
    <s v="Hyderabad"/>
    <x v="2"/>
    <m/>
    <n v="1049"/>
    <m/>
    <s v="Fiber"/>
    <d v="2021-11-18T00:00:00"/>
    <s v="No"/>
    <s v="No"/>
    <s v="No"/>
    <s v="No"/>
    <s v="No"/>
    <s v="Total missing; Tenure missing"/>
  </r>
  <r>
    <x v="444"/>
    <s v="Aman Iyer"/>
    <s v="Male"/>
    <n v="48"/>
    <s v="Jaipur"/>
    <x v="0"/>
    <n v="16"/>
    <n v="499"/>
    <n v="7984"/>
    <s v="No Internet"/>
    <d v="2024-05-17T00:00:00"/>
    <s v="No"/>
    <s v="No"/>
    <s v="No"/>
    <s v="No"/>
    <s v="No"/>
    <s v="No"/>
  </r>
  <r>
    <x v="445"/>
    <s v="Rahul Mishra"/>
    <s v="Unknown"/>
    <n v="47"/>
    <s v="Hyderabad"/>
    <x v="0"/>
    <n v="13"/>
    <n v="999"/>
    <n v="12987"/>
    <s v="Fiber"/>
    <d v="2024-08-27T00:00:00"/>
    <s v="No"/>
    <s v="Yes"/>
    <s v="No"/>
    <s v="No"/>
    <s v="No"/>
    <s v="No"/>
  </r>
  <r>
    <x v="446"/>
    <s v="Neha Tiwari"/>
    <s v="Female"/>
    <n v="58"/>
    <s v="Unknown"/>
    <x v="0"/>
    <n v="20"/>
    <n v="1199"/>
    <n v="23980"/>
    <s v="Fiber"/>
    <d v="2024-01-14T00:00:00"/>
    <s v="Yes"/>
    <s v="No"/>
    <s v="No"/>
    <s v="No"/>
    <s v="Yes"/>
    <s v="No"/>
  </r>
  <r>
    <x v="447"/>
    <s v="Nisha Mehta"/>
    <s v="Female"/>
    <n v="72"/>
    <s v="Mumbai"/>
    <x v="0"/>
    <n v="21"/>
    <n v="749"/>
    <n v="15729"/>
    <s v="DSL"/>
    <d v="2023-12-19T00:00:00"/>
    <s v="Yes"/>
    <s v="No"/>
    <s v="No"/>
    <s v="No"/>
    <s v="No"/>
    <s v="No"/>
  </r>
  <r>
    <x v="448"/>
    <s v="Deepika Joshi"/>
    <s v="Female"/>
    <n v="19"/>
    <s v="Bangalore"/>
    <x v="0"/>
    <n v="6"/>
    <n v="1049"/>
    <n v="6294"/>
    <s v="Fiber"/>
    <d v="2025-03-18T00:00:00"/>
    <s v="Yes"/>
    <s v="No"/>
    <s v="No"/>
    <s v="No"/>
    <s v="No"/>
    <s v="No"/>
  </r>
  <r>
    <x v="449"/>
    <s v="Manish Kumar"/>
    <s v="Male"/>
    <n v="27"/>
    <s v="Delhi"/>
    <x v="0"/>
    <n v="10"/>
    <n v="899"/>
    <n v="8990"/>
    <s v="DSL"/>
    <d v="2024-11-18T00:00:00"/>
    <s v="No"/>
    <s v="No"/>
    <s v="No"/>
    <s v="No"/>
    <s v="No"/>
    <s v="No"/>
  </r>
  <r>
    <x v="450"/>
    <s v="Nikhil Kumar"/>
    <s v="Male"/>
    <n v="71"/>
    <s v="Kochi"/>
    <x v="2"/>
    <n v="51"/>
    <n v="599"/>
    <n v="30549"/>
    <s v="DSL"/>
    <d v="2021-06-23T00:00:00"/>
    <s v="No"/>
    <s v="No"/>
    <s v="No"/>
    <s v="No"/>
    <s v="No"/>
    <s v="No"/>
  </r>
  <r>
    <x v="451"/>
    <s v="Divya Sharma"/>
    <s v="Unknown"/>
    <n v="25"/>
    <s v="Kochi"/>
    <x v="1"/>
    <n v="29"/>
    <n v="1199"/>
    <n v="34771"/>
    <s v="Unknown"/>
    <d v="2023-04-19T00:00:00"/>
    <s v="Yes"/>
    <s v="No"/>
    <s v="No"/>
    <s v="No"/>
    <s v="No"/>
    <s v="No"/>
  </r>
  <r>
    <x v="452"/>
    <s v="Mohit Saxena"/>
    <s v="Male"/>
    <n v="31"/>
    <s v="Ahmedabad"/>
    <x v="0"/>
    <n v="11"/>
    <n v="349"/>
    <n v="3839"/>
    <s v="No Internet"/>
    <m/>
    <s v="No"/>
    <s v="No"/>
    <s v="Yes"/>
    <s v="No"/>
    <s v="No"/>
    <s v="Date missing"/>
  </r>
  <r>
    <x v="453"/>
    <s v="Suresh Desai"/>
    <s v="Male"/>
    <n v="58"/>
    <s v="Chennai"/>
    <x v="0"/>
    <n v="22"/>
    <n v="399"/>
    <n v="8778"/>
    <s v="No Internet"/>
    <d v="2023-11-28T00:00:00"/>
    <s v="No"/>
    <s v="No"/>
    <s v="No"/>
    <s v="No"/>
    <s v="No"/>
    <s v="No"/>
  </r>
  <r>
    <x v="454"/>
    <s v="Arjun Malhotra"/>
    <s v="Male"/>
    <n v="55"/>
    <s v="Mumbai"/>
    <x v="0"/>
    <n v="2"/>
    <n v="799"/>
    <n v="1598"/>
    <s v="DSL"/>
    <d v="2025-07-26T00:00:00"/>
    <s v="No"/>
    <s v="No"/>
    <s v="No"/>
    <s v="No"/>
    <s v="No"/>
    <s v="No"/>
  </r>
  <r>
    <x v="455"/>
    <s v="Neha Nair"/>
    <s v="Female"/>
    <n v="28"/>
    <s v="Ahmedabad"/>
    <x v="0"/>
    <n v="21"/>
    <n v="899"/>
    <n v="18879"/>
    <s v="Fiber"/>
    <d v="2023-12-16T00:00:00"/>
    <s v="No"/>
    <s v="No"/>
    <s v="No"/>
    <s v="No"/>
    <s v="No"/>
    <s v="No"/>
  </r>
  <r>
    <x v="456"/>
    <s v="Rohit Desai"/>
    <s v="Male"/>
    <n v="32"/>
    <s v="Pune"/>
    <x v="2"/>
    <n v="45"/>
    <n v="1099"/>
    <n v="49455"/>
    <s v="Fiber"/>
    <d v="2022-01-05T00:00:00"/>
    <s v="Yes"/>
    <s v="No"/>
    <s v="No"/>
    <s v="No"/>
    <s v="No"/>
    <s v="No"/>
  </r>
  <r>
    <x v="457"/>
    <s v="Pooja Malhotra"/>
    <s v="Female"/>
    <n v="75"/>
    <s v="Delhi"/>
    <x v="0"/>
    <n v="10"/>
    <n v="1199"/>
    <n v="11990"/>
    <s v="Fiber"/>
    <d v="2024-11-27T00:00:00"/>
    <s v="Yes"/>
    <s v="No"/>
    <s v="No"/>
    <s v="No"/>
    <s v="Yes"/>
    <s v="No"/>
  </r>
  <r>
    <x v="458"/>
    <s v="Swati Agarwal"/>
    <s v="Female"/>
    <n v="47"/>
    <s v="Chennai"/>
    <x v="2"/>
    <n v="71"/>
    <n v="899"/>
    <n v="63829"/>
    <s v="Fiber"/>
    <d v="2019-11-20T00:00:00"/>
    <s v="No"/>
    <s v="No"/>
    <s v="Yes"/>
    <s v="No"/>
    <s v="No"/>
    <s v="No"/>
  </r>
  <r>
    <x v="459"/>
    <s v="Sonal Patel"/>
    <s v="Female"/>
    <n v="47"/>
    <s v="Delhi"/>
    <x v="1"/>
    <n v="12"/>
    <n v="1149"/>
    <n v="13788"/>
    <s v="Fiber"/>
    <m/>
    <s v="No"/>
    <s v="No"/>
    <s v="No"/>
    <s v="No"/>
    <s v="No"/>
    <s v="Date missing"/>
  </r>
  <r>
    <x v="460"/>
    <s v="Neha Saxena"/>
    <s v="Female"/>
    <n v="52"/>
    <s v="Chandigarh"/>
    <x v="0"/>
    <n v="16"/>
    <n v="1149"/>
    <n v="18384"/>
    <s v="Fiber"/>
    <d v="2024-05-26T00:00:00"/>
    <s v="No"/>
    <s v="No"/>
    <s v="No"/>
    <s v="No"/>
    <s v="No"/>
    <s v="No"/>
  </r>
  <r>
    <x v="461"/>
    <s v="Swati Reddy"/>
    <s v="Female"/>
    <n v="24"/>
    <s v="Jaipur"/>
    <x v="1"/>
    <n v="9"/>
    <n v="649"/>
    <n v="5841"/>
    <s v="DSL"/>
    <d v="2024-12-17T00:00:00"/>
    <s v="No"/>
    <s v="No"/>
    <s v="No"/>
    <s v="No"/>
    <s v="Yes"/>
    <s v="No"/>
  </r>
  <r>
    <x v="462"/>
    <s v="Karan Verma"/>
    <s v="Male"/>
    <n v="54"/>
    <s v="Indore"/>
    <x v="2"/>
    <n v="68"/>
    <n v="1199"/>
    <n v="81532"/>
    <s v="Fiber"/>
    <m/>
    <s v="No"/>
    <s v="No"/>
    <s v="No"/>
    <s v="No"/>
    <s v="Yes"/>
    <s v="Date missing"/>
  </r>
  <r>
    <x v="463"/>
    <s v="Pankaj Pandey"/>
    <s v="Male"/>
    <n v="22"/>
    <s v="Delhi"/>
    <x v="2"/>
    <n v="63"/>
    <n v="899"/>
    <n v="56637"/>
    <s v="DSL"/>
    <d v="2020-07-25T00:00:00"/>
    <s v="No"/>
    <s v="No"/>
    <s v="No"/>
    <s v="No"/>
    <s v="No"/>
    <s v="No"/>
  </r>
  <r>
    <x v="464"/>
    <s v="Sonal Agarwal"/>
    <s v="Female"/>
    <n v="74"/>
    <s v="Kolkata"/>
    <x v="2"/>
    <n v="8"/>
    <n v="1149"/>
    <n v="9192"/>
    <s v="Unknown"/>
    <d v="2025-01-08T00:00:00"/>
    <s v="No"/>
    <s v="No"/>
    <s v="No"/>
    <s v="No"/>
    <s v="No"/>
    <s v="No"/>
  </r>
  <r>
    <x v="465"/>
    <s v="Harsh Kumar"/>
    <s v="Male"/>
    <n v="31"/>
    <s v="Jaipur"/>
    <x v="0"/>
    <n v="18"/>
    <n v="999"/>
    <n v="17982"/>
    <s v="Fiber"/>
    <d v="2024-03-30T00:00:00"/>
    <s v="No"/>
    <s v="No"/>
    <s v="No"/>
    <s v="No"/>
    <s v="No"/>
    <s v="No"/>
  </r>
  <r>
    <x v="466"/>
    <s v="Sachin Agarwal"/>
    <s v="Male"/>
    <n v="53"/>
    <s v="Kolkata"/>
    <x v="1"/>
    <n v="37"/>
    <n v="1199"/>
    <n v="44363"/>
    <s v="Fiber"/>
    <d v="2022-09-01T00:00:00"/>
    <s v="No"/>
    <s v="No"/>
    <s v="No"/>
    <s v="No"/>
    <s v="Yes"/>
    <s v="No"/>
  </r>
  <r>
    <x v="467"/>
    <s v="Arjun Gupta"/>
    <s v="Male"/>
    <n v="53"/>
    <s v="Kolkata"/>
    <x v="0"/>
    <n v="18"/>
    <n v="1099"/>
    <n v="19782"/>
    <s v="Fiber"/>
    <d v="2024-03-20T00:00:00"/>
    <s v="No"/>
    <s v="No"/>
    <s v="No"/>
    <s v="No"/>
    <s v="No"/>
    <s v="No"/>
  </r>
  <r>
    <x v="468"/>
    <s v="Isha Tiwari"/>
    <s v="Female"/>
    <n v="66"/>
    <s v="Indore"/>
    <x v="0"/>
    <n v="20"/>
    <n v="1149"/>
    <n v="22980"/>
    <s v="Fiber"/>
    <d v="2024-01-13T00:00:00"/>
    <s v="Yes"/>
    <s v="No"/>
    <s v="No"/>
    <s v="No"/>
    <s v="No"/>
    <s v="No"/>
  </r>
  <r>
    <x v="469"/>
    <s v="Isha Kapoor"/>
    <s v="Female"/>
    <n v="46"/>
    <s v="Kolkata"/>
    <x v="0"/>
    <n v="10"/>
    <n v="799"/>
    <n v="7990"/>
    <s v="DSL"/>
    <d v="2024-11-04T00:00:00"/>
    <s v="Yes"/>
    <s v="No"/>
    <s v="No"/>
    <s v="No"/>
    <s v="No"/>
    <s v="No"/>
  </r>
  <r>
    <x v="470"/>
    <s v="Priya Iyer"/>
    <s v="Female"/>
    <n v="47"/>
    <s v="Hyderabad"/>
    <x v="2"/>
    <n v="36"/>
    <n v="799"/>
    <n v="28764"/>
    <s v="DSL"/>
    <d v="2022-09-26T00:00:00"/>
    <s v="No"/>
    <s v="Yes"/>
    <s v="No"/>
    <s v="No"/>
    <s v="No"/>
    <s v="No"/>
  </r>
  <r>
    <x v="471"/>
    <s v="Karan Verma"/>
    <s v="Male"/>
    <n v="47"/>
    <s v="Pune"/>
    <x v="0"/>
    <n v="19"/>
    <n v="649"/>
    <n v="12331"/>
    <s v="DSL"/>
    <d v="2024-03-05T00:00:00"/>
    <s v="No"/>
    <s v="No"/>
    <s v="No"/>
    <s v="No"/>
    <s v="No"/>
    <s v="No"/>
  </r>
  <r>
    <x v="472"/>
    <s v="Tanvi Mehta"/>
    <s v="Female"/>
    <n v="64"/>
    <s v="Mumbai"/>
    <x v="1"/>
    <n v="12"/>
    <n v="1299"/>
    <n v="15588"/>
    <s v="Fiber"/>
    <d v="2024-09-30T00:00:00"/>
    <s v="No"/>
    <s v="No"/>
    <s v="No"/>
    <s v="No"/>
    <s v="No"/>
    <s v="No"/>
  </r>
  <r>
    <x v="473"/>
    <s v="Sneha Agarwal"/>
    <s v="Female"/>
    <n v="69"/>
    <s v="Lucknow"/>
    <x v="0"/>
    <n v="11"/>
    <n v="1299"/>
    <n v="14289"/>
    <s v="Fiber"/>
    <d v="2024-10-06T00:00:00"/>
    <s v="Yes"/>
    <s v="No"/>
    <s v="No"/>
    <s v="Yes"/>
    <s v="No"/>
    <s v="No"/>
  </r>
  <r>
    <x v="474"/>
    <s v="Manish Agarwal"/>
    <s v="Male"/>
    <n v="59"/>
    <s v="Chandigarh"/>
    <x v="1"/>
    <n v="25"/>
    <n v="599"/>
    <n v="14975"/>
    <s v="DSL"/>
    <d v="2023-08-23T00:00:00"/>
    <s v="Yes"/>
    <s v="No"/>
    <s v="No"/>
    <s v="No"/>
    <s v="No"/>
    <s v="No"/>
  </r>
  <r>
    <x v="475"/>
    <s v="Nikhil Jain"/>
    <s v="Male"/>
    <n v="62"/>
    <s v="Hyderabad"/>
    <x v="0"/>
    <n v="13"/>
    <n v="1299"/>
    <n v="16887"/>
    <s v="Fiber"/>
    <d v="2024-09-01T00:00:00"/>
    <s v="No"/>
    <s v="No"/>
    <s v="No"/>
    <s v="No"/>
    <s v="No"/>
    <s v="No"/>
  </r>
  <r>
    <x v="476"/>
    <s v="Vivek Iyer"/>
    <s v="Male"/>
    <n v="68"/>
    <s v="Kolkata"/>
    <x v="0"/>
    <n v="16"/>
    <n v="799"/>
    <n v="12784"/>
    <s v="DSL"/>
    <d v="2024-05-28T00:00:00"/>
    <s v="No"/>
    <s v="No"/>
    <s v="No"/>
    <s v="No"/>
    <s v="No"/>
    <s v="No"/>
  </r>
  <r>
    <x v="477"/>
    <s v="Deepak Jain"/>
    <s v="Male"/>
    <n v="45"/>
    <s v="Kochi"/>
    <x v="1"/>
    <n v="31"/>
    <n v="999"/>
    <n v="30969"/>
    <s v="Fiber"/>
    <d v="2023-02-23T00:00:00"/>
    <s v="No"/>
    <s v="No"/>
    <s v="No"/>
    <s v="No"/>
    <s v="No"/>
    <s v="No"/>
  </r>
  <r>
    <x v="478"/>
    <s v="Sachin Yadav"/>
    <s v="Male"/>
    <n v="65"/>
    <s v="Jaipur"/>
    <x v="0"/>
    <n v="14"/>
    <n v="699"/>
    <n v="9786"/>
    <s v="DSL"/>
    <d v="2024-07-14T00:00:00"/>
    <s v="Yes"/>
    <s v="No"/>
    <s v="No"/>
    <s v="No"/>
    <s v="No"/>
    <s v="No"/>
  </r>
  <r>
    <x v="479"/>
    <s v="Nisha Patel"/>
    <s v="Female"/>
    <n v="40"/>
    <s v="Hyderabad"/>
    <x v="0"/>
    <n v="1"/>
    <n v="1049"/>
    <n v="1049"/>
    <s v="Fiber"/>
    <d v="2025-08-10T00:00:00"/>
    <s v="No"/>
    <s v="No"/>
    <s v="No"/>
    <s v="No"/>
    <s v="No"/>
    <s v="No"/>
  </r>
  <r>
    <x v="480"/>
    <s v="Riya Singh"/>
    <s v="Female"/>
    <n v="46"/>
    <s v="Delhi"/>
    <x v="2"/>
    <n v="48"/>
    <n v="649"/>
    <n v="31152"/>
    <s v="DSL"/>
    <d v="2021-10-18T00:00:00"/>
    <s v="No"/>
    <s v="No"/>
    <s v="No"/>
    <s v="No"/>
    <s v="No"/>
    <s v="No"/>
  </r>
  <r>
    <x v="481"/>
    <s v="Pankaj Singh"/>
    <s v="Male"/>
    <n v="73"/>
    <s v="Chandigarh"/>
    <x v="2"/>
    <n v="15"/>
    <n v="699"/>
    <n v="10485"/>
    <s v="DSL"/>
    <d v="2024-06-29T00:00:00"/>
    <s v="Yes"/>
    <s v="No"/>
    <s v="Yes"/>
    <s v="No"/>
    <s v="No"/>
    <s v="No"/>
  </r>
  <r>
    <x v="482"/>
    <s v="Sanjay Mishra"/>
    <s v="Male"/>
    <n v="51"/>
    <s v="Kochi"/>
    <x v="0"/>
    <n v="24"/>
    <n v="1199"/>
    <n v="28776"/>
    <s v="Fiber"/>
    <d v="2023-09-11T00:00:00"/>
    <s v="Yes"/>
    <s v="No"/>
    <s v="No"/>
    <s v="No"/>
    <s v="No"/>
    <s v="No"/>
  </r>
  <r>
    <x v="483"/>
    <s v="Suresh Gupta"/>
    <s v="Male"/>
    <n v="21"/>
    <s v="Chennai"/>
    <x v="0"/>
    <n v="9"/>
    <n v="1099"/>
    <n v="9891"/>
    <s v="Fiber"/>
    <d v="2024-12-11T00:00:00"/>
    <s v="Yes"/>
    <s v="No"/>
    <s v="No"/>
    <s v="No"/>
    <s v="No"/>
    <s v="No"/>
  </r>
  <r>
    <x v="484"/>
    <s v="Isha Reddy"/>
    <s v="Female"/>
    <n v="19"/>
    <s v="Chennai"/>
    <x v="2"/>
    <n v="30"/>
    <m/>
    <m/>
    <s v="Fiber"/>
    <d v="2023-03-28T00:00:00"/>
    <s v="No"/>
    <s v="No"/>
    <s v="No"/>
    <s v="No"/>
    <s v="No"/>
    <s v="Monthly missing; Total missing"/>
  </r>
  <r>
    <x v="485"/>
    <s v="Arjun Mehta"/>
    <s v="Male"/>
    <n v="50"/>
    <s v="Ahmedabad"/>
    <x v="1"/>
    <n v="3"/>
    <n v="1149"/>
    <n v="3447"/>
    <s v="Fiber"/>
    <d v="2025-06-18T00:00:00"/>
    <s v="Yes"/>
    <s v="No"/>
    <s v="No"/>
    <s v="No"/>
    <s v="No"/>
    <s v="No"/>
  </r>
  <r>
    <x v="486"/>
    <s v="Rahul Patel"/>
    <s v="Male"/>
    <n v="61"/>
    <s v="Pune"/>
    <x v="0"/>
    <n v="17"/>
    <n v="699"/>
    <n v="11883"/>
    <s v="DSL"/>
    <d v="2024-04-08T00:00:00"/>
    <s v="No"/>
    <s v="No"/>
    <s v="No"/>
    <s v="No"/>
    <s v="No"/>
    <s v="No"/>
  </r>
  <r>
    <x v="487"/>
    <s v="Priya Mishra"/>
    <s v="Female"/>
    <n v="35"/>
    <s v="Hyderabad"/>
    <x v="0"/>
    <n v="22"/>
    <n v="499"/>
    <n v="10978"/>
    <s v="No Internet"/>
    <d v="2023-11-17T00:00:00"/>
    <s v="No"/>
    <s v="No"/>
    <s v="No"/>
    <s v="No"/>
    <s v="Yes"/>
    <s v="No"/>
  </r>
  <r>
    <x v="488"/>
    <s v="Vivek Nair"/>
    <s v="Male"/>
    <n v="54"/>
    <s v="Bangalore"/>
    <x v="0"/>
    <n v="20"/>
    <n v="699"/>
    <n v="13980"/>
    <s v="DSL"/>
    <d v="2024-01-17T00:00:00"/>
    <s v="Yes"/>
    <s v="No"/>
    <s v="No"/>
    <s v="No"/>
    <s v="Yes"/>
    <s v="No"/>
  </r>
  <r>
    <x v="489"/>
    <s v="Rajesh Mishra"/>
    <s v="Male"/>
    <n v="47"/>
    <s v="Kochi"/>
    <x v="0"/>
    <n v="23"/>
    <n v="849"/>
    <n v="19527"/>
    <s v="DSL"/>
    <d v="2023-10-10T00:00:00"/>
    <s v="No"/>
    <s v="Yes"/>
    <s v="No"/>
    <s v="No"/>
    <s v="No"/>
    <s v="No"/>
  </r>
  <r>
    <x v="490"/>
    <s v="Rajesh Gupta"/>
    <s v="Male"/>
    <n v="38"/>
    <s v="Mumbai"/>
    <x v="1"/>
    <n v="8"/>
    <n v="399"/>
    <n v="3192"/>
    <s v="No Internet"/>
    <d v="2025-01-07T00:00:00"/>
    <s v="No"/>
    <s v="No"/>
    <s v="No"/>
    <s v="No"/>
    <s v="No"/>
    <s v="No"/>
  </r>
  <r>
    <x v="491"/>
    <s v="Nisha Tiwari"/>
    <s v="Female"/>
    <n v="37"/>
    <s v="Ahmedabad"/>
    <x v="1"/>
    <n v="18"/>
    <n v="399"/>
    <n v="7182"/>
    <s v="No Internet"/>
    <d v="2024-04-01T00:00:00"/>
    <s v="Yes"/>
    <s v="No"/>
    <s v="No"/>
    <s v="No"/>
    <s v="No"/>
    <s v="No"/>
  </r>
  <r>
    <x v="492"/>
    <s v="Pankaj Yadav"/>
    <s v="Male"/>
    <n v="35"/>
    <s v="Lucknow"/>
    <x v="1"/>
    <n v="15"/>
    <n v="649"/>
    <n v="9735"/>
    <s v="DSL"/>
    <d v="2024-06-13T00:00:00"/>
    <s v="No"/>
    <s v="No"/>
    <s v="No"/>
    <s v="No"/>
    <s v="No"/>
    <s v="No"/>
  </r>
  <r>
    <x v="493"/>
    <s v="Pooja Jain"/>
    <s v="Female"/>
    <n v="72"/>
    <s v="Lucknow"/>
    <x v="0"/>
    <n v="6"/>
    <n v="1099"/>
    <n v="6594"/>
    <s v="Unknown"/>
    <d v="2025-03-27T00:00:00"/>
    <s v="No"/>
    <s v="No"/>
    <s v="No"/>
    <s v="No"/>
    <s v="No"/>
    <s v="No"/>
  </r>
  <r>
    <x v="494"/>
    <s v="Manish Verma"/>
    <s v="Male"/>
    <n v="44"/>
    <s v="Kochi"/>
    <x v="2"/>
    <n v="53"/>
    <n v="399"/>
    <n v="21147"/>
    <s v="No Internet"/>
    <d v="2021-05-20T00:00:00"/>
    <s v="No"/>
    <s v="No"/>
    <s v="No"/>
    <s v="No"/>
    <s v="No"/>
    <s v="No"/>
  </r>
  <r>
    <x v="495"/>
    <s v="Ankit Yadav"/>
    <s v="Male"/>
    <n v="49"/>
    <s v="Bhopal"/>
    <x v="0"/>
    <n v="8"/>
    <n v="1099"/>
    <n v="8792"/>
    <s v="Fiber"/>
    <d v="2025-01-05T00:00:00"/>
    <s v="No"/>
    <s v="No"/>
    <s v="No"/>
    <s v="No"/>
    <s v="No"/>
    <s v="No"/>
  </r>
  <r>
    <x v="496"/>
    <s v="Swati Rao"/>
    <s v="Female"/>
    <n v="57"/>
    <s v="Bhopal"/>
    <x v="1"/>
    <n v="3"/>
    <n v="899"/>
    <n v="2697"/>
    <s v="Fiber"/>
    <d v="2025-06-02T00:00:00"/>
    <s v="No"/>
    <s v="No"/>
    <s v="No"/>
    <s v="No"/>
    <s v="No"/>
    <s v="No"/>
  </r>
  <r>
    <x v="497"/>
    <s v="Manish Jain"/>
    <s v="Male"/>
    <n v="52"/>
    <s v="Kolkata"/>
    <x v="2"/>
    <n v="50"/>
    <n v="799"/>
    <n v="39950"/>
    <s v="DSL"/>
    <d v="2021-08-06T00:00:00"/>
    <s v="No"/>
    <s v="No"/>
    <s v="No"/>
    <s v="No"/>
    <s v="No"/>
    <s v="No"/>
  </r>
  <r>
    <x v="498"/>
    <s v="Aditi Iyer"/>
    <s v="Female"/>
    <n v="47"/>
    <s v="Bangalore"/>
    <x v="0"/>
    <n v="2"/>
    <n v="1149"/>
    <n v="2298"/>
    <s v="Fiber"/>
    <d v="2025-07-10T00:00:00"/>
    <s v="Yes"/>
    <s v="No"/>
    <s v="No"/>
    <s v="No"/>
    <s v="No"/>
    <s v="No"/>
  </r>
  <r>
    <x v="499"/>
    <s v="Neha Agarwal"/>
    <s v="Female"/>
    <n v="50"/>
    <s v="Mumbai"/>
    <x v="0"/>
    <n v="23"/>
    <n v="999"/>
    <n v="22977"/>
    <s v="Fiber"/>
    <d v="2023-10-25T00:00:00"/>
    <s v="Yes"/>
    <s v="No"/>
    <s v="No"/>
    <s v="No"/>
    <s v="No"/>
    <s v="No"/>
  </r>
  <r>
    <x v="500"/>
    <s v="Arjun Kapoor"/>
    <s v="Male"/>
    <n v="55"/>
    <s v="Bhopal"/>
    <x v="2"/>
    <n v="12"/>
    <n v="399"/>
    <n v="4788"/>
    <s v="No Internet"/>
    <d v="2024-09-30T00:00:00"/>
    <s v="No"/>
    <s v="No"/>
    <s v="No"/>
    <s v="No"/>
    <s v="No"/>
    <s v="No"/>
  </r>
  <r>
    <x v="501"/>
    <s v="Karan Pandey"/>
    <s v="Male"/>
    <n v="46"/>
    <s v="Indore"/>
    <x v="0"/>
    <n v="13"/>
    <n v="1299"/>
    <n v="16887"/>
    <s v="Fiber"/>
    <d v="2024-08-29T00:00:00"/>
    <s v="No"/>
    <s v="No"/>
    <s v="No"/>
    <s v="No"/>
    <s v="No"/>
    <s v="No"/>
  </r>
  <r>
    <x v="502"/>
    <s v="Sonal Rao"/>
    <s v="Female"/>
    <n v="20"/>
    <s v="Kochi"/>
    <x v="0"/>
    <n v="22"/>
    <n v="899"/>
    <n v="19778"/>
    <s v="DSL"/>
    <d v="2023-12-03T00:00:00"/>
    <s v="No"/>
    <s v="No"/>
    <s v="No"/>
    <s v="No"/>
    <s v="No"/>
    <s v="No"/>
  </r>
  <r>
    <x v="503"/>
    <s v="Vivek Iyer"/>
    <s v="Male"/>
    <n v="37"/>
    <s v="Bhopal"/>
    <x v="1"/>
    <n v="12"/>
    <n v="999"/>
    <n v="11988"/>
    <s v="Fiber"/>
    <d v="2024-09-09T00:00:00"/>
    <s v="Yes"/>
    <s v="No"/>
    <s v="No"/>
    <s v="No"/>
    <s v="No"/>
    <s v="No"/>
  </r>
  <r>
    <x v="504"/>
    <s v="Priya Kapoor"/>
    <s v="Female"/>
    <n v="49"/>
    <s v="Chandigarh"/>
    <x v="0"/>
    <n v="20"/>
    <n v="399"/>
    <n v="7980"/>
    <s v="No Internet"/>
    <d v="2024-01-22T00:00:00"/>
    <s v="No"/>
    <s v="No"/>
    <s v="No"/>
    <s v="No"/>
    <s v="No"/>
    <s v="No"/>
  </r>
  <r>
    <x v="505"/>
    <s v="Nisha Kapoor"/>
    <s v="Female"/>
    <n v="23"/>
    <s v="Lucknow"/>
    <x v="1"/>
    <n v="36"/>
    <n v="699"/>
    <n v="25164"/>
    <s v="DSL"/>
    <d v="2022-10-08T00:00:00"/>
    <s v="No"/>
    <s v="No"/>
    <s v="No"/>
    <s v="No"/>
    <s v="No"/>
    <s v="No"/>
  </r>
  <r>
    <x v="506"/>
    <s v="Arjun Singh"/>
    <s v="Male"/>
    <n v="21"/>
    <s v="Indore"/>
    <x v="0"/>
    <n v="2"/>
    <n v="849"/>
    <n v="1698"/>
    <s v="DSL"/>
    <d v="2025-07-01T00:00:00"/>
    <s v="Yes"/>
    <s v="No"/>
    <s v="No"/>
    <s v="Yes"/>
    <s v="No"/>
    <s v="No"/>
  </r>
  <r>
    <x v="507"/>
    <s v="Amit Reddy"/>
    <s v="Male"/>
    <n v="44"/>
    <s v="Bangalore"/>
    <x v="0"/>
    <n v="22"/>
    <n v="849"/>
    <n v="18678"/>
    <s v="DSL"/>
    <d v="2023-11-21T00:00:00"/>
    <s v="No"/>
    <s v="No"/>
    <s v="No"/>
    <s v="No"/>
    <s v="No"/>
    <s v="No"/>
  </r>
  <r>
    <x v="508"/>
    <s v="Ankit Agarwal"/>
    <s v="Male"/>
    <n v="55"/>
    <s v="Pune"/>
    <x v="2"/>
    <n v="39"/>
    <n v="699"/>
    <n v="27261"/>
    <s v="DSL"/>
    <d v="2022-06-22T00:00:00"/>
    <s v="No"/>
    <s v="No"/>
    <s v="No"/>
    <s v="No"/>
    <s v="No"/>
    <s v="No"/>
  </r>
  <r>
    <x v="509"/>
    <s v="Sonal Kumar"/>
    <s v="Female"/>
    <n v="36"/>
    <s v="Ahmedabad"/>
    <x v="0"/>
    <n v="9"/>
    <n v="1149"/>
    <n v="10341"/>
    <s v="Fiber"/>
    <d v="2024-12-10T00:00:00"/>
    <s v="No"/>
    <s v="No"/>
    <s v="No"/>
    <s v="No"/>
    <s v="No"/>
    <s v="No"/>
  </r>
  <r>
    <x v="510"/>
    <s v="Pankaj Verma"/>
    <s v="Male"/>
    <n v="24"/>
    <s v="Lucknow"/>
    <x v="1"/>
    <n v="6"/>
    <n v="1199"/>
    <n v="7194"/>
    <s v="Fiber"/>
    <d v="2025-03-10T00:00:00"/>
    <s v="No"/>
    <s v="No"/>
    <s v="No"/>
    <s v="No"/>
    <s v="No"/>
    <s v="No"/>
  </r>
  <r>
    <x v="511"/>
    <s v="Nisha Yadav"/>
    <s v="Female"/>
    <n v="72"/>
    <s v="Pune"/>
    <x v="0"/>
    <n v="20"/>
    <n v="999"/>
    <n v="19980"/>
    <s v="Fiber"/>
    <d v="2024-01-21T00:00:00"/>
    <s v="No"/>
    <s v="No"/>
    <s v="No"/>
    <s v="Yes"/>
    <s v="No"/>
    <s v="No"/>
  </r>
  <r>
    <x v="512"/>
    <s v="Komal Gupta"/>
    <s v="Female"/>
    <n v="74"/>
    <s v="Lucknow"/>
    <x v="0"/>
    <n v="7"/>
    <n v="599"/>
    <n v="4193"/>
    <s v="DSL"/>
    <d v="2025-02-05T00:00:00"/>
    <s v="No"/>
    <s v="No"/>
    <s v="No"/>
    <s v="No"/>
    <s v="No"/>
    <s v="No"/>
  </r>
  <r>
    <x v="513"/>
    <s v="Sanjay Yadav"/>
    <s v="Male"/>
    <n v="47"/>
    <s v="Kolkata"/>
    <x v="0"/>
    <n v="21"/>
    <n v="649"/>
    <n v="13629"/>
    <s v="DSL"/>
    <d v="2023-12-30T00:00:00"/>
    <s v="No"/>
    <s v="Yes"/>
    <s v="No"/>
    <s v="No"/>
    <s v="No"/>
    <s v="No"/>
  </r>
  <r>
    <x v="514"/>
    <s v="Harsh Iyer"/>
    <s v="Male"/>
    <n v="50"/>
    <s v="Jaipur"/>
    <x v="0"/>
    <n v="22"/>
    <n v="699"/>
    <n v="15378"/>
    <s v="DSL"/>
    <d v="2023-11-19T00:00:00"/>
    <s v="No"/>
    <s v="No"/>
    <s v="No"/>
    <s v="No"/>
    <s v="No"/>
    <s v="No"/>
  </r>
  <r>
    <x v="515"/>
    <s v="Arjun Mehta"/>
    <s v="Male"/>
    <n v="39"/>
    <s v="Chandigarh"/>
    <x v="0"/>
    <n v="16"/>
    <n v="899"/>
    <n v="14384"/>
    <s v="Fiber"/>
    <d v="2024-05-16T00:00:00"/>
    <s v="No"/>
    <s v="No"/>
    <s v="No"/>
    <s v="Yes"/>
    <s v="No"/>
    <s v="No"/>
  </r>
  <r>
    <x v="516"/>
    <s v="Sonal Joshi"/>
    <s v="Female"/>
    <n v="47"/>
    <s v="Kochi"/>
    <x v="2"/>
    <n v="8"/>
    <n v="449"/>
    <n v="3592"/>
    <s v="No Internet"/>
    <d v="2025-01-10T00:00:00"/>
    <s v="No"/>
    <s v="No"/>
    <s v="No"/>
    <s v="No"/>
    <s v="No"/>
    <s v="No"/>
  </r>
  <r>
    <x v="517"/>
    <s v="Sonal Mishra"/>
    <s v="Female"/>
    <n v="19"/>
    <s v="Hyderabad"/>
    <x v="1"/>
    <n v="23"/>
    <n v="599"/>
    <n v="13777"/>
    <s v="DSL"/>
    <d v="2023-10-29T00:00:00"/>
    <s v="No"/>
    <s v="No"/>
    <s v="No"/>
    <s v="No"/>
    <s v="No"/>
    <s v="No"/>
  </r>
  <r>
    <x v="518"/>
    <s v="Sonal Gupta"/>
    <s v="Female"/>
    <n v="54"/>
    <s v="Lucknow"/>
    <x v="0"/>
    <n v="10"/>
    <n v="1299"/>
    <n v="12990"/>
    <s v="Fiber"/>
    <d v="2024-11-24T00:00:00"/>
    <s v="No"/>
    <s v="No"/>
    <s v="No"/>
    <s v="No"/>
    <s v="No"/>
    <s v="No"/>
  </r>
  <r>
    <x v="519"/>
    <s v="Neha Desai"/>
    <s v="Female"/>
    <n v="74"/>
    <s v="Hyderabad"/>
    <x v="0"/>
    <m/>
    <m/>
    <n v="4490"/>
    <s v="No Internet"/>
    <d v="2024-11-21T00:00:00"/>
    <s v="Yes"/>
    <s v="No"/>
    <s v="No"/>
    <s v="No"/>
    <s v="No"/>
    <s v="Monthly missing; Tenure missing"/>
  </r>
  <r>
    <x v="520"/>
    <s v="Sanjay Kumar"/>
    <s v="Male"/>
    <n v="46"/>
    <s v="Jaipur"/>
    <x v="0"/>
    <n v="17"/>
    <n v="999"/>
    <n v="16983"/>
    <s v="Fiber"/>
    <m/>
    <s v="No"/>
    <s v="No"/>
    <s v="No"/>
    <s v="No"/>
    <s v="No"/>
    <s v="Date missing"/>
  </r>
  <r>
    <x v="521"/>
    <s v="Swati Singh"/>
    <s v="Female"/>
    <n v="67"/>
    <s v="Chandigarh"/>
    <x v="0"/>
    <n v="17"/>
    <n v="399"/>
    <n v="6783"/>
    <s v="No Internet"/>
    <d v="2024-04-22T00:00:00"/>
    <s v="No"/>
    <s v="No"/>
    <s v="No"/>
    <s v="No"/>
    <s v="No"/>
    <s v="No"/>
  </r>
  <r>
    <x v="522"/>
    <s v="Payal Reddy"/>
    <s v="Female"/>
    <n v="18"/>
    <s v="Chennai"/>
    <x v="2"/>
    <n v="12"/>
    <n v="1099"/>
    <n v="13188"/>
    <s v="Fiber"/>
    <d v="2024-09-09T00:00:00"/>
    <s v="Yes"/>
    <s v="No"/>
    <s v="No"/>
    <s v="No"/>
    <s v="No"/>
    <s v="No"/>
  </r>
  <r>
    <x v="523"/>
    <s v="Priya Bose"/>
    <s v="Female"/>
    <n v="66"/>
    <s v="Chennai"/>
    <x v="1"/>
    <n v="13"/>
    <n v="649"/>
    <n v="8437"/>
    <s v="DSL"/>
    <d v="2024-08-10T00:00:00"/>
    <s v="No"/>
    <s v="No"/>
    <s v="No"/>
    <s v="No"/>
    <s v="No"/>
    <s v="No"/>
  </r>
  <r>
    <x v="524"/>
    <s v="Anjali Malhotra"/>
    <s v="Female"/>
    <n v="47"/>
    <s v="Bangalore"/>
    <x v="0"/>
    <n v="20"/>
    <n v="799"/>
    <n v="15980"/>
    <s v="DSL"/>
    <d v="2024-01-26T00:00:00"/>
    <s v="Yes"/>
    <s v="Yes"/>
    <s v="No"/>
    <s v="No"/>
    <s v="No"/>
    <s v="No"/>
  </r>
  <r>
    <x v="525"/>
    <s v="Kavita Singh"/>
    <s v="Female"/>
    <n v="63"/>
    <s v="Kochi"/>
    <x v="0"/>
    <n v="3"/>
    <n v="699"/>
    <n v="2097"/>
    <s v="DSL"/>
    <d v="2025-06-29T00:00:00"/>
    <s v="Yes"/>
    <s v="No"/>
    <s v="No"/>
    <s v="No"/>
    <s v="No"/>
    <s v="No"/>
  </r>
  <r>
    <x v="526"/>
    <s v="Rahul Desai"/>
    <s v="Male"/>
    <n v="75"/>
    <s v="Indore"/>
    <x v="0"/>
    <n v="3"/>
    <n v="1099"/>
    <n v="3297"/>
    <s v="Fiber"/>
    <d v="2025-06-02T00:00:00"/>
    <s v="No"/>
    <s v="No"/>
    <s v="No"/>
    <s v="No"/>
    <s v="No"/>
    <s v="No"/>
  </r>
  <r>
    <x v="527"/>
    <s v="Riya Patel"/>
    <s v="Female"/>
    <n v="37"/>
    <s v="Pune"/>
    <x v="2"/>
    <n v="69"/>
    <n v="1299"/>
    <n v="89631"/>
    <s v="Fiber"/>
    <d v="2020-01-26T00:00:00"/>
    <s v="No"/>
    <s v="No"/>
    <s v="No"/>
    <s v="No"/>
    <s v="No"/>
    <s v="No"/>
  </r>
  <r>
    <x v="528"/>
    <s v="Anjali Kapoor"/>
    <s v="Female"/>
    <n v="37"/>
    <s v="Indore"/>
    <x v="1"/>
    <n v="31"/>
    <n v="999"/>
    <n v="30969"/>
    <s v="Fiber"/>
    <d v="2023-02-22T00:00:00"/>
    <s v="No"/>
    <s v="No"/>
    <s v="No"/>
    <s v="No"/>
    <s v="No"/>
    <s v="No"/>
  </r>
  <r>
    <x v="529"/>
    <s v="Isha Rao"/>
    <s v="Female"/>
    <n v="29"/>
    <s v="Bhopal"/>
    <x v="2"/>
    <n v="42"/>
    <n v="749"/>
    <n v="31458"/>
    <s v="DSL"/>
    <d v="2022-04-14T00:00:00"/>
    <s v="Yes"/>
    <s v="No"/>
    <s v="No"/>
    <s v="Yes"/>
    <s v="No"/>
    <s v="No"/>
  </r>
  <r>
    <x v="530"/>
    <s v="Komal Kapoor"/>
    <s v="Female"/>
    <n v="72"/>
    <s v="Bangalore"/>
    <x v="0"/>
    <n v="19"/>
    <n v="649"/>
    <n v="12331"/>
    <s v="DSL"/>
    <d v="2024-02-14T00:00:00"/>
    <s v="Yes"/>
    <s v="No"/>
    <s v="No"/>
    <s v="No"/>
    <s v="No"/>
    <s v="No"/>
  </r>
  <r>
    <x v="531"/>
    <s v="Nikhil Mishra"/>
    <s v="Male"/>
    <n v="59"/>
    <s v="Mumbai"/>
    <x v="1"/>
    <n v="26"/>
    <n v="1099"/>
    <n v="28574"/>
    <s v="Fiber"/>
    <d v="2023-07-24T00:00:00"/>
    <s v="No"/>
    <s v="No"/>
    <s v="No"/>
    <s v="No"/>
    <s v="No"/>
    <s v="No"/>
  </r>
  <r>
    <x v="532"/>
    <s v="Gaurav Rao"/>
    <s v="Male"/>
    <n v="22"/>
    <s v="Pune"/>
    <x v="0"/>
    <n v="14"/>
    <n v="1099"/>
    <n v="15386"/>
    <s v="Fiber"/>
    <d v="2024-07-18T00:00:00"/>
    <s v="No"/>
    <s v="No"/>
    <s v="No"/>
    <s v="No"/>
    <s v="No"/>
    <s v="No"/>
  </r>
  <r>
    <x v="533"/>
    <s v="Arjun Saxena"/>
    <s v="Male"/>
    <n v="60"/>
    <s v="Mumbai"/>
    <x v="1"/>
    <n v="32"/>
    <n v="1149"/>
    <n v="36768"/>
    <s v="Fiber"/>
    <d v="2023-01-25T00:00:00"/>
    <s v="No"/>
    <s v="No"/>
    <s v="No"/>
    <s v="No"/>
    <s v="No"/>
    <s v="No"/>
  </r>
  <r>
    <x v="534"/>
    <s v="Ankit Gupta"/>
    <s v="Male"/>
    <n v="37"/>
    <s v="Kolkata"/>
    <x v="0"/>
    <n v="20"/>
    <n v="899"/>
    <n v="17980"/>
    <s v="Unknown"/>
    <d v="2024-01-17T00:00:00"/>
    <s v="Yes"/>
    <s v="No"/>
    <s v="No"/>
    <s v="No"/>
    <s v="No"/>
    <s v="No"/>
  </r>
  <r>
    <x v="535"/>
    <s v="Vikram Mehta"/>
    <s v="Male"/>
    <n v="70"/>
    <s v="Bangalore"/>
    <x v="2"/>
    <n v="1"/>
    <n v="399"/>
    <n v="399"/>
    <s v="No Internet"/>
    <d v="2025-08-20T00:00:00"/>
    <s v="No"/>
    <s v="No"/>
    <s v="No"/>
    <s v="No"/>
    <s v="No"/>
    <s v="No"/>
  </r>
  <r>
    <x v="536"/>
    <s v="Riya Bose"/>
    <s v="Female"/>
    <n v="46"/>
    <s v="Hyderabad"/>
    <x v="0"/>
    <n v="10"/>
    <n v="449"/>
    <n v="4490"/>
    <s v="No Internet"/>
    <d v="2024-11-03T00:00:00"/>
    <s v="No"/>
    <s v="No"/>
    <s v="No"/>
    <s v="No"/>
    <s v="No"/>
    <s v="No"/>
  </r>
  <r>
    <x v="537"/>
    <s v="Isha Kumar"/>
    <s v="Female"/>
    <n v="55"/>
    <s v="Delhi"/>
    <x v="1"/>
    <n v="9"/>
    <n v="1049"/>
    <n v="9441"/>
    <s v="Fiber"/>
    <d v="2024-12-15T00:00:00"/>
    <s v="No"/>
    <s v="No"/>
    <s v="No"/>
    <s v="No"/>
    <s v="No"/>
    <s v="No"/>
  </r>
  <r>
    <x v="538"/>
    <s v="Rahul Pandey"/>
    <s v="Male"/>
    <n v="53"/>
    <s v="Chandigarh"/>
    <x v="2"/>
    <n v="37"/>
    <n v="899"/>
    <n v="33263"/>
    <s v="DSL"/>
    <d v="2022-08-27T00:00:00"/>
    <s v="No"/>
    <s v="No"/>
    <s v="No"/>
    <s v="No"/>
    <s v="No"/>
    <s v="No"/>
  </r>
  <r>
    <x v="539"/>
    <s v="Swati Pandey"/>
    <s v="Female"/>
    <n v="42"/>
    <s v="Kolkata"/>
    <x v="0"/>
    <n v="22"/>
    <n v="1099"/>
    <n v="24178"/>
    <s v="Fiber"/>
    <d v="2023-11-26T00:00:00"/>
    <s v="Yes"/>
    <s v="No"/>
    <s v="No"/>
    <s v="No"/>
    <s v="No"/>
    <s v="No"/>
  </r>
  <r>
    <x v="540"/>
    <s v="Nisha Singh"/>
    <s v="Female"/>
    <n v="36"/>
    <s v="Chandigarh"/>
    <x v="1"/>
    <n v="5"/>
    <n v="849"/>
    <n v="4245"/>
    <s v="DSL"/>
    <d v="2025-04-16T00:00:00"/>
    <s v="No"/>
    <s v="No"/>
    <s v="No"/>
    <s v="No"/>
    <s v="No"/>
    <s v="No"/>
  </r>
  <r>
    <x v="541"/>
    <s v="Pooja Kumar"/>
    <s v="Female"/>
    <n v="26"/>
    <s v="Indore"/>
    <x v="2"/>
    <n v="55"/>
    <n v="499"/>
    <n v="27445"/>
    <s v="No Internet"/>
    <d v="2021-03-06T00:00:00"/>
    <s v="No"/>
    <s v="No"/>
    <s v="No"/>
    <s v="No"/>
    <s v="No"/>
    <s v="No"/>
  </r>
  <r>
    <x v="542"/>
    <s v="Divya Patel"/>
    <s v="Female"/>
    <n v="32"/>
    <s v="Bangalore"/>
    <x v="0"/>
    <n v="16"/>
    <n v="899"/>
    <n v="14384"/>
    <s v="DSL"/>
    <d v="2024-05-28T00:00:00"/>
    <s v="No"/>
    <s v="No"/>
    <s v="No"/>
    <s v="No"/>
    <s v="No"/>
    <s v="No"/>
  </r>
  <r>
    <x v="543"/>
    <s v="Sonal Bose"/>
    <s v="Female"/>
    <n v="41"/>
    <s v="Delhi"/>
    <x v="2"/>
    <n v="48"/>
    <n v="1149"/>
    <n v="55152"/>
    <s v="Fiber"/>
    <d v="2021-10-17T00:00:00"/>
    <s v="No"/>
    <s v="No"/>
    <s v="No"/>
    <s v="No"/>
    <s v="No"/>
    <s v="No"/>
  </r>
  <r>
    <x v="544"/>
    <s v="Mohit Malhotra"/>
    <s v="Male"/>
    <n v="47"/>
    <s v="Jaipur"/>
    <x v="0"/>
    <n v="3"/>
    <n v="349"/>
    <n v="1047"/>
    <s v="No Internet"/>
    <d v="2025-06-13T00:00:00"/>
    <s v="No"/>
    <s v="No"/>
    <s v="No"/>
    <s v="No"/>
    <s v="No"/>
    <s v="No"/>
  </r>
  <r>
    <x v="545"/>
    <s v="Riya Verma"/>
    <s v="Female"/>
    <n v="75"/>
    <s v="Pune"/>
    <x v="0"/>
    <n v="15"/>
    <n v="799"/>
    <n v="11985"/>
    <s v="DSL"/>
    <d v="2024-06-22T00:00:00"/>
    <s v="No"/>
    <s v="No"/>
    <s v="No"/>
    <s v="No"/>
    <s v="No"/>
    <s v="No"/>
  </r>
  <r>
    <x v="546"/>
    <s v="Aditi Iyer"/>
    <s v="Female"/>
    <n v="28"/>
    <s v="Delhi"/>
    <x v="1"/>
    <n v="20"/>
    <n v="1299"/>
    <n v="25980"/>
    <s v="Fiber"/>
    <d v="2024-01-17T00:00:00"/>
    <s v="No"/>
    <s v="No"/>
    <s v="No"/>
    <s v="No"/>
    <s v="No"/>
    <s v="No"/>
  </r>
  <r>
    <x v="547"/>
    <s v="Tanvi Gupta"/>
    <s v="Female"/>
    <n v="54"/>
    <s v="Delhi"/>
    <x v="1"/>
    <n v="40"/>
    <n v="599"/>
    <n v="23960"/>
    <s v="DSL"/>
    <d v="2022-05-31T00:00:00"/>
    <s v="Yes"/>
    <s v="No"/>
    <s v="No"/>
    <s v="No"/>
    <s v="No"/>
    <s v="No"/>
  </r>
  <r>
    <x v="548"/>
    <s v="Suresh Malhotra"/>
    <s v="Male"/>
    <n v="26"/>
    <s v="Lucknow"/>
    <x v="0"/>
    <n v="1"/>
    <n v="549"/>
    <n v="549"/>
    <s v="No Internet"/>
    <d v="2025-08-11T00:00:00"/>
    <s v="Yes"/>
    <s v="No"/>
    <s v="No"/>
    <s v="No"/>
    <s v="No"/>
    <s v="No"/>
  </r>
  <r>
    <x v="549"/>
    <s v="Ankit Patel"/>
    <s v="Male"/>
    <n v="69"/>
    <s v="Bangalore"/>
    <x v="0"/>
    <n v="16"/>
    <n v="1299"/>
    <n v="20784"/>
    <s v="Fiber"/>
    <d v="2024-05-26T00:00:00"/>
    <s v="No"/>
    <s v="No"/>
    <s v="No"/>
    <s v="No"/>
    <s v="No"/>
    <s v="No"/>
  </r>
  <r>
    <x v="550"/>
    <s v="Rohit Yadav"/>
    <s v="Male"/>
    <n v="70"/>
    <s v="Bangalore"/>
    <x v="2"/>
    <n v="53"/>
    <n v="1099"/>
    <n v="58247"/>
    <s v="Fiber"/>
    <d v="2021-04-29T00:00:00"/>
    <s v="No"/>
    <s v="No"/>
    <s v="No"/>
    <s v="No"/>
    <s v="No"/>
    <s v="No"/>
  </r>
  <r>
    <x v="551"/>
    <s v="Sanjay Bose"/>
    <s v="Male"/>
    <n v="64"/>
    <s v="Chandigarh"/>
    <x v="0"/>
    <n v="4"/>
    <n v="999"/>
    <n v="3996"/>
    <s v="Fiber"/>
    <d v="2025-05-22T00:00:00"/>
    <s v="Yes"/>
    <s v="No"/>
    <s v="No"/>
    <s v="No"/>
    <s v="No"/>
    <s v="No"/>
  </r>
  <r>
    <x v="552"/>
    <s v="Sonal Nair"/>
    <s v="Female"/>
    <n v="42"/>
    <s v="Indore"/>
    <x v="1"/>
    <n v="10"/>
    <n v="1299"/>
    <n v="12990"/>
    <s v="Fiber"/>
    <d v="2024-11-03T00:00:00"/>
    <s v="Yes"/>
    <s v="No"/>
    <s v="No"/>
    <s v="No"/>
    <s v="No"/>
    <s v="No"/>
  </r>
  <r>
    <x v="553"/>
    <s v="Divya Saxena"/>
    <s v="Female"/>
    <n v="38"/>
    <s v="Jaipur"/>
    <x v="1"/>
    <n v="35"/>
    <n v="849"/>
    <n v="29715"/>
    <s v="DSL"/>
    <d v="2022-10-24T00:00:00"/>
    <s v="No"/>
    <s v="No"/>
    <s v="No"/>
    <s v="No"/>
    <s v="No"/>
    <s v="No"/>
  </r>
  <r>
    <x v="554"/>
    <s v="Swati Malhotra"/>
    <s v="Female"/>
    <n v="35"/>
    <s v="Kochi"/>
    <x v="0"/>
    <n v="13"/>
    <n v="1299"/>
    <n v="16887"/>
    <s v="Fiber"/>
    <d v="2024-08-16T00:00:00"/>
    <s v="No"/>
    <s v="No"/>
    <s v="No"/>
    <s v="Yes"/>
    <s v="No"/>
    <s v="No"/>
  </r>
  <r>
    <x v="555"/>
    <s v="Mohit Joshi"/>
    <s v="Male"/>
    <n v="61"/>
    <s v="Bhopal"/>
    <x v="2"/>
    <n v="2"/>
    <n v="849"/>
    <n v="1698"/>
    <s v="DSL"/>
    <d v="2025-07-27T00:00:00"/>
    <s v="Yes"/>
    <s v="No"/>
    <s v="No"/>
    <s v="No"/>
    <s v="No"/>
    <s v="No"/>
  </r>
  <r>
    <x v="556"/>
    <s v="Ankit Patel"/>
    <s v="Male"/>
    <n v="32"/>
    <s v="Bhopal"/>
    <x v="0"/>
    <n v="1"/>
    <m/>
    <m/>
    <s v="DSL"/>
    <d v="2025-08-08T00:00:00"/>
    <s v="No"/>
    <s v="No"/>
    <s v="No"/>
    <s v="No"/>
    <s v="No"/>
    <s v="Monthly missing; Total missing"/>
  </r>
  <r>
    <x v="557"/>
    <s v="Pankaj Chopra"/>
    <s v="Male"/>
    <n v="25"/>
    <s v="Bhopal"/>
    <x v="2"/>
    <n v="17"/>
    <n v="749"/>
    <n v="12733"/>
    <s v="DSL"/>
    <d v="2024-05-01T00:00:00"/>
    <s v="No"/>
    <s v="No"/>
    <s v="No"/>
    <s v="No"/>
    <s v="No"/>
    <s v="No"/>
  </r>
  <r>
    <x v="558"/>
    <s v="Arjun Malhotra"/>
    <s v="Male"/>
    <n v="47"/>
    <s v="Ahmedabad"/>
    <x v="1"/>
    <n v="30"/>
    <n v="699"/>
    <n v="20970"/>
    <s v="DSL"/>
    <d v="2023-03-22T00:00:00"/>
    <s v="No"/>
    <s v="Yes"/>
    <s v="No"/>
    <s v="No"/>
    <s v="No"/>
    <s v="No"/>
  </r>
  <r>
    <x v="559"/>
    <s v="Kavita Gupta"/>
    <s v="Female"/>
    <n v="67"/>
    <s v="Mumbai"/>
    <x v="0"/>
    <n v="13"/>
    <n v="699"/>
    <n v="9087"/>
    <s v="DSL"/>
    <d v="2024-08-26T00:00:00"/>
    <s v="No"/>
    <s v="No"/>
    <s v="No"/>
    <s v="No"/>
    <s v="No"/>
    <s v="No"/>
  </r>
  <r>
    <x v="560"/>
    <s v="Ankit Kumar"/>
    <s v="Male"/>
    <n v="49"/>
    <s v="Hyderabad"/>
    <x v="1"/>
    <n v="32"/>
    <n v="599"/>
    <n v="19168"/>
    <s v="DSL"/>
    <d v="2023-02-05T00:00:00"/>
    <s v="No"/>
    <s v="No"/>
    <s v="No"/>
    <s v="No"/>
    <s v="No"/>
    <s v="No"/>
  </r>
  <r>
    <x v="561"/>
    <s v="Ankit Pandey"/>
    <s v="Male"/>
    <n v="34"/>
    <s v="Mumbai"/>
    <x v="0"/>
    <n v="24"/>
    <n v="699"/>
    <n v="16776"/>
    <s v="DSL"/>
    <d v="2023-09-24T00:00:00"/>
    <s v="Yes"/>
    <s v="No"/>
    <s v="No"/>
    <s v="No"/>
    <s v="No"/>
    <s v="No"/>
  </r>
  <r>
    <x v="562"/>
    <s v="Rahul Verma"/>
    <s v="Male"/>
    <n v="60"/>
    <s v="Kolkata"/>
    <x v="0"/>
    <n v="13"/>
    <n v="899"/>
    <n v="11687"/>
    <s v="Fiber"/>
    <d v="2024-08-10T00:00:00"/>
    <s v="No"/>
    <s v="No"/>
    <s v="No"/>
    <s v="No"/>
    <s v="No"/>
    <s v="No"/>
  </r>
  <r>
    <x v="563"/>
    <s v="Komal Tiwari"/>
    <s v="Female"/>
    <n v="43"/>
    <s v="Chandigarh"/>
    <x v="1"/>
    <n v="5"/>
    <n v="349"/>
    <n v="1745"/>
    <s v="Unknown"/>
    <d v="2025-04-09T00:00:00"/>
    <s v="No"/>
    <s v="No"/>
    <s v="No"/>
    <s v="No"/>
    <s v="No"/>
    <s v="No"/>
  </r>
  <r>
    <x v="564"/>
    <s v="Anjali Bose"/>
    <s v="Female"/>
    <n v="47"/>
    <s v="Unknown"/>
    <x v="0"/>
    <n v="2"/>
    <n v="849"/>
    <n v="1698"/>
    <s v="DSL"/>
    <d v="2025-07-03T00:00:00"/>
    <s v="Yes"/>
    <s v="Yes"/>
    <s v="Yes"/>
    <s v="No"/>
    <s v="No"/>
    <s v="No"/>
  </r>
  <r>
    <x v="565"/>
    <s v="Neha Kapoor"/>
    <s v="Female"/>
    <n v="66"/>
    <s v="Kochi"/>
    <x v="0"/>
    <n v="18"/>
    <n v="599"/>
    <n v="10782"/>
    <s v="DSL"/>
    <d v="2024-03-25T00:00:00"/>
    <s v="Yes"/>
    <s v="No"/>
    <s v="No"/>
    <s v="No"/>
    <s v="No"/>
    <s v="No"/>
  </r>
  <r>
    <x v="566"/>
    <s v="Aman Desai"/>
    <s v="Male"/>
    <n v="23"/>
    <s v="Indore"/>
    <x v="0"/>
    <n v="2"/>
    <n v="649"/>
    <n v="1298"/>
    <s v="DSL"/>
    <d v="2025-07-18T00:00:00"/>
    <s v="Yes"/>
    <s v="No"/>
    <s v="No"/>
    <s v="No"/>
    <s v="No"/>
    <s v="No"/>
  </r>
  <r>
    <x v="567"/>
    <s v="Sachin Chopra"/>
    <s v="Male"/>
    <n v="37"/>
    <s v="Ahmedabad"/>
    <x v="0"/>
    <n v="15"/>
    <n v="449"/>
    <n v="6735"/>
    <s v="Unknown"/>
    <d v="2024-06-10T00:00:00"/>
    <s v="Yes"/>
    <s v="No"/>
    <s v="No"/>
    <s v="No"/>
    <s v="Yes"/>
    <s v="No"/>
  </r>
  <r>
    <x v="568"/>
    <s v="Deepak Reddy"/>
    <s v="Male"/>
    <n v="31"/>
    <s v="Kochi"/>
    <x v="1"/>
    <n v="35"/>
    <n v="1199"/>
    <n v="41965"/>
    <s v="Fiber"/>
    <d v="2022-11-11T00:00:00"/>
    <s v="No"/>
    <s v="No"/>
    <s v="No"/>
    <s v="No"/>
    <s v="Yes"/>
    <s v="No"/>
  </r>
  <r>
    <x v="569"/>
    <s v="Rohit Desai"/>
    <s v="Male"/>
    <n v="59"/>
    <s v="Delhi"/>
    <x v="0"/>
    <n v="2"/>
    <n v="399"/>
    <n v="798"/>
    <s v="No Internet"/>
    <d v="2025-07-10T00:00:00"/>
    <s v="Yes"/>
    <s v="No"/>
    <s v="No"/>
    <s v="No"/>
    <s v="No"/>
    <s v="No"/>
  </r>
  <r>
    <x v="570"/>
    <s v="Harsh Reddy"/>
    <s v="Male"/>
    <n v="47"/>
    <s v="Lucknow"/>
    <x v="0"/>
    <n v="4"/>
    <n v="1099"/>
    <n v="4396"/>
    <s v="Fiber"/>
    <d v="2025-05-24T00:00:00"/>
    <s v="No"/>
    <s v="No"/>
    <s v="No"/>
    <s v="No"/>
    <s v="No"/>
    <s v="No"/>
  </r>
  <r>
    <x v="571"/>
    <s v="Sanjay Tiwari"/>
    <s v="Male"/>
    <n v="39"/>
    <s v="Kochi"/>
    <x v="2"/>
    <n v="52"/>
    <n v="899"/>
    <n v="46748"/>
    <s v="Fiber"/>
    <d v="2021-06-11T00:00:00"/>
    <s v="No"/>
    <s v="No"/>
    <s v="No"/>
    <s v="No"/>
    <s v="No"/>
    <s v="No"/>
  </r>
  <r>
    <x v="572"/>
    <s v="Amit Bose"/>
    <s v="Male"/>
    <n v="29"/>
    <s v="Pune"/>
    <x v="0"/>
    <n v="14"/>
    <n v="649"/>
    <n v="9086"/>
    <s v="DSL"/>
    <d v="2024-07-21T00:00:00"/>
    <s v="No"/>
    <s v="No"/>
    <s v="No"/>
    <s v="No"/>
    <s v="Yes"/>
    <s v="No"/>
  </r>
  <r>
    <x v="573"/>
    <s v="Rajesh Verma"/>
    <s v="Male"/>
    <n v="26"/>
    <s v="Mumbai"/>
    <x v="1"/>
    <n v="25"/>
    <n v="999"/>
    <n v="24975"/>
    <s v="Fiber"/>
    <d v="2023-09-07T00:00:00"/>
    <s v="No"/>
    <s v="No"/>
    <s v="No"/>
    <s v="No"/>
    <s v="No"/>
    <s v="No"/>
  </r>
  <r>
    <x v="574"/>
    <s v="Rahul Gupta"/>
    <s v="Male"/>
    <n v="23"/>
    <s v="Bhopal"/>
    <x v="1"/>
    <n v="27"/>
    <n v="499"/>
    <n v="13473"/>
    <s v="No Internet"/>
    <d v="2023-07-05T00:00:00"/>
    <s v="No"/>
    <s v="No"/>
    <s v="No"/>
    <s v="No"/>
    <s v="No"/>
    <s v="No"/>
  </r>
  <r>
    <x v="575"/>
    <s v="Suresh Jain"/>
    <s v="Male"/>
    <n v="46"/>
    <s v="Kolkata"/>
    <x v="0"/>
    <n v="23"/>
    <n v="599"/>
    <n v="13777"/>
    <s v="DSL"/>
    <d v="2023-10-20T00:00:00"/>
    <s v="No"/>
    <s v="No"/>
    <s v="No"/>
    <s v="No"/>
    <s v="No"/>
    <s v="No"/>
  </r>
  <r>
    <x v="576"/>
    <s v="Harsh Patel"/>
    <s v="Male"/>
    <n v="44"/>
    <s v="Delhi"/>
    <x v="1"/>
    <n v="34"/>
    <n v="599"/>
    <n v="20366"/>
    <s v="DSL"/>
    <d v="2022-11-26T00:00:00"/>
    <s v="No"/>
    <s v="No"/>
    <s v="No"/>
    <s v="No"/>
    <s v="No"/>
    <s v="No"/>
  </r>
  <r>
    <x v="577"/>
    <s v="Ankit Chopra"/>
    <s v="Male"/>
    <n v="60"/>
    <s v="Hyderabad"/>
    <x v="0"/>
    <n v="5"/>
    <n v="849"/>
    <n v="4245"/>
    <s v="DSL"/>
    <d v="2025-04-26T00:00:00"/>
    <s v="Yes"/>
    <s v="No"/>
    <s v="No"/>
    <s v="No"/>
    <s v="No"/>
    <s v="No"/>
  </r>
  <r>
    <x v="578"/>
    <s v="Amit Chopra"/>
    <s v="Male"/>
    <n v="41"/>
    <s v="Chennai"/>
    <x v="0"/>
    <n v="20"/>
    <n v="899"/>
    <n v="17980"/>
    <s v="DSL"/>
    <d v="2024-01-14T00:00:00"/>
    <s v="Yes"/>
    <s v="No"/>
    <s v="No"/>
    <s v="No"/>
    <s v="No"/>
    <s v="No"/>
  </r>
  <r>
    <x v="579"/>
    <s v="Sachin Gupta"/>
    <s v="Male"/>
    <n v="28"/>
    <s v="Kochi"/>
    <x v="0"/>
    <n v="3"/>
    <n v="1199"/>
    <n v="3597"/>
    <s v="Fiber"/>
    <d v="2025-06-20T00:00:00"/>
    <s v="Yes"/>
    <s v="No"/>
    <s v="No"/>
    <s v="No"/>
    <s v="No"/>
    <s v="No"/>
  </r>
  <r>
    <x v="580"/>
    <s v="Deepika Agarwal"/>
    <s v="Female"/>
    <n v="61"/>
    <s v="Pune"/>
    <x v="0"/>
    <n v="8"/>
    <n v="599"/>
    <n v="4792"/>
    <s v="DSL"/>
    <d v="2025-01-19T00:00:00"/>
    <s v="No"/>
    <s v="No"/>
    <s v="No"/>
    <s v="No"/>
    <s v="No"/>
    <s v="No"/>
  </r>
  <r>
    <x v="581"/>
    <s v="Vikram Desai"/>
    <s v="Male"/>
    <n v="55"/>
    <s v="Ahmedabad"/>
    <x v="0"/>
    <n v="7"/>
    <n v="1099"/>
    <n v="7693"/>
    <s v="Fiber"/>
    <d v="2025-02-26T00:00:00"/>
    <s v="Yes"/>
    <s v="No"/>
    <s v="No"/>
    <s v="No"/>
    <s v="Yes"/>
    <s v="No"/>
  </r>
  <r>
    <x v="582"/>
    <s v="Deepika Chopra"/>
    <s v="Female"/>
    <n v="40"/>
    <s v="Chennai"/>
    <x v="0"/>
    <n v="23"/>
    <n v="799"/>
    <n v="18377"/>
    <s v="DSL"/>
    <d v="2023-10-12T00:00:00"/>
    <s v="Yes"/>
    <s v="No"/>
    <s v="No"/>
    <s v="No"/>
    <s v="No"/>
    <s v="No"/>
  </r>
  <r>
    <x v="583"/>
    <s v="Shreya Tiwari"/>
    <s v="Female"/>
    <n v="28"/>
    <s v="Kochi"/>
    <x v="0"/>
    <n v="20"/>
    <n v="549"/>
    <n v="10980"/>
    <s v="No Internet"/>
    <d v="2024-01-19T00:00:00"/>
    <s v="No"/>
    <s v="No"/>
    <s v="No"/>
    <s v="No"/>
    <s v="No"/>
    <s v="No"/>
  </r>
  <r>
    <x v="584"/>
    <s v="Vikram Tiwari"/>
    <s v="Male"/>
    <n v="72"/>
    <s v="Jaipur"/>
    <x v="0"/>
    <n v="19"/>
    <n v="499"/>
    <n v="9481"/>
    <s v="No Internet"/>
    <d v="2024-02-13T00:00:00"/>
    <s v="Yes"/>
    <s v="No"/>
    <s v="No"/>
    <s v="No"/>
    <s v="No"/>
    <s v="No"/>
  </r>
  <r>
    <x v="585"/>
    <s v="Ritu Nair"/>
    <s v="Female"/>
    <n v="38"/>
    <s v="Kolkata"/>
    <x v="1"/>
    <n v="38"/>
    <n v="349"/>
    <n v="13262"/>
    <s v="No Internet"/>
    <d v="2022-08-14T00:00:00"/>
    <s v="No"/>
    <s v="No"/>
    <s v="No"/>
    <s v="No"/>
    <s v="No"/>
    <s v="No"/>
  </r>
  <r>
    <x v="586"/>
    <s v="Gaurav Agarwal"/>
    <s v="Unknown"/>
    <n v="67"/>
    <s v="Jaipur"/>
    <x v="0"/>
    <n v="16"/>
    <n v="1299"/>
    <n v="20784"/>
    <s v="Fiber"/>
    <d v="2024-05-29T00:00:00"/>
    <s v="Yes"/>
    <s v="No"/>
    <s v="No"/>
    <s v="No"/>
    <s v="No"/>
    <s v="No"/>
  </r>
  <r>
    <x v="587"/>
    <s v="Sachin Sharma"/>
    <s v="Male"/>
    <n v="62"/>
    <s v="Bhopal"/>
    <x v="0"/>
    <n v="12"/>
    <n v="699"/>
    <n v="8388"/>
    <s v="DSL"/>
    <d v="2024-09-12T00:00:00"/>
    <s v="Yes"/>
    <s v="No"/>
    <s v="No"/>
    <s v="Yes"/>
    <s v="No"/>
    <s v="No"/>
  </r>
  <r>
    <x v="588"/>
    <s v="Meera Pandey"/>
    <s v="Female"/>
    <n v="47"/>
    <s v="Chandigarh"/>
    <x v="1"/>
    <n v="30"/>
    <n v="1299"/>
    <n v="38970"/>
    <s v="Fiber"/>
    <d v="2023-03-31T00:00:00"/>
    <s v="No"/>
    <s v="No"/>
    <s v="No"/>
    <s v="No"/>
    <s v="No"/>
    <s v="No"/>
  </r>
  <r>
    <x v="589"/>
    <s v="Aman Chopra"/>
    <s v="Male"/>
    <n v="47"/>
    <s v="Unknown"/>
    <x v="1"/>
    <n v="5"/>
    <n v="449"/>
    <n v="2245"/>
    <s v="No Internet"/>
    <d v="2025-04-22T00:00:00"/>
    <s v="No"/>
    <s v="No"/>
    <s v="No"/>
    <s v="No"/>
    <s v="No"/>
    <s v="No"/>
  </r>
  <r>
    <x v="590"/>
    <s v="Kavita Pandey"/>
    <s v="Female"/>
    <n v="57"/>
    <s v="Jaipur"/>
    <x v="1"/>
    <n v="6"/>
    <n v="799"/>
    <n v="4794"/>
    <s v="DSL"/>
    <d v="2025-03-03T00:00:00"/>
    <s v="No"/>
    <s v="No"/>
    <s v="No"/>
    <s v="No"/>
    <s v="No"/>
    <s v="No"/>
  </r>
  <r>
    <x v="591"/>
    <s v="Sneha Reddy"/>
    <s v="Female"/>
    <n v="42"/>
    <s v="Pune"/>
    <x v="0"/>
    <n v="12"/>
    <n v="649"/>
    <n v="7788"/>
    <s v="DSL"/>
    <d v="2024-09-16T00:00:00"/>
    <s v="No"/>
    <s v="No"/>
    <s v="No"/>
    <s v="No"/>
    <s v="No"/>
    <s v="No"/>
  </r>
  <r>
    <x v="592"/>
    <s v="Rohit Joshi"/>
    <s v="Male"/>
    <n v="33"/>
    <s v="Jaipur"/>
    <x v="3"/>
    <n v="19"/>
    <n v="1199"/>
    <n v="22781"/>
    <s v="Fiber"/>
    <d v="2024-02-12T00:00:00"/>
    <s v="No"/>
    <s v="No"/>
    <s v="No"/>
    <s v="No"/>
    <s v="No"/>
    <s v="No"/>
  </r>
  <r>
    <x v="593"/>
    <s v="Nikhil Patel"/>
    <s v="Male"/>
    <n v="75"/>
    <s v="Chennai"/>
    <x v="0"/>
    <n v="2"/>
    <n v="1049"/>
    <n v="2098"/>
    <s v="Fiber"/>
    <d v="2025-07-14T00:00:00"/>
    <s v="Yes"/>
    <s v="No"/>
    <s v="No"/>
    <s v="No"/>
    <s v="No"/>
    <s v="No"/>
  </r>
  <r>
    <x v="594"/>
    <s v="Gaurav Pandey"/>
    <s v="Male"/>
    <n v="52"/>
    <s v="Indore"/>
    <x v="2"/>
    <n v="58"/>
    <n v="349"/>
    <n v="20242"/>
    <s v="No Internet"/>
    <d v="2020-11-25T00:00:00"/>
    <s v="No"/>
    <s v="No"/>
    <s v="No"/>
    <s v="No"/>
    <s v="No"/>
    <s v="No"/>
  </r>
  <r>
    <x v="595"/>
    <s v="Neha Kumar"/>
    <s v="Female"/>
    <n v="43"/>
    <s v="Bangalore"/>
    <x v="0"/>
    <n v="4"/>
    <n v="349"/>
    <n v="1396"/>
    <s v="No Internet"/>
    <d v="2025-05-16T00:00:00"/>
    <s v="No"/>
    <s v="No"/>
    <s v="No"/>
    <s v="No"/>
    <s v="No"/>
    <s v="No"/>
  </r>
  <r>
    <x v="596"/>
    <s v="Sanjay Jain"/>
    <s v="Male"/>
    <n v="58"/>
    <s v="Delhi"/>
    <x v="0"/>
    <n v="18"/>
    <m/>
    <m/>
    <s v="No Internet"/>
    <d v="2024-03-14T00:00:00"/>
    <s v="No"/>
    <s v="No"/>
    <s v="No"/>
    <s v="No"/>
    <s v="No"/>
    <s v="Monthly missing; Total missing"/>
  </r>
  <r>
    <x v="597"/>
    <s v="Harsh Mehta"/>
    <s v="Male"/>
    <n v="22"/>
    <s v="Unknown"/>
    <x v="2"/>
    <n v="67"/>
    <n v="849"/>
    <n v="56883"/>
    <s v="DSL"/>
    <d v="2020-03-08T00:00:00"/>
    <s v="No"/>
    <s v="No"/>
    <s v="No"/>
    <s v="No"/>
    <s v="No"/>
    <s v="No"/>
  </r>
  <r>
    <x v="598"/>
    <s v="Komal Bose"/>
    <s v="Female"/>
    <n v="60"/>
    <s v="Bhopal"/>
    <x v="0"/>
    <n v="15"/>
    <n v="1149"/>
    <n v="17235"/>
    <s v="Fiber"/>
    <d v="2024-06-26T00:00:00"/>
    <s v="No"/>
    <s v="No"/>
    <s v="No"/>
    <s v="No"/>
    <s v="No"/>
    <s v="No"/>
  </r>
  <r>
    <x v="599"/>
    <s v="Suresh Nair"/>
    <s v="Male"/>
    <n v="48"/>
    <s v="Pune"/>
    <x v="2"/>
    <n v="7"/>
    <n v="1049"/>
    <n v="7343"/>
    <s v="Fiber"/>
    <d v="2025-02-25T00:00:00"/>
    <s v="No"/>
    <s v="No"/>
    <s v="No"/>
    <s v="No"/>
    <s v="No"/>
    <s v="No"/>
  </r>
  <r>
    <x v="600"/>
    <s v="Sachin Iyer"/>
    <s v="Male"/>
    <n v="29"/>
    <s v="Bangalore"/>
    <x v="2"/>
    <n v="20"/>
    <n v="999"/>
    <n v="19980"/>
    <s v="Fiber"/>
    <d v="2024-01-27T00:00:00"/>
    <s v="Yes"/>
    <s v="No"/>
    <s v="No"/>
    <s v="No"/>
    <s v="No"/>
    <s v="No"/>
  </r>
  <r>
    <x v="601"/>
    <s v="Ankit Malhotra"/>
    <s v="Male"/>
    <n v="41"/>
    <s v="Bangalore"/>
    <x v="0"/>
    <n v="22"/>
    <n v="1049"/>
    <n v="23078"/>
    <s v="Fiber"/>
    <d v="2023-11-21T00:00:00"/>
    <s v="Yes"/>
    <s v="No"/>
    <s v="No"/>
    <s v="Yes"/>
    <s v="No"/>
    <s v="No"/>
  </r>
  <r>
    <x v="602"/>
    <s v="Sachin Iyer"/>
    <s v="Male"/>
    <n v="25"/>
    <s v="Delhi"/>
    <x v="0"/>
    <n v="5"/>
    <n v="1049"/>
    <n v="5245"/>
    <s v="Fiber"/>
    <d v="2025-04-08T00:00:00"/>
    <s v="Yes"/>
    <s v="No"/>
    <s v="No"/>
    <s v="No"/>
    <s v="No"/>
    <s v="No"/>
  </r>
  <r>
    <x v="603"/>
    <s v="Aditi Desai"/>
    <s v="Female"/>
    <n v="75"/>
    <s v="Chennai"/>
    <x v="2"/>
    <n v="19"/>
    <n v="1149"/>
    <n v="21831"/>
    <s v="Fiber"/>
    <d v="2024-03-04T00:00:00"/>
    <s v="No"/>
    <s v="No"/>
    <s v="No"/>
    <s v="No"/>
    <s v="No"/>
    <s v="No"/>
  </r>
  <r>
    <x v="604"/>
    <s v="Sneha Singh"/>
    <s v="Female"/>
    <n v="61"/>
    <s v="Jaipur"/>
    <x v="0"/>
    <n v="20"/>
    <n v="899"/>
    <n v="17980"/>
    <s v="DSL"/>
    <m/>
    <s v="Yes"/>
    <s v="No"/>
    <s v="No"/>
    <s v="No"/>
    <s v="No"/>
    <s v="Date missing"/>
  </r>
  <r>
    <x v="605"/>
    <s v="Pankaj Chopra"/>
    <s v="Male"/>
    <n v="30"/>
    <s v="Lucknow"/>
    <x v="0"/>
    <n v="9"/>
    <n v="899"/>
    <n v="8091"/>
    <s v="Fiber"/>
    <d v="2024-12-18T00:00:00"/>
    <s v="No"/>
    <s v="No"/>
    <s v="No"/>
    <s v="No"/>
    <s v="No"/>
    <s v="No"/>
  </r>
  <r>
    <x v="606"/>
    <s v="Mohit Rao"/>
    <s v="Male"/>
    <n v="30"/>
    <s v="Ahmedabad"/>
    <x v="0"/>
    <n v="2"/>
    <n v="1049"/>
    <n v="2098"/>
    <s v="Fiber"/>
    <d v="2025-07-03T00:00:00"/>
    <s v="Yes"/>
    <s v="No"/>
    <s v="No"/>
    <s v="No"/>
    <s v="No"/>
    <s v="No"/>
  </r>
  <r>
    <x v="607"/>
    <s v="Isha Rao"/>
    <s v="Female"/>
    <n v="41"/>
    <s v="Delhi"/>
    <x v="0"/>
    <n v="15"/>
    <n v="1149"/>
    <n v="17235"/>
    <s v="Fiber"/>
    <d v="2024-06-07T00:00:00"/>
    <s v="Yes"/>
    <s v="No"/>
    <s v="No"/>
    <s v="No"/>
    <s v="No"/>
    <s v="No"/>
  </r>
  <r>
    <x v="608"/>
    <s v="Nisha Kapoor"/>
    <s v="Female"/>
    <n v="36"/>
    <s v="Bangalore"/>
    <x v="2"/>
    <n v="55"/>
    <n v="399"/>
    <n v="21945"/>
    <s v="No Internet"/>
    <d v="2021-03-04T00:00:00"/>
    <s v="No"/>
    <s v="No"/>
    <s v="No"/>
    <s v="No"/>
    <s v="No"/>
    <s v="No"/>
  </r>
  <r>
    <x v="609"/>
    <s v="Rohit Mehta"/>
    <s v="Male"/>
    <n v="37"/>
    <s v="Ahmedabad"/>
    <x v="2"/>
    <n v="43"/>
    <n v="1149"/>
    <n v="49407"/>
    <s v="Fiber"/>
    <d v="2022-03-05T00:00:00"/>
    <s v="Yes"/>
    <s v="No"/>
    <s v="No"/>
    <s v="No"/>
    <s v="No"/>
    <s v="No"/>
  </r>
  <r>
    <x v="610"/>
    <s v="Nisha Gupta"/>
    <s v="Female"/>
    <n v="53"/>
    <s v="Ahmedabad"/>
    <x v="1"/>
    <n v="9"/>
    <n v="999"/>
    <n v="8991"/>
    <s v="Fiber"/>
    <d v="2024-12-17T00:00:00"/>
    <s v="No"/>
    <s v="No"/>
    <s v="No"/>
    <s v="No"/>
    <s v="No"/>
    <s v="No"/>
  </r>
  <r>
    <x v="611"/>
    <s v="Harsh Bose"/>
    <s v="Male"/>
    <n v="37"/>
    <s v="Ahmedabad"/>
    <x v="1"/>
    <n v="2"/>
    <n v="899"/>
    <n v="1798"/>
    <s v="Fiber"/>
    <d v="2025-07-10T00:00:00"/>
    <s v="Yes"/>
    <s v="No"/>
    <s v="No"/>
    <s v="No"/>
    <s v="Yes"/>
    <s v="No"/>
  </r>
  <r>
    <x v="612"/>
    <s v="Anjali Chopra"/>
    <s v="Female"/>
    <n v="60"/>
    <s v="Chennai"/>
    <x v="0"/>
    <n v="23"/>
    <n v="999"/>
    <n v="22977"/>
    <s v="Fiber"/>
    <d v="2023-10-31T00:00:00"/>
    <s v="Yes"/>
    <s v="No"/>
    <s v="No"/>
    <s v="No"/>
    <s v="Yes"/>
    <s v="No"/>
  </r>
  <r>
    <x v="613"/>
    <s v="Neha Yadav"/>
    <s v="Female"/>
    <n v="65"/>
    <s v="Pune"/>
    <x v="1"/>
    <n v="17"/>
    <n v="1199"/>
    <n v="20383"/>
    <s v="Fiber"/>
    <d v="2024-04-10T00:00:00"/>
    <s v="No"/>
    <s v="No"/>
    <s v="No"/>
    <s v="No"/>
    <s v="No"/>
    <s v="No"/>
  </r>
  <r>
    <x v="614"/>
    <s v="Aman Jain"/>
    <s v="Male"/>
    <n v="47"/>
    <s v="Lucknow"/>
    <x v="0"/>
    <n v="19"/>
    <n v="599"/>
    <n v="11381"/>
    <s v="DSL"/>
    <d v="2024-02-14T00:00:00"/>
    <s v="No"/>
    <s v="Yes"/>
    <s v="No"/>
    <s v="No"/>
    <s v="No"/>
    <s v="No"/>
  </r>
  <r>
    <x v="615"/>
    <s v="Aman Gupta"/>
    <s v="Male"/>
    <n v="21"/>
    <s v="Chennai"/>
    <x v="0"/>
    <n v="12"/>
    <n v="1049"/>
    <n v="12588"/>
    <s v="Fiber"/>
    <d v="2024-09-04T00:00:00"/>
    <s v="No"/>
    <s v="No"/>
    <s v="No"/>
    <s v="No"/>
    <s v="No"/>
    <s v="No"/>
  </r>
  <r>
    <x v="616"/>
    <s v="Mohit Mehta"/>
    <s v="Male"/>
    <n v="67"/>
    <s v="Indore"/>
    <x v="0"/>
    <n v="6"/>
    <n v="799"/>
    <n v="4794"/>
    <s v="DSL"/>
    <d v="2025-03-11T00:00:00"/>
    <s v="No"/>
    <s v="No"/>
    <s v="No"/>
    <s v="Yes"/>
    <s v="No"/>
    <s v="No"/>
  </r>
  <r>
    <x v="617"/>
    <s v="Kavita Saxena"/>
    <s v="Female"/>
    <n v="62"/>
    <s v="Bhopal"/>
    <x v="0"/>
    <n v="12"/>
    <n v="999"/>
    <n v="11988"/>
    <s v="Fiber"/>
    <d v="2024-09-24T00:00:00"/>
    <s v="Yes"/>
    <s v="No"/>
    <s v="No"/>
    <s v="No"/>
    <s v="No"/>
    <s v="No"/>
  </r>
  <r>
    <x v="618"/>
    <s v="Komal Tiwari"/>
    <s v="Female"/>
    <n v="39"/>
    <s v="Bangalore"/>
    <x v="0"/>
    <n v="8"/>
    <n v="899"/>
    <n v="7192"/>
    <s v="DSL"/>
    <d v="2025-01-05T00:00:00"/>
    <s v="No"/>
    <s v="No"/>
    <s v="No"/>
    <s v="Yes"/>
    <s v="No"/>
    <s v="No"/>
  </r>
  <r>
    <x v="619"/>
    <s v="Vivek Kapoor"/>
    <s v="Male"/>
    <n v="22"/>
    <s v="Mumbai"/>
    <x v="2"/>
    <n v="62"/>
    <n v="449"/>
    <n v="27838"/>
    <s v="No Internet"/>
    <d v="2020-08-11T00:00:00"/>
    <s v="No"/>
    <s v="No"/>
    <s v="No"/>
    <s v="No"/>
    <s v="No"/>
    <s v="No"/>
  </r>
  <r>
    <x v="620"/>
    <s v="Meera Pandey"/>
    <s v="Female"/>
    <n v="37"/>
    <s v="Delhi"/>
    <x v="1"/>
    <n v="9"/>
    <n v="899"/>
    <n v="8091"/>
    <s v="DSL"/>
    <d v="2024-12-23T00:00:00"/>
    <s v="No"/>
    <s v="No"/>
    <s v="No"/>
    <s v="No"/>
    <s v="No"/>
    <s v="No"/>
  </r>
  <r>
    <x v="621"/>
    <s v="Sanjay Singh"/>
    <s v="Male"/>
    <n v="23"/>
    <s v="Kolkata"/>
    <x v="1"/>
    <n v="5"/>
    <n v="1299"/>
    <n v="6495"/>
    <s v="Unknown"/>
    <d v="2025-04-30T00:00:00"/>
    <s v="No"/>
    <s v="No"/>
    <s v="No"/>
    <s v="No"/>
    <s v="No"/>
    <s v="No"/>
  </r>
  <r>
    <x v="622"/>
    <s v="Karan Verma"/>
    <s v="Male"/>
    <n v="68"/>
    <s v="Indore"/>
    <x v="0"/>
    <n v="4"/>
    <n v="699"/>
    <n v="2796"/>
    <s v="DSL"/>
    <d v="2025-05-31T00:00:00"/>
    <s v="Yes"/>
    <s v="No"/>
    <s v="No"/>
    <s v="No"/>
    <s v="No"/>
    <s v="No"/>
  </r>
  <r>
    <x v="623"/>
    <s v="Karan Yadav"/>
    <s v="Male"/>
    <n v="31"/>
    <s v="Lucknow"/>
    <x v="2"/>
    <n v="45"/>
    <n v="599"/>
    <n v="26955"/>
    <s v="DSL"/>
    <d v="2022-01-09T00:00:00"/>
    <s v="No"/>
    <s v="No"/>
    <s v="No"/>
    <s v="No"/>
    <s v="No"/>
    <s v="No"/>
  </r>
  <r>
    <x v="624"/>
    <s v="Isha Gupta"/>
    <s v="Female"/>
    <n v="72"/>
    <s v="Jaipur"/>
    <x v="1"/>
    <n v="33"/>
    <n v="899"/>
    <n v="29667"/>
    <s v="Fiber"/>
    <d v="2022-12-19T00:00:00"/>
    <s v="No"/>
    <s v="No"/>
    <s v="No"/>
    <s v="No"/>
    <s v="Yes"/>
    <s v="No"/>
  </r>
  <r>
    <x v="625"/>
    <s v="Mohit Mehta"/>
    <s v="Male"/>
    <n v="63"/>
    <s v="Hyderabad"/>
    <x v="2"/>
    <n v="69"/>
    <n v="599"/>
    <n v="41331"/>
    <s v="DSL"/>
    <d v="2019-12-30T00:00:00"/>
    <s v="No"/>
    <s v="No"/>
    <s v="No"/>
    <s v="No"/>
    <s v="No"/>
    <s v="No"/>
  </r>
  <r>
    <x v="626"/>
    <s v="Isha Pandey"/>
    <s v="Female"/>
    <n v="55"/>
    <s v="Bangalore"/>
    <x v="0"/>
    <n v="6"/>
    <n v="499"/>
    <n v="2994"/>
    <s v="No Internet"/>
    <d v="2025-03-16T00:00:00"/>
    <s v="No"/>
    <s v="No"/>
    <s v="No"/>
    <s v="No"/>
    <s v="No"/>
    <s v="No"/>
  </r>
  <r>
    <x v="627"/>
    <s v="Vivek Reddy"/>
    <s v="Male"/>
    <n v="66"/>
    <s v="Pune"/>
    <x v="0"/>
    <n v="5"/>
    <n v="749"/>
    <n v="3745"/>
    <s v="DSL"/>
    <d v="2025-04-14T00:00:00"/>
    <s v="No"/>
    <s v="No"/>
    <s v="No"/>
    <s v="No"/>
    <s v="No"/>
    <s v="No"/>
  </r>
  <r>
    <x v="628"/>
    <s v="Vikram Joshi"/>
    <s v="Male"/>
    <n v="49"/>
    <s v="Mumbai"/>
    <x v="0"/>
    <n v="24"/>
    <n v="1199"/>
    <n v="28776"/>
    <s v="Fiber"/>
    <d v="2023-09-26T00:00:00"/>
    <s v="Yes"/>
    <s v="No"/>
    <s v="No"/>
    <s v="No"/>
    <s v="No"/>
    <s v="No"/>
  </r>
  <r>
    <x v="629"/>
    <s v="Nisha Mehta"/>
    <s v="Female"/>
    <n v="72"/>
    <s v="Mumbai"/>
    <x v="2"/>
    <n v="48"/>
    <n v="499"/>
    <n v="23952"/>
    <s v="No Internet"/>
    <d v="2021-10-07T00:00:00"/>
    <s v="No"/>
    <s v="No"/>
    <s v="No"/>
    <s v="No"/>
    <s v="No"/>
    <s v="No"/>
  </r>
  <r>
    <x v="630"/>
    <s v="Payal Saxena"/>
    <s v="Female"/>
    <n v="61"/>
    <s v="Mumbai"/>
    <x v="0"/>
    <n v="23"/>
    <n v="899"/>
    <n v="20677"/>
    <s v="Fiber"/>
    <d v="2023-11-02T00:00:00"/>
    <s v="Yes"/>
    <s v="No"/>
    <s v="No"/>
    <s v="Yes"/>
    <s v="No"/>
    <s v="No"/>
  </r>
  <r>
    <x v="631"/>
    <s v="Deepika Yadav"/>
    <s v="Female"/>
    <n v="72"/>
    <s v="Kolkata"/>
    <x v="0"/>
    <n v="24"/>
    <n v="549"/>
    <n v="13176"/>
    <s v="No Internet"/>
    <d v="2023-09-15T00:00:00"/>
    <s v="No"/>
    <s v="No"/>
    <s v="No"/>
    <s v="No"/>
    <s v="No"/>
    <s v="No"/>
  </r>
  <r>
    <x v="632"/>
    <s v="Isha Desai"/>
    <s v="Female"/>
    <n v="60"/>
    <s v="Lucknow"/>
    <x v="2"/>
    <n v="66"/>
    <n v="499"/>
    <n v="32934"/>
    <s v="No Internet"/>
    <d v="2020-04-19T00:00:00"/>
    <s v="No"/>
    <s v="No"/>
    <s v="Yes"/>
    <s v="No"/>
    <s v="No"/>
    <s v="No"/>
  </r>
  <r>
    <x v="633"/>
    <s v="Komal Nair"/>
    <s v="Female"/>
    <n v="47"/>
    <s v="Unknown"/>
    <x v="0"/>
    <n v="3"/>
    <n v="1199"/>
    <n v="3597"/>
    <s v="Fiber"/>
    <d v="2025-06-18T00:00:00"/>
    <s v="No"/>
    <s v="Yes"/>
    <s v="No"/>
    <s v="No"/>
    <s v="No"/>
    <s v="No"/>
  </r>
  <r>
    <x v="634"/>
    <s v="Pooja Iyer"/>
    <s v="Female"/>
    <n v="57"/>
    <s v="Lucknow"/>
    <x v="0"/>
    <n v="17"/>
    <n v="899"/>
    <n v="15283"/>
    <s v="DSL"/>
    <d v="2024-04-15T00:00:00"/>
    <s v="Yes"/>
    <s v="No"/>
    <s v="No"/>
    <s v="No"/>
    <s v="No"/>
    <s v="No"/>
  </r>
  <r>
    <x v="635"/>
    <s v="Komal Jain"/>
    <s v="Female"/>
    <n v="34"/>
    <s v="Jaipur"/>
    <x v="0"/>
    <n v="18"/>
    <n v="349"/>
    <n v="6282"/>
    <s v="No Internet"/>
    <d v="2024-03-09T00:00:00"/>
    <s v="No"/>
    <s v="No"/>
    <s v="No"/>
    <s v="No"/>
    <s v="No"/>
    <s v="No"/>
  </r>
  <r>
    <x v="636"/>
    <s v="Deepak Kapoor"/>
    <s v="Male"/>
    <n v="38"/>
    <s v="Chandigarh"/>
    <x v="0"/>
    <n v="2"/>
    <n v="1149"/>
    <n v="2298"/>
    <s v="Fiber"/>
    <d v="2025-07-25T00:00:00"/>
    <s v="No"/>
    <s v="No"/>
    <s v="No"/>
    <s v="No"/>
    <s v="No"/>
    <s v="No"/>
  </r>
  <r>
    <x v="637"/>
    <s v="Nisha Singh"/>
    <s v="Female"/>
    <n v="37"/>
    <s v="Bhopal"/>
    <x v="0"/>
    <n v="19"/>
    <n v="1099"/>
    <n v="20881"/>
    <s v="Fiber"/>
    <d v="2024-02-18T00:00:00"/>
    <s v="No"/>
    <s v="No"/>
    <s v="No"/>
    <s v="No"/>
    <s v="No"/>
    <s v="No"/>
  </r>
  <r>
    <x v="638"/>
    <s v="Komal Mishra"/>
    <s v="Female"/>
    <n v="47"/>
    <s v="Bangalore"/>
    <x v="0"/>
    <n v="16"/>
    <n v="1099"/>
    <n v="17584"/>
    <s v="Fiber"/>
    <d v="2024-05-12T00:00:00"/>
    <s v="No"/>
    <s v="Yes"/>
    <s v="No"/>
    <s v="No"/>
    <s v="No"/>
    <s v="No"/>
  </r>
  <r>
    <x v="639"/>
    <s v="Swati Verma"/>
    <s v="Unknown"/>
    <n v="19"/>
    <s v="Lucknow"/>
    <x v="0"/>
    <n v="12"/>
    <n v="549"/>
    <n v="6588"/>
    <s v="No Internet"/>
    <d v="2024-09-05T00:00:00"/>
    <s v="Yes"/>
    <s v="No"/>
    <s v="No"/>
    <s v="No"/>
    <s v="No"/>
    <s v="No"/>
  </r>
  <r>
    <x v="640"/>
    <s v="Divya Reddy"/>
    <s v="Female"/>
    <n v="45"/>
    <s v="Pune"/>
    <x v="2"/>
    <n v="8"/>
    <n v="999"/>
    <n v="7992"/>
    <s v="Fiber"/>
    <d v="2025-01-22T00:00:00"/>
    <s v="No"/>
    <s v="No"/>
    <s v="No"/>
    <s v="No"/>
    <s v="No"/>
    <s v="No"/>
  </r>
  <r>
    <x v="641"/>
    <s v="Vikram Iyer"/>
    <s v="Male"/>
    <n v="25"/>
    <s v="Pune"/>
    <x v="0"/>
    <n v="2"/>
    <n v="1199"/>
    <n v="2398"/>
    <s v="Fiber"/>
    <d v="2025-07-02T00:00:00"/>
    <s v="Yes"/>
    <s v="No"/>
    <s v="No"/>
    <s v="No"/>
    <s v="No"/>
    <s v="No"/>
  </r>
  <r>
    <x v="642"/>
    <s v="Kavita Sharma"/>
    <s v="Female"/>
    <n v="62"/>
    <s v="Ahmedabad"/>
    <x v="1"/>
    <n v="25"/>
    <n v="449"/>
    <n v="11225"/>
    <s v="No Internet"/>
    <d v="2023-08-15T00:00:00"/>
    <s v="No"/>
    <s v="No"/>
    <s v="No"/>
    <s v="No"/>
    <s v="No"/>
    <s v="No"/>
  </r>
  <r>
    <x v="643"/>
    <s v="Anjali Pandey"/>
    <s v="Female"/>
    <n v="61"/>
    <s v="Hyderabad"/>
    <x v="0"/>
    <n v="22"/>
    <n v="999"/>
    <n v="21978"/>
    <s v="Fiber"/>
    <d v="2023-11-25T00:00:00"/>
    <s v="Yes"/>
    <s v="No"/>
    <s v="No"/>
    <s v="No"/>
    <s v="No"/>
    <s v="No"/>
  </r>
  <r>
    <x v="644"/>
    <s v="Gaurav Chopra"/>
    <s v="Male"/>
    <n v="72"/>
    <s v="Kochi"/>
    <x v="0"/>
    <n v="7"/>
    <n v="349"/>
    <n v="2443"/>
    <s v="No Internet"/>
    <d v="2025-02-12T00:00:00"/>
    <s v="Yes"/>
    <s v="No"/>
    <s v="No"/>
    <s v="No"/>
    <s v="No"/>
    <s v="No"/>
  </r>
  <r>
    <x v="645"/>
    <s v="Ritu Yadav"/>
    <s v="Female"/>
    <n v="65"/>
    <s v="Mumbai"/>
    <x v="1"/>
    <n v="38"/>
    <n v="1049"/>
    <n v="39862"/>
    <s v="Fiber"/>
    <d v="2022-07-30T00:00:00"/>
    <s v="No"/>
    <s v="No"/>
    <s v="No"/>
    <s v="No"/>
    <s v="No"/>
    <s v="No"/>
  </r>
  <r>
    <x v="646"/>
    <s v="Nisha Mehta"/>
    <s v="Female"/>
    <n v="40"/>
    <s v="Kochi"/>
    <x v="0"/>
    <n v="17"/>
    <n v="499"/>
    <n v="8483"/>
    <s v="No Internet"/>
    <d v="2024-04-26T00:00:00"/>
    <s v="No"/>
    <s v="No"/>
    <s v="No"/>
    <s v="No"/>
    <s v="No"/>
    <s v="No"/>
  </r>
  <r>
    <x v="647"/>
    <s v="Vivek Rao"/>
    <s v="Male"/>
    <n v="34"/>
    <s v="Lucknow"/>
    <x v="0"/>
    <n v="18"/>
    <n v="899"/>
    <n v="16182"/>
    <s v="Fiber"/>
    <d v="2024-03-19T00:00:00"/>
    <s v="No"/>
    <s v="No"/>
    <s v="No"/>
    <s v="No"/>
    <s v="No"/>
    <s v="No"/>
  </r>
  <r>
    <x v="648"/>
    <s v="Deepika Saxena"/>
    <s v="Female"/>
    <n v="70"/>
    <s v="Bhopal"/>
    <x v="2"/>
    <n v="69"/>
    <n v="899"/>
    <n v="62031"/>
    <s v="DSL"/>
    <d v="2020-01-05T00:00:00"/>
    <s v="No"/>
    <s v="No"/>
    <s v="No"/>
    <s v="No"/>
    <s v="No"/>
    <s v="No"/>
  </r>
  <r>
    <x v="649"/>
    <s v="Mohit Mehta"/>
    <s v="Male"/>
    <n v="41"/>
    <s v="Ahmedabad"/>
    <x v="0"/>
    <n v="22"/>
    <n v="899"/>
    <n v="19778"/>
    <s v="DSL"/>
    <d v="2023-11-11T00:00:00"/>
    <s v="Yes"/>
    <s v="No"/>
    <s v="No"/>
    <s v="No"/>
    <s v="No"/>
    <s v="No"/>
  </r>
  <r>
    <x v="650"/>
    <s v="Sanjay Tiwari"/>
    <s v="Male"/>
    <n v="35"/>
    <s v="Chandigarh"/>
    <x v="0"/>
    <n v="22"/>
    <n v="799"/>
    <n v="17578"/>
    <s v="DSL"/>
    <d v="2023-12-04T00:00:00"/>
    <s v="Yes"/>
    <s v="No"/>
    <s v="No"/>
    <s v="No"/>
    <s v="No"/>
    <s v="No"/>
  </r>
  <r>
    <x v="651"/>
    <s v="Rahul Nair"/>
    <s v="Male"/>
    <n v="69"/>
    <s v="Chandigarh"/>
    <x v="0"/>
    <n v="14"/>
    <n v="1199"/>
    <n v="16786"/>
    <s v="Fiber"/>
    <d v="2024-07-27T00:00:00"/>
    <s v="Yes"/>
    <s v="No"/>
    <s v="No"/>
    <s v="No"/>
    <s v="Yes"/>
    <s v="No"/>
  </r>
  <r>
    <x v="652"/>
    <s v="Rahul Malhotra"/>
    <s v="Unknown"/>
    <n v="68"/>
    <s v="Kochi"/>
    <x v="0"/>
    <n v="21"/>
    <n v="899"/>
    <n v="18879"/>
    <s v="Fiber"/>
    <d v="2024-01-06T00:00:00"/>
    <s v="No"/>
    <s v="No"/>
    <s v="No"/>
    <s v="No"/>
    <s v="No"/>
    <s v="No"/>
  </r>
  <r>
    <x v="653"/>
    <s v="Nikhil Yadav"/>
    <s v="Male"/>
    <n v="37"/>
    <s v="Chandigarh"/>
    <x v="0"/>
    <n v="12"/>
    <n v="349"/>
    <n v="4188"/>
    <s v="No Internet"/>
    <d v="2024-09-07T00:00:00"/>
    <s v="Yes"/>
    <s v="No"/>
    <s v="No"/>
    <s v="No"/>
    <s v="Yes"/>
    <s v="No"/>
  </r>
  <r>
    <x v="654"/>
    <s v="Manish Reddy"/>
    <s v="Male"/>
    <n v="54"/>
    <s v="Bhopal"/>
    <x v="0"/>
    <n v="22"/>
    <n v="899"/>
    <n v="19778"/>
    <s v="DSL"/>
    <d v="2023-11-10T00:00:00"/>
    <s v="Yes"/>
    <s v="No"/>
    <s v="No"/>
    <s v="No"/>
    <s v="No"/>
    <s v="No"/>
  </r>
  <r>
    <x v="655"/>
    <s v="Manish Yadav"/>
    <s v="Male"/>
    <n v="25"/>
    <s v="Kochi"/>
    <x v="2"/>
    <n v="50"/>
    <n v="899"/>
    <n v="44950"/>
    <s v="DSL"/>
    <d v="2021-08-14T00:00:00"/>
    <s v="No"/>
    <s v="No"/>
    <s v="No"/>
    <s v="No"/>
    <s v="No"/>
    <s v="No"/>
  </r>
  <r>
    <x v="656"/>
    <s v="Unknown"/>
    <s v="Male"/>
    <n v="31"/>
    <s v="Chennai"/>
    <x v="0"/>
    <n v="19"/>
    <n v="599"/>
    <n v="11381"/>
    <s v="DSL"/>
    <d v="2024-03-04T00:00:00"/>
    <s v="Yes"/>
    <s v="No"/>
    <s v="No"/>
    <s v="No"/>
    <s v="No"/>
    <s v="No"/>
  </r>
  <r>
    <x v="657"/>
    <s v="Sonal Tiwari"/>
    <s v="Female"/>
    <n v="48"/>
    <s v="Indore"/>
    <x v="0"/>
    <n v="5"/>
    <n v="699"/>
    <n v="3495"/>
    <s v="DSL"/>
    <d v="2025-05-01T00:00:00"/>
    <s v="No"/>
    <s v="No"/>
    <s v="No"/>
    <s v="No"/>
    <s v="No"/>
    <s v="No"/>
  </r>
  <r>
    <x v="658"/>
    <s v="Amit Pandey"/>
    <s v="Male"/>
    <n v="68"/>
    <s v="Indore"/>
    <x v="0"/>
    <n v="10"/>
    <n v="1199"/>
    <n v="11990"/>
    <s v="Fiber"/>
    <d v="2024-11-11T00:00:00"/>
    <s v="No"/>
    <s v="No"/>
    <s v="No"/>
    <s v="No"/>
    <s v="No"/>
    <s v="No"/>
  </r>
  <r>
    <x v="659"/>
    <s v="Sachin Nair"/>
    <s v="Male"/>
    <n v="72"/>
    <s v="Ahmedabad"/>
    <x v="0"/>
    <n v="13"/>
    <n v="349"/>
    <n v="4537"/>
    <s v="No Internet"/>
    <d v="2024-08-10T00:00:00"/>
    <s v="No"/>
    <s v="No"/>
    <s v="No"/>
    <s v="No"/>
    <s v="No"/>
    <s v="No"/>
  </r>
  <r>
    <x v="660"/>
    <s v="Harsh Mehta"/>
    <s v="Male"/>
    <n v="73"/>
    <s v="Bangalore"/>
    <x v="2"/>
    <n v="53"/>
    <n v="899"/>
    <n v="47647"/>
    <s v="Fiber"/>
    <d v="2021-04-26T00:00:00"/>
    <s v="No"/>
    <s v="No"/>
    <s v="No"/>
    <s v="Yes"/>
    <s v="No"/>
    <s v="No"/>
  </r>
  <r>
    <x v="661"/>
    <s v="Komal Agarwal"/>
    <s v="Female"/>
    <n v="44"/>
    <s v="Chandigarh"/>
    <x v="0"/>
    <n v="4"/>
    <n v="999"/>
    <n v="3996"/>
    <s v="Fiber"/>
    <d v="2025-05-20T00:00:00"/>
    <s v="Yes"/>
    <s v="No"/>
    <s v="No"/>
    <s v="No"/>
    <s v="No"/>
    <s v="No"/>
  </r>
  <r>
    <x v="662"/>
    <s v="Riya Agarwal"/>
    <s v="Female"/>
    <n v="70"/>
    <s v="Jaipur"/>
    <x v="1"/>
    <n v="2"/>
    <n v="899"/>
    <n v="1798"/>
    <s v="Fiber"/>
    <d v="2025-07-05T00:00:00"/>
    <s v="No"/>
    <s v="No"/>
    <s v="Yes"/>
    <s v="No"/>
    <s v="No"/>
    <s v="No"/>
  </r>
  <r>
    <x v="663"/>
    <s v="Rahul Rao"/>
    <s v="Male"/>
    <n v="30"/>
    <s v="Indore"/>
    <x v="0"/>
    <n v="4"/>
    <n v="999"/>
    <n v="3996"/>
    <s v="Fiber"/>
    <d v="2025-05-07T00:00:00"/>
    <s v="No"/>
    <s v="No"/>
    <s v="No"/>
    <s v="No"/>
    <s v="No"/>
    <s v="No"/>
  </r>
  <r>
    <x v="664"/>
    <s v="Pankaj Saxena"/>
    <s v="Male"/>
    <n v="44"/>
    <s v="Kochi"/>
    <x v="2"/>
    <n v="18"/>
    <n v="999"/>
    <n v="17982"/>
    <s v="Fiber"/>
    <d v="2024-03-12T00:00:00"/>
    <s v="No"/>
    <s v="No"/>
    <s v="No"/>
    <s v="No"/>
    <s v="No"/>
    <s v="No"/>
  </r>
  <r>
    <x v="665"/>
    <s v="Deepika Kumar"/>
    <s v="Female"/>
    <n v="44"/>
    <s v="Pune"/>
    <x v="0"/>
    <n v="19"/>
    <n v="349"/>
    <n v="6631"/>
    <s v="No Internet"/>
    <d v="2024-02-16T00:00:00"/>
    <s v="No"/>
    <s v="No"/>
    <s v="No"/>
    <s v="No"/>
    <s v="No"/>
    <s v="No"/>
  </r>
  <r>
    <x v="666"/>
    <s v="Vikram Kapoor"/>
    <s v="Male"/>
    <n v="30"/>
    <s v="Chennai"/>
    <x v="1"/>
    <n v="26"/>
    <n v="799"/>
    <n v="20774"/>
    <s v="DSL"/>
    <d v="2023-08-08T00:00:00"/>
    <s v="No"/>
    <s v="No"/>
    <s v="No"/>
    <s v="No"/>
    <s v="No"/>
    <s v="No"/>
  </r>
  <r>
    <x v="667"/>
    <s v="Meera Bose"/>
    <s v="Female"/>
    <n v="25"/>
    <s v="Delhi"/>
    <x v="1"/>
    <n v="30"/>
    <n v="1199"/>
    <n v="35970"/>
    <s v="Fiber"/>
    <d v="2023-03-21T00:00:00"/>
    <s v="Yes"/>
    <s v="No"/>
    <s v="No"/>
    <s v="No"/>
    <s v="No"/>
    <s v="No"/>
  </r>
  <r>
    <x v="668"/>
    <s v="Sanjay Malhotra"/>
    <s v="Male"/>
    <n v="36"/>
    <s v="Bhopal"/>
    <x v="0"/>
    <n v="7"/>
    <n v="799"/>
    <n v="5593"/>
    <s v="DSL"/>
    <d v="2025-02-24T00:00:00"/>
    <s v="No"/>
    <s v="No"/>
    <s v="No"/>
    <s v="No"/>
    <s v="No"/>
    <s v="No"/>
  </r>
  <r>
    <x v="669"/>
    <s v="Meera Tiwari"/>
    <s v="Female"/>
    <n v="68"/>
    <s v="Unknown"/>
    <x v="0"/>
    <n v="8"/>
    <n v="399"/>
    <n v="3192"/>
    <s v="No Internet"/>
    <d v="2025-01-10T00:00:00"/>
    <s v="Yes"/>
    <s v="No"/>
    <s v="No"/>
    <s v="No"/>
    <s v="No"/>
    <s v="No"/>
  </r>
  <r>
    <x v="670"/>
    <s v="Neha Sharma"/>
    <s v="Female"/>
    <n v="48"/>
    <s v="Bangalore"/>
    <x v="2"/>
    <n v="51"/>
    <n v="499"/>
    <n v="25449"/>
    <s v="No Internet"/>
    <d v="2021-06-28T00:00:00"/>
    <s v="No"/>
    <s v="No"/>
    <s v="No"/>
    <s v="No"/>
    <s v="No"/>
    <s v="No"/>
  </r>
  <r>
    <x v="671"/>
    <s v="Neha Reddy"/>
    <s v="Female"/>
    <n v="53"/>
    <s v="Delhi"/>
    <x v="0"/>
    <n v="16"/>
    <n v="549"/>
    <n v="8784"/>
    <s v="No Internet"/>
    <d v="2024-05-11T00:00:00"/>
    <s v="No"/>
    <s v="No"/>
    <s v="No"/>
    <s v="Yes"/>
    <s v="No"/>
    <s v="No"/>
  </r>
  <r>
    <x v="672"/>
    <s v="Rahul Malhotra"/>
    <s v="Male"/>
    <n v="50"/>
    <s v="Lucknow"/>
    <x v="0"/>
    <n v="22"/>
    <n v="549"/>
    <n v="12078"/>
    <s v="No Internet"/>
    <d v="2023-12-03T00:00:00"/>
    <s v="Yes"/>
    <s v="No"/>
    <s v="No"/>
    <s v="No"/>
    <s v="No"/>
    <s v="No"/>
  </r>
  <r>
    <x v="673"/>
    <s v="Meera Jain"/>
    <s v="Female"/>
    <n v="49"/>
    <s v="Pune"/>
    <x v="2"/>
    <m/>
    <n v="849"/>
    <m/>
    <s v="DSL"/>
    <d v="2022-05-14T00:00:00"/>
    <s v="No"/>
    <s v="No"/>
    <s v="No"/>
    <s v="No"/>
    <s v="No"/>
    <s v="Total missing; Tenure missing"/>
  </r>
  <r>
    <x v="674"/>
    <s v="Sneha Singh"/>
    <s v="Female"/>
    <n v="49"/>
    <s v="Chandigarh"/>
    <x v="2"/>
    <n v="47"/>
    <n v="749"/>
    <n v="35203"/>
    <s v="DSL"/>
    <d v="2021-10-25T00:00:00"/>
    <s v="Unknown"/>
    <s v="No"/>
    <s v="No"/>
    <s v="No"/>
    <s v="No"/>
    <s v="Churn unknown"/>
  </r>
  <r>
    <x v="675"/>
    <s v="Payal Joshi"/>
    <s v="Female"/>
    <n v="45"/>
    <s v="Bangalore"/>
    <x v="0"/>
    <n v="5"/>
    <n v="499"/>
    <n v="2495"/>
    <s v="No Internet"/>
    <d v="2025-04-27T00:00:00"/>
    <s v="Yes"/>
    <s v="No"/>
    <s v="No"/>
    <s v="No"/>
    <s v="No"/>
    <s v="No"/>
  </r>
  <r>
    <x v="676"/>
    <s v="Manish Gupta"/>
    <s v="Male"/>
    <n v="20"/>
    <s v="Ahmedabad"/>
    <x v="0"/>
    <n v="14"/>
    <n v="1099"/>
    <n v="15386"/>
    <s v="Fiber"/>
    <d v="2024-07-13T00:00:00"/>
    <s v="Yes"/>
    <s v="No"/>
    <s v="No"/>
    <s v="No"/>
    <s v="No"/>
    <s v="No"/>
  </r>
  <r>
    <x v="677"/>
    <s v="Shreya Desai"/>
    <s v="Female"/>
    <n v="25"/>
    <s v="Chandigarh"/>
    <x v="1"/>
    <n v="23"/>
    <n v="599"/>
    <n v="13777"/>
    <s v="DSL"/>
    <d v="2023-11-03T00:00:00"/>
    <s v="No"/>
    <s v="No"/>
    <s v="No"/>
    <s v="No"/>
    <s v="No"/>
    <s v="No"/>
  </r>
  <r>
    <x v="678"/>
    <s v="Tanvi Saxena"/>
    <s v="Female"/>
    <n v="55"/>
    <s v="Hyderabad"/>
    <x v="1"/>
    <n v="34"/>
    <n v="399"/>
    <n v="13566"/>
    <s v="No Internet"/>
    <d v="2022-12-11T00:00:00"/>
    <s v="No"/>
    <s v="No"/>
    <s v="No"/>
    <s v="No"/>
    <s v="No"/>
    <s v="No"/>
  </r>
  <r>
    <x v="679"/>
    <s v="Gaurav Saxena"/>
    <s v="Male"/>
    <n v="24"/>
    <s v="Pune"/>
    <x v="0"/>
    <n v="22"/>
    <n v="1099"/>
    <n v="24178"/>
    <s v="Fiber"/>
    <d v="2023-12-05T00:00:00"/>
    <s v="No"/>
    <s v="No"/>
    <s v="No"/>
    <s v="No"/>
    <s v="No"/>
    <s v="No"/>
  </r>
  <r>
    <x v="680"/>
    <s v="Pooja Sharma"/>
    <s v="Female"/>
    <n v="23"/>
    <s v="Ahmedabad"/>
    <x v="2"/>
    <n v="59"/>
    <n v="1049"/>
    <n v="61891"/>
    <s v="Fiber"/>
    <d v="2020-11-13T00:00:00"/>
    <s v="No"/>
    <s v="No"/>
    <s v="No"/>
    <s v="No"/>
    <s v="No"/>
    <s v="No"/>
  </r>
  <r>
    <x v="681"/>
    <s v="Pankaj Kapoor"/>
    <s v="Male"/>
    <n v="38"/>
    <s v="Bhopal"/>
    <x v="2"/>
    <n v="17"/>
    <n v="349"/>
    <n v="5933"/>
    <s v="No Internet"/>
    <d v="2024-04-27T00:00:00"/>
    <s v="No"/>
    <s v="No"/>
    <s v="No"/>
    <s v="No"/>
    <s v="No"/>
    <s v="No"/>
  </r>
  <r>
    <x v="682"/>
    <s v="Sneha Agarwal"/>
    <s v="Female"/>
    <n v="22"/>
    <s v="Jaipur"/>
    <x v="2"/>
    <n v="52"/>
    <n v="999"/>
    <n v="51948"/>
    <s v="Fiber"/>
    <d v="2021-05-25T00:00:00"/>
    <s v="No"/>
    <s v="No"/>
    <s v="No"/>
    <s v="No"/>
    <s v="No"/>
    <s v="No"/>
  </r>
  <r>
    <x v="683"/>
    <s v="Neha Sharma"/>
    <s v="Unknown"/>
    <n v="72"/>
    <s v="Hyderabad"/>
    <x v="0"/>
    <n v="10"/>
    <n v="1299"/>
    <n v="12990"/>
    <s v="Fiber"/>
    <d v="2024-11-17T00:00:00"/>
    <s v="Yes"/>
    <s v="No"/>
    <s v="No"/>
    <s v="No"/>
    <s v="No"/>
    <s v="No"/>
  </r>
  <r>
    <x v="684"/>
    <s v="Aditi Saxena"/>
    <s v="Female"/>
    <n v="56"/>
    <s v="Bangalore"/>
    <x v="0"/>
    <n v="12"/>
    <n v="799"/>
    <n v="9588"/>
    <s v="DSL"/>
    <d v="2024-09-21T00:00:00"/>
    <s v="No"/>
    <s v="No"/>
    <s v="No"/>
    <s v="No"/>
    <s v="No"/>
    <s v="No"/>
  </r>
  <r>
    <x v="685"/>
    <s v="Kavita Bose"/>
    <s v="Female"/>
    <n v="56"/>
    <s v="Kolkata"/>
    <x v="0"/>
    <n v="12"/>
    <n v="999"/>
    <n v="11988"/>
    <s v="Fiber"/>
    <d v="2024-10-01T00:00:00"/>
    <s v="No"/>
    <s v="No"/>
    <s v="No"/>
    <s v="No"/>
    <s v="No"/>
    <s v="No"/>
  </r>
  <r>
    <x v="686"/>
    <s v="Mohit Joshi"/>
    <s v="Male"/>
    <n v="47"/>
    <s v="Indore"/>
    <x v="0"/>
    <n v="5"/>
    <n v="1149"/>
    <n v="5745"/>
    <s v="Fiber"/>
    <d v="2025-04-17T00:00:00"/>
    <s v="Yes"/>
    <s v="No"/>
    <s v="No"/>
    <s v="Yes"/>
    <s v="No"/>
    <s v="No"/>
  </r>
  <r>
    <x v="687"/>
    <s v="Neha Desai"/>
    <s v="Female"/>
    <n v="37"/>
    <s v="Bangalore"/>
    <x v="2"/>
    <n v="39"/>
    <n v="999"/>
    <n v="38961"/>
    <s v="Fiber"/>
    <d v="2022-06-28T00:00:00"/>
    <s v="No"/>
    <s v="No"/>
    <s v="No"/>
    <s v="No"/>
    <s v="No"/>
    <s v="No"/>
  </r>
  <r>
    <x v="688"/>
    <s v="Sachin Kumar"/>
    <s v="Male"/>
    <n v="20"/>
    <s v="Jaipur"/>
    <x v="0"/>
    <n v="4"/>
    <n v="1199"/>
    <n v="4796"/>
    <s v="Fiber"/>
    <d v="2025-05-20T00:00:00"/>
    <s v="No"/>
    <s v="No"/>
    <s v="No"/>
    <s v="No"/>
    <s v="No"/>
    <s v="No"/>
  </r>
  <r>
    <x v="689"/>
    <s v="Tanvi Kumar"/>
    <s v="Unknown"/>
    <n v="67"/>
    <s v="Jaipur"/>
    <x v="0"/>
    <n v="15"/>
    <n v="1299"/>
    <n v="19485"/>
    <s v="Fiber"/>
    <d v="2024-07-04T00:00:00"/>
    <s v="No"/>
    <s v="No"/>
    <s v="No"/>
    <s v="No"/>
    <s v="No"/>
    <s v="No"/>
  </r>
  <r>
    <x v="690"/>
    <s v="Unknown"/>
    <s v="Male"/>
    <n v="37"/>
    <s v="Pune"/>
    <x v="1"/>
    <n v="29"/>
    <n v="1299"/>
    <n v="37671"/>
    <s v="Fiber"/>
    <d v="2023-04-13T00:00:00"/>
    <s v="No"/>
    <s v="No"/>
    <s v="No"/>
    <s v="No"/>
    <s v="No"/>
    <s v="No"/>
  </r>
  <r>
    <x v="691"/>
    <s v="Sanjay Gupta"/>
    <s v="Male"/>
    <n v="23"/>
    <s v="Bhopal"/>
    <x v="2"/>
    <n v="14"/>
    <n v="749"/>
    <n v="10486"/>
    <s v="DSL"/>
    <d v="2024-08-01T00:00:00"/>
    <s v="Yes"/>
    <s v="No"/>
    <s v="No"/>
    <s v="No"/>
    <s v="No"/>
    <s v="No"/>
  </r>
  <r>
    <x v="692"/>
    <s v="Arjun Chopra"/>
    <s v="Male"/>
    <n v="48"/>
    <s v="Ahmedabad"/>
    <x v="1"/>
    <n v="39"/>
    <n v="449"/>
    <n v="17511"/>
    <s v="No Internet"/>
    <d v="2022-06-27T00:00:00"/>
    <s v="No"/>
    <s v="No"/>
    <s v="No"/>
    <s v="No"/>
    <s v="No"/>
    <s v="No"/>
  </r>
  <r>
    <x v="693"/>
    <s v="Divya Iyer"/>
    <s v="Female"/>
    <n v="47"/>
    <s v="Bangalore"/>
    <x v="0"/>
    <n v="1"/>
    <n v="849"/>
    <n v="849"/>
    <s v="DSL"/>
    <d v="2025-08-09T00:00:00"/>
    <s v="Yes"/>
    <s v="Yes"/>
    <s v="No"/>
    <s v="No"/>
    <s v="No"/>
    <s v="No"/>
  </r>
  <r>
    <x v="694"/>
    <s v="Manish Tiwari"/>
    <s v="Male"/>
    <n v="71"/>
    <s v="Indore"/>
    <x v="2"/>
    <n v="12"/>
    <n v="1299"/>
    <n v="15588"/>
    <s v="Fiber"/>
    <d v="2024-09-20T00:00:00"/>
    <s v="No"/>
    <s v="No"/>
    <s v="No"/>
    <s v="No"/>
    <s v="No"/>
    <s v="No"/>
  </r>
  <r>
    <x v="695"/>
    <s v="Karan Gupta"/>
    <s v="Male"/>
    <n v="75"/>
    <s v="Bangalore"/>
    <x v="3"/>
    <n v="32"/>
    <n v="899"/>
    <n v="28768"/>
    <s v="Unknown"/>
    <d v="2023-02-05T00:00:00"/>
    <s v="No"/>
    <s v="No"/>
    <s v="No"/>
    <s v="No"/>
    <s v="No"/>
    <s v="No"/>
  </r>
  <r>
    <x v="696"/>
    <s v="Tanvi Rao"/>
    <s v="Female"/>
    <n v="21"/>
    <s v="Pune"/>
    <x v="0"/>
    <n v="23"/>
    <n v="1099"/>
    <n v="25277"/>
    <s v="Fiber"/>
    <d v="2023-10-20T00:00:00"/>
    <s v="No"/>
    <s v="No"/>
    <s v="No"/>
    <s v="No"/>
    <s v="No"/>
    <s v="No"/>
  </r>
  <r>
    <x v="697"/>
    <s v="Sneha Desai"/>
    <s v="Female"/>
    <n v="43"/>
    <s v="Ahmedabad"/>
    <x v="0"/>
    <n v="22"/>
    <n v="1299"/>
    <n v="28578"/>
    <s v="Fiber"/>
    <d v="2023-12-07T00:00:00"/>
    <s v="Yes"/>
    <s v="No"/>
    <s v="No"/>
    <s v="No"/>
    <s v="No"/>
    <s v="No"/>
  </r>
  <r>
    <x v="698"/>
    <s v="Vivek Bose"/>
    <s v="Male"/>
    <n v="38"/>
    <s v="Jaipur"/>
    <x v="0"/>
    <n v="14"/>
    <n v="499"/>
    <n v="6986"/>
    <s v="No Internet"/>
    <d v="2024-07-15T00:00:00"/>
    <s v="Unknown"/>
    <s v="No"/>
    <s v="No"/>
    <s v="No"/>
    <s v="No"/>
    <s v="Churn unknown"/>
  </r>
  <r>
    <x v="699"/>
    <s v="Shreya Pandey"/>
    <s v="Female"/>
    <n v="45"/>
    <s v="Delhi"/>
    <x v="0"/>
    <n v="16"/>
    <n v="1099"/>
    <n v="17584"/>
    <s v="Fiber"/>
    <d v="2024-05-18T00:00:00"/>
    <s v="No"/>
    <s v="No"/>
    <s v="No"/>
    <s v="No"/>
    <s v="No"/>
    <s v="No"/>
  </r>
  <r>
    <x v="700"/>
    <s v="Riya Pandey"/>
    <s v="Female"/>
    <n v="60"/>
    <s v="Ahmedabad"/>
    <x v="0"/>
    <n v="23"/>
    <n v="749"/>
    <n v="17227"/>
    <s v="DSL"/>
    <m/>
    <s v="No"/>
    <s v="No"/>
    <s v="No"/>
    <s v="No"/>
    <s v="No"/>
    <s v="Date missing"/>
  </r>
  <r>
    <x v="701"/>
    <s v="Pankaj Mehta"/>
    <s v="Male"/>
    <n v="36"/>
    <s v="Bhopal"/>
    <x v="1"/>
    <n v="9"/>
    <n v="999"/>
    <n v="8991"/>
    <s v="Fiber"/>
    <d v="2024-12-29T00:00:00"/>
    <s v="No"/>
    <s v="No"/>
    <s v="No"/>
    <s v="No"/>
    <s v="No"/>
    <s v="No"/>
  </r>
  <r>
    <x v="702"/>
    <s v="Komal Iyer"/>
    <s v="Female"/>
    <n v="33"/>
    <s v="Hyderabad"/>
    <x v="1"/>
    <n v="23"/>
    <n v="399"/>
    <n v="9177"/>
    <s v="No Internet"/>
    <d v="2023-10-12T00:00:00"/>
    <s v="No"/>
    <s v="No"/>
    <s v="No"/>
    <s v="No"/>
    <s v="No"/>
    <s v="No"/>
  </r>
  <r>
    <x v="703"/>
    <s v="Vikram Joshi"/>
    <s v="Male"/>
    <n v="45"/>
    <s v="Mumbai"/>
    <x v="1"/>
    <n v="15"/>
    <n v="749"/>
    <n v="11235"/>
    <s v="DSL"/>
    <d v="2024-06-11T00:00:00"/>
    <s v="No"/>
    <s v="No"/>
    <s v="No"/>
    <s v="No"/>
    <s v="No"/>
    <s v="No"/>
  </r>
  <r>
    <x v="704"/>
    <s v="Sachin Malhotra"/>
    <s v="Male"/>
    <n v="75"/>
    <s v="Bangalore"/>
    <x v="2"/>
    <n v="14"/>
    <n v="499"/>
    <n v="6986"/>
    <s v="No Internet"/>
    <d v="2024-07-09T00:00:00"/>
    <s v="No"/>
    <s v="No"/>
    <s v="No"/>
    <s v="No"/>
    <s v="No"/>
    <s v="No"/>
  </r>
  <r>
    <x v="705"/>
    <s v="Karan Yadav"/>
    <s v="Male"/>
    <n v="57"/>
    <s v="Kochi"/>
    <x v="2"/>
    <n v="72"/>
    <n v="599"/>
    <n v="43128"/>
    <s v="DSL"/>
    <d v="2019-10-27T00:00:00"/>
    <s v="No"/>
    <s v="No"/>
    <s v="No"/>
    <s v="No"/>
    <s v="No"/>
    <s v="No"/>
  </r>
  <r>
    <x v="706"/>
    <s v="Aman Gupta"/>
    <s v="Male"/>
    <n v="64"/>
    <s v="Chennai"/>
    <x v="1"/>
    <n v="32"/>
    <n v="1299"/>
    <n v="41568"/>
    <s v="Fiber"/>
    <d v="2023-01-31T00:00:00"/>
    <s v="Yes"/>
    <s v="No"/>
    <s v="No"/>
    <s v="No"/>
    <s v="No"/>
    <s v="No"/>
  </r>
  <r>
    <x v="707"/>
    <s v="Pooja Reddy"/>
    <s v="Female"/>
    <n v="72"/>
    <s v="Hyderabad"/>
    <x v="0"/>
    <n v="1"/>
    <n v="1299"/>
    <n v="1299"/>
    <s v="Fiber"/>
    <d v="2025-08-13T00:00:00"/>
    <s v="Yes"/>
    <s v="No"/>
    <s v="No"/>
    <s v="No"/>
    <s v="No"/>
    <s v="No"/>
  </r>
  <r>
    <x v="708"/>
    <s v="Vikram Malhotra"/>
    <s v="Male"/>
    <n v="41"/>
    <s v="Unknown"/>
    <x v="1"/>
    <n v="16"/>
    <n v="1299"/>
    <n v="20784"/>
    <s v="Fiber"/>
    <d v="2024-05-29T00:00:00"/>
    <s v="No"/>
    <s v="No"/>
    <s v="No"/>
    <s v="No"/>
    <s v="No"/>
    <s v="No"/>
  </r>
  <r>
    <x v="709"/>
    <s v="Vivek Tiwari"/>
    <s v="Male"/>
    <n v="44"/>
    <s v="Ahmedabad"/>
    <x v="2"/>
    <n v="47"/>
    <n v="1099"/>
    <n v="51653"/>
    <s v="Fiber"/>
    <d v="2021-10-27T00:00:00"/>
    <s v="No"/>
    <s v="No"/>
    <s v="No"/>
    <s v="No"/>
    <s v="No"/>
    <s v="No"/>
  </r>
  <r>
    <x v="710"/>
    <s v="Unknown"/>
    <s v="Male"/>
    <n v="38"/>
    <s v="Kolkata"/>
    <x v="2"/>
    <n v="8"/>
    <n v="749"/>
    <n v="5992"/>
    <s v="DSL"/>
    <d v="2025-01-11T00:00:00"/>
    <s v="No"/>
    <s v="No"/>
    <s v="No"/>
    <s v="No"/>
    <s v="No"/>
    <s v="No"/>
  </r>
  <r>
    <x v="711"/>
    <s v="Rajesh Verma"/>
    <s v="Male"/>
    <n v="58"/>
    <s v="Bhopal"/>
    <x v="1"/>
    <n v="19"/>
    <n v="549"/>
    <n v="10431"/>
    <s v="No Internet"/>
    <m/>
    <s v="No"/>
    <s v="No"/>
    <s v="No"/>
    <s v="No"/>
    <s v="No"/>
    <s v="Date missing"/>
  </r>
  <r>
    <x v="712"/>
    <s v="Isha Sharma"/>
    <s v="Female"/>
    <n v="47"/>
    <s v="Chennai"/>
    <x v="2"/>
    <n v="19"/>
    <n v="1099"/>
    <n v="20881"/>
    <s v="Fiber"/>
    <d v="2024-02-08T00:00:00"/>
    <s v="No"/>
    <s v="Yes"/>
    <s v="No"/>
    <s v="No"/>
    <s v="No"/>
    <s v="No"/>
  </r>
  <r>
    <x v="713"/>
    <s v="Isha Chopra"/>
    <s v="Female"/>
    <n v="43"/>
    <s v="Kochi"/>
    <x v="0"/>
    <n v="2"/>
    <n v="799"/>
    <n v="1598"/>
    <s v="DSL"/>
    <d v="2025-07-07T00:00:00"/>
    <s v="No"/>
    <s v="No"/>
    <s v="No"/>
    <s v="No"/>
    <s v="No"/>
    <s v="No"/>
  </r>
  <r>
    <x v="714"/>
    <s v="Mohit Mishra"/>
    <s v="Male"/>
    <n v="36"/>
    <s v="Hyderabad"/>
    <x v="0"/>
    <n v="17"/>
    <n v="1299"/>
    <n v="22083"/>
    <s v="Unknown"/>
    <d v="2024-04-08T00:00:00"/>
    <s v="Yes"/>
    <s v="No"/>
    <s v="No"/>
    <s v="No"/>
    <s v="No"/>
    <s v="No"/>
  </r>
  <r>
    <x v="715"/>
    <s v="Ritu Iyer"/>
    <s v="Female"/>
    <n v="64"/>
    <s v="Kolkata"/>
    <x v="2"/>
    <n v="8"/>
    <n v="899"/>
    <n v="7192"/>
    <s v="DSL"/>
    <d v="2025-01-20T00:00:00"/>
    <s v="No"/>
    <s v="No"/>
    <s v="No"/>
    <s v="No"/>
    <s v="No"/>
    <s v="No"/>
  </r>
  <r>
    <x v="716"/>
    <s v="Amit Chopra"/>
    <s v="Male"/>
    <n v="25"/>
    <s v="Ahmedabad"/>
    <x v="0"/>
    <n v="15"/>
    <n v="999"/>
    <n v="14985"/>
    <s v="Fiber"/>
    <d v="2024-06-07T00:00:00"/>
    <s v="No"/>
    <s v="No"/>
    <s v="No"/>
    <s v="No"/>
    <s v="No"/>
    <s v="No"/>
  </r>
  <r>
    <x v="717"/>
    <s v="Aman Iyer"/>
    <s v="Male"/>
    <n v="36"/>
    <s v="Indore"/>
    <x v="1"/>
    <n v="9"/>
    <n v="1099"/>
    <n v="9891"/>
    <s v="Fiber"/>
    <d v="2024-12-29T00:00:00"/>
    <s v="No"/>
    <s v="No"/>
    <s v="No"/>
    <s v="No"/>
    <s v="No"/>
    <s v="No"/>
  </r>
  <r>
    <x v="718"/>
    <s v="Payal Bose"/>
    <s v="Female"/>
    <n v="30"/>
    <s v="Chandigarh"/>
    <x v="1"/>
    <n v="10"/>
    <n v="1099"/>
    <n v="10990"/>
    <s v="Fiber"/>
    <d v="2024-12-01T00:00:00"/>
    <s v="Yes"/>
    <s v="No"/>
    <s v="No"/>
    <s v="No"/>
    <s v="No"/>
    <s v="No"/>
  </r>
  <r>
    <x v="719"/>
    <s v="Pooja Desai"/>
    <s v="Unknown"/>
    <n v="31"/>
    <s v="Ahmedabad"/>
    <x v="0"/>
    <n v="13"/>
    <n v="1149"/>
    <n v="14937"/>
    <s v="Fiber"/>
    <d v="2024-08-07T00:00:00"/>
    <s v="No"/>
    <s v="No"/>
    <s v="No"/>
    <s v="No"/>
    <s v="No"/>
    <s v="No"/>
  </r>
  <r>
    <x v="720"/>
    <s v="Tanvi Desai"/>
    <s v="Female"/>
    <n v="58"/>
    <s v="Kolkata"/>
    <x v="2"/>
    <n v="63"/>
    <n v="1099"/>
    <n v="69237"/>
    <s v="Fiber"/>
    <d v="2020-07-22T00:00:00"/>
    <s v="No"/>
    <s v="No"/>
    <s v="No"/>
    <s v="No"/>
    <s v="No"/>
    <s v="No"/>
  </r>
  <r>
    <x v="721"/>
    <s v="Shreya Singh"/>
    <s v="Female"/>
    <n v="63"/>
    <s v="Jaipur"/>
    <x v="2"/>
    <n v="28"/>
    <n v="749"/>
    <n v="20972"/>
    <s v="DSL"/>
    <d v="2023-05-25T00:00:00"/>
    <s v="No"/>
    <s v="No"/>
    <s v="No"/>
    <s v="No"/>
    <s v="No"/>
    <s v="No"/>
  </r>
  <r>
    <x v="722"/>
    <s v="Anjali Yadav"/>
    <s v="Female"/>
    <n v="72"/>
    <s v="Kolkata"/>
    <x v="0"/>
    <n v="10"/>
    <n v="1149"/>
    <n v="11490"/>
    <s v="Fiber"/>
    <d v="2024-11-23T00:00:00"/>
    <s v="Yes"/>
    <s v="No"/>
    <s v="No"/>
    <s v="No"/>
    <s v="No"/>
    <s v="No"/>
  </r>
  <r>
    <x v="723"/>
    <s v="Aditi Iyer"/>
    <s v="Female"/>
    <n v="49"/>
    <s v="Delhi"/>
    <x v="1"/>
    <n v="38"/>
    <n v="749"/>
    <n v="28462"/>
    <s v="DSL"/>
    <d v="2022-08-09T00:00:00"/>
    <s v="No"/>
    <s v="No"/>
    <s v="No"/>
    <s v="No"/>
    <s v="No"/>
    <s v="No"/>
  </r>
  <r>
    <x v="724"/>
    <s v="Gaurav Sharma"/>
    <s v="Male"/>
    <n v="25"/>
    <s v="Jaipur"/>
    <x v="0"/>
    <n v="14"/>
    <n v="449"/>
    <n v="6286"/>
    <s v="No Internet"/>
    <d v="2024-07-07T00:00:00"/>
    <s v="No"/>
    <s v="No"/>
    <s v="No"/>
    <s v="No"/>
    <s v="No"/>
    <s v="No"/>
  </r>
  <r>
    <x v="725"/>
    <s v="Divya Desai"/>
    <s v="Female"/>
    <n v="71"/>
    <s v="Bhopal"/>
    <x v="2"/>
    <n v="18"/>
    <n v="799"/>
    <n v="14382"/>
    <s v="DSL"/>
    <d v="2024-03-16T00:00:00"/>
    <s v="No"/>
    <s v="No"/>
    <s v="No"/>
    <s v="No"/>
    <s v="No"/>
    <s v="No"/>
  </r>
  <r>
    <x v="726"/>
    <s v="Pooja Agarwal"/>
    <s v="Female"/>
    <n v="38"/>
    <s v="Mumbai"/>
    <x v="1"/>
    <n v="27"/>
    <n v="999"/>
    <n v="26973"/>
    <s v="Fiber"/>
    <d v="2023-07-10T00:00:00"/>
    <s v="Unknown"/>
    <s v="No"/>
    <s v="No"/>
    <s v="No"/>
    <s v="No"/>
    <s v="Churn unknown"/>
  </r>
  <r>
    <x v="727"/>
    <s v="Kavita Chopra"/>
    <s v="Female"/>
    <n v="23"/>
    <s v="Chandigarh"/>
    <x v="0"/>
    <n v="21"/>
    <n v="899"/>
    <n v="18879"/>
    <s v="DSL"/>
    <m/>
    <s v="No"/>
    <s v="No"/>
    <s v="No"/>
    <s v="No"/>
    <s v="No"/>
    <s v="Date missing"/>
  </r>
  <r>
    <x v="728"/>
    <s v="Sanjay Yadav"/>
    <s v="Male"/>
    <n v="52"/>
    <s v="Lucknow"/>
    <x v="3"/>
    <n v="34"/>
    <n v="499"/>
    <n v="16966"/>
    <s v="No Internet"/>
    <d v="2022-12-13T00:00:00"/>
    <s v="No"/>
    <s v="No"/>
    <s v="No"/>
    <s v="No"/>
    <s v="No"/>
    <s v="No"/>
  </r>
  <r>
    <x v="729"/>
    <s v="Sachin Gupta"/>
    <s v="Male"/>
    <n v="19"/>
    <s v="Chennai"/>
    <x v="1"/>
    <n v="38"/>
    <n v="749"/>
    <n v="28462"/>
    <s v="DSL"/>
    <d v="2022-08-03T00:00:00"/>
    <s v="No"/>
    <s v="No"/>
    <s v="No"/>
    <s v="No"/>
    <s v="No"/>
    <s v="No"/>
  </r>
  <r>
    <x v="730"/>
    <s v="Gaurav Sharma"/>
    <s v="Male"/>
    <n v="39"/>
    <s v="Kolkata"/>
    <x v="0"/>
    <n v="17"/>
    <n v="699"/>
    <n v="11883"/>
    <s v="DSL"/>
    <d v="2024-05-03T00:00:00"/>
    <s v="Yes"/>
    <s v="No"/>
    <s v="No"/>
    <s v="No"/>
    <s v="No"/>
    <s v="No"/>
  </r>
  <r>
    <x v="731"/>
    <s v="Harsh Singh"/>
    <s v="Male"/>
    <n v="29"/>
    <s v="Chennai"/>
    <x v="1"/>
    <n v="27"/>
    <n v="849"/>
    <n v="22923"/>
    <s v="DSL"/>
    <d v="2023-07-01T00:00:00"/>
    <s v="No"/>
    <s v="No"/>
    <s v="Yes"/>
    <s v="No"/>
    <s v="No"/>
    <s v="No"/>
  </r>
  <r>
    <x v="732"/>
    <s v="Rahul Pandey"/>
    <s v="Male"/>
    <n v="21"/>
    <s v="Chennai"/>
    <x v="0"/>
    <n v="14"/>
    <n v="699"/>
    <n v="9786"/>
    <s v="DSL"/>
    <d v="2024-07-07T00:00:00"/>
    <s v="No"/>
    <s v="No"/>
    <s v="No"/>
    <s v="No"/>
    <s v="No"/>
    <s v="No"/>
  </r>
  <r>
    <x v="733"/>
    <s v="Amit Mehta"/>
    <s v="Male"/>
    <n v="33"/>
    <s v="Kochi"/>
    <x v="1"/>
    <n v="33"/>
    <n v="899"/>
    <n v="29667"/>
    <s v="DSL"/>
    <d v="2023-01-04T00:00:00"/>
    <s v="Unknown"/>
    <s v="No"/>
    <s v="No"/>
    <s v="No"/>
    <s v="No"/>
    <s v="Churn unknown"/>
  </r>
  <r>
    <x v="734"/>
    <s v="Nikhil Kapoor"/>
    <s v="Male"/>
    <n v="53"/>
    <s v="Kolkata"/>
    <x v="0"/>
    <n v="21"/>
    <n v="649"/>
    <n v="13629"/>
    <s v="DSL"/>
    <d v="2023-12-20T00:00:00"/>
    <s v="No"/>
    <s v="No"/>
    <s v="No"/>
    <s v="No"/>
    <s v="No"/>
    <s v="No"/>
  </r>
  <r>
    <x v="735"/>
    <s v="Manish Mishra"/>
    <s v="Male"/>
    <n v="59"/>
    <s v="Kochi"/>
    <x v="0"/>
    <n v="15"/>
    <n v="1299"/>
    <n v="19485"/>
    <s v="Fiber"/>
    <d v="2024-07-01T00:00:00"/>
    <s v="Yes"/>
    <s v="No"/>
    <s v="No"/>
    <s v="Yes"/>
    <s v="No"/>
    <s v="No"/>
  </r>
  <r>
    <x v="736"/>
    <s v="Sonal Gupta"/>
    <s v="Female"/>
    <n v="68"/>
    <s v="Hyderabad"/>
    <x v="0"/>
    <n v="18"/>
    <n v="899"/>
    <n v="16182"/>
    <s v="Fiber"/>
    <d v="2024-03-11T00:00:00"/>
    <s v="No"/>
    <s v="No"/>
    <s v="No"/>
    <s v="No"/>
    <s v="No"/>
    <s v="No"/>
  </r>
  <r>
    <x v="737"/>
    <s v="Meera Sharma"/>
    <s v="Female"/>
    <n v="21"/>
    <s v="Ahmedabad"/>
    <x v="0"/>
    <n v="22"/>
    <n v="749"/>
    <n v="16478"/>
    <s v="DSL"/>
    <d v="2023-11-22T00:00:00"/>
    <s v="No"/>
    <s v="No"/>
    <s v="No"/>
    <s v="No"/>
    <s v="No"/>
    <s v="No"/>
  </r>
  <r>
    <x v="738"/>
    <s v="Sneha Gupta"/>
    <s v="Female"/>
    <n v="65"/>
    <s v="Jaipur"/>
    <x v="1"/>
    <n v="26"/>
    <n v="849"/>
    <n v="22074"/>
    <s v="DSL"/>
    <d v="2023-08-02T00:00:00"/>
    <s v="No"/>
    <s v="No"/>
    <s v="Yes"/>
    <s v="No"/>
    <s v="No"/>
    <s v="No"/>
  </r>
  <r>
    <x v="739"/>
    <s v="Deepika Yadav"/>
    <s v="Female"/>
    <n v="50"/>
    <s v="Kochi"/>
    <x v="0"/>
    <n v="11"/>
    <n v="1049"/>
    <n v="11539"/>
    <s v="Fiber"/>
    <d v="2024-10-12T00:00:00"/>
    <s v="Yes"/>
    <s v="No"/>
    <s v="No"/>
    <s v="No"/>
    <s v="No"/>
    <s v="No"/>
  </r>
  <r>
    <x v="740"/>
    <s v="Swati Mehta"/>
    <s v="Female"/>
    <n v="47"/>
    <s v="Lucknow"/>
    <x v="0"/>
    <n v="5"/>
    <n v="549"/>
    <n v="2745"/>
    <s v="No Internet"/>
    <d v="2025-04-03T00:00:00"/>
    <s v="Yes"/>
    <s v="No"/>
    <s v="No"/>
    <s v="No"/>
    <s v="No"/>
    <s v="No"/>
  </r>
  <r>
    <x v="741"/>
    <s v="Arjun Tiwari"/>
    <s v="Male"/>
    <n v="53"/>
    <s v="Bhopal"/>
    <x v="1"/>
    <n v="35"/>
    <n v="1299"/>
    <n v="45465"/>
    <s v="Fiber"/>
    <d v="2022-10-16T00:00:00"/>
    <s v="No"/>
    <s v="No"/>
    <s v="No"/>
    <s v="No"/>
    <s v="No"/>
    <s v="No"/>
  </r>
  <r>
    <x v="742"/>
    <s v="Anjali Patel"/>
    <s v="Female"/>
    <n v="70"/>
    <s v="Kolkata"/>
    <x v="3"/>
    <m/>
    <m/>
    <n v="29877"/>
    <s v="Fiber"/>
    <d v="2023-10-28T00:00:00"/>
    <s v="No"/>
    <s v="No"/>
    <s v="No"/>
    <s v="No"/>
    <s v="No"/>
    <s v="Monthly missing; Tenure missing"/>
  </r>
  <r>
    <x v="743"/>
    <s v="Ankit Sharma"/>
    <s v="Male"/>
    <n v="32"/>
    <s v="Unknown"/>
    <x v="0"/>
    <n v="23"/>
    <n v="699"/>
    <n v="16077"/>
    <s v="DSL"/>
    <d v="2023-10-19T00:00:00"/>
    <s v="No"/>
    <s v="No"/>
    <s v="No"/>
    <s v="No"/>
    <s v="No"/>
    <s v="No"/>
  </r>
  <r>
    <x v="744"/>
    <s v="Ritu Nair"/>
    <s v="Female"/>
    <n v="49"/>
    <s v="Pune"/>
    <x v="0"/>
    <n v="23"/>
    <n v="1149"/>
    <n v="26427"/>
    <s v="Fiber"/>
    <d v="2023-10-13T00:00:00"/>
    <s v="Yes"/>
    <s v="No"/>
    <s v="No"/>
    <s v="No"/>
    <s v="Yes"/>
    <s v="No"/>
  </r>
  <r>
    <x v="745"/>
    <s v="Anjali Malhotra"/>
    <s v="Female"/>
    <n v="54"/>
    <s v="Jaipur"/>
    <x v="0"/>
    <n v="22"/>
    <n v="1149"/>
    <n v="25278"/>
    <s v="Fiber"/>
    <d v="2023-12-06T00:00:00"/>
    <s v="No"/>
    <s v="No"/>
    <s v="No"/>
    <s v="No"/>
    <s v="No"/>
    <s v="No"/>
  </r>
  <r>
    <x v="746"/>
    <s v="Vikram Singh"/>
    <s v="Male"/>
    <n v="34"/>
    <s v="Lucknow"/>
    <x v="2"/>
    <n v="36"/>
    <n v="349"/>
    <n v="12564"/>
    <s v="No Internet"/>
    <d v="2022-09-22T00:00:00"/>
    <s v="No"/>
    <s v="No"/>
    <s v="No"/>
    <s v="No"/>
    <s v="No"/>
    <s v="No"/>
  </r>
  <r>
    <x v="747"/>
    <s v="Sonal Kapoor"/>
    <s v="Female"/>
    <n v="18"/>
    <s v="Kolkata"/>
    <x v="1"/>
    <n v="4"/>
    <n v="499"/>
    <n v="1996"/>
    <s v="No Internet"/>
    <d v="2025-05-18T00:00:00"/>
    <s v="No"/>
    <s v="No"/>
    <s v="No"/>
    <s v="No"/>
    <s v="No"/>
    <s v="No"/>
  </r>
  <r>
    <x v="748"/>
    <s v="Anjali Saxena"/>
    <s v="Female"/>
    <n v="51"/>
    <s v="Ahmedabad"/>
    <x v="0"/>
    <n v="2"/>
    <n v="999"/>
    <n v="1998"/>
    <s v="Fiber"/>
    <d v="2025-07-17T00:00:00"/>
    <s v="Yes"/>
    <s v="No"/>
    <s v="No"/>
    <s v="No"/>
    <s v="No"/>
    <s v="No"/>
  </r>
  <r>
    <x v="749"/>
    <s v="Swati Sharma"/>
    <s v="Female"/>
    <n v="43"/>
    <s v="Hyderabad"/>
    <x v="0"/>
    <n v="1"/>
    <n v="499"/>
    <n v="499"/>
    <s v="No Internet"/>
    <d v="2025-07-31T00:00:00"/>
    <s v="No"/>
    <s v="No"/>
    <s v="No"/>
    <s v="No"/>
    <s v="No"/>
    <s v="No"/>
  </r>
  <r>
    <x v="750"/>
    <s v="Sanjay Gupta"/>
    <s v="Male"/>
    <n v="39"/>
    <s v="Chennai"/>
    <x v="0"/>
    <n v="1"/>
    <n v="1099"/>
    <n v="1099"/>
    <s v="Fiber"/>
    <d v="2025-08-09T00:00:00"/>
    <s v="Yes"/>
    <s v="No"/>
    <s v="No"/>
    <s v="No"/>
    <s v="No"/>
    <s v="No"/>
  </r>
  <r>
    <x v="751"/>
    <s v="Kavita Nair"/>
    <s v="Female"/>
    <n v="24"/>
    <s v="Ahmedabad"/>
    <x v="0"/>
    <n v="2"/>
    <n v="899"/>
    <n v="1798"/>
    <s v="DSL"/>
    <d v="2025-07-28T00:00:00"/>
    <s v="No"/>
    <s v="No"/>
    <s v="No"/>
    <s v="No"/>
    <s v="No"/>
    <s v="No"/>
  </r>
  <r>
    <x v="752"/>
    <s v="Anjali Chopra"/>
    <s v="Female"/>
    <n v="46"/>
    <s v="Lucknow"/>
    <x v="0"/>
    <n v="2"/>
    <n v="349"/>
    <n v="698"/>
    <s v="No Internet"/>
    <d v="2025-07-29T00:00:00"/>
    <s v="No"/>
    <s v="No"/>
    <s v="No"/>
    <s v="No"/>
    <s v="No"/>
    <s v="No"/>
  </r>
  <r>
    <x v="753"/>
    <s v="Sneha Iyer"/>
    <s v="Female"/>
    <n v="57"/>
    <s v="Indore"/>
    <x v="0"/>
    <n v="2"/>
    <n v="799"/>
    <n v="1598"/>
    <s v="DSL"/>
    <d v="2025-07-18T00:00:00"/>
    <s v="No"/>
    <s v="No"/>
    <s v="No"/>
    <s v="No"/>
    <s v="Yes"/>
    <s v="No"/>
  </r>
  <r>
    <x v="754"/>
    <s v="Pankaj Tiwari"/>
    <s v="Male"/>
    <n v="32"/>
    <s v="Chandigarh"/>
    <x v="1"/>
    <n v="1"/>
    <n v="1099"/>
    <n v="1099"/>
    <s v="Fiber"/>
    <d v="2025-08-01T00:00:00"/>
    <s v="No"/>
    <s v="No"/>
    <s v="No"/>
    <s v="No"/>
    <s v="No"/>
    <s v="No"/>
  </r>
  <r>
    <x v="755"/>
    <s v="Nikhil Chopra"/>
    <s v="Male"/>
    <n v="61"/>
    <s v="Kochi"/>
    <x v="0"/>
    <n v="19"/>
    <n v="899"/>
    <n v="17081"/>
    <s v="Fiber"/>
    <d v="2024-02-14T00:00:00"/>
    <s v="Yes"/>
    <s v="No"/>
    <s v="No"/>
    <s v="No"/>
    <s v="No"/>
    <s v="No"/>
  </r>
  <r>
    <x v="756"/>
    <s v="Rajesh Mehta"/>
    <s v="Male"/>
    <n v="75"/>
    <s v="Lucknow"/>
    <x v="0"/>
    <n v="12"/>
    <n v="1099"/>
    <n v="13188"/>
    <s v="Fiber"/>
    <d v="2024-09-26T00:00:00"/>
    <s v="Yes"/>
    <s v="No"/>
    <s v="No"/>
    <s v="No"/>
    <s v="No"/>
    <s v="No"/>
  </r>
  <r>
    <x v="757"/>
    <s v="Amit Verma"/>
    <s v="Male"/>
    <n v="26"/>
    <s v="Chennai"/>
    <x v="1"/>
    <n v="23"/>
    <n v="1149"/>
    <n v="26427"/>
    <s v="Fiber"/>
    <d v="2023-11-04T00:00:00"/>
    <s v="Unknown"/>
    <s v="No"/>
    <s v="No"/>
    <s v="No"/>
    <s v="No"/>
    <s v="Churn unknown"/>
  </r>
  <r>
    <x v="758"/>
    <s v="Aditi Yadav"/>
    <s v="Female"/>
    <n v="39"/>
    <s v="Chennai"/>
    <x v="0"/>
    <n v="19"/>
    <n v="849"/>
    <n v="16131"/>
    <s v="DSL"/>
    <d v="2024-02-20T00:00:00"/>
    <s v="Yes"/>
    <s v="No"/>
    <s v="No"/>
    <s v="No"/>
    <s v="No"/>
    <s v="No"/>
  </r>
  <r>
    <x v="759"/>
    <s v="Vivek Patel"/>
    <s v="Male"/>
    <n v="30"/>
    <s v="Hyderabad"/>
    <x v="1"/>
    <n v="5"/>
    <n v="699"/>
    <n v="3495"/>
    <s v="DSL"/>
    <d v="2025-04-17T00:00:00"/>
    <s v="No"/>
    <s v="No"/>
    <s v="No"/>
    <s v="No"/>
    <s v="No"/>
    <s v="No"/>
  </r>
  <r>
    <x v="760"/>
    <s v="Tanvi Bose"/>
    <s v="Female"/>
    <n v="39"/>
    <s v="Lucknow"/>
    <x v="0"/>
    <n v="4"/>
    <n v="749"/>
    <n v="2996"/>
    <s v="DSL"/>
    <d v="2025-05-02T00:00:00"/>
    <s v="Yes"/>
    <s v="No"/>
    <s v="No"/>
    <s v="No"/>
    <s v="No"/>
    <s v="No"/>
  </r>
  <r>
    <x v="761"/>
    <s v="Manish Pandey"/>
    <s v="Male"/>
    <n v="32"/>
    <s v="Ahmedabad"/>
    <x v="1"/>
    <n v="22"/>
    <n v="899"/>
    <n v="19778"/>
    <s v="DSL"/>
    <d v="2023-12-03T00:00:00"/>
    <s v="No"/>
    <s v="No"/>
    <s v="No"/>
    <s v="No"/>
    <s v="No"/>
    <s v="No"/>
  </r>
  <r>
    <x v="762"/>
    <s v="Aman Sharma"/>
    <s v="Male"/>
    <n v="22"/>
    <s v="Pune"/>
    <x v="0"/>
    <n v="10"/>
    <n v="749"/>
    <n v="7490"/>
    <s v="DSL"/>
    <d v="2024-11-21T00:00:00"/>
    <s v="No"/>
    <s v="No"/>
    <s v="No"/>
    <s v="No"/>
    <s v="No"/>
    <s v="No"/>
  </r>
  <r>
    <x v="763"/>
    <s v="Rahul Mehta"/>
    <s v="Male"/>
    <n v="30"/>
    <s v="Chennai"/>
    <x v="0"/>
    <n v="24"/>
    <n v="549"/>
    <n v="13176"/>
    <s v="No Internet"/>
    <d v="2023-10-03T00:00:00"/>
    <s v="Yes"/>
    <s v="No"/>
    <s v="No"/>
    <s v="No"/>
    <s v="No"/>
    <s v="No"/>
  </r>
  <r>
    <x v="764"/>
    <s v="Arjun Malhotra"/>
    <s v="Male"/>
    <n v="24"/>
    <s v="Delhi"/>
    <x v="2"/>
    <n v="15"/>
    <n v="699"/>
    <n v="10485"/>
    <s v="DSL"/>
    <d v="2024-06-24T00:00:00"/>
    <s v="No"/>
    <s v="No"/>
    <s v="No"/>
    <s v="No"/>
    <s v="No"/>
    <s v="No"/>
  </r>
  <r>
    <x v="765"/>
    <s v="Meera Jain"/>
    <s v="Female"/>
    <n v="69"/>
    <s v="Lucknow"/>
    <x v="2"/>
    <n v="9"/>
    <n v="399"/>
    <n v="3591"/>
    <s v="No Internet"/>
    <d v="2024-12-26T00:00:00"/>
    <s v="No"/>
    <s v="No"/>
    <s v="No"/>
    <s v="No"/>
    <s v="No"/>
    <s v="No"/>
  </r>
  <r>
    <x v="766"/>
    <s v="Isha Joshi"/>
    <s v="Female"/>
    <n v="56"/>
    <s v="Kolkata"/>
    <x v="2"/>
    <n v="6"/>
    <n v="899"/>
    <n v="5394"/>
    <s v="DSL"/>
    <d v="2025-03-15T00:00:00"/>
    <s v="No"/>
    <s v="No"/>
    <s v="Yes"/>
    <s v="No"/>
    <s v="No"/>
    <s v="No"/>
  </r>
  <r>
    <x v="767"/>
    <s v="Pooja Joshi"/>
    <s v="Female"/>
    <n v="33"/>
    <s v="Delhi"/>
    <x v="1"/>
    <n v="9"/>
    <n v="899"/>
    <n v="8091"/>
    <s v="DSL"/>
    <d v="2024-12-26T00:00:00"/>
    <s v="No"/>
    <s v="No"/>
    <s v="No"/>
    <s v="No"/>
    <s v="No"/>
    <s v="No"/>
  </r>
  <r>
    <x v="768"/>
    <s v="Gaurav Saxena"/>
    <s v="Male"/>
    <n v="57"/>
    <s v="Mumbai"/>
    <x v="0"/>
    <n v="21"/>
    <n v="1149"/>
    <n v="24129"/>
    <s v="Fiber"/>
    <d v="2023-12-24T00:00:00"/>
    <s v="No"/>
    <s v="No"/>
    <s v="No"/>
    <s v="No"/>
    <s v="No"/>
    <s v="No"/>
  </r>
  <r>
    <x v="769"/>
    <s v="Nikhil Pandey"/>
    <s v="Male"/>
    <n v="41"/>
    <s v="Jaipur"/>
    <x v="1"/>
    <n v="32"/>
    <n v="1049"/>
    <n v="33568"/>
    <s v="Fiber"/>
    <d v="2023-01-13T00:00:00"/>
    <s v="No"/>
    <s v="No"/>
    <s v="No"/>
    <s v="No"/>
    <s v="No"/>
    <s v="No"/>
  </r>
  <r>
    <x v="770"/>
    <s v="Sanjay Nair"/>
    <s v="Male"/>
    <n v="75"/>
    <s v="Hyderabad"/>
    <x v="0"/>
    <n v="7"/>
    <n v="699"/>
    <n v="4893"/>
    <s v="DSL"/>
    <d v="2025-02-01T00:00:00"/>
    <s v="No"/>
    <s v="No"/>
    <s v="No"/>
    <s v="No"/>
    <s v="No"/>
    <s v="No"/>
  </r>
  <r>
    <x v="771"/>
    <s v="Kavita Mishra"/>
    <s v="Female"/>
    <n v="23"/>
    <s v="Bangalore"/>
    <x v="1"/>
    <n v="34"/>
    <n v="699"/>
    <n v="23766"/>
    <s v="DSL"/>
    <d v="2022-11-27T00:00:00"/>
    <s v="Yes"/>
    <s v="No"/>
    <s v="No"/>
    <s v="No"/>
    <s v="Yes"/>
    <s v="No"/>
  </r>
  <r>
    <x v="772"/>
    <s v="Nisha Kapoor"/>
    <s v="Female"/>
    <n v="47"/>
    <s v="Kolkata"/>
    <x v="0"/>
    <n v="11"/>
    <n v="349"/>
    <n v="3839"/>
    <s v="No Internet"/>
    <d v="2024-10-26T00:00:00"/>
    <s v="Yes"/>
    <s v="No"/>
    <s v="No"/>
    <s v="No"/>
    <s v="Yes"/>
    <s v="No"/>
  </r>
  <r>
    <x v="773"/>
    <s v="Neha Patel"/>
    <s v="Female"/>
    <n v="75"/>
    <s v="Mumbai"/>
    <x v="0"/>
    <n v="18"/>
    <n v="899"/>
    <n v="16182"/>
    <s v="Fiber"/>
    <d v="2024-04-03T00:00:00"/>
    <s v="No"/>
    <s v="No"/>
    <s v="No"/>
    <s v="No"/>
    <s v="No"/>
    <s v="No"/>
  </r>
  <r>
    <x v="774"/>
    <s v="Vikram Patel"/>
    <s v="Male"/>
    <n v="20"/>
    <s v="Jaipur"/>
    <x v="0"/>
    <n v="11"/>
    <n v="699"/>
    <n v="7689"/>
    <s v="DSL"/>
    <d v="2024-10-14T00:00:00"/>
    <s v="Yes"/>
    <s v="No"/>
    <s v="No"/>
    <s v="No"/>
    <s v="No"/>
    <s v="No"/>
  </r>
  <r>
    <x v="775"/>
    <s v="Sachin Malhotra"/>
    <s v="Male"/>
    <n v="18"/>
    <s v="Kochi"/>
    <x v="0"/>
    <n v="13"/>
    <n v="549"/>
    <n v="7137"/>
    <s v="No Internet"/>
    <d v="2024-09-03T00:00:00"/>
    <s v="No"/>
    <s v="No"/>
    <s v="No"/>
    <s v="No"/>
    <s v="No"/>
    <s v="No"/>
  </r>
  <r>
    <x v="776"/>
    <s v="Payal Singh"/>
    <s v="Female"/>
    <n v="73"/>
    <s v="Kolkata"/>
    <x v="0"/>
    <n v="7"/>
    <n v="999"/>
    <n v="6993"/>
    <s v="Fiber"/>
    <d v="2025-02-13T00:00:00"/>
    <s v="No"/>
    <s v="No"/>
    <s v="No"/>
    <s v="No"/>
    <s v="No"/>
    <s v="No"/>
  </r>
  <r>
    <x v="777"/>
    <s v="Shreya Joshi"/>
    <s v="Female"/>
    <n v="68"/>
    <s v="Mumbai"/>
    <x v="0"/>
    <n v="23"/>
    <n v="749"/>
    <n v="17227"/>
    <s v="DSL"/>
    <d v="2023-10-22T00:00:00"/>
    <s v="No"/>
    <s v="No"/>
    <s v="No"/>
    <s v="Yes"/>
    <s v="No"/>
    <s v="No"/>
  </r>
  <r>
    <x v="778"/>
    <s v="Aman Singh"/>
    <s v="Male"/>
    <n v="54"/>
    <s v="Chandigarh"/>
    <x v="0"/>
    <n v="1"/>
    <n v="449"/>
    <n v="449"/>
    <s v="No Internet"/>
    <d v="2025-08-16T00:00:00"/>
    <s v="Yes"/>
    <s v="No"/>
    <s v="No"/>
    <s v="No"/>
    <s v="No"/>
    <s v="No"/>
  </r>
  <r>
    <x v="779"/>
    <s v="Divya Pandey"/>
    <s v="Female"/>
    <n v="52"/>
    <s v="Unknown"/>
    <x v="0"/>
    <n v="2"/>
    <n v="649"/>
    <n v="1298"/>
    <s v="DSL"/>
    <d v="2025-07-05T00:00:00"/>
    <s v="Yes"/>
    <s v="No"/>
    <s v="No"/>
    <s v="No"/>
    <s v="No"/>
    <s v="No"/>
  </r>
  <r>
    <x v="780"/>
    <s v="Divya Mehta"/>
    <s v="Female"/>
    <n v="43"/>
    <s v="Mumbai"/>
    <x v="0"/>
    <n v="4"/>
    <n v="699"/>
    <n v="2796"/>
    <s v="DSL"/>
    <d v="2025-05-22T00:00:00"/>
    <s v="No"/>
    <s v="No"/>
    <s v="No"/>
    <s v="No"/>
    <s v="No"/>
    <s v="No"/>
  </r>
  <r>
    <x v="781"/>
    <s v="Arjun Reddy"/>
    <s v="Male"/>
    <n v="61"/>
    <s v="Jaipur"/>
    <x v="0"/>
    <n v="20"/>
    <n v="399"/>
    <n v="7980"/>
    <s v="No Internet"/>
    <d v="2024-01-08T00:00:00"/>
    <s v="Yes"/>
    <s v="No"/>
    <s v="No"/>
    <s v="No"/>
    <s v="No"/>
    <s v="No"/>
  </r>
  <r>
    <x v="782"/>
    <s v="Aditi Mehta"/>
    <s v="Female"/>
    <n v="32"/>
    <s v="Chennai"/>
    <x v="1"/>
    <n v="4"/>
    <n v="699"/>
    <n v="2796"/>
    <s v="DSL"/>
    <d v="2025-05-04T00:00:00"/>
    <s v="Yes"/>
    <s v="No"/>
    <s v="No"/>
    <s v="No"/>
    <s v="No"/>
    <s v="No"/>
  </r>
  <r>
    <x v="783"/>
    <s v="Divya Gupta"/>
    <s v="Female"/>
    <n v="25"/>
    <s v="Bangalore"/>
    <x v="0"/>
    <n v="3"/>
    <n v="1299"/>
    <n v="3897"/>
    <s v="Fiber"/>
    <d v="2025-06-24T00:00:00"/>
    <s v="Yes"/>
    <s v="No"/>
    <s v="No"/>
    <s v="No"/>
    <s v="No"/>
    <s v="No"/>
  </r>
  <r>
    <x v="784"/>
    <s v="Nisha Pandey"/>
    <s v="Female"/>
    <n v="60"/>
    <s v="Ahmedabad"/>
    <x v="0"/>
    <n v="10"/>
    <n v="999"/>
    <n v="9990"/>
    <s v="Fiber"/>
    <d v="2024-11-18T00:00:00"/>
    <s v="No"/>
    <s v="No"/>
    <s v="No"/>
    <s v="No"/>
    <s v="No"/>
    <s v="No"/>
  </r>
  <r>
    <x v="785"/>
    <s v="Deepika Sharma"/>
    <s v="Female"/>
    <n v="27"/>
    <s v="Ahmedabad"/>
    <x v="0"/>
    <n v="8"/>
    <n v="1049"/>
    <n v="8392"/>
    <s v="Fiber"/>
    <d v="2025-01-17T00:00:00"/>
    <s v="No"/>
    <s v="No"/>
    <s v="No"/>
    <s v="No"/>
    <s v="Yes"/>
    <s v="No"/>
  </r>
  <r>
    <x v="786"/>
    <s v="Tanvi Verma"/>
    <s v="Female"/>
    <n v="65"/>
    <s v="Mumbai"/>
    <x v="0"/>
    <n v="15"/>
    <n v="449"/>
    <n v="6735"/>
    <s v="No Internet"/>
    <d v="2024-06-09T00:00:00"/>
    <s v="Yes"/>
    <s v="No"/>
    <s v="Yes"/>
    <s v="No"/>
    <s v="No"/>
    <s v="No"/>
  </r>
  <r>
    <x v="787"/>
    <s v="Vivek Nair"/>
    <s v="Male"/>
    <n v="29"/>
    <s v="Unknown"/>
    <x v="1"/>
    <n v="12"/>
    <n v="1149"/>
    <n v="13788"/>
    <s v="Fiber"/>
    <d v="2024-10-02T00:00:00"/>
    <s v="No"/>
    <s v="No"/>
    <s v="No"/>
    <s v="No"/>
    <s v="No"/>
    <s v="No"/>
  </r>
  <r>
    <x v="788"/>
    <s v="Arjun Malhotra"/>
    <s v="Male"/>
    <n v="74"/>
    <s v="Indore"/>
    <x v="0"/>
    <n v="3"/>
    <n v="1199"/>
    <n v="3597"/>
    <s v="Fiber"/>
    <d v="2025-06-17T00:00:00"/>
    <s v="No"/>
    <s v="No"/>
    <s v="No"/>
    <s v="No"/>
    <s v="No"/>
    <s v="No"/>
  </r>
  <r>
    <x v="789"/>
    <s v="Aman Kumar"/>
    <s v="Male"/>
    <n v="66"/>
    <s v="Mumbai"/>
    <x v="0"/>
    <n v="14"/>
    <n v="999"/>
    <n v="13986"/>
    <s v="Fiber"/>
    <m/>
    <s v="Yes"/>
    <s v="No"/>
    <s v="No"/>
    <s v="No"/>
    <s v="No"/>
    <s v="Date missing"/>
  </r>
  <r>
    <x v="790"/>
    <s v="Priya Kumar"/>
    <s v="Unknown"/>
    <n v="58"/>
    <s v="Bhopal"/>
    <x v="1"/>
    <n v="22"/>
    <n v="1099"/>
    <n v="24178"/>
    <s v="Fiber"/>
    <d v="2023-12-08T00:00:00"/>
    <s v="No"/>
    <s v="No"/>
    <s v="No"/>
    <s v="No"/>
    <s v="No"/>
    <s v="No"/>
  </r>
  <r>
    <x v="791"/>
    <s v="Unknown"/>
    <s v="Unknown"/>
    <n v="26"/>
    <s v="Pune"/>
    <x v="1"/>
    <n v="30"/>
    <n v="899"/>
    <n v="26970"/>
    <s v="Fiber"/>
    <d v="2023-03-21T00:00:00"/>
    <s v="No"/>
    <s v="No"/>
    <s v="No"/>
    <s v="No"/>
    <s v="No"/>
    <s v="No"/>
  </r>
  <r>
    <x v="792"/>
    <s v="Pooja Desai"/>
    <s v="Female"/>
    <n v="70"/>
    <s v="Chennai"/>
    <x v="2"/>
    <n v="3"/>
    <n v="799"/>
    <n v="2397"/>
    <s v="DSL"/>
    <d v="2025-06-13T00:00:00"/>
    <s v="No"/>
    <s v="No"/>
    <s v="No"/>
    <s v="No"/>
    <s v="No"/>
    <s v="No"/>
  </r>
  <r>
    <x v="793"/>
    <s v="Meera Kumar"/>
    <s v="Unknown"/>
    <n v="60"/>
    <s v="Kochi"/>
    <x v="0"/>
    <n v="15"/>
    <n v="699"/>
    <n v="10485"/>
    <s v="DSL"/>
    <d v="2024-06-07T00:00:00"/>
    <s v="No"/>
    <s v="No"/>
    <s v="Yes"/>
    <s v="No"/>
    <s v="No"/>
    <s v="No"/>
  </r>
  <r>
    <x v="794"/>
    <s v="Ankit Pandey"/>
    <s v="Male"/>
    <n v="21"/>
    <s v="Chandigarh"/>
    <x v="1"/>
    <n v="7"/>
    <n v="1199"/>
    <n v="8393"/>
    <s v="Fiber"/>
    <d v="2025-02-11T00:00:00"/>
    <s v="No"/>
    <s v="No"/>
    <s v="No"/>
    <s v="No"/>
    <s v="No"/>
    <s v="No"/>
  </r>
  <r>
    <x v="795"/>
    <s v="Amit Rao"/>
    <s v="Male"/>
    <n v="67"/>
    <s v="Hyderabad"/>
    <x v="2"/>
    <n v="31"/>
    <n v="899"/>
    <n v="27869"/>
    <s v="Fiber"/>
    <d v="2023-03-13T00:00:00"/>
    <s v="No"/>
    <s v="No"/>
    <s v="No"/>
    <s v="No"/>
    <s v="No"/>
    <s v="No"/>
  </r>
  <r>
    <x v="796"/>
    <s v="Deepika Saxena"/>
    <s v="Female"/>
    <n v="60"/>
    <s v="Mumbai"/>
    <x v="0"/>
    <n v="22"/>
    <n v="399"/>
    <n v="8778"/>
    <s v="No Internet"/>
    <d v="2023-11-22T00:00:00"/>
    <s v="Yes"/>
    <s v="No"/>
    <s v="No"/>
    <s v="No"/>
    <s v="No"/>
    <s v="No"/>
  </r>
  <r>
    <x v="797"/>
    <s v="Nikhil Joshi"/>
    <s v="Male"/>
    <n v="53"/>
    <s v="Indore"/>
    <x v="0"/>
    <n v="18"/>
    <n v="749"/>
    <n v="13482"/>
    <s v="DSL"/>
    <d v="2024-04-03T00:00:00"/>
    <s v="Yes"/>
    <s v="No"/>
    <s v="No"/>
    <s v="No"/>
    <s v="No"/>
    <s v="No"/>
  </r>
  <r>
    <x v="798"/>
    <s v="Swati Gupta"/>
    <s v="Female"/>
    <n v="18"/>
    <s v="Kolkata"/>
    <x v="1"/>
    <n v="14"/>
    <n v="749"/>
    <n v="10486"/>
    <s v="DSL"/>
    <d v="2024-07-27T00:00:00"/>
    <s v="No"/>
    <s v="No"/>
    <s v="No"/>
    <s v="No"/>
    <s v="Yes"/>
    <s v="No"/>
  </r>
  <r>
    <x v="799"/>
    <s v="Sneha Kumar"/>
    <s v="Female"/>
    <n v="74"/>
    <s v="Hyderabad"/>
    <x v="0"/>
    <n v="16"/>
    <n v="1199"/>
    <n v="19184"/>
    <s v="Fiber"/>
    <d v="2024-05-07T00:00:00"/>
    <s v="No"/>
    <s v="No"/>
    <s v="No"/>
    <s v="No"/>
    <s v="Yes"/>
    <s v="No"/>
  </r>
  <r>
    <x v="800"/>
    <s v="Suresh Reddy"/>
    <s v="Male"/>
    <n v="56"/>
    <s v="Pune"/>
    <x v="2"/>
    <n v="18"/>
    <n v="999"/>
    <n v="17982"/>
    <s v="Fiber"/>
    <d v="2024-03-16T00:00:00"/>
    <s v="No"/>
    <s v="No"/>
    <s v="No"/>
    <s v="No"/>
    <s v="No"/>
    <s v="No"/>
  </r>
  <r>
    <x v="801"/>
    <s v="Neha Joshi"/>
    <s v="Female"/>
    <n v="19"/>
    <s v="Lucknow"/>
    <x v="2"/>
    <n v="66"/>
    <n v="1199"/>
    <n v="79134"/>
    <s v="Fiber"/>
    <d v="2020-04-05T00:00:00"/>
    <s v="No"/>
    <s v="No"/>
    <s v="No"/>
    <s v="No"/>
    <s v="No"/>
    <s v="No"/>
  </r>
  <r>
    <x v="802"/>
    <s v="Manish Sharma"/>
    <s v="Male"/>
    <n v="57"/>
    <s v="Kochi"/>
    <x v="2"/>
    <n v="55"/>
    <n v="899"/>
    <n v="49445"/>
    <s v="DSL"/>
    <d v="2021-03-19T00:00:00"/>
    <s v="No"/>
    <s v="No"/>
    <s v="No"/>
    <s v="No"/>
    <s v="No"/>
    <s v="No"/>
  </r>
  <r>
    <x v="803"/>
    <s v="Komal Iyer"/>
    <s v="Female"/>
    <n v="30"/>
    <s v="Bangalore"/>
    <x v="0"/>
    <n v="8"/>
    <n v="1149"/>
    <n v="9192"/>
    <s v="Fiber"/>
    <d v="2025-01-21T00:00:00"/>
    <s v="No"/>
    <s v="No"/>
    <s v="No"/>
    <s v="No"/>
    <s v="No"/>
    <s v="No"/>
  </r>
  <r>
    <x v="804"/>
    <s v="Suresh Joshi"/>
    <s v="Male"/>
    <n v="59"/>
    <s v="Kochi"/>
    <x v="1"/>
    <n v="27"/>
    <n v="1299"/>
    <n v="35073"/>
    <s v="Fiber"/>
    <d v="2023-07-04T00:00:00"/>
    <s v="No"/>
    <s v="No"/>
    <s v="No"/>
    <s v="No"/>
    <s v="No"/>
    <s v="No"/>
  </r>
  <r>
    <x v="805"/>
    <s v="Swati Nair"/>
    <s v="Female"/>
    <n v="31"/>
    <s v="Jaipur"/>
    <x v="0"/>
    <n v="8"/>
    <n v="399"/>
    <n v="3192"/>
    <s v="No Internet"/>
    <d v="2025-01-19T00:00:00"/>
    <s v="No"/>
    <s v="No"/>
    <s v="No"/>
    <s v="No"/>
    <s v="No"/>
    <s v="No"/>
  </r>
  <r>
    <x v="806"/>
    <s v="Meera Kapoor"/>
    <s v="Female"/>
    <n v="58"/>
    <s v="Delhi"/>
    <x v="0"/>
    <n v="7"/>
    <n v="1199"/>
    <n v="8393"/>
    <s v="Fiber"/>
    <d v="2025-02-26T00:00:00"/>
    <s v="No"/>
    <s v="No"/>
    <s v="No"/>
    <s v="No"/>
    <s v="No"/>
    <s v="No"/>
  </r>
  <r>
    <x v="807"/>
    <s v="Arjun Bose"/>
    <s v="Male"/>
    <n v="53"/>
    <s v="Chandigarh"/>
    <x v="1"/>
    <n v="33"/>
    <n v="599"/>
    <n v="19767"/>
    <s v="Unknown"/>
    <d v="2022-12-20T00:00:00"/>
    <s v="No"/>
    <s v="No"/>
    <s v="No"/>
    <s v="No"/>
    <s v="No"/>
    <s v="No"/>
  </r>
  <r>
    <x v="808"/>
    <s v="Manish Tiwari"/>
    <s v="Male"/>
    <n v="29"/>
    <s v="Lucknow"/>
    <x v="0"/>
    <n v="15"/>
    <n v="849"/>
    <n v="12735"/>
    <s v="DSL"/>
    <d v="2024-06-20T00:00:00"/>
    <s v="No"/>
    <s v="No"/>
    <s v="No"/>
    <s v="No"/>
    <s v="No"/>
    <s v="No"/>
  </r>
  <r>
    <x v="809"/>
    <s v="Aman Rao"/>
    <s v="Male"/>
    <n v="42"/>
    <s v="Bangalore"/>
    <x v="0"/>
    <n v="20"/>
    <n v="1099"/>
    <n v="21980"/>
    <s v="Fiber"/>
    <d v="2024-01-12T00:00:00"/>
    <s v="No"/>
    <s v="No"/>
    <s v="No"/>
    <s v="No"/>
    <s v="No"/>
    <s v="No"/>
  </r>
  <r>
    <x v="810"/>
    <s v="Priya Rao"/>
    <s v="Female"/>
    <n v="45"/>
    <s v="Chandigarh"/>
    <x v="0"/>
    <n v="10"/>
    <n v="399"/>
    <n v="3990"/>
    <s v="No Internet"/>
    <d v="2024-11-27T00:00:00"/>
    <s v="No"/>
    <s v="No"/>
    <s v="No"/>
    <s v="No"/>
    <s v="No"/>
    <s v="No"/>
  </r>
  <r>
    <x v="811"/>
    <s v="Divya Kapoor"/>
    <s v="Female"/>
    <n v="47"/>
    <s v="Ahmedabad"/>
    <x v="0"/>
    <n v="16"/>
    <n v="1049"/>
    <n v="16784"/>
    <s v="Fiber"/>
    <d v="2024-05-30T00:00:00"/>
    <s v="No"/>
    <s v="Yes"/>
    <s v="No"/>
    <s v="No"/>
    <s v="No"/>
    <s v="No"/>
  </r>
  <r>
    <x v="812"/>
    <s v="Unknown"/>
    <s v="Male"/>
    <n v="18"/>
    <s v="Chandigarh"/>
    <x v="0"/>
    <n v="16"/>
    <n v="1099"/>
    <n v="17584"/>
    <s v="Fiber"/>
    <d v="2024-05-25T00:00:00"/>
    <s v="No"/>
    <s v="No"/>
    <s v="No"/>
    <s v="No"/>
    <s v="No"/>
    <s v="No"/>
  </r>
  <r>
    <x v="813"/>
    <s v="Komal Iyer"/>
    <s v="Unknown"/>
    <n v="59"/>
    <s v="Lucknow"/>
    <x v="0"/>
    <n v="4"/>
    <n v="399"/>
    <n v="1596"/>
    <s v="No Internet"/>
    <d v="2025-05-18T00:00:00"/>
    <s v="Yes"/>
    <s v="No"/>
    <s v="No"/>
    <s v="No"/>
    <s v="No"/>
    <s v="No"/>
  </r>
  <r>
    <x v="814"/>
    <s v="Isha Jain"/>
    <s v="Female"/>
    <n v="63"/>
    <s v="Unknown"/>
    <x v="1"/>
    <n v="4"/>
    <n v="1099"/>
    <n v="4396"/>
    <s v="Fiber"/>
    <d v="2025-05-24T00:00:00"/>
    <s v="No"/>
    <s v="No"/>
    <s v="Yes"/>
    <s v="No"/>
    <s v="No"/>
    <s v="No"/>
  </r>
  <r>
    <x v="815"/>
    <s v="Sneha Patel"/>
    <s v="Female"/>
    <n v="58"/>
    <s v="Bhopal"/>
    <x v="1"/>
    <n v="10"/>
    <n v="1149"/>
    <n v="11490"/>
    <s v="Fiber"/>
    <d v="2024-11-28T00:00:00"/>
    <s v="No"/>
    <s v="No"/>
    <s v="No"/>
    <s v="No"/>
    <s v="No"/>
    <s v="No"/>
  </r>
  <r>
    <x v="816"/>
    <s v="Ritu Yadav"/>
    <s v="Female"/>
    <n v="55"/>
    <s v="Indore"/>
    <x v="2"/>
    <n v="12"/>
    <n v="849"/>
    <n v="10188"/>
    <s v="DSL"/>
    <d v="2024-09-15T00:00:00"/>
    <s v="No"/>
    <s v="No"/>
    <s v="No"/>
    <s v="No"/>
    <s v="No"/>
    <s v="No"/>
  </r>
  <r>
    <x v="817"/>
    <s v="Mohit Mehta"/>
    <s v="Male"/>
    <n v="74"/>
    <s v="Kolkata"/>
    <x v="0"/>
    <n v="23"/>
    <n v="1149"/>
    <n v="26427"/>
    <s v="Fiber"/>
    <d v="2023-10-27T00:00:00"/>
    <s v="No"/>
    <s v="No"/>
    <s v="No"/>
    <s v="No"/>
    <s v="No"/>
    <s v="No"/>
  </r>
  <r>
    <x v="818"/>
    <s v="Nisha Agarwal"/>
    <s v="Female"/>
    <n v="47"/>
    <s v="Mumbai"/>
    <x v="0"/>
    <n v="12"/>
    <n v="999"/>
    <n v="11988"/>
    <s v="Fiber"/>
    <d v="2024-09-04T00:00:00"/>
    <s v="No"/>
    <s v="Yes"/>
    <s v="No"/>
    <s v="No"/>
    <s v="No"/>
    <s v="No"/>
  </r>
  <r>
    <x v="819"/>
    <s v="Aditi Sharma"/>
    <s v="Female"/>
    <n v="28"/>
    <s v="Chandigarh"/>
    <x v="0"/>
    <n v="23"/>
    <n v="749"/>
    <n v="17227"/>
    <s v="DSL"/>
    <d v="2023-10-16T00:00:00"/>
    <s v="No"/>
    <s v="No"/>
    <s v="No"/>
    <s v="No"/>
    <s v="No"/>
    <s v="No"/>
  </r>
  <r>
    <x v="820"/>
    <s v="Meera Gupta"/>
    <s v="Female"/>
    <n v="41"/>
    <s v="Bangalore"/>
    <x v="1"/>
    <n v="12"/>
    <n v="799"/>
    <n v="9588"/>
    <s v="DSL"/>
    <d v="2024-09-27T00:00:00"/>
    <s v="No"/>
    <s v="No"/>
    <s v="No"/>
    <s v="No"/>
    <s v="No"/>
    <s v="No"/>
  </r>
  <r>
    <x v="821"/>
    <s v="Sanjay Verma"/>
    <s v="Male"/>
    <n v="65"/>
    <s v="Bangalore"/>
    <x v="2"/>
    <n v="53"/>
    <n v="749"/>
    <n v="39697"/>
    <s v="DSL"/>
    <d v="2021-05-02T00:00:00"/>
    <s v="No"/>
    <s v="No"/>
    <s v="No"/>
    <s v="No"/>
    <s v="No"/>
    <s v="No"/>
  </r>
  <r>
    <x v="822"/>
    <s v="Vikram Iyer"/>
    <s v="Male"/>
    <n v="23"/>
    <s v="Kolkata"/>
    <x v="0"/>
    <n v="1"/>
    <n v="799"/>
    <n v="799"/>
    <s v="DSL"/>
    <d v="2025-08-05T00:00:00"/>
    <s v="Yes"/>
    <s v="No"/>
    <s v="No"/>
    <s v="No"/>
    <s v="No"/>
    <s v="No"/>
  </r>
  <r>
    <x v="823"/>
    <s v="Rahul Verma"/>
    <s v="Male"/>
    <n v="35"/>
    <s v="Kochi"/>
    <x v="2"/>
    <n v="6"/>
    <n v="999"/>
    <n v="5994"/>
    <s v="Fiber"/>
    <d v="2025-03-20T00:00:00"/>
    <s v="Unknown"/>
    <s v="No"/>
    <s v="No"/>
    <s v="No"/>
    <s v="No"/>
    <s v="Churn unknown"/>
  </r>
  <r>
    <x v="824"/>
    <s v="Komal Desai"/>
    <s v="Female"/>
    <n v="66"/>
    <s v="Pune"/>
    <x v="1"/>
    <n v="22"/>
    <n v="699"/>
    <n v="15378"/>
    <s v="DSL"/>
    <d v="2023-11-17T00:00:00"/>
    <s v="No"/>
    <s v="No"/>
    <s v="No"/>
    <s v="No"/>
    <s v="No"/>
    <s v="No"/>
  </r>
  <r>
    <x v="825"/>
    <s v="Divya Yadav"/>
    <s v="Female"/>
    <n v="21"/>
    <s v="Pune"/>
    <x v="2"/>
    <n v="1"/>
    <n v="499"/>
    <n v="499"/>
    <s v="No Internet"/>
    <d v="2025-08-01T00:00:00"/>
    <s v="No"/>
    <s v="No"/>
    <s v="No"/>
    <s v="No"/>
    <s v="No"/>
    <s v="No"/>
  </r>
  <r>
    <x v="826"/>
    <s v="Rahul Yadav"/>
    <s v="Male"/>
    <n v="25"/>
    <s v="Chandigarh"/>
    <x v="0"/>
    <n v="8"/>
    <n v="549"/>
    <n v="4392"/>
    <s v="No Internet"/>
    <d v="2025-01-04T00:00:00"/>
    <s v="No"/>
    <s v="No"/>
    <s v="No"/>
    <s v="No"/>
    <s v="No"/>
    <s v="No"/>
  </r>
  <r>
    <x v="827"/>
    <s v="Payal Tiwari"/>
    <s v="Female"/>
    <n v="60"/>
    <s v="Hyderabad"/>
    <x v="0"/>
    <n v="11"/>
    <n v="1199"/>
    <n v="13189"/>
    <s v="Fiber"/>
    <d v="2024-10-08T00:00:00"/>
    <s v="No"/>
    <s v="No"/>
    <s v="Yes"/>
    <s v="No"/>
    <s v="No"/>
    <s v="No"/>
  </r>
  <r>
    <x v="828"/>
    <s v="Shreya Nair"/>
    <s v="Female"/>
    <n v="56"/>
    <s v="Ahmedabad"/>
    <x v="0"/>
    <n v="3"/>
    <n v="1099"/>
    <n v="3297"/>
    <s v="Fiber"/>
    <d v="2025-06-03T00:00:00"/>
    <s v="No"/>
    <s v="No"/>
    <s v="No"/>
    <s v="No"/>
    <s v="No"/>
    <s v="No"/>
  </r>
  <r>
    <x v="829"/>
    <s v="Deepak Iyer"/>
    <s v="Male"/>
    <n v="56"/>
    <s v="Hyderabad"/>
    <x v="1"/>
    <n v="37"/>
    <n v="549"/>
    <n v="20313"/>
    <s v="No Internet"/>
    <d v="2022-08-30T00:00:00"/>
    <s v="Yes"/>
    <s v="No"/>
    <s v="No"/>
    <s v="No"/>
    <s v="No"/>
    <s v="No"/>
  </r>
  <r>
    <x v="830"/>
    <s v="Harsh Saxena"/>
    <s v="Male"/>
    <n v="53"/>
    <s v="Chandigarh"/>
    <x v="0"/>
    <n v="4"/>
    <n v="549"/>
    <n v="2196"/>
    <s v="No Internet"/>
    <d v="2025-05-25T00:00:00"/>
    <s v="Yes"/>
    <s v="No"/>
    <s v="No"/>
    <s v="No"/>
    <s v="No"/>
    <s v="No"/>
  </r>
  <r>
    <x v="831"/>
    <s v="Vikram Reddy"/>
    <s v="Male"/>
    <n v="45"/>
    <s v="Bhopal"/>
    <x v="0"/>
    <n v="11"/>
    <n v="449"/>
    <n v="4939"/>
    <s v="No Internet"/>
    <d v="2024-10-25T00:00:00"/>
    <s v="Yes"/>
    <s v="No"/>
    <s v="No"/>
    <s v="No"/>
    <s v="No"/>
    <s v="No"/>
  </r>
  <r>
    <x v="832"/>
    <s v="Anjali Saxena"/>
    <s v="Female"/>
    <n v="26"/>
    <s v="Jaipur"/>
    <x v="1"/>
    <n v="22"/>
    <n v="999"/>
    <n v="21978"/>
    <s v="Fiber"/>
    <d v="2023-11-19T00:00:00"/>
    <s v="No"/>
    <s v="No"/>
    <s v="No"/>
    <s v="No"/>
    <s v="No"/>
    <s v="No"/>
  </r>
  <r>
    <x v="833"/>
    <s v="Nikhil Rao"/>
    <s v="Male"/>
    <n v="63"/>
    <s v="Bhopal"/>
    <x v="1"/>
    <n v="36"/>
    <n v="1099"/>
    <n v="39564"/>
    <s v="Fiber"/>
    <d v="2022-10-11T00:00:00"/>
    <s v="No"/>
    <s v="No"/>
    <s v="No"/>
    <s v="No"/>
    <s v="No"/>
    <s v="No"/>
  </r>
  <r>
    <x v="834"/>
    <s v="Unknown"/>
    <s v="Female"/>
    <n v="23"/>
    <s v="Pune"/>
    <x v="1"/>
    <n v="8"/>
    <n v="399"/>
    <n v="3192"/>
    <s v="No Internet"/>
    <d v="2025-01-19T00:00:00"/>
    <s v="No"/>
    <s v="No"/>
    <s v="No"/>
    <s v="No"/>
    <s v="No"/>
    <s v="No"/>
  </r>
  <r>
    <x v="835"/>
    <s v="Harsh Verma"/>
    <s v="Male"/>
    <n v="55"/>
    <s v="Jaipur"/>
    <x v="0"/>
    <n v="14"/>
    <n v="1299"/>
    <n v="18186"/>
    <s v="Fiber"/>
    <d v="2024-07-06T00:00:00"/>
    <s v="No"/>
    <s v="No"/>
    <s v="No"/>
    <s v="No"/>
    <s v="No"/>
    <s v="No"/>
  </r>
  <r>
    <x v="836"/>
    <s v="Mohit Saxena"/>
    <s v="Male"/>
    <n v="56"/>
    <s v="Lucknow"/>
    <x v="0"/>
    <n v="18"/>
    <n v="1099"/>
    <n v="19782"/>
    <s v="Fiber"/>
    <d v="2024-03-28T00:00:00"/>
    <s v="Yes"/>
    <s v="No"/>
    <s v="No"/>
    <s v="No"/>
    <s v="No"/>
    <s v="No"/>
  </r>
  <r>
    <x v="837"/>
    <s v="Gaurav Saxena"/>
    <s v="Male"/>
    <n v="47"/>
    <s v="Bangalore"/>
    <x v="1"/>
    <n v="3"/>
    <n v="799"/>
    <n v="2397"/>
    <s v="DSL"/>
    <d v="2025-06-08T00:00:00"/>
    <s v="No"/>
    <s v="No"/>
    <s v="No"/>
    <s v="No"/>
    <s v="Yes"/>
    <s v="No"/>
  </r>
  <r>
    <x v="838"/>
    <s v="Suresh Pandey"/>
    <s v="Male"/>
    <n v="54"/>
    <s v="Ahmedabad"/>
    <x v="1"/>
    <m/>
    <n v="849"/>
    <m/>
    <s v="DSL"/>
    <d v="2024-02-26T00:00:00"/>
    <s v="No"/>
    <s v="No"/>
    <s v="No"/>
    <s v="No"/>
    <s v="No"/>
    <s v="Total missing; Tenure missing"/>
  </r>
  <r>
    <x v="839"/>
    <s v="Sanjay Agarwal"/>
    <s v="Male"/>
    <n v="69"/>
    <s v="Hyderabad"/>
    <x v="1"/>
    <n v="12"/>
    <n v="899"/>
    <n v="10788"/>
    <s v="DSL"/>
    <d v="2024-09-07T00:00:00"/>
    <s v="No"/>
    <s v="No"/>
    <s v="No"/>
    <s v="No"/>
    <s v="No"/>
    <s v="No"/>
  </r>
  <r>
    <x v="840"/>
    <s v="Rahul Mishra"/>
    <s v="Male"/>
    <n v="43"/>
    <s v="Pune"/>
    <x v="0"/>
    <n v="12"/>
    <n v="1099"/>
    <n v="13188"/>
    <s v="Fiber"/>
    <d v="2024-09-10T00:00:00"/>
    <s v="Yes"/>
    <s v="No"/>
    <s v="No"/>
    <s v="No"/>
    <s v="No"/>
    <s v="No"/>
  </r>
  <r>
    <x v="841"/>
    <s v="Aditi Pandey"/>
    <s v="Female"/>
    <n v="30"/>
    <s v="Bhopal"/>
    <x v="2"/>
    <n v="17"/>
    <n v="1299"/>
    <n v="22083"/>
    <s v="Fiber"/>
    <d v="2024-05-05T00:00:00"/>
    <s v="No"/>
    <s v="No"/>
    <s v="No"/>
    <s v="No"/>
    <s v="No"/>
    <s v="No"/>
  </r>
  <r>
    <x v="842"/>
    <s v="Shreya Chopra"/>
    <s v="Female"/>
    <n v="28"/>
    <s v="Lucknow"/>
    <x v="0"/>
    <n v="10"/>
    <n v="999"/>
    <n v="9990"/>
    <s v="Fiber"/>
    <d v="2024-11-26T00:00:00"/>
    <s v="No"/>
    <s v="No"/>
    <s v="No"/>
    <s v="No"/>
    <s v="No"/>
    <s v="No"/>
  </r>
  <r>
    <x v="843"/>
    <s v="Aman Agarwal"/>
    <s v="Male"/>
    <n v="72"/>
    <s v="Lucknow"/>
    <x v="0"/>
    <n v="5"/>
    <n v="1099"/>
    <n v="5495"/>
    <s v="Fiber"/>
    <d v="2025-04-28T00:00:00"/>
    <s v="No"/>
    <s v="No"/>
    <s v="No"/>
    <s v="Yes"/>
    <s v="No"/>
    <s v="No"/>
  </r>
  <r>
    <x v="844"/>
    <s v="Komal Gupta"/>
    <s v="Female"/>
    <n v="21"/>
    <s v="Mumbai"/>
    <x v="2"/>
    <n v="56"/>
    <n v="1199"/>
    <n v="67144"/>
    <s v="Fiber"/>
    <d v="2021-02-18T00:00:00"/>
    <s v="No"/>
    <s v="No"/>
    <s v="No"/>
    <s v="Yes"/>
    <s v="No"/>
    <s v="No"/>
  </r>
  <r>
    <x v="845"/>
    <s v="Deepak Desai"/>
    <s v="Male"/>
    <n v="37"/>
    <s v="Bhopal"/>
    <x v="1"/>
    <n v="25"/>
    <n v="899"/>
    <n v="22475"/>
    <s v="DSL"/>
    <m/>
    <s v="No"/>
    <s v="No"/>
    <s v="No"/>
    <s v="No"/>
    <s v="No"/>
    <s v="Date missing"/>
  </r>
  <r>
    <x v="846"/>
    <s v="Kavita Chopra"/>
    <s v="Female"/>
    <n v="59"/>
    <s v="Ahmedabad"/>
    <x v="0"/>
    <n v="3"/>
    <n v="599"/>
    <n v="1797"/>
    <s v="Unknown"/>
    <d v="2025-06-12T00:00:00"/>
    <s v="Yes"/>
    <s v="No"/>
    <s v="No"/>
    <s v="No"/>
    <s v="No"/>
    <s v="No"/>
  </r>
  <r>
    <x v="847"/>
    <s v="Kavita Pandey"/>
    <s v="Female"/>
    <n v="65"/>
    <s v="Mumbai"/>
    <x v="1"/>
    <n v="31"/>
    <n v="849"/>
    <n v="26319"/>
    <s v="DSL"/>
    <d v="2023-03-09T00:00:00"/>
    <s v="No"/>
    <s v="No"/>
    <s v="No"/>
    <s v="No"/>
    <s v="No"/>
    <s v="No"/>
  </r>
  <r>
    <x v="848"/>
    <s v="Nikhil Kumar"/>
    <s v="Male"/>
    <n v="63"/>
    <s v="Chandigarh"/>
    <x v="1"/>
    <n v="2"/>
    <n v="749"/>
    <n v="1498"/>
    <s v="DSL"/>
    <d v="2025-07-14T00:00:00"/>
    <s v="No"/>
    <s v="No"/>
    <s v="No"/>
    <s v="No"/>
    <s v="Yes"/>
    <s v="No"/>
  </r>
  <r>
    <x v="849"/>
    <s v="Neha Jain"/>
    <s v="Female"/>
    <n v="71"/>
    <s v="Lucknow"/>
    <x v="0"/>
    <n v="21"/>
    <n v="399"/>
    <n v="8379"/>
    <s v="No Internet"/>
    <d v="2023-12-10T00:00:00"/>
    <s v="No"/>
    <s v="No"/>
    <s v="No"/>
    <s v="No"/>
    <s v="No"/>
    <s v="No"/>
  </r>
  <r>
    <x v="850"/>
    <s v="Arjun Yadav"/>
    <s v="Male"/>
    <n v="62"/>
    <s v="Bangalore"/>
    <x v="0"/>
    <n v="11"/>
    <n v="899"/>
    <n v="9889"/>
    <s v="Fiber"/>
    <d v="2024-10-13T00:00:00"/>
    <s v="No"/>
    <s v="No"/>
    <s v="No"/>
    <s v="No"/>
    <s v="No"/>
    <s v="No"/>
  </r>
  <r>
    <x v="851"/>
    <s v="Vikram Mishra"/>
    <s v="Male"/>
    <n v="34"/>
    <s v="Chandigarh"/>
    <x v="1"/>
    <n v="8"/>
    <n v="799"/>
    <n v="6392"/>
    <s v="DSL"/>
    <d v="2025-01-26T00:00:00"/>
    <s v="No"/>
    <s v="No"/>
    <s v="No"/>
    <s v="No"/>
    <s v="No"/>
    <s v="No"/>
  </r>
  <r>
    <x v="852"/>
    <s v="Priya Nair"/>
    <s v="Female"/>
    <n v="37"/>
    <s v="Delhi"/>
    <x v="2"/>
    <n v="38"/>
    <n v="1149"/>
    <n v="43662"/>
    <s v="Fiber"/>
    <d v="2022-07-31T00:00:00"/>
    <s v="No"/>
    <s v="No"/>
    <s v="No"/>
    <s v="No"/>
    <s v="Yes"/>
    <s v="No"/>
  </r>
  <r>
    <x v="853"/>
    <s v="Payal Patel"/>
    <s v="Female"/>
    <n v="56"/>
    <s v="Unknown"/>
    <x v="0"/>
    <n v="22"/>
    <n v="899"/>
    <n v="19778"/>
    <s v="Fiber"/>
    <d v="2023-12-04T00:00:00"/>
    <s v="Yes"/>
    <s v="No"/>
    <s v="No"/>
    <s v="No"/>
    <s v="No"/>
    <s v="No"/>
  </r>
  <r>
    <x v="854"/>
    <s v="Deepika Singh"/>
    <s v="Female"/>
    <n v="56"/>
    <s v="Jaipur"/>
    <x v="0"/>
    <n v="5"/>
    <n v="1149"/>
    <n v="5745"/>
    <s v="Fiber"/>
    <d v="2025-04-23T00:00:00"/>
    <s v="Yes"/>
    <s v="No"/>
    <s v="No"/>
    <s v="No"/>
    <s v="No"/>
    <s v="No"/>
  </r>
  <r>
    <x v="855"/>
    <s v="Divya Chopra"/>
    <s v="Female"/>
    <n v="75"/>
    <s v="Bangalore"/>
    <x v="0"/>
    <n v="9"/>
    <n v="849"/>
    <n v="7641"/>
    <s v="DSL"/>
    <d v="2024-12-30T00:00:00"/>
    <s v="No"/>
    <s v="No"/>
    <s v="No"/>
    <s v="No"/>
    <s v="No"/>
    <s v="No"/>
  </r>
  <r>
    <x v="856"/>
    <s v="Deepika Pandey"/>
    <s v="Female"/>
    <n v="41"/>
    <s v="Lucknow"/>
    <x v="1"/>
    <n v="39"/>
    <n v="399"/>
    <n v="15561"/>
    <s v="No Internet"/>
    <d v="2022-06-21T00:00:00"/>
    <s v="No"/>
    <s v="No"/>
    <s v="No"/>
    <s v="No"/>
    <s v="No"/>
    <s v="No"/>
  </r>
  <r>
    <x v="857"/>
    <s v="Divya Sharma"/>
    <s v="Female"/>
    <n v="56"/>
    <s v="Hyderabad"/>
    <x v="0"/>
    <n v="4"/>
    <n v="849"/>
    <n v="3396"/>
    <s v="DSL"/>
    <d v="2025-05-11T00:00:00"/>
    <s v="Yes"/>
    <s v="No"/>
    <s v="No"/>
    <s v="No"/>
    <s v="No"/>
    <s v="No"/>
  </r>
  <r>
    <x v="858"/>
    <s v="Aman Joshi"/>
    <s v="Male"/>
    <n v="67"/>
    <s v="Chennai"/>
    <x v="0"/>
    <n v="9"/>
    <n v="899"/>
    <n v="8091"/>
    <s v="Fiber"/>
    <d v="2024-12-25T00:00:00"/>
    <s v="No"/>
    <s v="No"/>
    <s v="No"/>
    <s v="No"/>
    <s v="No"/>
    <s v="No"/>
  </r>
  <r>
    <x v="859"/>
    <s v="Unknown"/>
    <s v="Female"/>
    <n v="29"/>
    <s v="Jaipur"/>
    <x v="1"/>
    <n v="32"/>
    <n v="599"/>
    <n v="19168"/>
    <s v="DSL"/>
    <d v="2023-01-15T00:00:00"/>
    <s v="No"/>
    <s v="No"/>
    <s v="Yes"/>
    <s v="No"/>
    <s v="No"/>
    <s v="No"/>
  </r>
  <r>
    <x v="860"/>
    <s v="Sonal Malhotra"/>
    <s v="Female"/>
    <n v="56"/>
    <s v="Mumbai"/>
    <x v="2"/>
    <n v="50"/>
    <n v="649"/>
    <n v="32450"/>
    <s v="DSL"/>
    <d v="2021-07-23T00:00:00"/>
    <s v="No"/>
    <s v="No"/>
    <s v="No"/>
    <s v="No"/>
    <s v="No"/>
    <s v="No"/>
  </r>
  <r>
    <x v="861"/>
    <s v="Komal Bose"/>
    <s v="Female"/>
    <n v="26"/>
    <s v="Chennai"/>
    <x v="0"/>
    <n v="5"/>
    <n v="999"/>
    <n v="4995"/>
    <s v="Fiber"/>
    <d v="2025-04-08T00:00:00"/>
    <s v="Yes"/>
    <s v="No"/>
    <s v="No"/>
    <s v="No"/>
    <s v="No"/>
    <s v="No"/>
  </r>
  <r>
    <x v="862"/>
    <s v="Sneha Agarwal"/>
    <s v="Female"/>
    <n v="58"/>
    <s v="Pune"/>
    <x v="1"/>
    <n v="39"/>
    <n v="749"/>
    <n v="29211"/>
    <s v="DSL"/>
    <d v="2022-07-05T00:00:00"/>
    <s v="No"/>
    <s v="No"/>
    <s v="No"/>
    <s v="No"/>
    <s v="No"/>
    <s v="No"/>
  </r>
  <r>
    <x v="863"/>
    <s v="Payal Iyer"/>
    <s v="Female"/>
    <n v="35"/>
    <s v="Kolkata"/>
    <x v="0"/>
    <n v="8"/>
    <n v="1199"/>
    <n v="9592"/>
    <s v="Fiber"/>
    <d v="2025-01-18T00:00:00"/>
    <s v="No"/>
    <s v="No"/>
    <s v="No"/>
    <s v="Yes"/>
    <s v="No"/>
    <s v="No"/>
  </r>
  <r>
    <x v="864"/>
    <s v="Neha Chopra"/>
    <s v="Female"/>
    <n v="23"/>
    <s v="Mumbai"/>
    <x v="1"/>
    <n v="11"/>
    <n v="349"/>
    <n v="3839"/>
    <s v="No Internet"/>
    <d v="2024-10-16T00:00:00"/>
    <s v="No"/>
    <s v="No"/>
    <s v="No"/>
    <s v="No"/>
    <s v="No"/>
    <s v="No"/>
  </r>
  <r>
    <x v="865"/>
    <s v="Priya Tiwari"/>
    <s v="Female"/>
    <n v="61"/>
    <s v="Jaipur"/>
    <x v="2"/>
    <n v="64"/>
    <n v="799"/>
    <n v="51136"/>
    <s v="DSL"/>
    <d v="2020-06-14T00:00:00"/>
    <s v="No"/>
    <s v="No"/>
    <s v="No"/>
    <s v="No"/>
    <s v="No"/>
    <s v="No"/>
  </r>
  <r>
    <x v="866"/>
    <s v="Pankaj Mehta"/>
    <s v="Unknown"/>
    <n v="71"/>
    <s v="Bhopal"/>
    <x v="0"/>
    <n v="18"/>
    <n v="1049"/>
    <n v="18882"/>
    <s v="Fiber"/>
    <d v="2024-03-16T00:00:00"/>
    <s v="No"/>
    <s v="No"/>
    <s v="No"/>
    <s v="No"/>
    <s v="No"/>
    <s v="No"/>
  </r>
  <r>
    <x v="867"/>
    <s v="Pankaj Kapoor"/>
    <s v="Male"/>
    <n v="28"/>
    <s v="Indore"/>
    <x v="2"/>
    <n v="29"/>
    <n v="899"/>
    <n v="26071"/>
    <s v="Fiber"/>
    <d v="2023-04-26T00:00:00"/>
    <s v="No"/>
    <s v="No"/>
    <s v="No"/>
    <s v="No"/>
    <s v="No"/>
    <s v="No"/>
  </r>
  <r>
    <x v="868"/>
    <s v="Sneha Tiwari"/>
    <s v="Female"/>
    <n v="49"/>
    <s v="Kolkata"/>
    <x v="0"/>
    <n v="11"/>
    <n v="549"/>
    <n v="6039"/>
    <s v="No Internet"/>
    <d v="2024-10-06T00:00:00"/>
    <s v="No"/>
    <s v="No"/>
    <s v="No"/>
    <s v="No"/>
    <s v="No"/>
    <s v="No"/>
  </r>
  <r>
    <x v="869"/>
    <s v="Harsh Iyer"/>
    <s v="Male"/>
    <n v="48"/>
    <s v="Chennai"/>
    <x v="0"/>
    <n v="21"/>
    <n v="799"/>
    <n v="16779"/>
    <s v="DSL"/>
    <d v="2023-12-09T00:00:00"/>
    <s v="No"/>
    <s v="No"/>
    <s v="No"/>
    <s v="No"/>
    <s v="No"/>
    <s v="No"/>
  </r>
  <r>
    <x v="870"/>
    <s v="Ankit Yadav"/>
    <s v="Male"/>
    <n v="72"/>
    <s v="Ahmedabad"/>
    <x v="0"/>
    <n v="15"/>
    <n v="699"/>
    <n v="10485"/>
    <s v="DSL"/>
    <d v="2024-06-24T00:00:00"/>
    <s v="Yes"/>
    <s v="No"/>
    <s v="No"/>
    <s v="No"/>
    <s v="Yes"/>
    <s v="No"/>
  </r>
  <r>
    <x v="871"/>
    <s v="Deepak Patel"/>
    <s v="Male"/>
    <n v="18"/>
    <s v="Mumbai"/>
    <x v="0"/>
    <n v="17"/>
    <n v="799"/>
    <n v="13583"/>
    <s v="DSL"/>
    <d v="2024-04-21T00:00:00"/>
    <s v="Yes"/>
    <s v="No"/>
    <s v="No"/>
    <s v="No"/>
    <s v="No"/>
    <s v="No"/>
  </r>
  <r>
    <x v="872"/>
    <s v="Rohit Saxena"/>
    <s v="Male"/>
    <n v="34"/>
    <s v="Hyderabad"/>
    <x v="0"/>
    <n v="12"/>
    <n v="999"/>
    <n v="11988"/>
    <s v="Fiber"/>
    <d v="2024-09-30T00:00:00"/>
    <s v="No"/>
    <s v="No"/>
    <s v="No"/>
    <s v="No"/>
    <s v="No"/>
    <s v="No"/>
  </r>
  <r>
    <x v="873"/>
    <s v="Shreya Gupta"/>
    <s v="Female"/>
    <n v="26"/>
    <s v="Pune"/>
    <x v="1"/>
    <n v="13"/>
    <n v="599"/>
    <n v="7787"/>
    <s v="DSL"/>
    <d v="2024-08-22T00:00:00"/>
    <s v="Yes"/>
    <s v="No"/>
    <s v="No"/>
    <s v="No"/>
    <s v="Yes"/>
    <s v="No"/>
  </r>
  <r>
    <x v="874"/>
    <s v="Swati Verma"/>
    <s v="Female"/>
    <n v="28"/>
    <s v="Indore"/>
    <x v="0"/>
    <n v="22"/>
    <n v="899"/>
    <n v="19778"/>
    <s v="Fiber"/>
    <d v="2023-11-23T00:00:00"/>
    <s v="No"/>
    <s v="No"/>
    <s v="No"/>
    <s v="No"/>
    <s v="No"/>
    <s v="No"/>
  </r>
  <r>
    <x v="875"/>
    <s v="Nikhil Rao"/>
    <s v="Unknown"/>
    <n v="47"/>
    <s v="Bhopal"/>
    <x v="2"/>
    <n v="50"/>
    <n v="349"/>
    <n v="17450"/>
    <s v="No Internet"/>
    <d v="2021-08-16T00:00:00"/>
    <s v="No"/>
    <s v="Yes"/>
    <s v="No"/>
    <s v="No"/>
    <s v="No"/>
    <s v="No"/>
  </r>
  <r>
    <x v="876"/>
    <s v="Aman Jain"/>
    <s v="Male"/>
    <n v="18"/>
    <s v="Kochi"/>
    <x v="1"/>
    <n v="22"/>
    <n v="749"/>
    <n v="16478"/>
    <s v="DSL"/>
    <d v="2023-11-29T00:00:00"/>
    <s v="No"/>
    <s v="No"/>
    <s v="No"/>
    <s v="No"/>
    <s v="No"/>
    <s v="No"/>
  </r>
  <r>
    <x v="877"/>
    <s v="Komal Kumar"/>
    <s v="Female"/>
    <n v="66"/>
    <s v="Kolkata"/>
    <x v="0"/>
    <n v="17"/>
    <n v="649"/>
    <n v="11033"/>
    <s v="DSL"/>
    <d v="2024-04-09T00:00:00"/>
    <s v="No"/>
    <s v="No"/>
    <s v="No"/>
    <s v="No"/>
    <s v="No"/>
    <s v="No"/>
  </r>
  <r>
    <x v="878"/>
    <s v="Ritu Saxena"/>
    <s v="Female"/>
    <n v="70"/>
    <s v="Kolkata"/>
    <x v="3"/>
    <n v="4"/>
    <n v="1199"/>
    <n v="4796"/>
    <s v="Fiber"/>
    <d v="2025-05-25T00:00:00"/>
    <s v="Yes"/>
    <s v="No"/>
    <s v="No"/>
    <s v="No"/>
    <s v="No"/>
    <s v="No"/>
  </r>
  <r>
    <x v="879"/>
    <s v="Manish Reddy"/>
    <s v="Male"/>
    <n v="26"/>
    <s v="Kolkata"/>
    <x v="0"/>
    <n v="5"/>
    <n v="549"/>
    <n v="2745"/>
    <s v="No Internet"/>
    <d v="2025-04-04T00:00:00"/>
    <s v="Yes"/>
    <s v="No"/>
    <s v="No"/>
    <s v="No"/>
    <s v="No"/>
    <s v="No"/>
  </r>
  <r>
    <x v="880"/>
    <s v="Deepak Tiwari"/>
    <s v="Male"/>
    <n v="51"/>
    <s v="Chennai"/>
    <x v="1"/>
    <n v="15"/>
    <n v="499"/>
    <n v="7485"/>
    <s v="No Internet"/>
    <d v="2024-06-22T00:00:00"/>
    <s v="Yes"/>
    <s v="No"/>
    <s v="No"/>
    <s v="No"/>
    <s v="No"/>
    <s v="No"/>
  </r>
  <r>
    <x v="881"/>
    <s v="Harsh Reddy"/>
    <s v="Male"/>
    <n v="35"/>
    <s v="Pune"/>
    <x v="0"/>
    <n v="14"/>
    <n v="1049"/>
    <n v="14686"/>
    <s v="Fiber"/>
    <d v="2024-08-04T00:00:00"/>
    <s v="Yes"/>
    <s v="No"/>
    <s v="No"/>
    <s v="No"/>
    <s v="No"/>
    <s v="No"/>
  </r>
  <r>
    <x v="882"/>
    <s v="Nikhil Mehta"/>
    <s v="Male"/>
    <n v="47"/>
    <s v="Ahmedabad"/>
    <x v="0"/>
    <n v="14"/>
    <n v="1049"/>
    <n v="14686"/>
    <s v="Fiber"/>
    <d v="2024-07-26T00:00:00"/>
    <s v="Yes"/>
    <s v="Yes"/>
    <s v="No"/>
    <s v="No"/>
    <s v="Yes"/>
    <s v="No"/>
  </r>
  <r>
    <x v="883"/>
    <s v="Karan Saxena"/>
    <s v="Male"/>
    <n v="18"/>
    <s v="Indore"/>
    <x v="1"/>
    <n v="22"/>
    <n v="449"/>
    <n v="9878"/>
    <s v="No Internet"/>
    <d v="2023-11-20T00:00:00"/>
    <s v="No"/>
    <s v="No"/>
    <s v="No"/>
    <s v="No"/>
    <s v="No"/>
    <s v="No"/>
  </r>
  <r>
    <x v="884"/>
    <s v="Ritu Chopra"/>
    <s v="Female"/>
    <n v="35"/>
    <s v="Hyderabad"/>
    <x v="1"/>
    <n v="7"/>
    <n v="649"/>
    <n v="4543"/>
    <s v="DSL"/>
    <d v="2025-02-12T00:00:00"/>
    <s v="Yes"/>
    <s v="No"/>
    <s v="No"/>
    <s v="No"/>
    <s v="Yes"/>
    <s v="No"/>
  </r>
  <r>
    <x v="885"/>
    <s v="Sanjay Pandey"/>
    <s v="Male"/>
    <n v="46"/>
    <s v="Mumbai"/>
    <x v="0"/>
    <n v="11"/>
    <n v="1199"/>
    <n v="13189"/>
    <s v="Fiber"/>
    <d v="2024-10-27T00:00:00"/>
    <s v="Unknown"/>
    <s v="No"/>
    <s v="No"/>
    <s v="No"/>
    <s v="No"/>
    <s v="Churn unknown"/>
  </r>
  <r>
    <x v="886"/>
    <s v="Amit Singh"/>
    <s v="Male"/>
    <n v="30"/>
    <s v="Kolkata"/>
    <x v="1"/>
    <n v="36"/>
    <n v="699"/>
    <n v="25164"/>
    <s v="DSL"/>
    <d v="2022-10-11T00:00:00"/>
    <s v="No"/>
    <s v="No"/>
    <s v="No"/>
    <s v="No"/>
    <s v="No"/>
    <s v="No"/>
  </r>
  <r>
    <x v="887"/>
    <s v="Neha Desai"/>
    <s v="Female"/>
    <n v="44"/>
    <s v="Jaipur"/>
    <x v="2"/>
    <n v="3"/>
    <n v="1149"/>
    <n v="3447"/>
    <s v="Fiber"/>
    <d v="2025-06-26T00:00:00"/>
    <s v="No"/>
    <s v="No"/>
    <s v="No"/>
    <s v="No"/>
    <s v="No"/>
    <s v="No"/>
  </r>
  <r>
    <x v="888"/>
    <s v="Sneha Bose"/>
    <s v="Female"/>
    <n v="21"/>
    <s v="Kochi"/>
    <x v="2"/>
    <n v="51"/>
    <n v="749"/>
    <n v="38199"/>
    <s v="DSL"/>
    <d v="2021-07-19T00:00:00"/>
    <s v="No"/>
    <s v="No"/>
    <s v="No"/>
    <s v="No"/>
    <s v="No"/>
    <s v="No"/>
  </r>
  <r>
    <x v="889"/>
    <s v="Ankit Jain"/>
    <s v="Male"/>
    <n v="42"/>
    <s v="Jaipur"/>
    <x v="1"/>
    <n v="18"/>
    <n v="999"/>
    <n v="17982"/>
    <s v="Fiber"/>
    <d v="2024-03-31T00:00:00"/>
    <s v="Yes"/>
    <s v="No"/>
    <s v="No"/>
    <s v="No"/>
    <s v="No"/>
    <s v="No"/>
  </r>
  <r>
    <x v="890"/>
    <s v="Mohit Kapoor"/>
    <s v="Male"/>
    <n v="50"/>
    <s v="Bhopal"/>
    <x v="1"/>
    <n v="15"/>
    <n v="699"/>
    <n v="10485"/>
    <s v="DSL"/>
    <d v="2024-06-30T00:00:00"/>
    <s v="No"/>
    <s v="No"/>
    <s v="No"/>
    <s v="No"/>
    <s v="No"/>
    <s v="No"/>
  </r>
  <r>
    <x v="891"/>
    <s v="Amit Mishra"/>
    <s v="Male"/>
    <n v="33"/>
    <s v="Chennai"/>
    <x v="0"/>
    <n v="9"/>
    <n v="649"/>
    <n v="5841"/>
    <s v="DSL"/>
    <d v="2024-12-25T00:00:00"/>
    <s v="No"/>
    <s v="No"/>
    <s v="No"/>
    <s v="No"/>
    <s v="No"/>
    <s v="No"/>
  </r>
  <r>
    <x v="892"/>
    <s v="Sachin Reddy"/>
    <s v="Male"/>
    <n v="18"/>
    <s v="Indore"/>
    <x v="0"/>
    <n v="12"/>
    <n v="899"/>
    <n v="10788"/>
    <s v="Unknown"/>
    <d v="2024-09-29T00:00:00"/>
    <s v="Yes"/>
    <s v="No"/>
    <s v="No"/>
    <s v="No"/>
    <s v="No"/>
    <s v="No"/>
  </r>
  <r>
    <x v="893"/>
    <s v="Riya Iyer"/>
    <s v="Female"/>
    <n v="38"/>
    <s v="Delhi"/>
    <x v="1"/>
    <n v="23"/>
    <n v="649"/>
    <n v="14927"/>
    <s v="DSL"/>
    <d v="2023-11-08T00:00:00"/>
    <s v="No"/>
    <s v="No"/>
    <s v="No"/>
    <s v="Yes"/>
    <s v="No"/>
    <s v="No"/>
  </r>
  <r>
    <x v="894"/>
    <s v="Deepak Chopra"/>
    <s v="Male"/>
    <n v="34"/>
    <s v="Chandigarh"/>
    <x v="1"/>
    <n v="14"/>
    <n v="1099"/>
    <n v="15386"/>
    <s v="Fiber"/>
    <d v="2024-07-29T00:00:00"/>
    <s v="No"/>
    <s v="No"/>
    <s v="No"/>
    <s v="No"/>
    <s v="No"/>
    <s v="No"/>
  </r>
  <r>
    <x v="895"/>
    <s v="Pooja Kapoor"/>
    <s v="Female"/>
    <n v="32"/>
    <s v="Bhopal"/>
    <x v="1"/>
    <n v="31"/>
    <n v="1099"/>
    <n v="34069"/>
    <s v="Fiber"/>
    <d v="2023-02-15T00:00:00"/>
    <s v="No"/>
    <s v="No"/>
    <s v="No"/>
    <s v="No"/>
    <s v="No"/>
    <s v="No"/>
  </r>
  <r>
    <x v="896"/>
    <s v="Sanjay Bose"/>
    <s v="Male"/>
    <n v="49"/>
    <s v="Bhopal"/>
    <x v="0"/>
    <n v="10"/>
    <n v="649"/>
    <n v="6490"/>
    <s v="DSL"/>
    <d v="2024-11-26T00:00:00"/>
    <s v="No"/>
    <s v="No"/>
    <s v="No"/>
    <s v="No"/>
    <s v="No"/>
    <s v="No"/>
  </r>
  <r>
    <x v="897"/>
    <s v="Rohit Kumar"/>
    <s v="Male"/>
    <n v="45"/>
    <s v="Hyderabad"/>
    <x v="0"/>
    <n v="13"/>
    <n v="1199"/>
    <n v="15587"/>
    <s v="Fiber"/>
    <m/>
    <s v="Yes"/>
    <s v="No"/>
    <s v="No"/>
    <s v="No"/>
    <s v="No"/>
    <s v="Date missing"/>
  </r>
  <r>
    <x v="898"/>
    <s v="Pankaj Reddy"/>
    <s v="Unknown"/>
    <n v="42"/>
    <s v="Kolkata"/>
    <x v="0"/>
    <n v="21"/>
    <n v="399"/>
    <n v="8379"/>
    <s v="No Internet"/>
    <d v="2023-12-30T00:00:00"/>
    <s v="No"/>
    <s v="No"/>
    <s v="No"/>
    <s v="No"/>
    <s v="No"/>
    <s v="No"/>
  </r>
  <r>
    <x v="899"/>
    <s v="Pankaj Sharma"/>
    <s v="Male"/>
    <n v="68"/>
    <s v="Delhi"/>
    <x v="2"/>
    <n v="44"/>
    <n v="899"/>
    <n v="39556"/>
    <s v="DSL"/>
    <d v="2022-02-01T00:00:00"/>
    <s v="No"/>
    <s v="No"/>
    <s v="No"/>
    <s v="No"/>
    <s v="No"/>
    <s v="No"/>
  </r>
  <r>
    <x v="900"/>
    <s v="Meera Iyer"/>
    <s v="Female"/>
    <n v="39"/>
    <s v="Ahmedabad"/>
    <x v="0"/>
    <n v="23"/>
    <n v="699"/>
    <n v="16077"/>
    <s v="DSL"/>
    <d v="2023-10-13T00:00:00"/>
    <s v="Yes"/>
    <s v="No"/>
    <s v="No"/>
    <s v="No"/>
    <s v="No"/>
    <s v="No"/>
  </r>
  <r>
    <x v="901"/>
    <s v="Karan Mishra"/>
    <s v="Male"/>
    <n v="36"/>
    <s v="Mumbai"/>
    <x v="0"/>
    <n v="5"/>
    <n v="349"/>
    <n v="1745"/>
    <s v="No Internet"/>
    <d v="2025-04-19T00:00:00"/>
    <s v="Yes"/>
    <s v="No"/>
    <s v="No"/>
    <s v="Yes"/>
    <s v="No"/>
    <s v="No"/>
  </r>
  <r>
    <x v="902"/>
    <s v="Aman Chopra"/>
    <s v="Male"/>
    <n v="36"/>
    <s v="Hyderabad"/>
    <x v="2"/>
    <n v="15"/>
    <n v="999"/>
    <n v="14985"/>
    <s v="Fiber"/>
    <d v="2024-06-26T00:00:00"/>
    <s v="No"/>
    <s v="No"/>
    <s v="No"/>
    <s v="No"/>
    <s v="No"/>
    <s v="No"/>
  </r>
  <r>
    <x v="903"/>
    <s v="Neha Yadav"/>
    <s v="Female"/>
    <n v="39"/>
    <s v="Mumbai"/>
    <x v="0"/>
    <n v="3"/>
    <n v="399"/>
    <n v="1197"/>
    <s v="No Internet"/>
    <d v="2025-06-14T00:00:00"/>
    <s v="Unknown"/>
    <s v="No"/>
    <s v="No"/>
    <s v="No"/>
    <s v="No"/>
    <s v="Churn unknown"/>
  </r>
  <r>
    <x v="904"/>
    <s v="Riya Gupta"/>
    <s v="Female"/>
    <n v="61"/>
    <s v="Kolkata"/>
    <x v="0"/>
    <n v="10"/>
    <n v="1299"/>
    <n v="12990"/>
    <s v="Fiber"/>
    <d v="2024-11-29T00:00:00"/>
    <s v="Yes"/>
    <s v="No"/>
    <s v="No"/>
    <s v="No"/>
    <s v="No"/>
    <s v="No"/>
  </r>
  <r>
    <x v="905"/>
    <s v="Komal Saxena"/>
    <s v="Female"/>
    <n v="41"/>
    <s v="Chennai"/>
    <x v="2"/>
    <n v="10"/>
    <n v="899"/>
    <n v="8990"/>
    <s v="Fiber"/>
    <d v="2024-11-28T00:00:00"/>
    <s v="No"/>
    <s v="No"/>
    <s v="No"/>
    <s v="No"/>
    <s v="Yes"/>
    <s v="No"/>
  </r>
  <r>
    <x v="906"/>
    <s v="Pooja Rao"/>
    <s v="Female"/>
    <n v="46"/>
    <s v="Bhopal"/>
    <x v="1"/>
    <n v="5"/>
    <n v="499"/>
    <n v="2495"/>
    <s v="No Internet"/>
    <d v="2025-04-23T00:00:00"/>
    <s v="No"/>
    <s v="No"/>
    <s v="No"/>
    <s v="No"/>
    <s v="No"/>
    <s v="No"/>
  </r>
  <r>
    <x v="907"/>
    <s v="Vikram Joshi"/>
    <s v="Male"/>
    <n v="26"/>
    <s v="Bangalore"/>
    <x v="1"/>
    <n v="32"/>
    <n v="1099"/>
    <n v="35168"/>
    <s v="Fiber"/>
    <d v="2023-01-22T00:00:00"/>
    <s v="No"/>
    <s v="No"/>
    <s v="No"/>
    <s v="No"/>
    <s v="No"/>
    <s v="No"/>
  </r>
  <r>
    <x v="908"/>
    <s v="Pooja Chopra"/>
    <s v="Female"/>
    <n v="33"/>
    <s v="Kolkata"/>
    <x v="0"/>
    <n v="18"/>
    <n v="1149"/>
    <n v="20682"/>
    <s v="Fiber"/>
    <d v="2024-03-25T00:00:00"/>
    <s v="No"/>
    <s v="No"/>
    <s v="No"/>
    <s v="No"/>
    <s v="No"/>
    <s v="No"/>
  </r>
  <r>
    <x v="909"/>
    <s v="Rajesh Pandey"/>
    <s v="Male"/>
    <n v="44"/>
    <s v="Jaipur"/>
    <x v="1"/>
    <n v="15"/>
    <n v="899"/>
    <n v="13485"/>
    <s v="Fiber"/>
    <d v="2024-06-29T00:00:00"/>
    <s v="No"/>
    <s v="No"/>
    <s v="No"/>
    <s v="No"/>
    <s v="No"/>
    <s v="No"/>
  </r>
  <r>
    <x v="910"/>
    <s v="Aman Mishra"/>
    <s v="Male"/>
    <n v="48"/>
    <s v="Bangalore"/>
    <x v="2"/>
    <n v="45"/>
    <n v="699"/>
    <n v="31455"/>
    <s v="DSL"/>
    <m/>
    <s v="No"/>
    <s v="No"/>
    <s v="No"/>
    <s v="Yes"/>
    <s v="No"/>
    <s v="Date missing"/>
  </r>
  <r>
    <x v="911"/>
    <s v="Ritu Mehta"/>
    <s v="Female"/>
    <n v="70"/>
    <s v="Hyderabad"/>
    <x v="0"/>
    <n v="23"/>
    <n v="849"/>
    <n v="19527"/>
    <s v="DSL"/>
    <d v="2023-10-17T00:00:00"/>
    <s v="No"/>
    <s v="No"/>
    <s v="No"/>
    <s v="No"/>
    <s v="No"/>
    <s v="No"/>
  </r>
  <r>
    <x v="912"/>
    <s v="Isha Verma"/>
    <s v="Female"/>
    <n v="62"/>
    <s v="Mumbai"/>
    <x v="1"/>
    <n v="39"/>
    <n v="899"/>
    <n v="35061"/>
    <s v="DSL"/>
    <d v="2022-07-12T00:00:00"/>
    <s v="Yes"/>
    <s v="No"/>
    <s v="No"/>
    <s v="No"/>
    <s v="No"/>
    <s v="No"/>
  </r>
  <r>
    <x v="913"/>
    <s v="Manish Kumar"/>
    <s v="Male"/>
    <n v="18"/>
    <s v="Lucknow"/>
    <x v="2"/>
    <n v="24"/>
    <n v="1199"/>
    <n v="28776"/>
    <s v="Fiber"/>
    <d v="2023-09-17T00:00:00"/>
    <s v="No"/>
    <s v="No"/>
    <s v="No"/>
    <s v="No"/>
    <s v="No"/>
    <s v="No"/>
  </r>
  <r>
    <x v="914"/>
    <s v="Komal Tiwari"/>
    <s v="Female"/>
    <n v="64"/>
    <s v="Pune"/>
    <x v="0"/>
    <n v="1"/>
    <n v="899"/>
    <n v="899"/>
    <s v="Fiber"/>
    <d v="2025-08-09T00:00:00"/>
    <s v="Yes"/>
    <s v="No"/>
    <s v="No"/>
    <s v="No"/>
    <s v="No"/>
    <s v="No"/>
  </r>
  <r>
    <x v="915"/>
    <s v="Pankaj Gupta"/>
    <s v="Male"/>
    <n v="50"/>
    <s v="Bangalore"/>
    <x v="0"/>
    <n v="22"/>
    <n v="449"/>
    <n v="9878"/>
    <s v="No Internet"/>
    <d v="2023-11-22T00:00:00"/>
    <s v="No"/>
    <s v="No"/>
    <s v="No"/>
    <s v="No"/>
    <s v="No"/>
    <s v="No"/>
  </r>
  <r>
    <x v="916"/>
    <s v="Ritu Tiwari"/>
    <s v="Female"/>
    <n v="28"/>
    <s v="Unknown"/>
    <x v="2"/>
    <n v="17"/>
    <n v="999"/>
    <n v="16983"/>
    <s v="Fiber"/>
    <d v="2024-04-29T00:00:00"/>
    <s v="No"/>
    <s v="No"/>
    <s v="No"/>
    <s v="No"/>
    <s v="Yes"/>
    <s v="No"/>
  </r>
  <r>
    <x v="917"/>
    <s v="Meera Agarwal"/>
    <s v="Female"/>
    <n v="53"/>
    <s v="Lucknow"/>
    <x v="2"/>
    <n v="60"/>
    <n v="499"/>
    <n v="29940"/>
    <s v="No Internet"/>
    <d v="2020-10-19T00:00:00"/>
    <s v="No"/>
    <s v="No"/>
    <s v="No"/>
    <s v="No"/>
    <s v="No"/>
    <s v="No"/>
  </r>
  <r>
    <x v="918"/>
    <s v="Aman Chopra"/>
    <s v="Male"/>
    <n v="45"/>
    <s v="Hyderabad"/>
    <x v="0"/>
    <n v="12"/>
    <n v="799"/>
    <n v="9588"/>
    <s v="DSL"/>
    <d v="2024-09-24T00:00:00"/>
    <s v="Yes"/>
    <s v="No"/>
    <s v="No"/>
    <s v="No"/>
    <s v="No"/>
    <s v="No"/>
  </r>
  <r>
    <x v="919"/>
    <s v="Sachin Reddy"/>
    <s v="Male"/>
    <n v="22"/>
    <s v="Hyderabad"/>
    <x v="1"/>
    <n v="20"/>
    <n v="1149"/>
    <n v="22980"/>
    <s v="Fiber"/>
    <d v="2024-02-05T00:00:00"/>
    <s v="No"/>
    <s v="No"/>
    <s v="No"/>
    <s v="No"/>
    <s v="No"/>
    <s v="No"/>
  </r>
  <r>
    <x v="920"/>
    <s v="Suresh Kumar"/>
    <s v="Male"/>
    <n v="47"/>
    <s v="Lucknow"/>
    <x v="0"/>
    <n v="16"/>
    <n v="449"/>
    <n v="7184"/>
    <s v="No Internet"/>
    <d v="2024-05-27T00:00:00"/>
    <s v="Yes"/>
    <s v="Yes"/>
    <s v="No"/>
    <s v="No"/>
    <s v="No"/>
    <s v="No"/>
  </r>
  <r>
    <x v="921"/>
    <s v="Aman Iyer"/>
    <s v="Male"/>
    <n v="43"/>
    <s v="Jaipur"/>
    <x v="0"/>
    <n v="24"/>
    <n v="999"/>
    <n v="23976"/>
    <s v="Fiber"/>
    <d v="2023-09-11T00:00:00"/>
    <s v="Yes"/>
    <s v="No"/>
    <s v="No"/>
    <s v="No"/>
    <s v="No"/>
    <s v="No"/>
  </r>
  <r>
    <x v="922"/>
    <s v="Mohit Singh"/>
    <s v="Male"/>
    <n v="19"/>
    <s v="Lucknow"/>
    <x v="1"/>
    <n v="3"/>
    <n v="999"/>
    <n v="2997"/>
    <s v="Fiber"/>
    <d v="2025-06-28T00:00:00"/>
    <s v="No"/>
    <s v="No"/>
    <s v="No"/>
    <s v="No"/>
    <s v="No"/>
    <s v="No"/>
  </r>
  <r>
    <x v="923"/>
    <s v="Manish Mehta"/>
    <s v="Male"/>
    <n v="69"/>
    <s v="Indore"/>
    <x v="1"/>
    <n v="11"/>
    <n v="1149"/>
    <n v="12639"/>
    <s v="Fiber"/>
    <d v="2024-10-04T00:00:00"/>
    <s v="No"/>
    <s v="No"/>
    <s v="No"/>
    <s v="No"/>
    <s v="No"/>
    <s v="No"/>
  </r>
  <r>
    <x v="924"/>
    <s v="Shreya Singh"/>
    <s v="Female"/>
    <n v="39"/>
    <s v="Chennai"/>
    <x v="0"/>
    <n v="14"/>
    <n v="499"/>
    <n v="6986"/>
    <s v="No Internet"/>
    <d v="2024-07-16T00:00:00"/>
    <s v="Yes"/>
    <s v="No"/>
    <s v="No"/>
    <s v="No"/>
    <s v="No"/>
    <s v="No"/>
  </r>
  <r>
    <x v="925"/>
    <s v="Rohit Bose"/>
    <s v="Male"/>
    <n v="58"/>
    <s v="Ahmedabad"/>
    <x v="0"/>
    <n v="10"/>
    <n v="799"/>
    <n v="7990"/>
    <s v="DSL"/>
    <d v="2024-11-18T00:00:00"/>
    <s v="No"/>
    <s v="No"/>
    <s v="No"/>
    <s v="No"/>
    <s v="Yes"/>
    <s v="No"/>
  </r>
  <r>
    <x v="926"/>
    <s v="Meera Iyer"/>
    <s v="Female"/>
    <n v="28"/>
    <s v="Mumbai"/>
    <x v="0"/>
    <m/>
    <m/>
    <n v="2997"/>
    <s v="Fiber"/>
    <d v="2025-06-15T00:00:00"/>
    <s v="Yes"/>
    <s v="No"/>
    <s v="No"/>
    <s v="No"/>
    <s v="No"/>
    <s v="Monthly missing; Tenure missing"/>
  </r>
  <r>
    <x v="927"/>
    <s v="Unknown"/>
    <s v="Female"/>
    <n v="26"/>
    <s v="Mumbai"/>
    <x v="2"/>
    <n v="47"/>
    <n v="1049"/>
    <n v="49303"/>
    <s v="Fiber"/>
    <d v="2021-10-30T00:00:00"/>
    <s v="No"/>
    <s v="No"/>
    <s v="No"/>
    <s v="No"/>
    <s v="No"/>
    <s v="No"/>
  </r>
  <r>
    <x v="928"/>
    <s v="Ankit Patel"/>
    <s v="Male"/>
    <n v="50"/>
    <s v="Chandigarh"/>
    <x v="1"/>
    <n v="6"/>
    <n v="849"/>
    <n v="5094"/>
    <s v="DSL"/>
    <d v="2025-03-04T00:00:00"/>
    <s v="No"/>
    <s v="No"/>
    <s v="No"/>
    <s v="No"/>
    <s v="No"/>
    <s v="No"/>
  </r>
  <r>
    <x v="929"/>
    <s v="Pankaj Chopra"/>
    <s v="Male"/>
    <n v="21"/>
    <s v="Bhopal"/>
    <x v="1"/>
    <n v="36"/>
    <n v="999"/>
    <n v="35964"/>
    <s v="Fiber"/>
    <d v="2022-10-09T00:00:00"/>
    <s v="No"/>
    <s v="No"/>
    <s v="No"/>
    <s v="No"/>
    <s v="No"/>
    <s v="No"/>
  </r>
  <r>
    <x v="930"/>
    <s v="Neha Nair"/>
    <s v="Female"/>
    <n v="42"/>
    <s v="Chandigarh"/>
    <x v="0"/>
    <n v="15"/>
    <n v="749"/>
    <n v="11235"/>
    <s v="DSL"/>
    <d v="2024-06-21T00:00:00"/>
    <s v="No"/>
    <s v="No"/>
    <s v="No"/>
    <s v="No"/>
    <s v="No"/>
    <s v="No"/>
  </r>
  <r>
    <x v="931"/>
    <s v="Vikram Gupta"/>
    <s v="Male"/>
    <n v="64"/>
    <s v="Mumbai"/>
    <x v="2"/>
    <n v="56"/>
    <n v="449"/>
    <n v="25144"/>
    <s v="No Internet"/>
    <d v="2021-02-11T00:00:00"/>
    <s v="Yes"/>
    <s v="No"/>
    <s v="No"/>
    <s v="No"/>
    <s v="No"/>
    <s v="No"/>
  </r>
  <r>
    <x v="932"/>
    <s v="Deepika Pandey"/>
    <s v="Unknown"/>
    <n v="65"/>
    <s v="Ahmedabad"/>
    <x v="0"/>
    <n v="18"/>
    <n v="1099"/>
    <n v="19782"/>
    <s v="Fiber"/>
    <d v="2024-03-27T00:00:00"/>
    <s v="No"/>
    <s v="No"/>
    <s v="No"/>
    <s v="No"/>
    <s v="No"/>
    <s v="No"/>
  </r>
  <r>
    <x v="933"/>
    <s v="Pankaj Rao"/>
    <s v="Male"/>
    <n v="21"/>
    <s v="Kochi"/>
    <x v="0"/>
    <n v="16"/>
    <n v="899"/>
    <n v="14384"/>
    <s v="Fiber"/>
    <d v="2024-05-12T00:00:00"/>
    <s v="No"/>
    <s v="No"/>
    <s v="No"/>
    <s v="No"/>
    <s v="No"/>
    <s v="No"/>
  </r>
  <r>
    <x v="934"/>
    <s v="Kavita Malhotra"/>
    <s v="Female"/>
    <n v="58"/>
    <s v="Bangalore"/>
    <x v="0"/>
    <n v="13"/>
    <n v="599"/>
    <n v="7787"/>
    <s v="DSL"/>
    <d v="2024-08-18T00:00:00"/>
    <s v="No"/>
    <s v="No"/>
    <s v="No"/>
    <s v="No"/>
    <s v="No"/>
    <s v="No"/>
  </r>
  <r>
    <x v="935"/>
    <s v="Suresh Gupta"/>
    <s v="Male"/>
    <n v="71"/>
    <s v="Delhi"/>
    <x v="0"/>
    <n v="11"/>
    <n v="399"/>
    <n v="4389"/>
    <s v="No Internet"/>
    <d v="2024-10-20T00:00:00"/>
    <s v="Yes"/>
    <s v="No"/>
    <s v="No"/>
    <s v="No"/>
    <s v="No"/>
    <s v="No"/>
  </r>
  <r>
    <x v="936"/>
    <s v="Komal Mishra"/>
    <s v="Female"/>
    <n v="62"/>
    <s v="Kochi"/>
    <x v="0"/>
    <n v="12"/>
    <n v="1149"/>
    <n v="13788"/>
    <s v="Fiber"/>
    <d v="2024-09-16T00:00:00"/>
    <s v="No"/>
    <s v="No"/>
    <s v="No"/>
    <s v="No"/>
    <s v="No"/>
    <s v="No"/>
  </r>
  <r>
    <x v="937"/>
    <s v="Vikram Agarwal"/>
    <s v="Male"/>
    <n v="60"/>
    <s v="Lucknow"/>
    <x v="1"/>
    <n v="21"/>
    <n v="599"/>
    <n v="12579"/>
    <s v="DSL"/>
    <d v="2023-12-23T00:00:00"/>
    <s v="No"/>
    <s v="No"/>
    <s v="No"/>
    <s v="No"/>
    <s v="No"/>
    <s v="No"/>
  </r>
  <r>
    <x v="938"/>
    <s v="Anjali Saxena"/>
    <s v="Female"/>
    <n v="44"/>
    <s v="Chennai"/>
    <x v="0"/>
    <n v="15"/>
    <n v="899"/>
    <n v="13485"/>
    <s v="DSL"/>
    <d v="2024-06-15T00:00:00"/>
    <s v="No"/>
    <s v="No"/>
    <s v="No"/>
    <s v="No"/>
    <s v="No"/>
    <s v="No"/>
  </r>
  <r>
    <x v="939"/>
    <s v="Amit Mehta"/>
    <s v="Male"/>
    <n v="65"/>
    <s v="Hyderabad"/>
    <x v="0"/>
    <n v="6"/>
    <n v="1099"/>
    <n v="6594"/>
    <s v="Fiber"/>
    <m/>
    <s v="Yes"/>
    <s v="No"/>
    <s v="No"/>
    <s v="No"/>
    <s v="No"/>
    <s v="Date missing"/>
  </r>
  <r>
    <x v="940"/>
    <s v="Aman Patel"/>
    <s v="Male"/>
    <n v="19"/>
    <s v="Chennai"/>
    <x v="2"/>
    <n v="16"/>
    <n v="1099"/>
    <n v="17584"/>
    <s v="Fiber"/>
    <d v="2024-05-25T00:00:00"/>
    <s v="No"/>
    <s v="No"/>
    <s v="No"/>
    <s v="No"/>
    <s v="No"/>
    <s v="No"/>
  </r>
  <r>
    <x v="941"/>
    <s v="Sonal Tiwari"/>
    <s v="Female"/>
    <n v="51"/>
    <s v="Kochi"/>
    <x v="0"/>
    <n v="15"/>
    <n v="399"/>
    <n v="5985"/>
    <s v="No Internet"/>
    <m/>
    <s v="No"/>
    <s v="No"/>
    <s v="No"/>
    <s v="No"/>
    <s v="No"/>
    <s v="Date missing"/>
  </r>
  <r>
    <x v="942"/>
    <s v="Divya Iyer"/>
    <s v="Female"/>
    <n v="72"/>
    <s v="Indore"/>
    <x v="1"/>
    <n v="19"/>
    <n v="1149"/>
    <n v="21831"/>
    <s v="Fiber"/>
    <d v="2024-02-11T00:00:00"/>
    <s v="No"/>
    <s v="No"/>
    <s v="No"/>
    <s v="No"/>
    <s v="Yes"/>
    <s v="No"/>
  </r>
  <r>
    <x v="943"/>
    <s v="Vikram Chopra"/>
    <s v="Male"/>
    <n v="19"/>
    <s v="Lucknow"/>
    <x v="2"/>
    <n v="70"/>
    <n v="599"/>
    <n v="41930"/>
    <s v="Unknown"/>
    <d v="2019-12-04T00:00:00"/>
    <s v="No"/>
    <s v="No"/>
    <s v="No"/>
    <s v="No"/>
    <s v="No"/>
    <s v="No"/>
  </r>
  <r>
    <x v="944"/>
    <s v="Harsh Tiwari"/>
    <s v="Male"/>
    <n v="31"/>
    <s v="Hyderabad"/>
    <x v="1"/>
    <n v="8"/>
    <n v="1299"/>
    <n v="10392"/>
    <s v="Fiber"/>
    <d v="2025-01-20T00:00:00"/>
    <s v="Unknown"/>
    <s v="No"/>
    <s v="No"/>
    <s v="No"/>
    <s v="No"/>
    <s v="Churn unknown"/>
  </r>
  <r>
    <x v="945"/>
    <s v="Nisha Chopra"/>
    <s v="Female"/>
    <n v="63"/>
    <s v="Kochi"/>
    <x v="1"/>
    <n v="24"/>
    <n v="899"/>
    <n v="21576"/>
    <s v="DSL"/>
    <d v="2023-09-11T00:00:00"/>
    <s v="No"/>
    <s v="No"/>
    <s v="Yes"/>
    <s v="No"/>
    <s v="No"/>
    <s v="No"/>
  </r>
  <r>
    <x v="946"/>
    <s v="Aditi Tiwari"/>
    <s v="Female"/>
    <n v="61"/>
    <s v="Hyderabad"/>
    <x v="0"/>
    <n v="2"/>
    <n v="399"/>
    <n v="798"/>
    <s v="Unknown"/>
    <d v="2025-07-04T00:00:00"/>
    <s v="No"/>
    <s v="No"/>
    <s v="Yes"/>
    <s v="No"/>
    <s v="No"/>
    <s v="No"/>
  </r>
  <r>
    <x v="947"/>
    <s v="Swati Gupta"/>
    <s v="Female"/>
    <n v="54"/>
    <s v="Kolkata"/>
    <x v="0"/>
    <n v="7"/>
    <n v="499"/>
    <n v="3493"/>
    <s v="No Internet"/>
    <d v="2025-02-05T00:00:00"/>
    <s v="No"/>
    <s v="No"/>
    <s v="No"/>
    <s v="No"/>
    <s v="No"/>
    <s v="No"/>
  </r>
  <r>
    <x v="948"/>
    <s v="Pooja Chopra"/>
    <s v="Female"/>
    <n v="42"/>
    <s v="Bhopal"/>
    <x v="0"/>
    <n v="17"/>
    <n v="399"/>
    <n v="6783"/>
    <s v="No Internet"/>
    <d v="2024-04-11T00:00:00"/>
    <s v="Yes"/>
    <s v="No"/>
    <s v="No"/>
    <s v="No"/>
    <s v="No"/>
    <s v="No"/>
  </r>
  <r>
    <x v="949"/>
    <s v="Mohit Reddy"/>
    <s v="Male"/>
    <n v="58"/>
    <s v="Lucknow"/>
    <x v="1"/>
    <n v="17"/>
    <n v="399"/>
    <n v="6783"/>
    <s v="No Internet"/>
    <d v="2024-04-30T00:00:00"/>
    <s v="No"/>
    <s v="No"/>
    <s v="No"/>
    <s v="No"/>
    <s v="No"/>
    <s v="No"/>
  </r>
  <r>
    <x v="950"/>
    <s v="Vikram Sharma"/>
    <s v="Male"/>
    <n v="45"/>
    <s v="Delhi"/>
    <x v="1"/>
    <n v="2"/>
    <n v="1199"/>
    <n v="2398"/>
    <s v="Fiber"/>
    <d v="2025-07-28T00:00:00"/>
    <s v="No"/>
    <s v="No"/>
    <s v="No"/>
    <s v="No"/>
    <s v="No"/>
    <s v="No"/>
  </r>
  <r>
    <x v="951"/>
    <s v="Priya Agarwal"/>
    <s v="Unknown"/>
    <n v="64"/>
    <s v="Bangalore"/>
    <x v="2"/>
    <n v="46"/>
    <n v="999"/>
    <n v="45954"/>
    <s v="Fiber"/>
    <d v="2021-12-01T00:00:00"/>
    <s v="No"/>
    <s v="No"/>
    <s v="No"/>
    <s v="No"/>
    <s v="No"/>
    <s v="No"/>
  </r>
  <r>
    <x v="952"/>
    <s v="Deepak Malhotra"/>
    <s v="Male"/>
    <n v="60"/>
    <s v="Delhi"/>
    <x v="0"/>
    <n v="21"/>
    <n v="549"/>
    <n v="11529"/>
    <s v="No Internet"/>
    <d v="2024-01-04T00:00:00"/>
    <s v="No"/>
    <s v="No"/>
    <s v="No"/>
    <s v="No"/>
    <s v="No"/>
    <s v="No"/>
  </r>
  <r>
    <x v="953"/>
    <s v="Riya Reddy"/>
    <s v="Unknown"/>
    <n v="24"/>
    <s v="Bangalore"/>
    <x v="0"/>
    <n v="3"/>
    <n v="449"/>
    <n v="1347"/>
    <s v="No Internet"/>
    <d v="2025-06-24T00:00:00"/>
    <s v="No"/>
    <s v="No"/>
    <s v="No"/>
    <s v="No"/>
    <s v="No"/>
    <s v="No"/>
  </r>
  <r>
    <x v="954"/>
    <s v="Anjali Desai"/>
    <s v="Female"/>
    <n v="68"/>
    <s v="Delhi"/>
    <x v="0"/>
    <n v="21"/>
    <n v="999"/>
    <n v="20979"/>
    <s v="Fiber"/>
    <d v="2023-12-28T00:00:00"/>
    <s v="Yes"/>
    <s v="No"/>
    <s v="No"/>
    <s v="No"/>
    <s v="No"/>
    <s v="No"/>
  </r>
  <r>
    <x v="955"/>
    <s v="Meera Gupta"/>
    <s v="Female"/>
    <n v="37"/>
    <s v="Delhi"/>
    <x v="2"/>
    <n v="5"/>
    <n v="1049"/>
    <n v="5245"/>
    <s v="Fiber"/>
    <d v="2025-04-12T00:00:00"/>
    <s v="No"/>
    <s v="No"/>
    <s v="No"/>
    <s v="No"/>
    <s v="No"/>
    <s v="No"/>
  </r>
  <r>
    <x v="956"/>
    <s v="Arjun Jain"/>
    <s v="Male"/>
    <n v="65"/>
    <s v="Chennai"/>
    <x v="2"/>
    <n v="4"/>
    <n v="799"/>
    <n v="3196"/>
    <s v="DSL"/>
    <d v="2025-05-27T00:00:00"/>
    <s v="No"/>
    <s v="No"/>
    <s v="No"/>
    <s v="No"/>
    <s v="No"/>
    <s v="No"/>
  </r>
  <r>
    <x v="957"/>
    <s v="Aman Reddy"/>
    <s v="Male"/>
    <n v="75"/>
    <s v="Hyderabad"/>
    <x v="0"/>
    <n v="3"/>
    <n v="849"/>
    <n v="2547"/>
    <s v="DSL"/>
    <d v="2025-06-15T00:00:00"/>
    <s v="Yes"/>
    <s v="No"/>
    <s v="No"/>
    <s v="No"/>
    <s v="No"/>
    <s v="No"/>
  </r>
  <r>
    <x v="958"/>
    <s v="Vikram Patel"/>
    <s v="Male"/>
    <n v="63"/>
    <s v="Jaipur"/>
    <x v="1"/>
    <n v="32"/>
    <n v="1149"/>
    <n v="36768"/>
    <s v="Fiber"/>
    <d v="2023-02-03T00:00:00"/>
    <s v="No"/>
    <s v="No"/>
    <s v="No"/>
    <s v="No"/>
    <s v="No"/>
    <s v="No"/>
  </r>
  <r>
    <x v="959"/>
    <s v="Sanjay Saxena"/>
    <s v="Male"/>
    <n v="72"/>
    <s v="Bhopal"/>
    <x v="0"/>
    <n v="19"/>
    <n v="1299"/>
    <n v="24681"/>
    <s v="Fiber"/>
    <d v="2024-02-11T00:00:00"/>
    <s v="Yes"/>
    <s v="No"/>
    <s v="No"/>
    <s v="No"/>
    <s v="No"/>
    <s v="No"/>
  </r>
  <r>
    <x v="960"/>
    <s v="Gaurav Tiwari"/>
    <s v="Male"/>
    <n v="74"/>
    <s v="Ahmedabad"/>
    <x v="0"/>
    <n v="11"/>
    <n v="899"/>
    <n v="9889"/>
    <s v="Fiber"/>
    <d v="2024-10-27T00:00:00"/>
    <s v="Yes"/>
    <s v="No"/>
    <s v="No"/>
    <s v="No"/>
    <s v="No"/>
    <s v="No"/>
  </r>
  <r>
    <x v="961"/>
    <s v="Isha Chopra"/>
    <s v="Female"/>
    <n v="70"/>
    <s v="Mumbai"/>
    <x v="0"/>
    <n v="17"/>
    <n v="499"/>
    <n v="8483"/>
    <s v="No Internet"/>
    <d v="2024-04-10T00:00:00"/>
    <s v="Yes"/>
    <s v="No"/>
    <s v="No"/>
    <s v="No"/>
    <s v="No"/>
    <s v="No"/>
  </r>
  <r>
    <x v="962"/>
    <s v="Divya Sharma"/>
    <s v="Female"/>
    <n v="25"/>
    <s v="Bangalore"/>
    <x v="2"/>
    <n v="24"/>
    <n v="999"/>
    <n v="23976"/>
    <s v="Fiber"/>
    <d v="2023-09-28T00:00:00"/>
    <s v="No"/>
    <s v="No"/>
    <s v="No"/>
    <s v="No"/>
    <s v="No"/>
    <s v="No"/>
  </r>
  <r>
    <x v="963"/>
    <s v="Pooja Joshi"/>
    <s v="Female"/>
    <n v="25"/>
    <s v="Delhi"/>
    <x v="0"/>
    <n v="11"/>
    <n v="649"/>
    <n v="7139"/>
    <s v="DSL"/>
    <d v="2024-10-05T00:00:00"/>
    <s v="No"/>
    <s v="No"/>
    <s v="No"/>
    <s v="No"/>
    <s v="No"/>
    <s v="No"/>
  </r>
  <r>
    <x v="964"/>
    <s v="Sachin Kumar"/>
    <s v="Male"/>
    <n v="42"/>
    <s v="Chennai"/>
    <x v="1"/>
    <n v="7"/>
    <n v="1049"/>
    <n v="7343"/>
    <s v="Fiber"/>
    <d v="2025-02-05T00:00:00"/>
    <s v="No"/>
    <s v="No"/>
    <s v="No"/>
    <s v="No"/>
    <s v="No"/>
    <s v="No"/>
  </r>
  <r>
    <x v="965"/>
    <s v="Rajesh Chopra"/>
    <s v="Male"/>
    <n v="44"/>
    <s v="Indore"/>
    <x v="1"/>
    <n v="21"/>
    <n v="649"/>
    <n v="13629"/>
    <s v="DSL"/>
    <d v="2023-12-23T00:00:00"/>
    <s v="No"/>
    <s v="No"/>
    <s v="No"/>
    <s v="No"/>
    <s v="No"/>
    <s v="No"/>
  </r>
  <r>
    <x v="966"/>
    <s v="Suresh Tiwari"/>
    <s v="Male"/>
    <n v="25"/>
    <s v="Mumbai"/>
    <x v="0"/>
    <n v="19"/>
    <n v="999"/>
    <n v="18981"/>
    <s v="Fiber"/>
    <d v="2024-03-07T00:00:00"/>
    <s v="Yes"/>
    <s v="No"/>
    <s v="No"/>
    <s v="No"/>
    <s v="No"/>
    <s v="No"/>
  </r>
  <r>
    <x v="967"/>
    <s v="Ankit Iyer"/>
    <s v="Male"/>
    <n v="26"/>
    <s v="Chandigarh"/>
    <x v="2"/>
    <n v="69"/>
    <n v="799"/>
    <n v="55131"/>
    <s v="DSL"/>
    <d v="2020-01-26T00:00:00"/>
    <s v="No"/>
    <s v="No"/>
    <s v="No"/>
    <s v="No"/>
    <s v="No"/>
    <s v="No"/>
  </r>
  <r>
    <x v="968"/>
    <s v="Anjali Tiwari"/>
    <s v="Female"/>
    <n v="64"/>
    <s v="Chennai"/>
    <x v="0"/>
    <n v="13"/>
    <n v="1149"/>
    <n v="14937"/>
    <s v="Fiber"/>
    <d v="2024-09-02T00:00:00"/>
    <s v="No"/>
    <s v="No"/>
    <s v="No"/>
    <s v="No"/>
    <s v="No"/>
    <s v="No"/>
  </r>
  <r>
    <x v="969"/>
    <s v="Aditi Pandey"/>
    <s v="Female"/>
    <n v="47"/>
    <s v="Ahmedabad"/>
    <x v="2"/>
    <n v="16"/>
    <n v="549"/>
    <n v="8784"/>
    <s v="No Internet"/>
    <d v="2024-05-29T00:00:00"/>
    <s v="No"/>
    <s v="No"/>
    <s v="No"/>
    <s v="No"/>
    <s v="No"/>
    <s v="No"/>
  </r>
  <r>
    <x v="970"/>
    <s v="Rahul Singh"/>
    <s v="Male"/>
    <n v="24"/>
    <s v="Pune"/>
    <x v="2"/>
    <n v="29"/>
    <n v="899"/>
    <n v="26071"/>
    <s v="Fiber"/>
    <d v="2023-04-17T00:00:00"/>
    <s v="No"/>
    <s v="No"/>
    <s v="No"/>
    <s v="No"/>
    <s v="No"/>
    <s v="No"/>
  </r>
  <r>
    <x v="971"/>
    <s v="Sonal Sharma"/>
    <s v="Female"/>
    <n v="62"/>
    <s v="Chandigarh"/>
    <x v="0"/>
    <n v="2"/>
    <n v="449"/>
    <n v="898"/>
    <s v="No Internet"/>
    <d v="2025-07-20T00:00:00"/>
    <s v="Yes"/>
    <s v="No"/>
    <s v="No"/>
    <s v="Yes"/>
    <s v="No"/>
    <s v="No"/>
  </r>
  <r>
    <x v="972"/>
    <s v="Kavita Pandey"/>
    <s v="Female"/>
    <n v="47"/>
    <s v="Bangalore"/>
    <x v="1"/>
    <n v="21"/>
    <n v="899"/>
    <n v="18879"/>
    <s v="DSL"/>
    <d v="2023-12-10T00:00:00"/>
    <s v="No"/>
    <s v="Yes"/>
    <s v="No"/>
    <s v="No"/>
    <s v="No"/>
    <s v="No"/>
  </r>
  <r>
    <x v="973"/>
    <s v="Shreya Saxena"/>
    <s v="Female"/>
    <n v="25"/>
    <s v="Jaipur"/>
    <x v="0"/>
    <n v="22"/>
    <n v="1049"/>
    <n v="23078"/>
    <s v="Fiber"/>
    <d v="2023-11-23T00:00:00"/>
    <s v="No"/>
    <s v="No"/>
    <s v="No"/>
    <s v="No"/>
    <s v="No"/>
    <s v="No"/>
  </r>
  <r>
    <x v="974"/>
    <s v="Vikram Malhotra"/>
    <s v="Male"/>
    <n v="67"/>
    <s v="Chennai"/>
    <x v="1"/>
    <n v="16"/>
    <n v="1199"/>
    <n v="19184"/>
    <s v="Fiber"/>
    <d v="2024-06-03T00:00:00"/>
    <s v="No"/>
    <s v="No"/>
    <s v="No"/>
    <s v="No"/>
    <s v="No"/>
    <s v="No"/>
  </r>
  <r>
    <x v="975"/>
    <s v="Sneha Mehta"/>
    <s v="Female"/>
    <n v="18"/>
    <s v="Indore"/>
    <x v="0"/>
    <n v="7"/>
    <n v="449"/>
    <n v="3143"/>
    <s v="No Internet"/>
    <d v="2025-02-12T00:00:00"/>
    <s v="Yes"/>
    <s v="No"/>
    <s v="No"/>
    <s v="No"/>
    <s v="No"/>
    <s v="No"/>
  </r>
  <r>
    <x v="976"/>
    <s v="Aditi Pandey"/>
    <s v="Female"/>
    <n v="47"/>
    <s v="Indore"/>
    <x v="0"/>
    <n v="5"/>
    <n v="1049"/>
    <n v="5245"/>
    <s v="Fiber"/>
    <d v="2025-04-04T00:00:00"/>
    <s v="No"/>
    <s v="No"/>
    <s v="No"/>
    <s v="No"/>
    <s v="No"/>
    <s v="No"/>
  </r>
  <r>
    <x v="977"/>
    <s v="Deepak Mehta"/>
    <s v="Male"/>
    <n v="22"/>
    <s v="Chennai"/>
    <x v="0"/>
    <n v="19"/>
    <n v="899"/>
    <n v="17081"/>
    <s v="Fiber"/>
    <d v="2024-03-04T00:00:00"/>
    <s v="Yes"/>
    <s v="No"/>
    <s v="No"/>
    <s v="No"/>
    <s v="No"/>
    <s v="No"/>
  </r>
  <r>
    <x v="978"/>
    <s v="Manish Sharma"/>
    <s v="Male"/>
    <n v="75"/>
    <s v="Ahmedabad"/>
    <x v="0"/>
    <n v="22"/>
    <n v="799"/>
    <n v="17578"/>
    <s v="DSL"/>
    <d v="2023-11-09T00:00:00"/>
    <s v="Yes"/>
    <s v="No"/>
    <s v="No"/>
    <s v="No"/>
    <s v="No"/>
    <s v="No"/>
  </r>
  <r>
    <x v="979"/>
    <s v="Aman Tiwari"/>
    <s v="Male"/>
    <n v="31"/>
    <s v="Bangalore"/>
    <x v="0"/>
    <n v="11"/>
    <n v="1099"/>
    <n v="12089"/>
    <s v="Fiber"/>
    <d v="2024-11-01T00:00:00"/>
    <s v="Yes"/>
    <s v="No"/>
    <s v="No"/>
    <s v="No"/>
    <s v="No"/>
    <s v="No"/>
  </r>
  <r>
    <x v="980"/>
    <s v="Nisha Mehta"/>
    <s v="Female"/>
    <n v="36"/>
    <s v="Hyderabad"/>
    <x v="0"/>
    <n v="17"/>
    <n v="1099"/>
    <n v="18683"/>
    <s v="Fiber"/>
    <d v="2024-04-15T00:00:00"/>
    <s v="Yes"/>
    <s v="No"/>
    <s v="No"/>
    <s v="No"/>
    <s v="No"/>
    <s v="No"/>
  </r>
  <r>
    <x v="981"/>
    <s v="Manish Reddy"/>
    <s v="Male"/>
    <n v="32"/>
    <s v="Mumbai"/>
    <x v="3"/>
    <n v="9"/>
    <n v="649"/>
    <n v="5841"/>
    <s v="DSL"/>
    <d v="2024-12-25T00:00:00"/>
    <s v="Yes"/>
    <s v="No"/>
    <s v="No"/>
    <s v="Yes"/>
    <s v="No"/>
    <s v="No"/>
  </r>
  <r>
    <x v="982"/>
    <s v="Divya Rao"/>
    <s v="Female"/>
    <n v="47"/>
    <s v="Hyderabad"/>
    <x v="1"/>
    <n v="18"/>
    <n v="399"/>
    <n v="7182"/>
    <s v="No Internet"/>
    <d v="2024-03-26T00:00:00"/>
    <s v="No"/>
    <s v="Yes"/>
    <s v="No"/>
    <s v="No"/>
    <s v="No"/>
    <s v="No"/>
  </r>
  <r>
    <x v="983"/>
    <s v="Riya Iyer"/>
    <s v="Female"/>
    <n v="64"/>
    <s v="Delhi"/>
    <x v="0"/>
    <n v="23"/>
    <n v="1099"/>
    <n v="25277"/>
    <s v="Fiber"/>
    <d v="2023-10-17T00:00:00"/>
    <s v="No"/>
    <s v="No"/>
    <s v="No"/>
    <s v="No"/>
    <s v="No"/>
    <s v="No"/>
  </r>
  <r>
    <x v="984"/>
    <s v="Arjun Joshi"/>
    <s v="Male"/>
    <n v="61"/>
    <s v="Mumbai"/>
    <x v="0"/>
    <n v="15"/>
    <n v="649"/>
    <n v="9735"/>
    <s v="DSL"/>
    <d v="2024-07-05T00:00:00"/>
    <s v="No"/>
    <s v="No"/>
    <s v="No"/>
    <s v="No"/>
    <s v="No"/>
    <s v="No"/>
  </r>
  <r>
    <x v="985"/>
    <s v="Suresh Kumar"/>
    <s v="Male"/>
    <n v="28"/>
    <s v="Indore"/>
    <x v="1"/>
    <n v="23"/>
    <n v="749"/>
    <n v="17227"/>
    <s v="DSL"/>
    <d v="2023-11-01T00:00:00"/>
    <s v="No"/>
    <s v="No"/>
    <s v="No"/>
    <s v="No"/>
    <s v="Yes"/>
    <s v="No"/>
  </r>
  <r>
    <x v="986"/>
    <s v="Anjali Verma"/>
    <s v="Female"/>
    <n v="70"/>
    <s v="Delhi"/>
    <x v="1"/>
    <n v="15"/>
    <n v="399"/>
    <n v="5985"/>
    <s v="No Internet"/>
    <d v="2024-06-11T00:00:00"/>
    <s v="Unknown"/>
    <s v="No"/>
    <s v="No"/>
    <s v="No"/>
    <s v="No"/>
    <s v="Churn unknown"/>
  </r>
  <r>
    <x v="987"/>
    <s v="Karan Iyer"/>
    <s v="Male"/>
    <n v="69"/>
    <s v="Bhopal"/>
    <x v="0"/>
    <n v="12"/>
    <n v="1049"/>
    <n v="12588"/>
    <s v="Fiber"/>
    <d v="2024-09-19T00:00:00"/>
    <s v="Yes"/>
    <s v="No"/>
    <s v="No"/>
    <s v="No"/>
    <s v="No"/>
    <s v="No"/>
  </r>
  <r>
    <x v="988"/>
    <s v="Aman Iyer"/>
    <s v="Male"/>
    <n v="63"/>
    <s v="Pune"/>
    <x v="2"/>
    <n v="62"/>
    <n v="1049"/>
    <n v="65038"/>
    <s v="Fiber"/>
    <d v="2020-08-25T00:00:00"/>
    <s v="No"/>
    <s v="No"/>
    <s v="Yes"/>
    <s v="No"/>
    <s v="No"/>
    <s v="No"/>
  </r>
  <r>
    <x v="989"/>
    <s v="Vivek Nair"/>
    <s v="Male"/>
    <n v="60"/>
    <s v="Bangalore"/>
    <x v="0"/>
    <n v="19"/>
    <n v="849"/>
    <n v="16131"/>
    <s v="DSL"/>
    <d v="2024-02-13T00:00:00"/>
    <s v="Yes"/>
    <s v="No"/>
    <s v="No"/>
    <s v="No"/>
    <s v="No"/>
    <s v="No"/>
  </r>
  <r>
    <x v="990"/>
    <s v="Sanjay Rao"/>
    <s v="Male"/>
    <n v="58"/>
    <s v="Mumbai"/>
    <x v="2"/>
    <n v="70"/>
    <n v="399"/>
    <n v="27930"/>
    <s v="No Internet"/>
    <d v="2019-12-08T00:00:00"/>
    <s v="No"/>
    <s v="No"/>
    <s v="No"/>
    <s v="No"/>
    <s v="No"/>
    <s v="No"/>
  </r>
  <r>
    <x v="991"/>
    <s v="Swati Rao"/>
    <s v="Female"/>
    <n v="55"/>
    <s v="Kolkata"/>
    <x v="2"/>
    <n v="25"/>
    <n v="599"/>
    <n v="14975"/>
    <s v="DSL"/>
    <d v="2023-08-14T00:00:00"/>
    <s v="No"/>
    <s v="No"/>
    <s v="No"/>
    <s v="No"/>
    <s v="No"/>
    <s v="No"/>
  </r>
  <r>
    <x v="992"/>
    <s v="Vivek Kapoor"/>
    <s v="Male"/>
    <n v="54"/>
    <s v="Kochi"/>
    <x v="1"/>
    <n v="1"/>
    <n v="749"/>
    <n v="749"/>
    <s v="DSL"/>
    <d v="2025-08-25T00:00:00"/>
    <s v="No"/>
    <s v="No"/>
    <s v="No"/>
    <s v="No"/>
    <s v="No"/>
    <s v="No"/>
  </r>
  <r>
    <x v="993"/>
    <s v="Riya Mishra"/>
    <s v="Female"/>
    <n v="60"/>
    <s v="Bangalore"/>
    <x v="3"/>
    <n v="10"/>
    <n v="599"/>
    <n v="5990"/>
    <s v="DSL"/>
    <d v="2024-11-06T00:00:00"/>
    <s v="Yes"/>
    <s v="No"/>
    <s v="No"/>
    <s v="No"/>
    <s v="Yes"/>
    <s v="No"/>
  </r>
  <r>
    <x v="994"/>
    <s v="Amit Desai"/>
    <s v="Male"/>
    <n v="37"/>
    <s v="Delhi"/>
    <x v="0"/>
    <n v="1"/>
    <n v="1049"/>
    <n v="1049"/>
    <s v="Fiber"/>
    <d v="2025-08-20T00:00:00"/>
    <s v="Yes"/>
    <s v="No"/>
    <s v="No"/>
    <s v="No"/>
    <s v="No"/>
    <s v="No"/>
  </r>
  <r>
    <x v="995"/>
    <s v="Vikram Pandey"/>
    <s v="Male"/>
    <n v="35"/>
    <s v="Bangalore"/>
    <x v="2"/>
    <n v="11"/>
    <n v="699"/>
    <n v="7689"/>
    <s v="DSL"/>
    <d v="2024-10-22T00:00:00"/>
    <s v="No"/>
    <s v="No"/>
    <s v="No"/>
    <s v="No"/>
    <s v="No"/>
    <s v="No"/>
  </r>
  <r>
    <x v="996"/>
    <s v="Deepak Tiwari"/>
    <s v="Male"/>
    <n v="43"/>
    <s v="Mumbai"/>
    <x v="2"/>
    <n v="40"/>
    <n v="499"/>
    <n v="19960"/>
    <s v="No Internet"/>
    <d v="2022-06-06T00:00:00"/>
    <s v="No"/>
    <s v="No"/>
    <s v="Yes"/>
    <s v="No"/>
    <s v="No"/>
    <s v="No"/>
  </r>
  <r>
    <x v="997"/>
    <s v="Sanjay Malhotra"/>
    <s v="Male"/>
    <n v="26"/>
    <s v="Kolkata"/>
    <x v="1"/>
    <n v="6"/>
    <n v="699"/>
    <n v="4194"/>
    <s v="Unknown"/>
    <d v="2025-03-20T00:00:00"/>
    <s v="No"/>
    <s v="No"/>
    <s v="No"/>
    <s v="No"/>
    <s v="No"/>
    <s v="No"/>
  </r>
  <r>
    <x v="998"/>
    <s v="Anjali Singh"/>
    <s v="Female"/>
    <n v="47"/>
    <s v="Ahmedabad"/>
    <x v="1"/>
    <n v="23"/>
    <n v="1049"/>
    <n v="24127"/>
    <s v="Fiber"/>
    <d v="2023-10-26T00:00:00"/>
    <s v="No"/>
    <s v="Yes"/>
    <s v="No"/>
    <s v="No"/>
    <s v="No"/>
    <s v="No"/>
  </r>
  <r>
    <x v="999"/>
    <s v="Priya Mishra"/>
    <s v="Female"/>
    <n v="47"/>
    <s v="Kochi"/>
    <x v="0"/>
    <n v="20"/>
    <n v="1299"/>
    <n v="25980"/>
    <s v="Fiber"/>
    <d v="2024-01-26T00:00:00"/>
    <s v="No"/>
    <s v="Yes"/>
    <s v="No"/>
    <s v="No"/>
    <s v="No"/>
    <s v="No"/>
  </r>
  <r>
    <x v="1000"/>
    <s v="Pankaj Mishra"/>
    <s v="Male"/>
    <n v="75"/>
    <s v="Lucknow"/>
    <x v="2"/>
    <n v="51"/>
    <n v="649"/>
    <n v="33099"/>
    <s v="DSL"/>
    <d v="2021-06-27T00:00:00"/>
    <s v="No"/>
    <s v="No"/>
    <s v="No"/>
    <s v="No"/>
    <s v="No"/>
    <s v="No"/>
  </r>
  <r>
    <x v="1001"/>
    <s v="Sneha Kumar"/>
    <s v="Female"/>
    <n v="21"/>
    <s v="Chennai"/>
    <x v="2"/>
    <n v="43"/>
    <n v="899"/>
    <n v="38657"/>
    <s v="Fiber"/>
    <d v="2022-02-24T00:00:00"/>
    <s v="No"/>
    <s v="No"/>
    <s v="No"/>
    <s v="No"/>
    <s v="No"/>
    <s v="No"/>
  </r>
  <r>
    <x v="1002"/>
    <s v="Sneha Reddy"/>
    <s v="Female"/>
    <n v="65"/>
    <s v="Lucknow"/>
    <x v="1"/>
    <n v="4"/>
    <n v="999"/>
    <n v="3996"/>
    <s v="Fiber"/>
    <d v="2025-05-08T00:00:00"/>
    <s v="Yes"/>
    <s v="No"/>
    <s v="No"/>
    <s v="No"/>
    <s v="No"/>
    <s v="No"/>
  </r>
  <r>
    <x v="1003"/>
    <s v="Pooja Nair"/>
    <s v="Female"/>
    <n v="75"/>
    <s v="Indore"/>
    <x v="1"/>
    <n v="20"/>
    <n v="849"/>
    <n v="16980"/>
    <s v="DSL"/>
    <d v="2024-01-31T00:00:00"/>
    <s v="No"/>
    <s v="No"/>
    <s v="No"/>
    <s v="No"/>
    <s v="No"/>
    <s v="No"/>
  </r>
  <r>
    <x v="1004"/>
    <s v="Vikram Sharma"/>
    <s v="Male"/>
    <n v="27"/>
    <s v="Lucknow"/>
    <x v="2"/>
    <n v="32"/>
    <n v="899"/>
    <n v="28768"/>
    <s v="Fiber"/>
    <d v="2023-01-26T00:00:00"/>
    <s v="Yes"/>
    <s v="No"/>
    <s v="No"/>
    <s v="No"/>
    <s v="No"/>
    <s v="No"/>
  </r>
  <r>
    <x v="1005"/>
    <s v="Divya Verma"/>
    <s v="Female"/>
    <n v="25"/>
    <s v="Chennai"/>
    <x v="0"/>
    <n v="8"/>
    <n v="549"/>
    <n v="4392"/>
    <s v="No Internet"/>
    <d v="2025-01-12T00:00:00"/>
    <s v="Yes"/>
    <s v="No"/>
    <s v="No"/>
    <s v="No"/>
    <s v="No"/>
    <s v="No"/>
  </r>
  <r>
    <x v="1006"/>
    <s v="Riya Reddy"/>
    <s v="Female"/>
    <n v="45"/>
    <s v="Bangalore"/>
    <x v="1"/>
    <n v="16"/>
    <n v="649"/>
    <n v="10384"/>
    <s v="DSL"/>
    <d v="2024-05-21T00:00:00"/>
    <s v="No"/>
    <s v="No"/>
    <s v="No"/>
    <s v="No"/>
    <s v="No"/>
    <s v="No"/>
  </r>
  <r>
    <x v="1007"/>
    <s v="Aditi Saxena"/>
    <s v="Female"/>
    <n v="24"/>
    <s v="Lucknow"/>
    <x v="0"/>
    <n v="13"/>
    <n v="1199"/>
    <n v="15587"/>
    <s v="Fiber"/>
    <d v="2024-08-08T00:00:00"/>
    <s v="Yes"/>
    <s v="No"/>
    <s v="No"/>
    <s v="No"/>
    <s v="No"/>
    <s v="No"/>
  </r>
  <r>
    <x v="1008"/>
    <s v="Pooja Sharma"/>
    <s v="Female"/>
    <n v="36"/>
    <s v="Ahmedabad"/>
    <x v="0"/>
    <n v="19"/>
    <n v="899"/>
    <n v="17081"/>
    <s v="Fiber"/>
    <d v="2024-02-07T00:00:00"/>
    <s v="Yes"/>
    <s v="No"/>
    <s v="No"/>
    <s v="No"/>
    <s v="Yes"/>
    <s v="No"/>
  </r>
  <r>
    <x v="1009"/>
    <s v="Pooja Kapoor"/>
    <s v="Female"/>
    <n v="74"/>
    <s v="Bhopal"/>
    <x v="0"/>
    <n v="6"/>
    <n v="699"/>
    <n v="4194"/>
    <s v="DSL"/>
    <d v="2025-03-04T00:00:00"/>
    <s v="Yes"/>
    <s v="No"/>
    <s v="No"/>
    <s v="No"/>
    <s v="No"/>
    <s v="No"/>
  </r>
  <r>
    <x v="1010"/>
    <s v="Payal Kumar"/>
    <s v="Female"/>
    <n v="29"/>
    <s v="Indore"/>
    <x v="0"/>
    <n v="19"/>
    <n v="1099"/>
    <n v="20881"/>
    <s v="Fiber"/>
    <d v="2024-02-12T00:00:00"/>
    <s v="Yes"/>
    <s v="No"/>
    <s v="No"/>
    <s v="No"/>
    <s v="No"/>
    <s v="No"/>
  </r>
  <r>
    <x v="1011"/>
    <s v="Divya Kumar"/>
    <s v="Female"/>
    <n v="71"/>
    <s v="Indore"/>
    <x v="0"/>
    <n v="20"/>
    <n v="549"/>
    <n v="10980"/>
    <s v="No Internet"/>
    <d v="2024-01-21T00:00:00"/>
    <s v="No"/>
    <s v="No"/>
    <s v="No"/>
    <s v="No"/>
    <s v="No"/>
    <s v="No"/>
  </r>
  <r>
    <x v="1012"/>
    <s v="Pooja Pandey"/>
    <s v="Unknown"/>
    <n v="38"/>
    <s v="Lucknow"/>
    <x v="2"/>
    <n v="52"/>
    <n v="599"/>
    <n v="31148"/>
    <s v="DSL"/>
    <d v="2021-06-16T00:00:00"/>
    <s v="No"/>
    <s v="No"/>
    <s v="No"/>
    <s v="No"/>
    <s v="No"/>
    <s v="No"/>
  </r>
  <r>
    <x v="1013"/>
    <s v="Karan Saxena"/>
    <s v="Male"/>
    <n v="24"/>
    <s v="Ahmedabad"/>
    <x v="2"/>
    <n v="30"/>
    <n v="1299"/>
    <n v="38970"/>
    <s v="Fiber"/>
    <d v="2023-03-15T00:00:00"/>
    <s v="Yes"/>
    <s v="No"/>
    <s v="No"/>
    <s v="No"/>
    <s v="No"/>
    <s v="No"/>
  </r>
  <r>
    <x v="1014"/>
    <s v="Deepak Tiwari"/>
    <s v="Male"/>
    <n v="22"/>
    <s v="Delhi"/>
    <x v="1"/>
    <n v="5"/>
    <n v="749"/>
    <n v="3745"/>
    <s v="DSL"/>
    <d v="2025-04-05T00:00:00"/>
    <s v="No"/>
    <s v="No"/>
    <s v="No"/>
    <s v="No"/>
    <s v="No"/>
    <s v="No"/>
  </r>
  <r>
    <x v="1015"/>
    <s v="Arjun Joshi"/>
    <s v="Male"/>
    <n v="24"/>
    <s v="Bhopal"/>
    <x v="0"/>
    <n v="21"/>
    <n v="799"/>
    <n v="16779"/>
    <s v="DSL"/>
    <d v="2023-12-23T00:00:00"/>
    <s v="Yes"/>
    <s v="No"/>
    <s v="No"/>
    <s v="No"/>
    <s v="No"/>
    <s v="No"/>
  </r>
  <r>
    <x v="1016"/>
    <s v="Aditi Nair"/>
    <s v="Female"/>
    <n v="30"/>
    <s v="Bhopal"/>
    <x v="0"/>
    <n v="7"/>
    <n v="349"/>
    <n v="2443"/>
    <s v="No Internet"/>
    <d v="2025-02-09T00:00:00"/>
    <s v="No"/>
    <s v="No"/>
    <s v="No"/>
    <s v="No"/>
    <s v="No"/>
    <s v="No"/>
  </r>
  <r>
    <x v="1017"/>
    <s v="Sanjay Verma"/>
    <s v="Male"/>
    <n v="69"/>
    <s v="Bangalore"/>
    <x v="2"/>
    <n v="53"/>
    <n v="1149"/>
    <n v="60897"/>
    <s v="Fiber"/>
    <d v="2021-05-01T00:00:00"/>
    <s v="No"/>
    <s v="No"/>
    <s v="No"/>
    <s v="No"/>
    <s v="No"/>
    <s v="No"/>
  </r>
  <r>
    <x v="1018"/>
    <s v="Deepika Mehta"/>
    <s v="Female"/>
    <n v="54"/>
    <s v="Chandigarh"/>
    <x v="0"/>
    <n v="20"/>
    <n v="1299"/>
    <n v="25980"/>
    <s v="Fiber"/>
    <d v="2024-01-23T00:00:00"/>
    <s v="No"/>
    <s v="No"/>
    <s v="No"/>
    <s v="No"/>
    <s v="No"/>
    <s v="No"/>
  </r>
  <r>
    <x v="1019"/>
    <s v="Divya Kumar"/>
    <s v="Female"/>
    <n v="54"/>
    <s v="Unknown"/>
    <x v="0"/>
    <n v="4"/>
    <n v="1099"/>
    <n v="4396"/>
    <s v="Fiber"/>
    <d v="2025-05-14T00:00:00"/>
    <s v="Yes"/>
    <s v="No"/>
    <s v="No"/>
    <s v="Yes"/>
    <s v="No"/>
    <s v="No"/>
  </r>
  <r>
    <x v="1020"/>
    <s v="Priya Nair"/>
    <s v="Female"/>
    <n v="70"/>
    <s v="Chennai"/>
    <x v="2"/>
    <n v="46"/>
    <n v="599"/>
    <n v="27554"/>
    <s v="DSL"/>
    <d v="2021-12-16T00:00:00"/>
    <s v="No"/>
    <s v="No"/>
    <s v="No"/>
    <s v="No"/>
    <s v="No"/>
    <s v="No"/>
  </r>
  <r>
    <x v="1021"/>
    <s v="Mohit Yadav"/>
    <s v="Male"/>
    <n v="50"/>
    <s v="Chennai"/>
    <x v="0"/>
    <n v="23"/>
    <n v="599"/>
    <n v="13777"/>
    <s v="DSL"/>
    <d v="2023-10-31T00:00:00"/>
    <s v="Unknown"/>
    <s v="No"/>
    <s v="No"/>
    <s v="No"/>
    <s v="No"/>
    <s v="Churn unknown"/>
  </r>
  <r>
    <x v="1022"/>
    <s v="Amit Joshi"/>
    <s v="Male"/>
    <n v="44"/>
    <s v="Chennai"/>
    <x v="0"/>
    <n v="2"/>
    <n v="549"/>
    <n v="1098"/>
    <s v="No Internet"/>
    <d v="2025-07-20T00:00:00"/>
    <s v="No"/>
    <s v="No"/>
    <s v="No"/>
    <s v="No"/>
    <s v="No"/>
    <s v="No"/>
  </r>
  <r>
    <x v="1023"/>
    <s v="Manish Desai"/>
    <s v="Male"/>
    <n v="22"/>
    <s v="Kochi"/>
    <x v="2"/>
    <n v="5"/>
    <n v="499"/>
    <n v="2495"/>
    <s v="No Internet"/>
    <d v="2025-04-12T00:00:00"/>
    <s v="No"/>
    <s v="No"/>
    <s v="No"/>
    <s v="No"/>
    <s v="No"/>
    <s v="No"/>
  </r>
  <r>
    <x v="1024"/>
    <s v="Sachin Desai"/>
    <s v="Male"/>
    <n v="26"/>
    <s v="Chennai"/>
    <x v="1"/>
    <n v="32"/>
    <n v="799"/>
    <n v="25568"/>
    <s v="DSL"/>
    <m/>
    <s v="No"/>
    <s v="No"/>
    <s v="No"/>
    <s v="No"/>
    <s v="No"/>
    <s v="Date missing"/>
  </r>
  <r>
    <x v="1025"/>
    <s v="Rahul Verma"/>
    <s v="Male"/>
    <n v="19"/>
    <s v="Kochi"/>
    <x v="1"/>
    <n v="39"/>
    <n v="899"/>
    <n v="35061"/>
    <s v="DSL"/>
    <d v="2022-07-15T00:00:00"/>
    <s v="No"/>
    <s v="No"/>
    <s v="No"/>
    <s v="No"/>
    <s v="No"/>
    <s v="No"/>
  </r>
  <r>
    <x v="1026"/>
    <s v="Divya Pandey"/>
    <s v="Female"/>
    <n v="26"/>
    <s v="Kolkata"/>
    <x v="1"/>
    <n v="8"/>
    <n v="899"/>
    <n v="7192"/>
    <s v="Fiber"/>
    <d v="2025-01-20T00:00:00"/>
    <s v="No"/>
    <s v="No"/>
    <s v="No"/>
    <s v="No"/>
    <s v="No"/>
    <s v="No"/>
  </r>
  <r>
    <x v="1027"/>
    <s v="Deepika Joshi"/>
    <s v="Female"/>
    <n v="45"/>
    <s v="Delhi"/>
    <x v="0"/>
    <n v="1"/>
    <n v="649"/>
    <n v="649"/>
    <s v="DSL"/>
    <d v="2025-08-04T00:00:00"/>
    <s v="Yes"/>
    <s v="No"/>
    <s v="No"/>
    <s v="Yes"/>
    <s v="No"/>
    <s v="No"/>
  </r>
  <r>
    <x v="1028"/>
    <s v="Manish Verma"/>
    <s v="Male"/>
    <n v="22"/>
    <s v="Delhi"/>
    <x v="0"/>
    <n v="2"/>
    <n v="699"/>
    <n v="1398"/>
    <s v="DSL"/>
    <d v="2025-07-23T00:00:00"/>
    <s v="No"/>
    <s v="No"/>
    <s v="No"/>
    <s v="No"/>
    <s v="No"/>
    <s v="No"/>
  </r>
  <r>
    <x v="1029"/>
    <s v="Pooja Yadav"/>
    <s v="Female"/>
    <n v="43"/>
    <s v="Ahmedabad"/>
    <x v="1"/>
    <n v="5"/>
    <n v="1149"/>
    <n v="5745"/>
    <s v="Fiber"/>
    <d v="2025-04-08T00:00:00"/>
    <s v="No"/>
    <s v="No"/>
    <s v="No"/>
    <s v="No"/>
    <s v="No"/>
    <s v="No"/>
  </r>
  <r>
    <x v="1030"/>
    <s v="Ritu Kapoor"/>
    <s v="Female"/>
    <n v="63"/>
    <s v="Chennai"/>
    <x v="2"/>
    <n v="38"/>
    <n v="1199"/>
    <n v="45562"/>
    <s v="Fiber"/>
    <d v="2022-08-07T00:00:00"/>
    <s v="No"/>
    <s v="No"/>
    <s v="No"/>
    <s v="No"/>
    <s v="No"/>
    <s v="No"/>
  </r>
  <r>
    <x v="1031"/>
    <s v="Sonal Jain"/>
    <s v="Female"/>
    <n v="24"/>
    <s v="Delhi"/>
    <x v="0"/>
    <n v="20"/>
    <n v="1049"/>
    <n v="20980"/>
    <s v="Fiber"/>
    <d v="2024-02-02T00:00:00"/>
    <s v="Yes"/>
    <s v="No"/>
    <s v="No"/>
    <s v="No"/>
    <s v="No"/>
    <s v="No"/>
  </r>
  <r>
    <x v="1032"/>
    <s v="Harsh Agarwal"/>
    <s v="Male"/>
    <n v="53"/>
    <s v="Hyderabad"/>
    <x v="0"/>
    <n v="5"/>
    <n v="999"/>
    <n v="4995"/>
    <s v="Fiber"/>
    <d v="2025-04-17T00:00:00"/>
    <s v="No"/>
    <s v="No"/>
    <s v="No"/>
    <s v="No"/>
    <s v="No"/>
    <s v="No"/>
  </r>
  <r>
    <x v="1033"/>
    <s v="Rahul Desai"/>
    <s v="Male"/>
    <n v="71"/>
    <s v="Delhi"/>
    <x v="0"/>
    <n v="10"/>
    <n v="899"/>
    <n v="8990"/>
    <s v="Fiber"/>
    <d v="2024-11-13T00:00:00"/>
    <s v="Yes"/>
    <s v="No"/>
    <s v="Yes"/>
    <s v="No"/>
    <s v="No"/>
    <s v="No"/>
  </r>
  <r>
    <x v="1034"/>
    <s v="Komal Sharma"/>
    <s v="Female"/>
    <n v="73"/>
    <s v="Kolkata"/>
    <x v="0"/>
    <n v="7"/>
    <n v="749"/>
    <n v="5243"/>
    <s v="DSL"/>
    <d v="2025-02-09T00:00:00"/>
    <s v="No"/>
    <s v="No"/>
    <s v="No"/>
    <s v="No"/>
    <s v="No"/>
    <s v="No"/>
  </r>
  <r>
    <x v="1035"/>
    <s v="Sneha Mishra"/>
    <s v="Female"/>
    <n v="66"/>
    <s v="Pune"/>
    <x v="2"/>
    <n v="44"/>
    <n v="549"/>
    <n v="24156"/>
    <s v="No Internet"/>
    <d v="2022-02-16T00:00:00"/>
    <s v="No"/>
    <s v="No"/>
    <s v="No"/>
    <s v="No"/>
    <s v="No"/>
    <s v="No"/>
  </r>
  <r>
    <x v="1036"/>
    <s v="Riya Tiwari"/>
    <s v="Female"/>
    <n v="73"/>
    <s v="Kolkata"/>
    <x v="1"/>
    <n v="4"/>
    <n v="549"/>
    <n v="2196"/>
    <s v="No Internet"/>
    <d v="2025-05-08T00:00:00"/>
    <s v="No"/>
    <s v="No"/>
    <s v="No"/>
    <s v="No"/>
    <s v="No"/>
    <s v="No"/>
  </r>
  <r>
    <x v="1037"/>
    <s v="Sonal Kapoor"/>
    <s v="Female"/>
    <n v="45"/>
    <s v="Lucknow"/>
    <x v="1"/>
    <n v="17"/>
    <n v="1099"/>
    <n v="18683"/>
    <s v="Fiber"/>
    <d v="2024-04-07T00:00:00"/>
    <s v="No"/>
    <s v="No"/>
    <s v="No"/>
    <s v="No"/>
    <s v="Yes"/>
    <s v="No"/>
  </r>
  <r>
    <x v="1038"/>
    <s v="Rohit Sharma"/>
    <s v="Male"/>
    <n v="35"/>
    <s v="Kochi"/>
    <x v="1"/>
    <n v="16"/>
    <n v="899"/>
    <n v="14384"/>
    <s v="Unknown"/>
    <d v="2024-05-24T00:00:00"/>
    <s v="No"/>
    <s v="No"/>
    <s v="No"/>
    <s v="No"/>
    <s v="No"/>
    <s v="No"/>
  </r>
  <r>
    <x v="1039"/>
    <s v="Pankaj Malhotra"/>
    <s v="Male"/>
    <n v="41"/>
    <s v="Unknown"/>
    <x v="1"/>
    <n v="39"/>
    <n v="899"/>
    <n v="35061"/>
    <s v="Fiber"/>
    <d v="2022-07-06T00:00:00"/>
    <s v="No"/>
    <s v="No"/>
    <s v="No"/>
    <s v="No"/>
    <s v="No"/>
    <s v="No"/>
  </r>
  <r>
    <x v="1040"/>
    <s v="Meera Kapoor"/>
    <s v="Female"/>
    <n v="47"/>
    <s v="Delhi"/>
    <x v="0"/>
    <n v="12"/>
    <n v="1199"/>
    <n v="14388"/>
    <s v="Fiber"/>
    <d v="2024-10-02T00:00:00"/>
    <s v="Yes"/>
    <s v="No"/>
    <s v="No"/>
    <s v="No"/>
    <s v="No"/>
    <s v="No"/>
  </r>
  <r>
    <x v="1041"/>
    <s v="Suresh Yadav"/>
    <s v="Male"/>
    <n v="47"/>
    <s v="Pune"/>
    <x v="2"/>
    <n v="34"/>
    <n v="1299"/>
    <n v="44166"/>
    <s v="Fiber"/>
    <d v="2022-11-28T00:00:00"/>
    <s v="No"/>
    <s v="Yes"/>
    <s v="No"/>
    <s v="No"/>
    <s v="No"/>
    <s v="No"/>
  </r>
  <r>
    <x v="1042"/>
    <s v="Manish Chopra"/>
    <s v="Male"/>
    <n v="29"/>
    <s v="Bangalore"/>
    <x v="2"/>
    <n v="30"/>
    <n v="1199"/>
    <n v="35970"/>
    <s v="Fiber"/>
    <d v="2023-03-27T00:00:00"/>
    <s v="No"/>
    <s v="No"/>
    <s v="No"/>
    <s v="No"/>
    <s v="No"/>
    <s v="No"/>
  </r>
  <r>
    <x v="1043"/>
    <s v="Tanvi Joshi"/>
    <s v="Female"/>
    <n v="20"/>
    <s v="Jaipur"/>
    <x v="1"/>
    <n v="17"/>
    <n v="699"/>
    <n v="11883"/>
    <s v="DSL"/>
    <d v="2024-05-05T00:00:00"/>
    <s v="No"/>
    <s v="No"/>
    <s v="No"/>
    <s v="No"/>
    <s v="No"/>
    <s v="No"/>
  </r>
  <r>
    <x v="1044"/>
    <s v="Aman Reddy"/>
    <s v="Unknown"/>
    <n v="22"/>
    <s v="Jaipur"/>
    <x v="0"/>
    <n v="8"/>
    <n v="1049"/>
    <n v="8392"/>
    <s v="Fiber"/>
    <d v="2025-01-05T00:00:00"/>
    <s v="Yes"/>
    <s v="No"/>
    <s v="No"/>
    <s v="No"/>
    <s v="No"/>
    <s v="No"/>
  </r>
  <r>
    <x v="1045"/>
    <s v="Neha Chopra"/>
    <s v="Female"/>
    <n v="45"/>
    <s v="Unknown"/>
    <x v="0"/>
    <n v="12"/>
    <n v="699"/>
    <n v="8388"/>
    <s v="DSL"/>
    <d v="2024-09-24T00:00:00"/>
    <s v="No"/>
    <s v="No"/>
    <s v="No"/>
    <s v="No"/>
    <s v="No"/>
    <s v="No"/>
  </r>
  <r>
    <x v="1046"/>
    <s v="Arjun Patel"/>
    <s v="Male"/>
    <n v="20"/>
    <s v="Chennai"/>
    <x v="2"/>
    <n v="4"/>
    <n v="399"/>
    <n v="1596"/>
    <s v="No Internet"/>
    <d v="2025-05-15T00:00:00"/>
    <s v="No"/>
    <s v="No"/>
    <s v="No"/>
    <s v="No"/>
    <s v="No"/>
    <s v="No"/>
  </r>
  <r>
    <x v="1047"/>
    <s v="Deepika Rao"/>
    <s v="Female"/>
    <n v="71"/>
    <s v="Lucknow"/>
    <x v="0"/>
    <n v="13"/>
    <n v="1199"/>
    <n v="15587"/>
    <s v="Fiber"/>
    <d v="2024-08-05T00:00:00"/>
    <s v="No"/>
    <s v="No"/>
    <s v="No"/>
    <s v="No"/>
    <s v="No"/>
    <s v="No"/>
  </r>
  <r>
    <x v="1048"/>
    <s v="Rajesh Jain"/>
    <s v="Male"/>
    <n v="54"/>
    <s v="Indore"/>
    <x v="0"/>
    <n v="24"/>
    <n v="1299"/>
    <n v="31176"/>
    <s v="Fiber"/>
    <d v="2023-09-20T00:00:00"/>
    <s v="No"/>
    <s v="No"/>
    <s v="No"/>
    <s v="No"/>
    <s v="No"/>
    <s v="No"/>
  </r>
  <r>
    <x v="1049"/>
    <s v="Payal Jain"/>
    <s v="Female"/>
    <n v="46"/>
    <s v="Pune"/>
    <x v="0"/>
    <n v="10"/>
    <n v="399"/>
    <n v="3990"/>
    <s v="No Internet"/>
    <d v="2024-11-21T00:00:00"/>
    <s v="No"/>
    <s v="No"/>
    <s v="No"/>
    <s v="No"/>
    <s v="No"/>
    <s v="No"/>
  </r>
  <r>
    <x v="1050"/>
    <s v="Ankit Joshi"/>
    <s v="Male"/>
    <n v="65"/>
    <s v="Mumbai"/>
    <x v="1"/>
    <n v="27"/>
    <n v="899"/>
    <n v="24273"/>
    <s v="Fiber"/>
    <d v="2023-07-09T00:00:00"/>
    <s v="No"/>
    <s v="No"/>
    <s v="No"/>
    <s v="No"/>
    <s v="No"/>
    <s v="No"/>
  </r>
  <r>
    <x v="1051"/>
    <s v="Komal Yadav"/>
    <s v="Female"/>
    <n v="32"/>
    <s v="Ahmedabad"/>
    <x v="1"/>
    <n v="9"/>
    <n v="799"/>
    <n v="7191"/>
    <s v="DSL"/>
    <d v="2024-12-11T00:00:00"/>
    <s v="No"/>
    <s v="No"/>
    <s v="No"/>
    <s v="No"/>
    <s v="No"/>
    <s v="No"/>
  </r>
  <r>
    <x v="1052"/>
    <s v="Pankaj Malhotra"/>
    <s v="Male"/>
    <n v="68"/>
    <s v="Chennai"/>
    <x v="0"/>
    <n v="14"/>
    <n v="749"/>
    <n v="10486"/>
    <s v="DSL"/>
    <d v="2024-07-15T00:00:00"/>
    <s v="No"/>
    <s v="No"/>
    <s v="No"/>
    <s v="No"/>
    <s v="No"/>
    <s v="No"/>
  </r>
  <r>
    <x v="1053"/>
    <s v="Arjun Kapoor"/>
    <s v="Male"/>
    <n v="18"/>
    <s v="Bangalore"/>
    <x v="0"/>
    <n v="18"/>
    <n v="849"/>
    <n v="15282"/>
    <s v="DSL"/>
    <d v="2024-04-05T00:00:00"/>
    <s v="Yes"/>
    <s v="No"/>
    <s v="No"/>
    <s v="No"/>
    <s v="No"/>
    <s v="No"/>
  </r>
  <r>
    <x v="1054"/>
    <s v="Priya Pandey"/>
    <s v="Female"/>
    <n v="28"/>
    <s v="Mumbai"/>
    <x v="0"/>
    <n v="13"/>
    <n v="399"/>
    <n v="5187"/>
    <s v="No Internet"/>
    <d v="2024-08-17T00:00:00"/>
    <s v="Yes"/>
    <s v="No"/>
    <s v="No"/>
    <s v="No"/>
    <s v="No"/>
    <s v="No"/>
  </r>
  <r>
    <x v="1055"/>
    <s v="Harsh Reddy"/>
    <s v="Male"/>
    <n v="39"/>
    <s v="Chandigarh"/>
    <x v="2"/>
    <n v="14"/>
    <n v="899"/>
    <n v="12586"/>
    <s v="Fiber"/>
    <d v="2024-07-24T00:00:00"/>
    <s v="No"/>
    <s v="No"/>
    <s v="No"/>
    <s v="No"/>
    <s v="No"/>
    <s v="No"/>
  </r>
  <r>
    <x v="1056"/>
    <s v="Nisha Chopra"/>
    <s v="Female"/>
    <n v="46"/>
    <s v="Unknown"/>
    <x v="2"/>
    <n v="62"/>
    <n v="849"/>
    <n v="52638"/>
    <s v="DSL"/>
    <d v="2020-08-07T00:00:00"/>
    <s v="No"/>
    <s v="No"/>
    <s v="No"/>
    <s v="No"/>
    <s v="No"/>
    <s v="No"/>
  </r>
  <r>
    <x v="1057"/>
    <s v="Rohit Sharma"/>
    <s v="Male"/>
    <n v="55"/>
    <s v="Lucknow"/>
    <x v="0"/>
    <n v="13"/>
    <n v="1099"/>
    <n v="14287"/>
    <s v="Fiber"/>
    <d v="2024-08-16T00:00:00"/>
    <s v="No"/>
    <s v="No"/>
    <s v="No"/>
    <s v="No"/>
    <s v="No"/>
    <s v="No"/>
  </r>
  <r>
    <x v="1058"/>
    <s v="Anjali Nair"/>
    <s v="Female"/>
    <n v="37"/>
    <s v="Ahmedabad"/>
    <x v="0"/>
    <n v="17"/>
    <n v="1149"/>
    <n v="19533"/>
    <s v="Fiber"/>
    <d v="2024-04-24T00:00:00"/>
    <s v="Yes"/>
    <s v="No"/>
    <s v="No"/>
    <s v="No"/>
    <s v="No"/>
    <s v="No"/>
  </r>
  <r>
    <x v="1059"/>
    <s v="Unknown"/>
    <s v="Female"/>
    <n v="20"/>
    <s v="Chandigarh"/>
    <x v="2"/>
    <n v="27"/>
    <n v="449"/>
    <n v="12123"/>
    <s v="No Internet"/>
    <d v="2023-06-22T00:00:00"/>
    <s v="No"/>
    <s v="No"/>
    <s v="No"/>
    <s v="No"/>
    <s v="Yes"/>
    <s v="No"/>
  </r>
  <r>
    <x v="1060"/>
    <s v="Anjali Patel"/>
    <s v="Female"/>
    <n v="36"/>
    <s v="Bangalore"/>
    <x v="0"/>
    <n v="15"/>
    <n v="649"/>
    <n v="9735"/>
    <s v="DSL"/>
    <d v="2024-06-27T00:00:00"/>
    <s v="No"/>
    <s v="No"/>
    <s v="No"/>
    <s v="No"/>
    <s v="No"/>
    <s v="No"/>
  </r>
  <r>
    <x v="1061"/>
    <s v="Manish Saxena"/>
    <s v="Male"/>
    <n v="35"/>
    <s v="Bangalore"/>
    <x v="0"/>
    <n v="17"/>
    <n v="999"/>
    <n v="16983"/>
    <s v="Fiber"/>
    <d v="2024-05-05T00:00:00"/>
    <s v="No"/>
    <s v="No"/>
    <s v="No"/>
    <s v="No"/>
    <s v="No"/>
    <s v="No"/>
  </r>
  <r>
    <x v="1062"/>
    <s v="Rahul Desai"/>
    <s v="Male"/>
    <n v="71"/>
    <s v="Chandigarh"/>
    <x v="0"/>
    <n v="19"/>
    <n v="749"/>
    <n v="14231"/>
    <s v="DSL"/>
    <d v="2024-02-10T00:00:00"/>
    <s v="No"/>
    <s v="No"/>
    <s v="No"/>
    <s v="No"/>
    <s v="No"/>
    <s v="No"/>
  </r>
  <r>
    <x v="1063"/>
    <s v="Aditi Reddy"/>
    <s v="Female"/>
    <n v="63"/>
    <s v="Bhopal"/>
    <x v="2"/>
    <n v="56"/>
    <n v="749"/>
    <n v="41944"/>
    <s v="DSL"/>
    <d v="2021-02-13T00:00:00"/>
    <s v="No"/>
    <s v="No"/>
    <s v="No"/>
    <s v="No"/>
    <s v="No"/>
    <s v="No"/>
  </r>
  <r>
    <x v="1064"/>
    <s v="Aman Kumar"/>
    <s v="Male"/>
    <n v="65"/>
    <s v="Kochi"/>
    <x v="0"/>
    <n v="6"/>
    <n v="799"/>
    <n v="4794"/>
    <s v="DSL"/>
    <d v="2025-03-09T00:00:00"/>
    <s v="No"/>
    <s v="No"/>
    <s v="No"/>
    <s v="No"/>
    <s v="No"/>
    <s v="No"/>
  </r>
  <r>
    <x v="1065"/>
    <s v="Nikhil Verma"/>
    <s v="Male"/>
    <n v="45"/>
    <s v="Mumbai"/>
    <x v="2"/>
    <n v="41"/>
    <n v="1299"/>
    <n v="53259"/>
    <s v="Fiber"/>
    <d v="2022-04-19T00:00:00"/>
    <s v="No"/>
    <s v="No"/>
    <s v="No"/>
    <s v="No"/>
    <s v="No"/>
    <s v="No"/>
  </r>
  <r>
    <x v="1066"/>
    <s v="Rahul Nair"/>
    <s v="Male"/>
    <n v="26"/>
    <s v="Lucknow"/>
    <x v="0"/>
    <n v="22"/>
    <n v="499"/>
    <n v="10978"/>
    <s v="No Internet"/>
    <d v="2023-11-12T00:00:00"/>
    <s v="Yes"/>
    <s v="No"/>
    <s v="No"/>
    <s v="No"/>
    <s v="No"/>
    <s v="No"/>
  </r>
  <r>
    <x v="1067"/>
    <s v="Gaurav Iyer"/>
    <s v="Male"/>
    <n v="26"/>
    <s v="Hyderabad"/>
    <x v="1"/>
    <n v="34"/>
    <n v="899"/>
    <n v="30566"/>
    <s v="DSL"/>
    <d v="2022-12-11T00:00:00"/>
    <s v="Yes"/>
    <s v="No"/>
    <s v="No"/>
    <s v="No"/>
    <s v="No"/>
    <s v="No"/>
  </r>
  <r>
    <x v="1068"/>
    <s v="Sonal Yadav"/>
    <s v="Female"/>
    <n v="31"/>
    <s v="Bhopal"/>
    <x v="0"/>
    <n v="9"/>
    <n v="1099"/>
    <n v="9891"/>
    <s v="Fiber"/>
    <m/>
    <s v="Yes"/>
    <s v="No"/>
    <s v="No"/>
    <s v="No"/>
    <s v="No"/>
    <s v="Date missing"/>
  </r>
  <r>
    <x v="1069"/>
    <s v="Payal Saxena"/>
    <s v="Female"/>
    <n v="29"/>
    <s v="Unknown"/>
    <x v="2"/>
    <n v="63"/>
    <n v="499"/>
    <n v="31437"/>
    <s v="No Internet"/>
    <d v="2020-07-09T00:00:00"/>
    <s v="No"/>
    <s v="No"/>
    <s v="No"/>
    <s v="No"/>
    <s v="No"/>
    <s v="No"/>
  </r>
  <r>
    <x v="1070"/>
    <s v="Aditi Reddy"/>
    <s v="Female"/>
    <n v="32"/>
    <s v="Mumbai"/>
    <x v="2"/>
    <n v="37"/>
    <n v="449"/>
    <n v="16613"/>
    <s v="No Internet"/>
    <d v="2022-09-01T00:00:00"/>
    <s v="No"/>
    <s v="No"/>
    <s v="No"/>
    <s v="No"/>
    <s v="No"/>
    <s v="No"/>
  </r>
  <r>
    <x v="1071"/>
    <s v="Arjun Kapoor"/>
    <s v="Unknown"/>
    <n v="38"/>
    <s v="Indore"/>
    <x v="0"/>
    <n v="23"/>
    <n v="1299"/>
    <n v="29877"/>
    <s v="Fiber"/>
    <d v="2023-10-12T00:00:00"/>
    <s v="No"/>
    <s v="No"/>
    <s v="No"/>
    <s v="No"/>
    <s v="No"/>
    <s v="No"/>
  </r>
  <r>
    <x v="1072"/>
    <s v="Riya Tiwari"/>
    <s v="Female"/>
    <n v="61"/>
    <s v="Hyderabad"/>
    <x v="0"/>
    <n v="7"/>
    <n v="899"/>
    <n v="6293"/>
    <s v="DSL"/>
    <d v="2025-02-06T00:00:00"/>
    <s v="Yes"/>
    <s v="No"/>
    <s v="No"/>
    <s v="No"/>
    <s v="No"/>
    <s v="No"/>
  </r>
  <r>
    <x v="1073"/>
    <s v="Kavita Saxena"/>
    <s v="Female"/>
    <n v="38"/>
    <s v="Kolkata"/>
    <x v="0"/>
    <n v="13"/>
    <n v="899"/>
    <n v="11687"/>
    <s v="Fiber"/>
    <d v="2024-08-27T00:00:00"/>
    <s v="No"/>
    <s v="No"/>
    <s v="No"/>
    <s v="Yes"/>
    <s v="No"/>
    <s v="No"/>
  </r>
  <r>
    <x v="1074"/>
    <s v="Sneha Iyer"/>
    <s v="Female"/>
    <n v="46"/>
    <s v="Kolkata"/>
    <x v="0"/>
    <n v="18"/>
    <n v="349"/>
    <n v="6282"/>
    <s v="No Internet"/>
    <d v="2024-03-18T00:00:00"/>
    <s v="No"/>
    <s v="No"/>
    <s v="No"/>
    <s v="No"/>
    <s v="No"/>
    <s v="No"/>
  </r>
  <r>
    <x v="1075"/>
    <s v="Pooja Yadav"/>
    <s v="Female"/>
    <n v="52"/>
    <s v="Delhi"/>
    <x v="2"/>
    <n v="49"/>
    <n v="599"/>
    <n v="29351"/>
    <s v="DSL"/>
    <d v="2021-08-26T00:00:00"/>
    <s v="No"/>
    <s v="No"/>
    <s v="No"/>
    <s v="No"/>
    <s v="No"/>
    <s v="No"/>
  </r>
  <r>
    <x v="1076"/>
    <s v="Amit Jain"/>
    <s v="Male"/>
    <n v="31"/>
    <s v="Pune"/>
    <x v="0"/>
    <n v="18"/>
    <n v="399"/>
    <n v="7182"/>
    <s v="No Internet"/>
    <d v="2024-04-01T00:00:00"/>
    <s v="Yes"/>
    <s v="No"/>
    <s v="No"/>
    <s v="Yes"/>
    <s v="No"/>
    <s v="No"/>
  </r>
  <r>
    <x v="1077"/>
    <s v="Swati Tiwari"/>
    <s v="Female"/>
    <n v="31"/>
    <s v="Jaipur"/>
    <x v="1"/>
    <n v="3"/>
    <n v="549"/>
    <n v="1647"/>
    <s v="No Internet"/>
    <d v="2025-06-18T00:00:00"/>
    <s v="Yes"/>
    <s v="No"/>
    <s v="No"/>
    <s v="No"/>
    <s v="No"/>
    <s v="No"/>
  </r>
  <r>
    <x v="1078"/>
    <s v="Unknown"/>
    <s v="Female"/>
    <n v="36"/>
    <s v="Chennai"/>
    <x v="0"/>
    <n v="23"/>
    <n v="899"/>
    <n v="20677"/>
    <s v="Fiber"/>
    <d v="2023-10-13T00:00:00"/>
    <s v="No"/>
    <s v="No"/>
    <s v="No"/>
    <s v="No"/>
    <s v="No"/>
    <s v="No"/>
  </r>
  <r>
    <x v="1079"/>
    <s v="Divya Singh"/>
    <s v="Female"/>
    <n v="70"/>
    <s v="Bhopal"/>
    <x v="2"/>
    <n v="10"/>
    <n v="499"/>
    <n v="4990"/>
    <s v="No Internet"/>
    <d v="2024-11-09T00:00:00"/>
    <s v="Yes"/>
    <s v="No"/>
    <s v="No"/>
    <s v="No"/>
    <s v="No"/>
    <s v="No"/>
  </r>
  <r>
    <x v="1080"/>
    <s v="Karan Agarwal"/>
    <s v="Male"/>
    <n v="55"/>
    <s v="Kochi"/>
    <x v="0"/>
    <n v="10"/>
    <n v="499"/>
    <n v="4990"/>
    <s v="No Internet"/>
    <d v="2024-12-02T00:00:00"/>
    <s v="No"/>
    <s v="No"/>
    <s v="No"/>
    <s v="No"/>
    <s v="No"/>
    <s v="No"/>
  </r>
  <r>
    <x v="1081"/>
    <s v="Kavita Kapoor"/>
    <s v="Female"/>
    <n v="30"/>
    <s v="Mumbai"/>
    <x v="0"/>
    <n v="16"/>
    <n v="1049"/>
    <n v="16784"/>
    <s v="Fiber"/>
    <d v="2024-05-23T00:00:00"/>
    <s v="Yes"/>
    <s v="No"/>
    <s v="No"/>
    <s v="No"/>
    <s v="No"/>
    <s v="No"/>
  </r>
  <r>
    <x v="1082"/>
    <s v="Komal Iyer"/>
    <s v="Female"/>
    <n v="62"/>
    <s v="Jaipur"/>
    <x v="0"/>
    <n v="16"/>
    <n v="1099"/>
    <n v="17584"/>
    <s v="Fiber"/>
    <d v="2024-05-14T00:00:00"/>
    <s v="No"/>
    <s v="No"/>
    <s v="No"/>
    <s v="No"/>
    <s v="No"/>
    <s v="No"/>
  </r>
  <r>
    <x v="1083"/>
    <s v="Unknown"/>
    <s v="Male"/>
    <n v="54"/>
    <s v="Unknown"/>
    <x v="0"/>
    <n v="12"/>
    <n v="749"/>
    <n v="8988"/>
    <s v="DSL"/>
    <d v="2024-09-23T00:00:00"/>
    <s v="Unknown"/>
    <s v="No"/>
    <s v="No"/>
    <s v="No"/>
    <s v="No"/>
    <s v="Churn unknown"/>
  </r>
  <r>
    <x v="1084"/>
    <s v="Vikram Reddy"/>
    <s v="Male"/>
    <n v="53"/>
    <s v="Bangalore"/>
    <x v="0"/>
    <n v="19"/>
    <n v="399"/>
    <n v="7581"/>
    <s v="No Internet"/>
    <d v="2024-02-10T00:00:00"/>
    <s v="Yes"/>
    <s v="No"/>
    <s v="No"/>
    <s v="No"/>
    <s v="No"/>
    <s v="No"/>
  </r>
  <r>
    <x v="1085"/>
    <s v="Payal Agarwal"/>
    <s v="Female"/>
    <n v="71"/>
    <s v="Lucknow"/>
    <x v="1"/>
    <n v="32"/>
    <n v="699"/>
    <n v="22368"/>
    <s v="DSL"/>
    <d v="2023-01-16T00:00:00"/>
    <s v="No"/>
    <s v="No"/>
    <s v="Yes"/>
    <s v="No"/>
    <s v="No"/>
    <s v="No"/>
  </r>
  <r>
    <x v="1086"/>
    <s v="Amit Joshi"/>
    <s v="Male"/>
    <n v="62"/>
    <s v="Lucknow"/>
    <x v="1"/>
    <n v="18"/>
    <n v="549"/>
    <n v="9882"/>
    <s v="No Internet"/>
    <d v="2024-03-20T00:00:00"/>
    <s v="No"/>
    <s v="No"/>
    <s v="No"/>
    <s v="No"/>
    <s v="No"/>
    <s v="No"/>
  </r>
  <r>
    <x v="1087"/>
    <s v="Swati Chopra"/>
    <s v="Female"/>
    <n v="33"/>
    <s v="Pune"/>
    <x v="0"/>
    <n v="18"/>
    <n v="1199"/>
    <n v="21582"/>
    <s v="Fiber"/>
    <d v="2024-03-24T00:00:00"/>
    <s v="No"/>
    <s v="No"/>
    <s v="No"/>
    <s v="No"/>
    <s v="No"/>
    <s v="No"/>
  </r>
  <r>
    <x v="1088"/>
    <s v="Deepak Singh"/>
    <s v="Male"/>
    <n v="66"/>
    <s v="Delhi"/>
    <x v="0"/>
    <n v="6"/>
    <n v="1099"/>
    <n v="6594"/>
    <s v="Fiber"/>
    <d v="2025-03-19T00:00:00"/>
    <s v="Yes"/>
    <s v="No"/>
    <s v="No"/>
    <s v="No"/>
    <s v="No"/>
    <s v="No"/>
  </r>
  <r>
    <x v="1089"/>
    <s v="Meera Chopra"/>
    <s v="Female"/>
    <n v="69"/>
    <s v="Jaipur"/>
    <x v="0"/>
    <n v="18"/>
    <n v="1099"/>
    <n v="19782"/>
    <s v="Fiber"/>
    <d v="2024-03-24T00:00:00"/>
    <s v="Yes"/>
    <s v="No"/>
    <s v="No"/>
    <s v="No"/>
    <s v="No"/>
    <s v="No"/>
  </r>
  <r>
    <x v="1090"/>
    <s v="Kavita Jain"/>
    <s v="Female"/>
    <n v="38"/>
    <s v="Lucknow"/>
    <x v="2"/>
    <n v="22"/>
    <n v="1049"/>
    <n v="23078"/>
    <s v="Fiber"/>
    <d v="2023-11-13T00:00:00"/>
    <s v="No"/>
    <s v="No"/>
    <s v="No"/>
    <s v="Yes"/>
    <s v="No"/>
    <s v="No"/>
  </r>
  <r>
    <x v="1091"/>
    <s v="Payal Yadav"/>
    <s v="Female"/>
    <n v="34"/>
    <s v="Ahmedabad"/>
    <x v="0"/>
    <n v="24"/>
    <n v="399"/>
    <n v="9576"/>
    <s v="No Internet"/>
    <d v="2023-09-17T00:00:00"/>
    <s v="Yes"/>
    <s v="No"/>
    <s v="Yes"/>
    <s v="No"/>
    <s v="No"/>
    <s v="No"/>
  </r>
  <r>
    <x v="1092"/>
    <s v="Priya Joshi"/>
    <s v="Female"/>
    <n v="44"/>
    <s v="Bangalore"/>
    <x v="0"/>
    <n v="1"/>
    <n v="699"/>
    <n v="699"/>
    <s v="DSL"/>
    <d v="2025-08-26T00:00:00"/>
    <s v="Yes"/>
    <s v="No"/>
    <s v="No"/>
    <s v="No"/>
    <s v="No"/>
    <s v="No"/>
  </r>
  <r>
    <x v="1093"/>
    <s v="Swati Reddy"/>
    <s v="Female"/>
    <n v="21"/>
    <s v="Lucknow"/>
    <x v="0"/>
    <n v="12"/>
    <n v="849"/>
    <n v="10188"/>
    <s v="DSL"/>
    <d v="2024-10-03T00:00:00"/>
    <s v="Yes"/>
    <s v="No"/>
    <s v="No"/>
    <s v="No"/>
    <s v="No"/>
    <s v="No"/>
  </r>
  <r>
    <x v="1094"/>
    <s v="Unknown"/>
    <s v="Male"/>
    <n v="70"/>
    <s v="Chandigarh"/>
    <x v="0"/>
    <n v="12"/>
    <n v="1299"/>
    <n v="15588"/>
    <s v="Fiber"/>
    <d v="2024-09-16T00:00:00"/>
    <s v="No"/>
    <s v="No"/>
    <s v="No"/>
    <s v="No"/>
    <s v="No"/>
    <s v="No"/>
  </r>
  <r>
    <x v="1095"/>
    <s v="Vikram Bose"/>
    <s v="Male"/>
    <n v="27"/>
    <s v="Mumbai"/>
    <x v="1"/>
    <n v="17"/>
    <n v="799"/>
    <n v="13583"/>
    <s v="DSL"/>
    <m/>
    <s v="No"/>
    <s v="No"/>
    <s v="No"/>
    <s v="No"/>
    <s v="No"/>
    <s v="Date missing"/>
  </r>
  <r>
    <x v="1096"/>
    <s v="Swati Bose"/>
    <s v="Female"/>
    <n v="67"/>
    <s v="Chandigarh"/>
    <x v="1"/>
    <n v="40"/>
    <n v="849"/>
    <n v="33960"/>
    <s v="DSL"/>
    <d v="2022-05-22T00:00:00"/>
    <s v="No"/>
    <s v="No"/>
    <s v="Yes"/>
    <s v="No"/>
    <s v="No"/>
    <s v="No"/>
  </r>
  <r>
    <x v="1097"/>
    <s v="Sanjay Kumar"/>
    <s v="Male"/>
    <n v="69"/>
    <s v="Lucknow"/>
    <x v="0"/>
    <n v="1"/>
    <n v="699"/>
    <n v="699"/>
    <s v="DSL"/>
    <d v="2025-08-04T00:00:00"/>
    <s v="Yes"/>
    <s v="No"/>
    <s v="No"/>
    <s v="Yes"/>
    <s v="No"/>
    <s v="No"/>
  </r>
  <r>
    <x v="1098"/>
    <s v="Nisha Saxena"/>
    <s v="Female"/>
    <n v="48"/>
    <s v="Pune"/>
    <x v="0"/>
    <n v="8"/>
    <n v="1099"/>
    <n v="8792"/>
    <s v="Fiber"/>
    <d v="2025-01-09T00:00:00"/>
    <s v="No"/>
    <s v="No"/>
    <s v="No"/>
    <s v="No"/>
    <s v="No"/>
    <s v="No"/>
  </r>
  <r>
    <x v="1099"/>
    <s v="Isha Iyer"/>
    <s v="Female"/>
    <n v="71"/>
    <s v="Jaipur"/>
    <x v="0"/>
    <n v="20"/>
    <n v="899"/>
    <n v="17980"/>
    <s v="DSL"/>
    <d v="2024-01-11T00:00:00"/>
    <s v="No"/>
    <s v="No"/>
    <s v="No"/>
    <s v="No"/>
    <s v="No"/>
    <s v="No"/>
  </r>
  <r>
    <x v="1100"/>
    <s v="Pooja Tiwari"/>
    <s v="Female"/>
    <n v="53"/>
    <s v="Ahmedabad"/>
    <x v="0"/>
    <n v="22"/>
    <n v="1149"/>
    <n v="25278"/>
    <s v="Fiber"/>
    <d v="2023-12-03T00:00:00"/>
    <s v="No"/>
    <s v="No"/>
    <s v="No"/>
    <s v="Yes"/>
    <s v="No"/>
    <s v="No"/>
  </r>
  <r>
    <x v="1101"/>
    <s v="Aman Kapoor"/>
    <s v="Male"/>
    <n v="67"/>
    <s v="Indore"/>
    <x v="0"/>
    <n v="20"/>
    <n v="999"/>
    <n v="19980"/>
    <s v="Fiber"/>
    <d v="2024-01-08T00:00:00"/>
    <s v="Yes"/>
    <s v="No"/>
    <s v="No"/>
    <s v="No"/>
    <s v="No"/>
    <s v="No"/>
  </r>
  <r>
    <x v="1102"/>
    <s v="Sanjay Kapoor"/>
    <s v="Male"/>
    <n v="41"/>
    <s v="Jaipur"/>
    <x v="0"/>
    <n v="11"/>
    <n v="1049"/>
    <n v="11539"/>
    <s v="Fiber"/>
    <d v="2024-11-02T00:00:00"/>
    <s v="No"/>
    <s v="No"/>
    <s v="No"/>
    <s v="Yes"/>
    <s v="No"/>
    <s v="No"/>
  </r>
  <r>
    <x v="1103"/>
    <s v="Sneha Chopra"/>
    <s v="Female"/>
    <n v="35"/>
    <s v="Indore"/>
    <x v="0"/>
    <n v="23"/>
    <n v="849"/>
    <n v="19527"/>
    <s v="DSL"/>
    <d v="2023-10-21T00:00:00"/>
    <s v="No"/>
    <s v="No"/>
    <s v="No"/>
    <s v="No"/>
    <s v="No"/>
    <s v="No"/>
  </r>
  <r>
    <x v="1104"/>
    <s v="Gaurav Yadav"/>
    <s v="Male"/>
    <n v="58"/>
    <s v="Ahmedabad"/>
    <x v="0"/>
    <n v="21"/>
    <n v="1149"/>
    <n v="24129"/>
    <s v="Fiber"/>
    <d v="2024-01-07T00:00:00"/>
    <s v="Yes"/>
    <s v="No"/>
    <s v="No"/>
    <s v="No"/>
    <s v="No"/>
    <s v="No"/>
  </r>
  <r>
    <x v="1105"/>
    <s v="Arjun Singh"/>
    <s v="Male"/>
    <n v="23"/>
    <s v="Kolkata"/>
    <x v="2"/>
    <n v="57"/>
    <n v="849"/>
    <n v="48393"/>
    <s v="DSL"/>
    <d v="2020-12-26T00:00:00"/>
    <s v="No"/>
    <s v="No"/>
    <s v="No"/>
    <s v="No"/>
    <s v="No"/>
    <s v="No"/>
  </r>
  <r>
    <x v="1106"/>
    <s v="Deepika Chopra"/>
    <s v="Female"/>
    <n v="57"/>
    <s v="Bhopal"/>
    <x v="0"/>
    <n v="11"/>
    <n v="549"/>
    <n v="6039"/>
    <s v="No Internet"/>
    <d v="2024-10-22T00:00:00"/>
    <s v="No"/>
    <s v="No"/>
    <s v="No"/>
    <s v="No"/>
    <s v="No"/>
    <s v="No"/>
  </r>
  <r>
    <x v="1107"/>
    <s v="Deepak Tiwari"/>
    <s v="Male"/>
    <n v="71"/>
    <s v="Indore"/>
    <x v="1"/>
    <n v="33"/>
    <n v="649"/>
    <n v="21417"/>
    <s v="DSL"/>
    <d v="2022-12-29T00:00:00"/>
    <s v="Yes"/>
    <s v="No"/>
    <s v="No"/>
    <s v="No"/>
    <s v="No"/>
    <s v="No"/>
  </r>
  <r>
    <x v="1108"/>
    <s v="Suresh Yadav"/>
    <s v="Male"/>
    <n v="30"/>
    <s v="Bhopal"/>
    <x v="0"/>
    <n v="24"/>
    <n v="899"/>
    <n v="21576"/>
    <s v="DSL"/>
    <d v="2023-09-22T00:00:00"/>
    <s v="Yes"/>
    <s v="No"/>
    <s v="No"/>
    <s v="No"/>
    <s v="No"/>
    <s v="No"/>
  </r>
  <r>
    <x v="1109"/>
    <s v="Anjali Joshi"/>
    <s v="Female"/>
    <n v="47"/>
    <s v="Lucknow"/>
    <x v="2"/>
    <n v="60"/>
    <n v="599"/>
    <n v="35940"/>
    <s v="DSL"/>
    <d v="2020-10-22T00:00:00"/>
    <s v="No"/>
    <s v="No"/>
    <s v="No"/>
    <s v="No"/>
    <s v="No"/>
    <s v="No"/>
  </r>
  <r>
    <x v="1110"/>
    <s v="Nikhil Bose"/>
    <s v="Male"/>
    <n v="58"/>
    <s v="Delhi"/>
    <x v="1"/>
    <n v="14"/>
    <n v="1049"/>
    <n v="14686"/>
    <s v="Fiber"/>
    <d v="2024-07-12T00:00:00"/>
    <s v="Yes"/>
    <s v="No"/>
    <s v="No"/>
    <s v="No"/>
    <s v="No"/>
    <s v="No"/>
  </r>
  <r>
    <x v="1111"/>
    <s v="Harsh Saxena"/>
    <s v="Male"/>
    <n v="59"/>
    <s v="Chandigarh"/>
    <x v="0"/>
    <n v="5"/>
    <n v="899"/>
    <n v="4495"/>
    <s v="Fiber"/>
    <d v="2025-04-26T00:00:00"/>
    <s v="No"/>
    <s v="No"/>
    <s v="No"/>
    <s v="No"/>
    <s v="Yes"/>
    <s v="No"/>
  </r>
  <r>
    <x v="1112"/>
    <s v="Pooja Bose"/>
    <s v="Female"/>
    <n v="38"/>
    <s v="Kolkata"/>
    <x v="0"/>
    <n v="7"/>
    <n v="649"/>
    <n v="4543"/>
    <s v="DSL"/>
    <d v="2025-02-22T00:00:00"/>
    <s v="No"/>
    <s v="No"/>
    <s v="No"/>
    <s v="No"/>
    <s v="No"/>
    <s v="No"/>
  </r>
  <r>
    <x v="1113"/>
    <s v="Gaurav Patel"/>
    <s v="Male"/>
    <n v="55"/>
    <s v="Pune"/>
    <x v="0"/>
    <n v="15"/>
    <n v="1199"/>
    <n v="17985"/>
    <s v="Fiber"/>
    <d v="2024-06-09T00:00:00"/>
    <s v="Yes"/>
    <s v="No"/>
    <s v="No"/>
    <s v="No"/>
    <s v="No"/>
    <s v="No"/>
  </r>
  <r>
    <x v="1114"/>
    <s v="Pooja Mishra"/>
    <s v="Female"/>
    <n v="54"/>
    <s v="Hyderabad"/>
    <x v="2"/>
    <n v="37"/>
    <n v="1049"/>
    <n v="38813"/>
    <s v="Fiber"/>
    <d v="2022-08-22T00:00:00"/>
    <s v="No"/>
    <s v="No"/>
    <s v="No"/>
    <s v="No"/>
    <s v="No"/>
    <s v="No"/>
  </r>
  <r>
    <x v="1115"/>
    <s v="Neha Jain"/>
    <s v="Female"/>
    <n v="67"/>
    <s v="Hyderabad"/>
    <x v="0"/>
    <n v="2"/>
    <n v="1149"/>
    <n v="2298"/>
    <s v="Fiber"/>
    <d v="2025-07-16T00:00:00"/>
    <s v="Yes"/>
    <s v="No"/>
    <s v="No"/>
    <s v="No"/>
    <s v="No"/>
    <s v="No"/>
  </r>
  <r>
    <x v="1116"/>
    <s v="Isha Bose"/>
    <s v="Female"/>
    <n v="42"/>
    <s v="Indore"/>
    <x v="1"/>
    <n v="7"/>
    <n v="849"/>
    <n v="5943"/>
    <s v="DSL"/>
    <d v="2025-02-15T00:00:00"/>
    <s v="No"/>
    <s v="No"/>
    <s v="No"/>
    <s v="No"/>
    <s v="No"/>
    <s v="No"/>
  </r>
  <r>
    <x v="1117"/>
    <s v="Swati Chopra"/>
    <s v="Female"/>
    <n v="75"/>
    <s v="Mumbai"/>
    <x v="0"/>
    <n v="6"/>
    <n v="1149"/>
    <n v="6894"/>
    <s v="Fiber"/>
    <d v="2025-03-18T00:00:00"/>
    <s v="No"/>
    <s v="No"/>
    <s v="No"/>
    <s v="No"/>
    <s v="No"/>
    <s v="No"/>
  </r>
  <r>
    <x v="1118"/>
    <s v="Tanvi Bose"/>
    <s v="Female"/>
    <n v="62"/>
    <s v="Kolkata"/>
    <x v="1"/>
    <n v="16"/>
    <n v="1199"/>
    <n v="19184"/>
    <s v="Fiber"/>
    <d v="2024-05-21T00:00:00"/>
    <s v="No"/>
    <s v="No"/>
    <s v="No"/>
    <s v="No"/>
    <s v="No"/>
    <s v="No"/>
  </r>
  <r>
    <x v="1119"/>
    <s v="Aditi Verma"/>
    <s v="Female"/>
    <n v="74"/>
    <s v="Hyderabad"/>
    <x v="1"/>
    <n v="33"/>
    <n v="499"/>
    <n v="16467"/>
    <s v="No Internet"/>
    <d v="2022-12-25T00:00:00"/>
    <s v="No"/>
    <s v="No"/>
    <s v="No"/>
    <s v="No"/>
    <s v="No"/>
    <s v="No"/>
  </r>
  <r>
    <x v="1120"/>
    <s v="Tanvi Sharma"/>
    <s v="Female"/>
    <n v="28"/>
    <s v="Jaipur"/>
    <x v="0"/>
    <m/>
    <m/>
    <n v="16980"/>
    <s v="DSL"/>
    <d v="2024-01-19T00:00:00"/>
    <s v="No"/>
    <s v="No"/>
    <s v="No"/>
    <s v="No"/>
    <s v="No"/>
    <s v="Monthly missing; Tenure missing"/>
  </r>
  <r>
    <x v="1121"/>
    <s v="Rohit Saxena"/>
    <s v="Male"/>
    <n v="39"/>
    <s v="Kochi"/>
    <x v="2"/>
    <n v="40"/>
    <n v="399"/>
    <n v="15960"/>
    <s v="No Internet"/>
    <d v="2022-06-02T00:00:00"/>
    <s v="No"/>
    <s v="No"/>
    <s v="No"/>
    <s v="No"/>
    <s v="No"/>
    <s v="No"/>
  </r>
  <r>
    <x v="1122"/>
    <s v="Meera Kapoor"/>
    <s v="Female"/>
    <n v="18"/>
    <s v="Indore"/>
    <x v="0"/>
    <n v="10"/>
    <n v="399"/>
    <n v="3990"/>
    <s v="No Internet"/>
    <d v="2024-11-26T00:00:00"/>
    <s v="Yes"/>
    <s v="No"/>
    <s v="No"/>
    <s v="No"/>
    <s v="No"/>
    <s v="No"/>
  </r>
  <r>
    <x v="1123"/>
    <s v="Neha Agarwal"/>
    <s v="Female"/>
    <n v="33"/>
    <s v="Bangalore"/>
    <x v="1"/>
    <n v="24"/>
    <n v="399"/>
    <n v="9576"/>
    <s v="No Internet"/>
    <d v="2023-09-24T00:00:00"/>
    <s v="No"/>
    <s v="No"/>
    <s v="No"/>
    <s v="No"/>
    <s v="No"/>
    <s v="No"/>
  </r>
  <r>
    <x v="1124"/>
    <s v="Deepika Desai"/>
    <s v="Female"/>
    <n v="60"/>
    <s v="Kolkata"/>
    <x v="2"/>
    <n v="13"/>
    <n v="999"/>
    <n v="12987"/>
    <s v="Fiber"/>
    <d v="2024-08-30T00:00:00"/>
    <s v="No"/>
    <s v="No"/>
    <s v="No"/>
    <s v="No"/>
    <s v="No"/>
    <s v="No"/>
  </r>
  <r>
    <x v="1125"/>
    <s v="Swati Iyer"/>
    <s v="Female"/>
    <n v="47"/>
    <s v="Indore"/>
    <x v="1"/>
    <n v="26"/>
    <n v="899"/>
    <n v="23374"/>
    <s v="Fiber"/>
    <d v="2023-07-18T00:00:00"/>
    <s v="No"/>
    <s v="Yes"/>
    <s v="No"/>
    <s v="No"/>
    <s v="No"/>
    <s v="No"/>
  </r>
  <r>
    <x v="1126"/>
    <s v="Manish Yadav"/>
    <s v="Male"/>
    <n v="29"/>
    <s v="Unknown"/>
    <x v="0"/>
    <n v="17"/>
    <n v="899"/>
    <n v="15283"/>
    <s v="Fiber"/>
    <d v="2024-04-24T00:00:00"/>
    <s v="No"/>
    <s v="No"/>
    <s v="No"/>
    <s v="No"/>
    <s v="No"/>
    <s v="No"/>
  </r>
  <r>
    <x v="1127"/>
    <s v="Manish Singh"/>
    <s v="Male"/>
    <n v="49"/>
    <s v="Hyderabad"/>
    <x v="0"/>
    <n v="3"/>
    <n v="699"/>
    <n v="2097"/>
    <s v="DSL"/>
    <d v="2025-06-21T00:00:00"/>
    <s v="Yes"/>
    <s v="No"/>
    <s v="No"/>
    <s v="Yes"/>
    <s v="No"/>
    <s v="No"/>
  </r>
  <r>
    <x v="1128"/>
    <s v="Divya Saxena"/>
    <s v="Female"/>
    <n v="70"/>
    <s v="Ahmedabad"/>
    <x v="0"/>
    <n v="14"/>
    <n v="499"/>
    <n v="6986"/>
    <s v="No Internet"/>
    <d v="2024-07-09T00:00:00"/>
    <s v="No"/>
    <s v="No"/>
    <s v="No"/>
    <s v="Yes"/>
    <s v="No"/>
    <s v="No"/>
  </r>
  <r>
    <x v="1129"/>
    <s v="Ankit Kumar"/>
    <s v="Male"/>
    <n v="40"/>
    <s v="Indore"/>
    <x v="1"/>
    <n v="26"/>
    <n v="1299"/>
    <n v="33774"/>
    <s v="Fiber"/>
    <d v="2023-08-06T00:00:00"/>
    <s v="Yes"/>
    <s v="No"/>
    <s v="Yes"/>
    <s v="No"/>
    <s v="No"/>
    <s v="No"/>
  </r>
  <r>
    <x v="1130"/>
    <s v="Shreya Sharma"/>
    <s v="Female"/>
    <n v="49"/>
    <s v="Indore"/>
    <x v="2"/>
    <n v="7"/>
    <n v="1099"/>
    <n v="7693"/>
    <s v="Fiber"/>
    <d v="2025-02-27T00:00:00"/>
    <s v="No"/>
    <s v="No"/>
    <s v="No"/>
    <s v="No"/>
    <s v="No"/>
    <s v="No"/>
  </r>
  <r>
    <x v="1131"/>
    <s v="Payal Patel"/>
    <s v="Female"/>
    <n v="67"/>
    <s v="Ahmedabad"/>
    <x v="1"/>
    <n v="24"/>
    <n v="399"/>
    <n v="9576"/>
    <s v="No Internet"/>
    <d v="2023-09-22T00:00:00"/>
    <s v="No"/>
    <s v="No"/>
    <s v="No"/>
    <s v="No"/>
    <s v="No"/>
    <s v="No"/>
  </r>
  <r>
    <x v="1132"/>
    <s v="Neha Singh"/>
    <s v="Female"/>
    <n v="18"/>
    <s v="Pune"/>
    <x v="2"/>
    <n v="34"/>
    <n v="1149"/>
    <n v="39066"/>
    <s v="Fiber"/>
    <d v="2022-11-29T00:00:00"/>
    <s v="No"/>
    <s v="No"/>
    <s v="No"/>
    <s v="No"/>
    <s v="No"/>
    <s v="No"/>
  </r>
  <r>
    <x v="1133"/>
    <s v="Sneha Kapoor"/>
    <s v="Female"/>
    <n v="36"/>
    <s v="Delhi"/>
    <x v="0"/>
    <n v="12"/>
    <n v="1149"/>
    <n v="13788"/>
    <s v="Fiber"/>
    <d v="2024-09-23T00:00:00"/>
    <s v="Yes"/>
    <s v="No"/>
    <s v="No"/>
    <s v="No"/>
    <s v="No"/>
    <s v="No"/>
  </r>
  <r>
    <x v="1134"/>
    <s v="Priya Mishra"/>
    <s v="Female"/>
    <n v="35"/>
    <s v="Bangalore"/>
    <x v="0"/>
    <n v="15"/>
    <n v="1049"/>
    <n v="15735"/>
    <s v="Fiber"/>
    <m/>
    <s v="No"/>
    <s v="No"/>
    <s v="No"/>
    <s v="No"/>
    <s v="No"/>
    <s v="Date missing"/>
  </r>
  <r>
    <x v="1135"/>
    <s v="Sachin Agarwal"/>
    <s v="Male"/>
    <n v="43"/>
    <s v="Hyderabad"/>
    <x v="0"/>
    <n v="5"/>
    <n v="999"/>
    <n v="4995"/>
    <s v="Fiber"/>
    <d v="2025-04-23T00:00:00"/>
    <s v="Yes"/>
    <s v="No"/>
    <s v="No"/>
    <s v="No"/>
    <s v="No"/>
    <s v="No"/>
  </r>
  <r>
    <x v="1136"/>
    <s v="Shreya Pandey"/>
    <s v="Female"/>
    <n v="57"/>
    <s v="Hyderabad"/>
    <x v="2"/>
    <n v="68"/>
    <n v="349"/>
    <n v="23732"/>
    <s v="No Internet"/>
    <d v="2020-02-16T00:00:00"/>
    <s v="No"/>
    <s v="No"/>
    <s v="No"/>
    <s v="No"/>
    <s v="No"/>
    <s v="No"/>
  </r>
  <r>
    <x v="1137"/>
    <s v="Rohit Yadav"/>
    <s v="Male"/>
    <n v="64"/>
    <s v="Indore"/>
    <x v="2"/>
    <n v="66"/>
    <n v="849"/>
    <n v="56034"/>
    <s v="DSL"/>
    <d v="2020-04-04T00:00:00"/>
    <s v="No"/>
    <s v="No"/>
    <s v="No"/>
    <s v="No"/>
    <s v="No"/>
    <s v="No"/>
  </r>
  <r>
    <x v="1138"/>
    <s v="Nisha Rao"/>
    <s v="Female"/>
    <n v="19"/>
    <s v="Bangalore"/>
    <x v="2"/>
    <n v="11"/>
    <n v="899"/>
    <n v="9889"/>
    <s v="DSL"/>
    <d v="2024-10-15T00:00:00"/>
    <s v="No"/>
    <s v="No"/>
    <s v="No"/>
    <s v="No"/>
    <s v="No"/>
    <s v="No"/>
  </r>
  <r>
    <x v="1139"/>
    <s v="Aditi Yadav"/>
    <s v="Female"/>
    <n v="50"/>
    <s v="Jaipur"/>
    <x v="2"/>
    <n v="7"/>
    <n v="699"/>
    <n v="4893"/>
    <s v="DSL"/>
    <d v="2025-02-01T00:00:00"/>
    <s v="No"/>
    <s v="No"/>
    <s v="No"/>
    <s v="No"/>
    <s v="No"/>
    <s v="No"/>
  </r>
  <r>
    <x v="1140"/>
    <s v="Kavita Agarwal"/>
    <s v="Female"/>
    <n v="62"/>
    <s v="Kochi"/>
    <x v="0"/>
    <n v="2"/>
    <n v="1099"/>
    <n v="2198"/>
    <s v="Fiber"/>
    <d v="2025-07-22T00:00:00"/>
    <s v="No"/>
    <s v="No"/>
    <s v="No"/>
    <s v="No"/>
    <s v="No"/>
    <s v="No"/>
  </r>
  <r>
    <x v="1141"/>
    <s v="Vivek Mehta"/>
    <s v="Male"/>
    <n v="19"/>
    <s v="Kochi"/>
    <x v="0"/>
    <n v="9"/>
    <n v="749"/>
    <n v="6741"/>
    <s v="DSL"/>
    <d v="2024-12-25T00:00:00"/>
    <s v="Yes"/>
    <s v="No"/>
    <s v="No"/>
    <s v="No"/>
    <s v="No"/>
    <s v="No"/>
  </r>
  <r>
    <x v="1142"/>
    <s v="Nikhil Nair"/>
    <s v="Male"/>
    <n v="22"/>
    <s v="Lucknow"/>
    <x v="0"/>
    <n v="15"/>
    <n v="1099"/>
    <n v="16485"/>
    <s v="Fiber"/>
    <d v="2024-06-23T00:00:00"/>
    <s v="Yes"/>
    <s v="No"/>
    <s v="No"/>
    <s v="No"/>
    <s v="No"/>
    <s v="No"/>
  </r>
  <r>
    <x v="1143"/>
    <s v="Sonal Sharma"/>
    <s v="Female"/>
    <n v="39"/>
    <s v="Pune"/>
    <x v="0"/>
    <n v="5"/>
    <n v="499"/>
    <n v="2495"/>
    <s v="No Internet"/>
    <d v="2025-04-09T00:00:00"/>
    <s v="Yes"/>
    <s v="No"/>
    <s v="No"/>
    <s v="No"/>
    <s v="No"/>
    <s v="No"/>
  </r>
  <r>
    <x v="1144"/>
    <s v="Deepak Malhotra"/>
    <s v="Male"/>
    <n v="43"/>
    <s v="Delhi"/>
    <x v="1"/>
    <n v="6"/>
    <m/>
    <m/>
    <s v="Fiber"/>
    <m/>
    <s v="No"/>
    <s v="No"/>
    <s v="No"/>
    <s v="No"/>
    <s v="No"/>
    <s v="Monthly missing; Total missing; Date missing"/>
  </r>
  <r>
    <x v="1145"/>
    <s v="Mohit Patel"/>
    <s v="Male"/>
    <n v="37"/>
    <s v="Chennai"/>
    <x v="1"/>
    <n v="30"/>
    <n v="999"/>
    <n v="29970"/>
    <s v="Fiber"/>
    <d v="2023-03-24T00:00:00"/>
    <s v="No"/>
    <s v="No"/>
    <s v="No"/>
    <s v="No"/>
    <s v="No"/>
    <s v="No"/>
  </r>
  <r>
    <x v="1146"/>
    <s v="Tanvi Tiwari"/>
    <s v="Female"/>
    <n v="44"/>
    <s v="Kochi"/>
    <x v="0"/>
    <n v="18"/>
    <n v="399"/>
    <n v="7182"/>
    <s v="No Internet"/>
    <d v="2024-03-20T00:00:00"/>
    <s v="Yes"/>
    <s v="No"/>
    <s v="No"/>
    <s v="No"/>
    <s v="No"/>
    <s v="No"/>
  </r>
  <r>
    <x v="1147"/>
    <s v="Deepak Yadav"/>
    <s v="Male"/>
    <n v="47"/>
    <s v="Mumbai"/>
    <x v="0"/>
    <n v="4"/>
    <n v="799"/>
    <n v="3196"/>
    <s v="DSL"/>
    <d v="2025-05-07T00:00:00"/>
    <s v="No"/>
    <s v="Yes"/>
    <s v="No"/>
    <s v="No"/>
    <s v="No"/>
    <s v="No"/>
  </r>
  <r>
    <x v="1148"/>
    <s v="Sonal Tiwari"/>
    <s v="Female"/>
    <n v="40"/>
    <s v="Kochi"/>
    <x v="0"/>
    <n v="9"/>
    <n v="449"/>
    <n v="4041"/>
    <s v="No Internet"/>
    <m/>
    <s v="No"/>
    <s v="No"/>
    <s v="No"/>
    <s v="No"/>
    <s v="Yes"/>
    <s v="Date missing"/>
  </r>
  <r>
    <x v="1149"/>
    <s v="Payal Mishra"/>
    <s v="Female"/>
    <n v="52"/>
    <s v="Kolkata"/>
    <x v="0"/>
    <n v="15"/>
    <n v="1299"/>
    <n v="19485"/>
    <s v="Fiber"/>
    <d v="2024-06-08T00:00:00"/>
    <s v="Yes"/>
    <s v="No"/>
    <s v="No"/>
    <s v="Yes"/>
    <s v="No"/>
    <s v="No"/>
  </r>
  <r>
    <x v="1150"/>
    <s v="Deepak Iyer"/>
    <s v="Male"/>
    <n v="18"/>
    <s v="Jaipur"/>
    <x v="2"/>
    <n v="23"/>
    <n v="899"/>
    <n v="20677"/>
    <s v="Fiber"/>
    <d v="2023-10-26T00:00:00"/>
    <s v="No"/>
    <s v="No"/>
    <s v="No"/>
    <s v="No"/>
    <s v="No"/>
    <s v="No"/>
  </r>
  <r>
    <x v="1151"/>
    <s v="Nisha Mehta"/>
    <s v="Female"/>
    <n v="58"/>
    <s v="Delhi"/>
    <x v="1"/>
    <n v="40"/>
    <n v="799"/>
    <n v="31960"/>
    <s v="DSL"/>
    <d v="2022-06-03T00:00:00"/>
    <s v="No"/>
    <s v="No"/>
    <s v="No"/>
    <s v="No"/>
    <s v="No"/>
    <s v="No"/>
  </r>
  <r>
    <x v="1152"/>
    <s v="Nikhil Yadav"/>
    <s v="Male"/>
    <n v="33"/>
    <s v="Bangalore"/>
    <x v="1"/>
    <n v="6"/>
    <n v="899"/>
    <n v="5394"/>
    <s v="Fiber"/>
    <d v="2025-03-12T00:00:00"/>
    <s v="No"/>
    <s v="No"/>
    <s v="No"/>
    <s v="No"/>
    <s v="No"/>
    <s v="No"/>
  </r>
  <r>
    <x v="1153"/>
    <s v="Sonal Jain"/>
    <s v="Female"/>
    <n v="73"/>
    <s v="Hyderabad"/>
    <x v="2"/>
    <n v="48"/>
    <n v="849"/>
    <n v="40752"/>
    <s v="DSL"/>
    <d v="2021-09-20T00:00:00"/>
    <s v="No"/>
    <s v="No"/>
    <s v="No"/>
    <s v="No"/>
    <s v="No"/>
    <s v="No"/>
  </r>
  <r>
    <x v="1154"/>
    <s v="Nikhil Singh"/>
    <s v="Male"/>
    <n v="47"/>
    <s v="Mumbai"/>
    <x v="2"/>
    <n v="60"/>
    <n v="749"/>
    <n v="44940"/>
    <s v="DSL"/>
    <d v="2020-10-17T00:00:00"/>
    <s v="No"/>
    <s v="Yes"/>
    <s v="No"/>
    <s v="No"/>
    <s v="Yes"/>
    <s v="No"/>
  </r>
  <r>
    <x v="1155"/>
    <s v="Ankit Jain"/>
    <s v="Male"/>
    <n v="59"/>
    <s v="Mumbai"/>
    <x v="3"/>
    <n v="21"/>
    <n v="349"/>
    <n v="7329"/>
    <s v="No Internet"/>
    <d v="2024-01-06T00:00:00"/>
    <s v="Yes"/>
    <s v="No"/>
    <s v="No"/>
    <s v="No"/>
    <s v="No"/>
    <s v="No"/>
  </r>
  <r>
    <x v="1156"/>
    <s v="Payal Desai"/>
    <s v="Female"/>
    <n v="73"/>
    <s v="Kolkata"/>
    <x v="0"/>
    <n v="9"/>
    <n v="1149"/>
    <n v="10341"/>
    <s v="Fiber"/>
    <d v="2024-12-13T00:00:00"/>
    <s v="No"/>
    <s v="No"/>
    <s v="No"/>
    <s v="No"/>
    <s v="No"/>
    <s v="No"/>
  </r>
  <r>
    <x v="1157"/>
    <s v="Ankit Desai"/>
    <s v="Male"/>
    <n v="70"/>
    <s v="Bhopal"/>
    <x v="0"/>
    <n v="24"/>
    <n v="449"/>
    <n v="10776"/>
    <s v="No Internet"/>
    <d v="2023-09-10T00:00:00"/>
    <s v="Yes"/>
    <s v="No"/>
    <s v="No"/>
    <s v="No"/>
    <s v="No"/>
    <s v="No"/>
  </r>
  <r>
    <x v="1158"/>
    <s v="Nisha Reddy"/>
    <s v="Female"/>
    <n v="24"/>
    <s v="Bangalore"/>
    <x v="2"/>
    <n v="15"/>
    <n v="999"/>
    <n v="14985"/>
    <s v="Fiber"/>
    <d v="2024-06-25T00:00:00"/>
    <s v="No"/>
    <s v="No"/>
    <s v="No"/>
    <s v="No"/>
    <s v="No"/>
    <s v="No"/>
  </r>
  <r>
    <x v="1159"/>
    <s v="Manish Desai"/>
    <s v="Male"/>
    <n v="31"/>
    <s v="Chennai"/>
    <x v="0"/>
    <n v="3"/>
    <n v="1199"/>
    <n v="3597"/>
    <s v="Fiber"/>
    <d v="2025-06-06T00:00:00"/>
    <s v="No"/>
    <s v="No"/>
    <s v="No"/>
    <s v="No"/>
    <s v="No"/>
    <s v="No"/>
  </r>
  <r>
    <x v="1160"/>
    <s v="Swati Iyer"/>
    <s v="Female"/>
    <n v="62"/>
    <s v="Ahmedabad"/>
    <x v="0"/>
    <n v="9"/>
    <n v="1049"/>
    <n v="9441"/>
    <s v="Fiber"/>
    <d v="2024-12-28T00:00:00"/>
    <s v="Yes"/>
    <s v="No"/>
    <s v="No"/>
    <s v="No"/>
    <s v="No"/>
    <s v="No"/>
  </r>
  <r>
    <x v="1161"/>
    <s v="Mohit Iyer"/>
    <s v="Male"/>
    <n v="19"/>
    <s v="Hyderabad"/>
    <x v="2"/>
    <n v="38"/>
    <n v="1199"/>
    <n v="45562"/>
    <s v="Fiber"/>
    <d v="2022-08-06T00:00:00"/>
    <s v="No"/>
    <s v="No"/>
    <s v="No"/>
    <s v="No"/>
    <s v="No"/>
    <s v="No"/>
  </r>
  <r>
    <x v="1162"/>
    <s v="Shreya Saxena"/>
    <s v="Female"/>
    <n v="36"/>
    <s v="Bangalore"/>
    <x v="1"/>
    <n v="10"/>
    <n v="1049"/>
    <n v="10490"/>
    <s v="Unknown"/>
    <d v="2024-11-25T00:00:00"/>
    <s v="No"/>
    <s v="No"/>
    <s v="No"/>
    <s v="No"/>
    <s v="No"/>
    <s v="No"/>
  </r>
  <r>
    <x v="1163"/>
    <s v="Sanjay Bose"/>
    <s v="Male"/>
    <n v="37"/>
    <s v="Bangalore"/>
    <x v="1"/>
    <n v="33"/>
    <n v="849"/>
    <n v="28017"/>
    <s v="DSL"/>
    <m/>
    <s v="No"/>
    <s v="No"/>
    <s v="No"/>
    <s v="No"/>
    <s v="No"/>
    <s v="Date missing"/>
  </r>
  <r>
    <x v="1164"/>
    <s v="Aman Chopra"/>
    <s v="Male"/>
    <n v="27"/>
    <s v="Lucknow"/>
    <x v="2"/>
    <n v="48"/>
    <n v="749"/>
    <n v="35952"/>
    <s v="DSL"/>
    <d v="2021-09-22T00:00:00"/>
    <s v="No"/>
    <s v="No"/>
    <s v="No"/>
    <s v="No"/>
    <s v="No"/>
    <s v="No"/>
  </r>
  <r>
    <x v="1165"/>
    <s v="Meera Desai"/>
    <s v="Female"/>
    <n v="75"/>
    <s v="Kolkata"/>
    <x v="0"/>
    <n v="11"/>
    <n v="399"/>
    <n v="4389"/>
    <s v="No Internet"/>
    <d v="2024-10-25T00:00:00"/>
    <s v="Yes"/>
    <s v="No"/>
    <s v="No"/>
    <s v="No"/>
    <s v="No"/>
    <s v="No"/>
  </r>
  <r>
    <x v="1166"/>
    <s v="Sanjay Patel"/>
    <s v="Male"/>
    <n v="49"/>
    <s v="Ahmedabad"/>
    <x v="1"/>
    <n v="1"/>
    <n v="1199"/>
    <n v="1199"/>
    <s v="Fiber"/>
    <d v="2025-08-06T00:00:00"/>
    <s v="No"/>
    <s v="No"/>
    <s v="No"/>
    <s v="No"/>
    <s v="No"/>
    <s v="No"/>
  </r>
  <r>
    <x v="1167"/>
    <s v="Aman Saxena"/>
    <s v="Male"/>
    <n v="20"/>
    <s v="Kolkata"/>
    <x v="1"/>
    <n v="33"/>
    <n v="549"/>
    <n v="18117"/>
    <s v="No Internet"/>
    <d v="2022-12-16T00:00:00"/>
    <s v="No"/>
    <s v="No"/>
    <s v="No"/>
    <s v="No"/>
    <s v="No"/>
    <s v="No"/>
  </r>
  <r>
    <x v="1168"/>
    <s v="Amit Kapoor"/>
    <s v="Male"/>
    <n v="54"/>
    <s v="Jaipur"/>
    <x v="0"/>
    <n v="24"/>
    <n v="649"/>
    <n v="15576"/>
    <s v="DSL"/>
    <d v="2023-09-17T00:00:00"/>
    <s v="Yes"/>
    <s v="No"/>
    <s v="No"/>
    <s v="No"/>
    <s v="No"/>
    <s v="No"/>
  </r>
  <r>
    <x v="1169"/>
    <s v="Meera Verma"/>
    <s v="Female"/>
    <n v="56"/>
    <s v="Chennai"/>
    <x v="1"/>
    <n v="13"/>
    <n v="849"/>
    <n v="11037"/>
    <s v="DSL"/>
    <d v="2024-08-30T00:00:00"/>
    <s v="No"/>
    <s v="No"/>
    <s v="No"/>
    <s v="No"/>
    <s v="No"/>
    <s v="No"/>
  </r>
  <r>
    <x v="1170"/>
    <s v="Sneha Mehta"/>
    <s v="Female"/>
    <n v="32"/>
    <s v="Hyderabad"/>
    <x v="1"/>
    <n v="30"/>
    <n v="1149"/>
    <n v="34470"/>
    <s v="Fiber"/>
    <d v="2023-03-23T00:00:00"/>
    <s v="No"/>
    <s v="No"/>
    <s v="No"/>
    <s v="No"/>
    <s v="No"/>
    <s v="No"/>
  </r>
  <r>
    <x v="1171"/>
    <s v="Sanjay Desai"/>
    <s v="Unknown"/>
    <n v="25"/>
    <s v="Ahmedabad"/>
    <x v="0"/>
    <n v="18"/>
    <n v="799"/>
    <n v="14382"/>
    <s v="DSL"/>
    <d v="2024-03-19T00:00:00"/>
    <s v="No"/>
    <s v="No"/>
    <s v="No"/>
    <s v="No"/>
    <s v="No"/>
    <s v="No"/>
  </r>
  <r>
    <x v="1172"/>
    <s v="Rajesh Tiwari"/>
    <s v="Male"/>
    <n v="73"/>
    <s v="Mumbai"/>
    <x v="1"/>
    <n v="13"/>
    <n v="1299"/>
    <n v="16887"/>
    <s v="Fiber"/>
    <m/>
    <s v="No"/>
    <s v="No"/>
    <s v="No"/>
    <s v="No"/>
    <s v="No"/>
    <s v="Date missing"/>
  </r>
  <r>
    <x v="1173"/>
    <s v="Nisha Yadav"/>
    <s v="Female"/>
    <n v="35"/>
    <s v="Ahmedabad"/>
    <x v="1"/>
    <n v="31"/>
    <n v="799"/>
    <n v="24769"/>
    <s v="DSL"/>
    <d v="2023-02-24T00:00:00"/>
    <s v="No"/>
    <s v="No"/>
    <s v="No"/>
    <s v="No"/>
    <s v="No"/>
    <s v="No"/>
  </r>
  <r>
    <x v="1174"/>
    <s v="Nikhil Malhotra"/>
    <s v="Male"/>
    <n v="61"/>
    <s v="Jaipur"/>
    <x v="0"/>
    <n v="4"/>
    <n v="999"/>
    <n v="3996"/>
    <s v="Fiber"/>
    <d v="2025-05-03T00:00:00"/>
    <s v="Yes"/>
    <s v="No"/>
    <s v="No"/>
    <s v="No"/>
    <s v="No"/>
    <s v="No"/>
  </r>
  <r>
    <x v="1175"/>
    <s v="Komal Gupta"/>
    <s v="Female"/>
    <n v="29"/>
    <s v="Mumbai"/>
    <x v="1"/>
    <n v="7"/>
    <n v="1099"/>
    <n v="7693"/>
    <s v="Fiber"/>
    <d v="2025-02-13T00:00:00"/>
    <s v="No"/>
    <s v="No"/>
    <s v="No"/>
    <s v="No"/>
    <s v="No"/>
    <s v="No"/>
  </r>
  <r>
    <x v="1176"/>
    <s v="Sanjay Reddy"/>
    <s v="Male"/>
    <n v="66"/>
    <s v="Hyderabad"/>
    <x v="0"/>
    <n v="11"/>
    <n v="1149"/>
    <n v="12639"/>
    <s v="Fiber"/>
    <d v="2024-10-24T00:00:00"/>
    <s v="Unknown"/>
    <s v="No"/>
    <s v="No"/>
    <s v="No"/>
    <s v="No"/>
    <s v="Churn unknown"/>
  </r>
  <r>
    <x v="1177"/>
    <s v="Rajesh Saxena"/>
    <s v="Male"/>
    <n v="27"/>
    <s v="Pune"/>
    <x v="0"/>
    <n v="6"/>
    <n v="999"/>
    <n v="5994"/>
    <s v="Fiber"/>
    <d v="2025-03-22T00:00:00"/>
    <s v="No"/>
    <s v="No"/>
    <s v="No"/>
    <s v="No"/>
    <s v="No"/>
    <s v="No"/>
  </r>
  <r>
    <x v="1178"/>
    <s v="Riya Tiwari"/>
    <s v="Female"/>
    <n v="67"/>
    <s v="Bhopal"/>
    <x v="0"/>
    <n v="16"/>
    <n v="449"/>
    <n v="7184"/>
    <s v="No Internet"/>
    <d v="2024-05-27T00:00:00"/>
    <s v="Yes"/>
    <s v="No"/>
    <s v="No"/>
    <s v="Yes"/>
    <s v="No"/>
    <s v="No"/>
  </r>
  <r>
    <x v="1179"/>
    <s v="Isha Agarwal"/>
    <s v="Female"/>
    <n v="38"/>
    <s v="Ahmedabad"/>
    <x v="0"/>
    <n v="14"/>
    <n v="1299"/>
    <n v="18186"/>
    <s v="Fiber"/>
    <d v="2024-07-22T00:00:00"/>
    <s v="Yes"/>
    <s v="No"/>
    <s v="No"/>
    <s v="No"/>
    <s v="No"/>
    <s v="No"/>
  </r>
  <r>
    <x v="1180"/>
    <s v="Pooja Kapoor"/>
    <s v="Female"/>
    <n v="67"/>
    <s v="Chennai"/>
    <x v="0"/>
    <n v="7"/>
    <n v="1199"/>
    <n v="8393"/>
    <s v="Fiber"/>
    <d v="2025-02-19T00:00:00"/>
    <s v="Yes"/>
    <s v="No"/>
    <s v="No"/>
    <s v="No"/>
    <s v="No"/>
    <s v="No"/>
  </r>
  <r>
    <x v="1181"/>
    <s v="Nikhil Tiwari"/>
    <s v="Male"/>
    <n v="68"/>
    <s v="Kolkata"/>
    <x v="0"/>
    <n v="7"/>
    <n v="999"/>
    <n v="6993"/>
    <s v="Fiber"/>
    <d v="2025-02-03T00:00:00"/>
    <s v="No"/>
    <s v="No"/>
    <s v="No"/>
    <s v="No"/>
    <s v="No"/>
    <s v="No"/>
  </r>
  <r>
    <x v="1182"/>
    <s v="Anjali Kumar"/>
    <s v="Female"/>
    <n v="33"/>
    <s v="Bangalore"/>
    <x v="3"/>
    <n v="24"/>
    <n v="1099"/>
    <n v="26376"/>
    <s v="Fiber"/>
    <d v="2023-09-27T00:00:00"/>
    <s v="No"/>
    <s v="No"/>
    <s v="No"/>
    <s v="No"/>
    <s v="No"/>
    <s v="No"/>
  </r>
  <r>
    <x v="1183"/>
    <s v="Ritu Malhotra"/>
    <s v="Female"/>
    <n v="56"/>
    <s v="Lucknow"/>
    <x v="0"/>
    <n v="21"/>
    <n v="699"/>
    <n v="14679"/>
    <s v="DSL"/>
    <m/>
    <s v="Yes"/>
    <s v="No"/>
    <s v="No"/>
    <s v="Yes"/>
    <s v="No"/>
    <s v="Date missing"/>
  </r>
  <r>
    <x v="1184"/>
    <s v="Anjali Desai"/>
    <s v="Female"/>
    <n v="47"/>
    <s v="Bhopal"/>
    <x v="0"/>
    <n v="24"/>
    <n v="399"/>
    <n v="9576"/>
    <s v="No Internet"/>
    <d v="2023-09-21T00:00:00"/>
    <s v="No"/>
    <s v="Yes"/>
    <s v="No"/>
    <s v="No"/>
    <s v="No"/>
    <s v="No"/>
  </r>
  <r>
    <x v="1185"/>
    <s v="Tanvi Mehta"/>
    <s v="Female"/>
    <n v="53"/>
    <s v="Mumbai"/>
    <x v="0"/>
    <n v="18"/>
    <n v="899"/>
    <n v="16182"/>
    <s v="DSL"/>
    <d v="2024-03-11T00:00:00"/>
    <s v="No"/>
    <s v="No"/>
    <s v="No"/>
    <s v="No"/>
    <s v="No"/>
    <s v="No"/>
  </r>
  <r>
    <x v="1186"/>
    <s v="Priya Singh"/>
    <s v="Female"/>
    <n v="67"/>
    <s v="Kochi"/>
    <x v="0"/>
    <n v="23"/>
    <n v="1049"/>
    <n v="24127"/>
    <s v="Fiber"/>
    <d v="2023-10-25T00:00:00"/>
    <s v="No"/>
    <s v="No"/>
    <s v="No"/>
    <s v="No"/>
    <s v="Yes"/>
    <s v="No"/>
  </r>
  <r>
    <x v="1187"/>
    <s v="Arjun Joshi"/>
    <s v="Male"/>
    <n v="47"/>
    <s v="Hyderabad"/>
    <x v="0"/>
    <n v="22"/>
    <n v="849"/>
    <n v="18678"/>
    <s v="DSL"/>
    <d v="2023-11-09T00:00:00"/>
    <s v="No"/>
    <s v="No"/>
    <s v="No"/>
    <s v="No"/>
    <s v="No"/>
    <s v="No"/>
  </r>
  <r>
    <x v="1188"/>
    <s v="Rohit Reddy"/>
    <s v="Unknown"/>
    <n v="59"/>
    <s v="Kolkata"/>
    <x v="0"/>
    <n v="2"/>
    <n v="349"/>
    <n v="698"/>
    <s v="No Internet"/>
    <d v="2025-07-14T00:00:00"/>
    <s v="No"/>
    <s v="No"/>
    <s v="No"/>
    <s v="No"/>
    <s v="No"/>
    <s v="No"/>
  </r>
  <r>
    <x v="1189"/>
    <s v="Priya Bose"/>
    <s v="Female"/>
    <n v="45"/>
    <s v="Delhi"/>
    <x v="2"/>
    <n v="42"/>
    <n v="499"/>
    <n v="20958"/>
    <s v="No Internet"/>
    <d v="2022-04-07T00:00:00"/>
    <s v="No"/>
    <s v="No"/>
    <s v="No"/>
    <s v="No"/>
    <s v="No"/>
    <s v="No"/>
  </r>
  <r>
    <x v="1190"/>
    <s v="Unknown"/>
    <s v="Male"/>
    <n v="23"/>
    <s v="Jaipur"/>
    <x v="1"/>
    <n v="33"/>
    <n v="1299"/>
    <n v="42867"/>
    <s v="Fiber"/>
    <d v="2022-12-29T00:00:00"/>
    <s v="No"/>
    <s v="No"/>
    <s v="No"/>
    <s v="No"/>
    <s v="No"/>
    <s v="No"/>
  </r>
  <r>
    <x v="1191"/>
    <s v="Vikram Saxena"/>
    <s v="Male"/>
    <n v="45"/>
    <s v="Chandigarh"/>
    <x v="0"/>
    <n v="24"/>
    <n v="1199"/>
    <n v="28776"/>
    <s v="Fiber"/>
    <d v="2023-09-19T00:00:00"/>
    <s v="Yes"/>
    <s v="No"/>
    <s v="No"/>
    <s v="No"/>
    <s v="No"/>
    <s v="No"/>
  </r>
  <r>
    <x v="1192"/>
    <s v="Shreya Jain"/>
    <s v="Female"/>
    <n v="67"/>
    <s v="Bhopal"/>
    <x v="1"/>
    <n v="2"/>
    <n v="449"/>
    <n v="898"/>
    <s v="No Internet"/>
    <d v="2025-07-04T00:00:00"/>
    <s v="Yes"/>
    <s v="No"/>
    <s v="No"/>
    <s v="No"/>
    <s v="No"/>
    <s v="No"/>
  </r>
  <r>
    <x v="1193"/>
    <s v="Priya Sharma"/>
    <s v="Female"/>
    <n v="32"/>
    <s v="Pune"/>
    <x v="0"/>
    <n v="8"/>
    <n v="799"/>
    <n v="6392"/>
    <s v="DSL"/>
    <d v="2025-01-11T00:00:00"/>
    <s v="No"/>
    <s v="No"/>
    <s v="No"/>
    <s v="No"/>
    <s v="No"/>
    <s v="No"/>
  </r>
  <r>
    <x v="1194"/>
    <s v="Rajesh Patel"/>
    <s v="Male"/>
    <n v="47"/>
    <s v="Bhopal"/>
    <x v="2"/>
    <n v="19"/>
    <n v="649"/>
    <n v="12331"/>
    <s v="DSL"/>
    <d v="2024-02-19T00:00:00"/>
    <s v="No"/>
    <s v="Yes"/>
    <s v="No"/>
    <s v="No"/>
    <s v="No"/>
    <s v="No"/>
  </r>
  <r>
    <x v="1195"/>
    <s v="Rohit Mishra"/>
    <s v="Unknown"/>
    <n v="40"/>
    <s v="Mumbai"/>
    <x v="0"/>
    <n v="8"/>
    <n v="849"/>
    <n v="6792"/>
    <s v="DSL"/>
    <d v="2025-01-18T00:00:00"/>
    <s v="Yes"/>
    <s v="No"/>
    <s v="No"/>
    <s v="No"/>
    <s v="No"/>
    <s v="No"/>
  </r>
  <r>
    <x v="1196"/>
    <s v="Ritu Mehta"/>
    <s v="Female"/>
    <n v="67"/>
    <s v="Pune"/>
    <x v="0"/>
    <n v="15"/>
    <n v="499"/>
    <n v="7485"/>
    <s v="No Internet"/>
    <d v="2024-06-08T00:00:00"/>
    <s v="Yes"/>
    <s v="No"/>
    <s v="No"/>
    <s v="No"/>
    <s v="No"/>
    <s v="No"/>
  </r>
  <r>
    <x v="1197"/>
    <s v="Deepak Verma"/>
    <s v="Male"/>
    <n v="46"/>
    <s v="Ahmedabad"/>
    <x v="0"/>
    <n v="13"/>
    <n v="799"/>
    <n v="10387"/>
    <s v="DSL"/>
    <d v="2024-08-29T00:00:00"/>
    <s v="Yes"/>
    <s v="No"/>
    <s v="No"/>
    <s v="No"/>
    <s v="No"/>
    <s v="No"/>
  </r>
  <r>
    <x v="1198"/>
    <s v="Arjun Mehta"/>
    <s v="Male"/>
    <n v="25"/>
    <s v="Ahmedabad"/>
    <x v="1"/>
    <n v="21"/>
    <n v="999"/>
    <n v="20979"/>
    <s v="Fiber"/>
    <d v="2023-12-13T00:00:00"/>
    <s v="No"/>
    <s v="No"/>
    <s v="No"/>
    <s v="No"/>
    <s v="No"/>
    <s v="No"/>
  </r>
  <r>
    <x v="1199"/>
    <s v="Komal Malhotra"/>
    <s v="Female"/>
    <n v="50"/>
    <s v="Mumbai"/>
    <x v="2"/>
    <n v="49"/>
    <n v="899"/>
    <n v="44051"/>
    <s v="DSL"/>
    <d v="2021-09-16T00:00:00"/>
    <s v="No"/>
    <s v="No"/>
    <s v="No"/>
    <s v="No"/>
    <s v="No"/>
    <s v="No"/>
  </r>
  <r>
    <x v="1200"/>
    <s v="Isha Iyer"/>
    <s v="Female"/>
    <n v="71"/>
    <s v="Mumbai"/>
    <x v="0"/>
    <n v="10"/>
    <n v="349"/>
    <n v="3490"/>
    <s v="No Internet"/>
    <d v="2024-11-07T00:00:00"/>
    <s v="Unknown"/>
    <s v="No"/>
    <s v="No"/>
    <s v="No"/>
    <s v="No"/>
    <s v="Churn unknown"/>
  </r>
  <r>
    <x v="1201"/>
    <s v="Komal Sharma"/>
    <s v="Female"/>
    <n v="35"/>
    <s v="Bhopal"/>
    <x v="1"/>
    <n v="10"/>
    <n v="899"/>
    <n v="8990"/>
    <s v="DSL"/>
    <d v="2024-11-28T00:00:00"/>
    <s v="No"/>
    <s v="No"/>
    <s v="No"/>
    <s v="No"/>
    <s v="No"/>
    <s v="No"/>
  </r>
  <r>
    <x v="1202"/>
    <s v="Rohit Pandey"/>
    <s v="Male"/>
    <n v="48"/>
    <s v="Kochi"/>
    <x v="0"/>
    <n v="7"/>
    <n v="1199"/>
    <n v="8393"/>
    <s v="Fiber"/>
    <d v="2025-02-17T00:00:00"/>
    <s v="Yes"/>
    <s v="No"/>
    <s v="No"/>
    <s v="Yes"/>
    <s v="No"/>
    <s v="No"/>
  </r>
  <r>
    <x v="1203"/>
    <s v="Vivek Gupta"/>
    <s v="Male"/>
    <n v="29"/>
    <s v="Jaipur"/>
    <x v="2"/>
    <n v="24"/>
    <n v="899"/>
    <n v="21576"/>
    <s v="Fiber"/>
    <d v="2023-10-03T00:00:00"/>
    <s v="Yes"/>
    <s v="No"/>
    <s v="No"/>
    <s v="No"/>
    <s v="No"/>
    <s v="No"/>
  </r>
  <r>
    <x v="1204"/>
    <s v="Divya Chopra"/>
    <s v="Female"/>
    <n v="41"/>
    <s v="Chandigarh"/>
    <x v="0"/>
    <n v="1"/>
    <n v="699"/>
    <n v="699"/>
    <s v="DSL"/>
    <d v="2025-08-02T00:00:00"/>
    <s v="Yes"/>
    <s v="No"/>
    <s v="No"/>
    <s v="No"/>
    <s v="No"/>
    <s v="No"/>
  </r>
  <r>
    <x v="1205"/>
    <s v="Vivek Verma"/>
    <s v="Male"/>
    <n v="52"/>
    <s v="Kolkata"/>
    <x v="1"/>
    <n v="11"/>
    <n v="899"/>
    <n v="9889"/>
    <s v="Fiber"/>
    <d v="2024-10-26T00:00:00"/>
    <s v="No"/>
    <s v="No"/>
    <s v="No"/>
    <s v="No"/>
    <s v="No"/>
    <s v="No"/>
  </r>
  <r>
    <x v="1206"/>
    <s v="Vivek Kumar"/>
    <s v="Male"/>
    <n v="25"/>
    <s v="Ahmedabad"/>
    <x v="0"/>
    <n v="18"/>
    <n v="999"/>
    <n v="17982"/>
    <s v="Fiber"/>
    <d v="2024-04-06T00:00:00"/>
    <s v="No"/>
    <s v="No"/>
    <s v="No"/>
    <s v="No"/>
    <s v="No"/>
    <s v="No"/>
  </r>
  <r>
    <x v="1207"/>
    <s v="Komal Desai"/>
    <s v="Female"/>
    <n v="75"/>
    <s v="Chennai"/>
    <x v="0"/>
    <n v="12"/>
    <n v="1199"/>
    <n v="14388"/>
    <s v="Fiber"/>
    <d v="2024-09-10T00:00:00"/>
    <s v="No"/>
    <s v="No"/>
    <s v="No"/>
    <s v="Yes"/>
    <s v="No"/>
    <s v="No"/>
  </r>
  <r>
    <x v="1208"/>
    <s v="Rohit Nair"/>
    <s v="Male"/>
    <n v="47"/>
    <s v="Bangalore"/>
    <x v="2"/>
    <n v="11"/>
    <n v="849"/>
    <n v="9339"/>
    <s v="DSL"/>
    <d v="2024-10-14T00:00:00"/>
    <s v="No"/>
    <s v="Yes"/>
    <s v="No"/>
    <s v="No"/>
    <s v="No"/>
    <s v="No"/>
  </r>
  <r>
    <x v="1209"/>
    <s v="Manish Nair"/>
    <s v="Male"/>
    <n v="34"/>
    <s v="Bangalore"/>
    <x v="1"/>
    <n v="30"/>
    <n v="849"/>
    <n v="25470"/>
    <s v="DSL"/>
    <d v="2023-03-15T00:00:00"/>
    <s v="No"/>
    <s v="No"/>
    <s v="No"/>
    <s v="No"/>
    <s v="No"/>
    <s v="No"/>
  </r>
  <r>
    <x v="1210"/>
    <s v="Pooja Joshi"/>
    <s v="Female"/>
    <n v="45"/>
    <s v="Pune"/>
    <x v="1"/>
    <n v="3"/>
    <n v="1299"/>
    <n v="3897"/>
    <s v="Fiber"/>
    <d v="2025-06-05T00:00:00"/>
    <s v="No"/>
    <s v="No"/>
    <s v="No"/>
    <s v="No"/>
    <s v="No"/>
    <s v="No"/>
  </r>
  <r>
    <x v="1211"/>
    <s v="Arjun Sharma"/>
    <s v="Male"/>
    <n v="27"/>
    <s v="Indore"/>
    <x v="0"/>
    <n v="6"/>
    <n v="1049"/>
    <n v="6294"/>
    <s v="Fiber"/>
    <d v="2025-03-17T00:00:00"/>
    <s v="No"/>
    <s v="No"/>
    <s v="No"/>
    <s v="No"/>
    <s v="No"/>
    <s v="No"/>
  </r>
  <r>
    <x v="1212"/>
    <s v="Deepika Chopra"/>
    <s v="Female"/>
    <n v="73"/>
    <s v="Chandigarh"/>
    <x v="2"/>
    <n v="28"/>
    <n v="1149"/>
    <n v="32172"/>
    <s v="Fiber"/>
    <d v="2023-06-08T00:00:00"/>
    <s v="No"/>
    <s v="No"/>
    <s v="No"/>
    <s v="No"/>
    <s v="Yes"/>
    <s v="No"/>
  </r>
  <r>
    <x v="1213"/>
    <s v="Payal Joshi"/>
    <s v="Female"/>
    <n v="39"/>
    <s v="Bangalore"/>
    <x v="0"/>
    <n v="16"/>
    <n v="499"/>
    <n v="7984"/>
    <s v="No Internet"/>
    <d v="2024-05-15T00:00:00"/>
    <s v="No"/>
    <s v="No"/>
    <s v="No"/>
    <s v="No"/>
    <s v="Yes"/>
    <s v="No"/>
  </r>
  <r>
    <x v="1214"/>
    <s v="Payal Malhotra"/>
    <s v="Female"/>
    <n v="22"/>
    <s v="Kochi"/>
    <x v="0"/>
    <n v="18"/>
    <n v="899"/>
    <n v="16182"/>
    <s v="Fiber"/>
    <d v="2024-03-11T00:00:00"/>
    <s v="No"/>
    <s v="No"/>
    <s v="No"/>
    <s v="No"/>
    <s v="No"/>
    <s v="No"/>
  </r>
  <r>
    <x v="1215"/>
    <s v="Karan Mishra"/>
    <s v="Unknown"/>
    <n v="63"/>
    <s v="Chennai"/>
    <x v="0"/>
    <n v="15"/>
    <n v="749"/>
    <n v="11235"/>
    <s v="DSL"/>
    <d v="2024-06-19T00:00:00"/>
    <s v="No"/>
    <s v="No"/>
    <s v="No"/>
    <s v="No"/>
    <s v="No"/>
    <s v="No"/>
  </r>
  <r>
    <x v="1216"/>
    <s v="Deepak Jain"/>
    <s v="Male"/>
    <n v="30"/>
    <s v="Unknown"/>
    <x v="2"/>
    <n v="3"/>
    <n v="649"/>
    <n v="1947"/>
    <s v="DSL"/>
    <d v="2025-06-06T00:00:00"/>
    <s v="Unknown"/>
    <s v="No"/>
    <s v="No"/>
    <s v="No"/>
    <s v="No"/>
    <s v="Churn unknown"/>
  </r>
  <r>
    <x v="1217"/>
    <s v="Rajesh Jain"/>
    <s v="Male"/>
    <n v="51"/>
    <s v="Delhi"/>
    <x v="2"/>
    <m/>
    <m/>
    <n v="34470"/>
    <s v="Fiber"/>
    <d v="2023-04-09T00:00:00"/>
    <s v="No"/>
    <s v="No"/>
    <s v="No"/>
    <s v="No"/>
    <s v="No"/>
    <s v="Monthly missing; Tenure missing"/>
  </r>
  <r>
    <x v="1218"/>
    <s v="Pankaj Nair"/>
    <s v="Male"/>
    <n v="71"/>
    <s v="Kochi"/>
    <x v="1"/>
    <n v="40"/>
    <n v="1299"/>
    <n v="51960"/>
    <s v="Fiber"/>
    <d v="2022-06-04T00:00:00"/>
    <s v="No"/>
    <s v="No"/>
    <s v="No"/>
    <s v="No"/>
    <s v="No"/>
    <s v="No"/>
  </r>
  <r>
    <x v="1219"/>
    <s v="Divya Jain"/>
    <s v="Female"/>
    <n v="44"/>
    <s v="Ahmedabad"/>
    <x v="0"/>
    <m/>
    <m/>
    <n v="5990"/>
    <s v="DSL"/>
    <d v="2024-11-11T00:00:00"/>
    <s v="No"/>
    <s v="No"/>
    <s v="No"/>
    <s v="No"/>
    <s v="No"/>
    <s v="Monthly missing; Tenure missing"/>
  </r>
  <r>
    <x v="1220"/>
    <s v="Deepika Agarwal"/>
    <s v="Female"/>
    <n v="57"/>
    <s v="Lucknow"/>
    <x v="2"/>
    <n v="53"/>
    <n v="649"/>
    <n v="34397"/>
    <s v="DSL"/>
    <d v="2021-04-28T00:00:00"/>
    <s v="No"/>
    <s v="No"/>
    <s v="No"/>
    <s v="No"/>
    <s v="No"/>
    <s v="No"/>
  </r>
  <r>
    <x v="1221"/>
    <s v="Deepak Gupta"/>
    <s v="Male"/>
    <n v="59"/>
    <s v="Kolkata"/>
    <x v="0"/>
    <n v="12"/>
    <n v="599"/>
    <n v="7188"/>
    <s v="DSL"/>
    <d v="2024-09-21T00:00:00"/>
    <s v="Yes"/>
    <s v="No"/>
    <s v="No"/>
    <s v="No"/>
    <s v="No"/>
    <s v="No"/>
  </r>
  <r>
    <x v="1222"/>
    <s v="Rajesh Saxena"/>
    <s v="Male"/>
    <n v="27"/>
    <s v="Hyderabad"/>
    <x v="0"/>
    <n v="11"/>
    <n v="1199"/>
    <n v="13189"/>
    <s v="Fiber"/>
    <d v="2024-10-17T00:00:00"/>
    <s v="No"/>
    <s v="No"/>
    <s v="No"/>
    <s v="No"/>
    <s v="No"/>
    <s v="No"/>
  </r>
  <r>
    <x v="1223"/>
    <s v="Pankaj Desai"/>
    <s v="Male"/>
    <n v="32"/>
    <s v="Indore"/>
    <x v="0"/>
    <n v="18"/>
    <n v="499"/>
    <n v="8982"/>
    <s v="No Internet"/>
    <d v="2024-03-09T00:00:00"/>
    <s v="Yes"/>
    <s v="No"/>
    <s v="No"/>
    <s v="No"/>
    <s v="Yes"/>
    <s v="No"/>
  </r>
  <r>
    <x v="1224"/>
    <s v="Kavita Verma"/>
    <s v="Female"/>
    <n v="42"/>
    <s v="Chandigarh"/>
    <x v="2"/>
    <n v="60"/>
    <n v="749"/>
    <n v="44940"/>
    <s v="DSL"/>
    <d v="2020-10-02T00:00:00"/>
    <s v="No"/>
    <s v="No"/>
    <s v="No"/>
    <s v="No"/>
    <s v="No"/>
    <s v="No"/>
  </r>
  <r>
    <x v="1225"/>
    <s v="Aditi Nair"/>
    <s v="Female"/>
    <n v="51"/>
    <s v="Mumbai"/>
    <x v="0"/>
    <n v="20"/>
    <n v="1049"/>
    <n v="20980"/>
    <s v="Fiber"/>
    <d v="2024-01-16T00:00:00"/>
    <s v="No"/>
    <s v="No"/>
    <s v="No"/>
    <s v="No"/>
    <s v="No"/>
    <s v="No"/>
  </r>
  <r>
    <x v="1226"/>
    <s v="Nisha Tiwari"/>
    <s v="Female"/>
    <n v="21"/>
    <s v="Indore"/>
    <x v="0"/>
    <n v="24"/>
    <n v="1049"/>
    <n v="25176"/>
    <s v="Fiber"/>
    <d v="2023-09-29T00:00:00"/>
    <s v="No"/>
    <s v="No"/>
    <s v="No"/>
    <s v="No"/>
    <s v="No"/>
    <s v="No"/>
  </r>
  <r>
    <x v="1227"/>
    <s v="Kavita Patel"/>
    <s v="Female"/>
    <n v="23"/>
    <s v="Delhi"/>
    <x v="0"/>
    <n v="8"/>
    <n v="399"/>
    <n v="3192"/>
    <s v="No Internet"/>
    <d v="2025-01-10T00:00:00"/>
    <s v="No"/>
    <s v="No"/>
    <s v="No"/>
    <s v="No"/>
    <s v="No"/>
    <s v="No"/>
  </r>
  <r>
    <x v="1228"/>
    <s v="Anjali Pandey"/>
    <s v="Female"/>
    <n v="49"/>
    <s v="Jaipur"/>
    <x v="1"/>
    <n v="39"/>
    <n v="1299"/>
    <n v="50661"/>
    <s v="Fiber"/>
    <d v="2022-07-13T00:00:00"/>
    <s v="Yes"/>
    <s v="No"/>
    <s v="No"/>
    <s v="No"/>
    <s v="No"/>
    <s v="No"/>
  </r>
  <r>
    <x v="1229"/>
    <s v="Rajesh Reddy"/>
    <s v="Male"/>
    <n v="25"/>
    <s v="Kochi"/>
    <x v="0"/>
    <n v="23"/>
    <n v="1099"/>
    <n v="25277"/>
    <s v="Fiber"/>
    <d v="2023-11-07T00:00:00"/>
    <s v="No"/>
    <s v="No"/>
    <s v="No"/>
    <s v="No"/>
    <s v="No"/>
    <s v="No"/>
  </r>
  <r>
    <x v="1230"/>
    <s v="Shreya Kapoor"/>
    <s v="Female"/>
    <n v="54"/>
    <s v="Chandigarh"/>
    <x v="0"/>
    <n v="21"/>
    <n v="499"/>
    <n v="10479"/>
    <s v="No Internet"/>
    <d v="2024-01-07T00:00:00"/>
    <s v="No"/>
    <s v="No"/>
    <s v="No"/>
    <s v="No"/>
    <s v="No"/>
    <s v="No"/>
  </r>
  <r>
    <x v="1231"/>
    <s v="Rajesh Gupta"/>
    <s v="Male"/>
    <n v="19"/>
    <s v="Indore"/>
    <x v="2"/>
    <n v="53"/>
    <n v="899"/>
    <n v="47647"/>
    <s v="DSL"/>
    <d v="2021-05-14T00:00:00"/>
    <s v="No"/>
    <s v="No"/>
    <s v="No"/>
    <s v="No"/>
    <s v="No"/>
    <s v="No"/>
  </r>
  <r>
    <x v="1232"/>
    <s v="Isha Patel"/>
    <s v="Female"/>
    <n v="33"/>
    <s v="Chennai"/>
    <x v="0"/>
    <n v="15"/>
    <n v="849"/>
    <n v="12735"/>
    <s v="DSL"/>
    <d v="2024-06-30T00:00:00"/>
    <s v="No"/>
    <s v="No"/>
    <s v="No"/>
    <s v="No"/>
    <s v="No"/>
    <s v="No"/>
  </r>
  <r>
    <x v="1233"/>
    <s v="Sachin Mishra"/>
    <s v="Male"/>
    <n v="59"/>
    <s v="Pune"/>
    <x v="1"/>
    <n v="12"/>
    <n v="1099"/>
    <n v="13188"/>
    <s v="Fiber"/>
    <d v="2024-09-14T00:00:00"/>
    <s v="No"/>
    <s v="No"/>
    <s v="No"/>
    <s v="No"/>
    <s v="No"/>
    <s v="No"/>
  </r>
  <r>
    <x v="1234"/>
    <s v="Nikhil Iyer"/>
    <s v="Male"/>
    <n v="47"/>
    <s v="Bhopal"/>
    <x v="0"/>
    <n v="20"/>
    <n v="1199"/>
    <n v="23980"/>
    <s v="Fiber"/>
    <d v="2024-01-31T00:00:00"/>
    <s v="No"/>
    <s v="Yes"/>
    <s v="No"/>
    <s v="No"/>
    <s v="No"/>
    <s v="No"/>
  </r>
  <r>
    <x v="1235"/>
    <s v="Komal Patel"/>
    <s v="Female"/>
    <n v="39"/>
    <s v="Kochi"/>
    <x v="0"/>
    <n v="6"/>
    <n v="1049"/>
    <n v="6294"/>
    <s v="Fiber"/>
    <d v="2025-03-14T00:00:00"/>
    <s v="Yes"/>
    <s v="No"/>
    <s v="No"/>
    <s v="No"/>
    <s v="No"/>
    <s v="No"/>
  </r>
  <r>
    <x v="1236"/>
    <s v="Payal Pandey"/>
    <s v="Female"/>
    <n v="59"/>
    <s v="Jaipur"/>
    <x v="0"/>
    <n v="6"/>
    <n v="1149"/>
    <n v="6894"/>
    <s v="Fiber"/>
    <d v="2025-03-30T00:00:00"/>
    <s v="Yes"/>
    <s v="No"/>
    <s v="No"/>
    <s v="No"/>
    <s v="Yes"/>
    <s v="No"/>
  </r>
  <r>
    <x v="1237"/>
    <s v="Kavita Singh"/>
    <s v="Female"/>
    <n v="63"/>
    <s v="Pune"/>
    <x v="0"/>
    <n v="13"/>
    <n v="1299"/>
    <n v="16887"/>
    <s v="Fiber"/>
    <d v="2024-09-01T00:00:00"/>
    <s v="No"/>
    <s v="No"/>
    <s v="No"/>
    <s v="No"/>
    <s v="No"/>
    <s v="No"/>
  </r>
  <r>
    <x v="1238"/>
    <s v="Ritu Kapoor"/>
    <s v="Unknown"/>
    <n v="70"/>
    <s v="Delhi"/>
    <x v="0"/>
    <n v="9"/>
    <n v="599"/>
    <n v="5391"/>
    <s v="DSL"/>
    <d v="2024-12-25T00:00:00"/>
    <s v="No"/>
    <s v="No"/>
    <s v="No"/>
    <s v="No"/>
    <s v="No"/>
    <s v="No"/>
  </r>
  <r>
    <x v="1239"/>
    <s v="Manish Kapoor"/>
    <s v="Male"/>
    <n v="59"/>
    <s v="Kochi"/>
    <x v="0"/>
    <n v="8"/>
    <n v="599"/>
    <n v="4792"/>
    <s v="DSL"/>
    <d v="2025-01-17T00:00:00"/>
    <s v="No"/>
    <s v="No"/>
    <s v="No"/>
    <s v="No"/>
    <s v="No"/>
    <s v="No"/>
  </r>
  <r>
    <x v="1240"/>
    <s v="Sonal Mishra"/>
    <s v="Female"/>
    <n v="54"/>
    <s v="Hyderabad"/>
    <x v="0"/>
    <n v="19"/>
    <n v="549"/>
    <n v="10431"/>
    <s v="No Internet"/>
    <d v="2024-02-24T00:00:00"/>
    <s v="No"/>
    <s v="No"/>
    <s v="No"/>
    <s v="No"/>
    <s v="No"/>
    <s v="No"/>
  </r>
  <r>
    <x v="1241"/>
    <s v="Isha Malhotra"/>
    <s v="Female"/>
    <n v="45"/>
    <s v="Pune"/>
    <x v="0"/>
    <n v="8"/>
    <n v="449"/>
    <n v="3592"/>
    <s v="No Internet"/>
    <d v="2025-01-09T00:00:00"/>
    <s v="Yes"/>
    <s v="No"/>
    <s v="No"/>
    <s v="No"/>
    <s v="No"/>
    <s v="No"/>
  </r>
  <r>
    <x v="1242"/>
    <s v="Nikhil Pandey"/>
    <s v="Male"/>
    <n v="33"/>
    <s v="Kochi"/>
    <x v="0"/>
    <n v="17"/>
    <n v="849"/>
    <n v="14433"/>
    <s v="DSL"/>
    <d v="2024-04-11T00:00:00"/>
    <s v="Yes"/>
    <s v="No"/>
    <s v="No"/>
    <s v="No"/>
    <s v="No"/>
    <s v="No"/>
  </r>
  <r>
    <x v="1243"/>
    <s v="Aman Pandey"/>
    <s v="Male"/>
    <n v="62"/>
    <s v="Indore"/>
    <x v="2"/>
    <n v="29"/>
    <n v="549"/>
    <n v="15921"/>
    <s v="No Internet"/>
    <d v="2023-04-28T00:00:00"/>
    <s v="No"/>
    <s v="No"/>
    <s v="No"/>
    <s v="No"/>
    <s v="Yes"/>
    <s v="No"/>
  </r>
  <r>
    <x v="1244"/>
    <s v="Komal Bose"/>
    <s v="Female"/>
    <n v="45"/>
    <s v="Mumbai"/>
    <x v="2"/>
    <n v="72"/>
    <n v="749"/>
    <n v="53928"/>
    <s v="DSL"/>
    <d v="2019-10-15T00:00:00"/>
    <s v="No"/>
    <s v="No"/>
    <s v="No"/>
    <s v="No"/>
    <s v="No"/>
    <s v="No"/>
  </r>
  <r>
    <x v="1245"/>
    <s v="Vikram Saxena"/>
    <s v="Unknown"/>
    <n v="40"/>
    <s v="Mumbai"/>
    <x v="2"/>
    <n v="33"/>
    <n v="849"/>
    <n v="28017"/>
    <s v="DSL"/>
    <d v="2022-12-21T00:00:00"/>
    <s v="No"/>
    <s v="No"/>
    <s v="Yes"/>
    <s v="No"/>
    <s v="No"/>
    <s v="No"/>
  </r>
  <r>
    <x v="1246"/>
    <s v="Deepak Mehta"/>
    <s v="Male"/>
    <n v="60"/>
    <s v="Ahmedabad"/>
    <x v="0"/>
    <n v="10"/>
    <n v="999"/>
    <n v="9990"/>
    <s v="Fiber"/>
    <d v="2024-11-16T00:00:00"/>
    <s v="No"/>
    <s v="No"/>
    <s v="No"/>
    <s v="No"/>
    <s v="No"/>
    <s v="No"/>
  </r>
  <r>
    <x v="1247"/>
    <s v="Pooja Mishra"/>
    <s v="Female"/>
    <n v="61"/>
    <s v="Lucknow"/>
    <x v="0"/>
    <n v="20"/>
    <n v="599"/>
    <n v="11980"/>
    <s v="DSL"/>
    <d v="2024-01-13T00:00:00"/>
    <s v="No"/>
    <s v="No"/>
    <s v="No"/>
    <s v="No"/>
    <s v="No"/>
    <s v="No"/>
  </r>
  <r>
    <x v="1248"/>
    <s v="Pankaj Kumar"/>
    <s v="Male"/>
    <n v="51"/>
    <s v="Kolkata"/>
    <x v="1"/>
    <n v="16"/>
    <n v="1299"/>
    <n v="20784"/>
    <s v="Fiber"/>
    <d v="2024-06-05T00:00:00"/>
    <s v="No"/>
    <s v="No"/>
    <s v="No"/>
    <s v="No"/>
    <s v="No"/>
    <s v="No"/>
  </r>
  <r>
    <x v="1249"/>
    <s v="Anjali Joshi"/>
    <s v="Female"/>
    <n v="23"/>
    <s v="Mumbai"/>
    <x v="2"/>
    <n v="50"/>
    <n v="1099"/>
    <n v="54950"/>
    <s v="Fiber"/>
    <d v="2021-08-16T00:00:00"/>
    <s v="No"/>
    <s v="No"/>
    <s v="No"/>
    <s v="No"/>
    <s v="No"/>
    <s v="No"/>
  </r>
  <r>
    <x v="1250"/>
    <s v="Meera Reddy"/>
    <s v="Female"/>
    <n v="37"/>
    <s v="Pune"/>
    <x v="0"/>
    <n v="9"/>
    <n v="899"/>
    <n v="8091"/>
    <s v="Fiber"/>
    <d v="2024-12-26T00:00:00"/>
    <s v="Yes"/>
    <s v="No"/>
    <s v="No"/>
    <s v="No"/>
    <s v="No"/>
    <s v="No"/>
  </r>
  <r>
    <x v="1251"/>
    <s v="Aman Chopra"/>
    <s v="Male"/>
    <n v="58"/>
    <s v="Mumbai"/>
    <x v="0"/>
    <n v="17"/>
    <n v="899"/>
    <n v="15283"/>
    <s v="Fiber"/>
    <d v="2024-04-19T00:00:00"/>
    <s v="Yes"/>
    <s v="No"/>
    <s v="No"/>
    <s v="No"/>
    <s v="No"/>
    <s v="No"/>
  </r>
  <r>
    <x v="1252"/>
    <s v="Aman Reddy"/>
    <s v="Male"/>
    <n v="28"/>
    <s v="Delhi"/>
    <x v="2"/>
    <n v="1"/>
    <n v="1099"/>
    <n v="1099"/>
    <s v="Fiber"/>
    <d v="2025-08-01T00:00:00"/>
    <s v="Yes"/>
    <s v="No"/>
    <s v="No"/>
    <s v="No"/>
    <s v="No"/>
    <s v="No"/>
  </r>
  <r>
    <x v="1253"/>
    <s v="Neha Gupta"/>
    <s v="Female"/>
    <n v="30"/>
    <s v="Indore"/>
    <x v="1"/>
    <n v="14"/>
    <n v="699"/>
    <n v="9786"/>
    <s v="DSL"/>
    <d v="2024-07-17T00:00:00"/>
    <s v="No"/>
    <s v="No"/>
    <s v="No"/>
    <s v="No"/>
    <s v="No"/>
    <s v="No"/>
  </r>
  <r>
    <x v="1254"/>
    <s v="Ankit Pandey"/>
    <s v="Male"/>
    <n v="47"/>
    <s v="Kochi"/>
    <x v="0"/>
    <n v="15"/>
    <n v="599"/>
    <n v="8985"/>
    <s v="DSL"/>
    <d v="2024-06-07T00:00:00"/>
    <s v="No"/>
    <s v="Yes"/>
    <s v="No"/>
    <s v="No"/>
    <s v="No"/>
    <s v="No"/>
  </r>
  <r>
    <x v="1255"/>
    <s v="Unknown"/>
    <s v="Male"/>
    <n v="24"/>
    <s v="Pune"/>
    <x v="1"/>
    <n v="11"/>
    <n v="1099"/>
    <n v="12089"/>
    <s v="Fiber"/>
    <d v="2024-10-14T00:00:00"/>
    <s v="No"/>
    <s v="No"/>
    <s v="No"/>
    <s v="No"/>
    <s v="No"/>
    <s v="No"/>
  </r>
  <r>
    <x v="1256"/>
    <s v="Shreya Saxena"/>
    <s v="Female"/>
    <n v="53"/>
    <s v="Chandigarh"/>
    <x v="0"/>
    <n v="4"/>
    <n v="1149"/>
    <n v="4596"/>
    <s v="Fiber"/>
    <d v="2025-05-20T00:00:00"/>
    <s v="Yes"/>
    <s v="No"/>
    <s v="No"/>
    <s v="No"/>
    <s v="Yes"/>
    <s v="No"/>
  </r>
  <r>
    <x v="1257"/>
    <s v="Manish Desai"/>
    <s v="Male"/>
    <n v="30"/>
    <s v="Kochi"/>
    <x v="0"/>
    <n v="16"/>
    <n v="1299"/>
    <n v="20784"/>
    <s v="Fiber"/>
    <d v="2024-05-20T00:00:00"/>
    <s v="Yes"/>
    <s v="No"/>
    <s v="No"/>
    <s v="No"/>
    <s v="No"/>
    <s v="No"/>
  </r>
  <r>
    <x v="1258"/>
    <s v="Nikhil Jain"/>
    <s v="Male"/>
    <n v="54"/>
    <s v="Lucknow"/>
    <x v="1"/>
    <n v="35"/>
    <n v="999"/>
    <n v="34965"/>
    <s v="Fiber"/>
    <d v="2022-10-30T00:00:00"/>
    <s v="No"/>
    <s v="No"/>
    <s v="No"/>
    <s v="No"/>
    <s v="No"/>
    <s v="No"/>
  </r>
  <r>
    <x v="1259"/>
    <s v="Harsh Chopra"/>
    <s v="Male"/>
    <n v="45"/>
    <s v="Kolkata"/>
    <x v="0"/>
    <n v="1"/>
    <n v="749"/>
    <n v="749"/>
    <s v="DSL"/>
    <d v="2025-08-10T00:00:00"/>
    <s v="Yes"/>
    <s v="No"/>
    <s v="No"/>
    <s v="No"/>
    <s v="No"/>
    <s v="No"/>
  </r>
  <r>
    <x v="1260"/>
    <s v="Aditi Desai"/>
    <s v="Female"/>
    <n v="68"/>
    <s v="Kochi"/>
    <x v="0"/>
    <n v="2"/>
    <n v="1299"/>
    <n v="2598"/>
    <s v="Fiber"/>
    <d v="2025-07-28T00:00:00"/>
    <s v="Yes"/>
    <s v="No"/>
    <s v="No"/>
    <s v="No"/>
    <s v="No"/>
    <s v="No"/>
  </r>
  <r>
    <x v="1261"/>
    <s v="Tanvi Agarwal"/>
    <s v="Female"/>
    <n v="75"/>
    <s v="Lucknow"/>
    <x v="0"/>
    <n v="24"/>
    <n v="1149"/>
    <n v="27576"/>
    <s v="Fiber"/>
    <d v="2023-09-30T00:00:00"/>
    <s v="Yes"/>
    <s v="No"/>
    <s v="No"/>
    <s v="No"/>
    <s v="No"/>
    <s v="No"/>
  </r>
  <r>
    <x v="1262"/>
    <s v="Deepika Patel"/>
    <s v="Female"/>
    <n v="52"/>
    <s v="Delhi"/>
    <x v="2"/>
    <n v="56"/>
    <n v="1149"/>
    <n v="64344"/>
    <s v="Fiber"/>
    <d v="2021-02-05T00:00:00"/>
    <s v="No"/>
    <s v="No"/>
    <s v="No"/>
    <s v="No"/>
    <s v="No"/>
    <s v="No"/>
  </r>
  <r>
    <x v="1263"/>
    <s v="Sneha Mehta"/>
    <s v="Female"/>
    <n v="24"/>
    <s v="Ahmedabad"/>
    <x v="3"/>
    <n v="41"/>
    <n v="399"/>
    <n v="16359"/>
    <s v="No Internet"/>
    <d v="2022-04-29T00:00:00"/>
    <s v="No"/>
    <s v="No"/>
    <s v="No"/>
    <s v="No"/>
    <s v="No"/>
    <s v="No"/>
  </r>
  <r>
    <x v="1264"/>
    <s v="Amit Rao"/>
    <s v="Male"/>
    <n v="31"/>
    <s v="Bhopal"/>
    <x v="0"/>
    <n v="8"/>
    <n v="849"/>
    <n v="6792"/>
    <s v="DSL"/>
    <d v="2025-01-19T00:00:00"/>
    <s v="No"/>
    <s v="No"/>
    <s v="No"/>
    <s v="No"/>
    <s v="No"/>
    <s v="No"/>
  </r>
  <r>
    <x v="1265"/>
    <s v="Aman Rao"/>
    <s v="Male"/>
    <n v="20"/>
    <s v="Bangalore"/>
    <x v="0"/>
    <n v="22"/>
    <n v="699"/>
    <n v="15378"/>
    <s v="DSL"/>
    <d v="2023-11-10T00:00:00"/>
    <s v="No"/>
    <s v="No"/>
    <s v="No"/>
    <s v="No"/>
    <s v="Yes"/>
    <s v="No"/>
  </r>
  <r>
    <x v="1266"/>
    <s v="Deepika Chopra"/>
    <s v="Female"/>
    <n v="65"/>
    <s v="Chennai"/>
    <x v="0"/>
    <n v="14"/>
    <n v="749"/>
    <n v="10486"/>
    <s v="DSL"/>
    <d v="2024-07-20T00:00:00"/>
    <s v="No"/>
    <s v="No"/>
    <s v="No"/>
    <s v="No"/>
    <s v="No"/>
    <s v="No"/>
  </r>
  <r>
    <x v="1267"/>
    <s v="Riya Sharma"/>
    <s v="Female"/>
    <n v="58"/>
    <s v="Bhopal"/>
    <x v="0"/>
    <n v="15"/>
    <n v="1199"/>
    <n v="17985"/>
    <s v="Fiber"/>
    <d v="2024-07-02T00:00:00"/>
    <s v="Yes"/>
    <s v="No"/>
    <s v="No"/>
    <s v="No"/>
    <s v="No"/>
    <s v="No"/>
  </r>
  <r>
    <x v="1268"/>
    <s v="Arjun Desai"/>
    <s v="Unknown"/>
    <n v="22"/>
    <s v="Bangalore"/>
    <x v="0"/>
    <n v="24"/>
    <n v="699"/>
    <n v="16776"/>
    <s v="DSL"/>
    <d v="2023-09-30T00:00:00"/>
    <s v="Yes"/>
    <s v="No"/>
    <s v="Yes"/>
    <s v="No"/>
    <s v="No"/>
    <s v="No"/>
  </r>
  <r>
    <x v="1269"/>
    <s v="Tanvi Malhotra"/>
    <s v="Female"/>
    <n v="24"/>
    <s v="Kochi"/>
    <x v="0"/>
    <n v="7"/>
    <n v="499"/>
    <n v="3493"/>
    <s v="No Internet"/>
    <d v="2025-02-14T00:00:00"/>
    <s v="Yes"/>
    <s v="No"/>
    <s v="No"/>
    <s v="Yes"/>
    <s v="No"/>
    <s v="No"/>
  </r>
  <r>
    <x v="1270"/>
    <s v="Gaurav Desai"/>
    <s v="Male"/>
    <n v="24"/>
    <s v="Mumbai"/>
    <x v="0"/>
    <n v="6"/>
    <n v="349"/>
    <n v="2094"/>
    <s v="No Internet"/>
    <d v="2025-03-13T00:00:00"/>
    <s v="Yes"/>
    <s v="No"/>
    <s v="No"/>
    <s v="No"/>
    <s v="No"/>
    <s v="No"/>
  </r>
  <r>
    <x v="1271"/>
    <s v="Shreya Agarwal"/>
    <s v="Female"/>
    <n v="27"/>
    <s v="Ahmedabad"/>
    <x v="1"/>
    <n v="33"/>
    <n v="899"/>
    <n v="29667"/>
    <s v="DSL"/>
    <d v="2023-01-11T00:00:00"/>
    <s v="No"/>
    <s v="No"/>
    <s v="No"/>
    <s v="No"/>
    <s v="No"/>
    <s v="No"/>
  </r>
  <r>
    <x v="1272"/>
    <s v="Rohit Joshi"/>
    <s v="Male"/>
    <n v="73"/>
    <s v="Chennai"/>
    <x v="2"/>
    <n v="26"/>
    <n v="899"/>
    <n v="23374"/>
    <s v="Fiber"/>
    <d v="2023-08-01T00:00:00"/>
    <s v="No"/>
    <s v="No"/>
    <s v="No"/>
    <s v="No"/>
    <s v="No"/>
    <s v="No"/>
  </r>
  <r>
    <x v="1273"/>
    <s v="Manish Gupta"/>
    <s v="Male"/>
    <n v="58"/>
    <s v="Hyderabad"/>
    <x v="0"/>
    <n v="1"/>
    <n v="1099"/>
    <n v="1099"/>
    <s v="Fiber"/>
    <d v="2025-08-10T00:00:00"/>
    <s v="No"/>
    <s v="No"/>
    <s v="No"/>
    <s v="No"/>
    <s v="No"/>
    <s v="No"/>
  </r>
  <r>
    <x v="1274"/>
    <s v="Sonal Gupta"/>
    <s v="Female"/>
    <n v="47"/>
    <s v="Jaipur"/>
    <x v="2"/>
    <n v="9"/>
    <n v="749"/>
    <n v="6741"/>
    <s v="DSL"/>
    <d v="2024-12-09T00:00:00"/>
    <s v="Yes"/>
    <s v="Yes"/>
    <s v="No"/>
    <s v="Yes"/>
    <s v="No"/>
    <s v="No"/>
  </r>
  <r>
    <x v="1275"/>
    <s v="Nikhil Patel"/>
    <s v="Male"/>
    <n v="20"/>
    <s v="Bangalore"/>
    <x v="2"/>
    <n v="1"/>
    <n v="899"/>
    <n v="899"/>
    <s v="Fiber"/>
    <d v="2025-08-17T00:00:00"/>
    <s v="Yes"/>
    <s v="No"/>
    <s v="No"/>
    <s v="No"/>
    <s v="No"/>
    <s v="No"/>
  </r>
  <r>
    <x v="1276"/>
    <s v="Manish Chopra"/>
    <s v="Male"/>
    <n v="20"/>
    <s v="Lucknow"/>
    <x v="0"/>
    <n v="16"/>
    <n v="799"/>
    <n v="12784"/>
    <s v="DSL"/>
    <d v="2024-05-17T00:00:00"/>
    <s v="Yes"/>
    <s v="No"/>
    <s v="No"/>
    <s v="No"/>
    <s v="No"/>
    <s v="No"/>
  </r>
  <r>
    <x v="1277"/>
    <s v="Shreya Agarwal"/>
    <s v="Female"/>
    <n v="33"/>
    <s v="Indore"/>
    <x v="0"/>
    <n v="21"/>
    <n v="749"/>
    <n v="15729"/>
    <s v="DSL"/>
    <d v="2023-12-10T00:00:00"/>
    <s v="No"/>
    <s v="No"/>
    <s v="No"/>
    <s v="No"/>
    <s v="No"/>
    <s v="No"/>
  </r>
  <r>
    <x v="1278"/>
    <s v="Ritu Singh"/>
    <s v="Female"/>
    <n v="36"/>
    <s v="Indore"/>
    <x v="3"/>
    <n v="25"/>
    <n v="449"/>
    <n v="11225"/>
    <s v="Unknown"/>
    <d v="2023-08-27T00:00:00"/>
    <s v="No"/>
    <s v="No"/>
    <s v="No"/>
    <s v="No"/>
    <s v="No"/>
    <s v="No"/>
  </r>
  <r>
    <x v="1279"/>
    <s v="Pooja Verma"/>
    <s v="Female"/>
    <n v="47"/>
    <s v="Kolkata"/>
    <x v="1"/>
    <n v="15"/>
    <n v="999"/>
    <n v="14985"/>
    <s v="Fiber"/>
    <d v="2024-06-23T00:00:00"/>
    <s v="No"/>
    <s v="No"/>
    <s v="No"/>
    <s v="No"/>
    <s v="No"/>
    <s v="No"/>
  </r>
  <r>
    <x v="1280"/>
    <s v="Nisha Kapoor"/>
    <s v="Female"/>
    <n v="64"/>
    <s v="Ahmedabad"/>
    <x v="0"/>
    <n v="12"/>
    <n v="1049"/>
    <n v="12588"/>
    <s v="Fiber"/>
    <d v="2024-09-17T00:00:00"/>
    <s v="Yes"/>
    <s v="No"/>
    <s v="No"/>
    <s v="No"/>
    <s v="No"/>
    <s v="No"/>
  </r>
  <r>
    <x v="1281"/>
    <s v="Manish Mehta"/>
    <s v="Male"/>
    <n v="63"/>
    <s v="Hyderabad"/>
    <x v="1"/>
    <n v="40"/>
    <n v="549"/>
    <n v="21960"/>
    <s v="No Internet"/>
    <d v="2022-05-22T00:00:00"/>
    <s v="No"/>
    <s v="No"/>
    <s v="No"/>
    <s v="No"/>
    <s v="No"/>
    <s v="No"/>
  </r>
  <r>
    <x v="1282"/>
    <s v="Isha Chopra"/>
    <s v="Female"/>
    <n v="37"/>
    <s v="Hyderabad"/>
    <x v="0"/>
    <n v="18"/>
    <n v="1099"/>
    <n v="19782"/>
    <s v="Fiber"/>
    <d v="2024-03-13T00:00:00"/>
    <s v="No"/>
    <s v="No"/>
    <s v="No"/>
    <s v="No"/>
    <s v="No"/>
    <s v="No"/>
  </r>
  <r>
    <x v="1283"/>
    <s v="Unknown"/>
    <s v="Female"/>
    <n v="31"/>
    <s v="Pune"/>
    <x v="1"/>
    <n v="25"/>
    <n v="799"/>
    <n v="19975"/>
    <s v="DSL"/>
    <d v="2023-09-09T00:00:00"/>
    <s v="No"/>
    <s v="No"/>
    <s v="No"/>
    <s v="No"/>
    <s v="No"/>
    <s v="No"/>
  </r>
  <r>
    <x v="1284"/>
    <s v="Deepak Bose"/>
    <s v="Male"/>
    <n v="60"/>
    <s v="Bangalore"/>
    <x v="0"/>
    <n v="19"/>
    <n v="999"/>
    <n v="18981"/>
    <s v="Fiber"/>
    <d v="2024-02-11T00:00:00"/>
    <s v="No"/>
    <s v="No"/>
    <s v="No"/>
    <s v="No"/>
    <s v="No"/>
    <s v="No"/>
  </r>
  <r>
    <x v="1285"/>
    <s v="Unknown"/>
    <s v="Male"/>
    <n v="38"/>
    <s v="Ahmedabad"/>
    <x v="0"/>
    <n v="16"/>
    <n v="1149"/>
    <n v="18384"/>
    <s v="Fiber"/>
    <d v="2024-05-16T00:00:00"/>
    <s v="No"/>
    <s v="No"/>
    <s v="No"/>
    <s v="No"/>
    <s v="No"/>
    <s v="No"/>
  </r>
  <r>
    <x v="1286"/>
    <s v="Karan Kumar"/>
    <s v="Male"/>
    <n v="23"/>
    <s v="Delhi"/>
    <x v="0"/>
    <n v="2"/>
    <n v="349"/>
    <n v="698"/>
    <s v="No Internet"/>
    <d v="2025-07-02T00:00:00"/>
    <s v="Yes"/>
    <s v="No"/>
    <s v="No"/>
    <s v="No"/>
    <s v="No"/>
    <s v="No"/>
  </r>
  <r>
    <x v="1287"/>
    <s v="Deepika Agarwal"/>
    <s v="Female"/>
    <n v="27"/>
    <s v="Hyderabad"/>
    <x v="0"/>
    <n v="20"/>
    <n v="699"/>
    <n v="13980"/>
    <s v="DSL"/>
    <d v="2024-01-15T00:00:00"/>
    <s v="No"/>
    <s v="No"/>
    <s v="No"/>
    <s v="No"/>
    <s v="No"/>
    <s v="No"/>
  </r>
  <r>
    <x v="1288"/>
    <s v="Harsh Iyer"/>
    <s v="Male"/>
    <n v="24"/>
    <s v="Kochi"/>
    <x v="1"/>
    <n v="10"/>
    <n v="349"/>
    <n v="3490"/>
    <s v="No Internet"/>
    <d v="2024-11-13T00:00:00"/>
    <s v="Unknown"/>
    <s v="No"/>
    <s v="No"/>
    <s v="No"/>
    <s v="No"/>
    <s v="Churn unknown"/>
  </r>
  <r>
    <x v="1289"/>
    <s v="Meera Mishra"/>
    <s v="Female"/>
    <n v="53"/>
    <s v="Indore"/>
    <x v="0"/>
    <n v="23"/>
    <n v="349"/>
    <n v="8027"/>
    <s v="No Internet"/>
    <d v="2023-11-04T00:00:00"/>
    <s v="No"/>
    <s v="No"/>
    <s v="No"/>
    <s v="No"/>
    <s v="No"/>
    <s v="No"/>
  </r>
  <r>
    <x v="1290"/>
    <s v="Anjali Verma"/>
    <s v="Female"/>
    <n v="26"/>
    <s v="Kolkata"/>
    <x v="0"/>
    <n v="1"/>
    <n v="1199"/>
    <n v="1199"/>
    <s v="Fiber"/>
    <d v="2025-08-11T00:00:00"/>
    <s v="No"/>
    <s v="No"/>
    <s v="No"/>
    <s v="No"/>
    <s v="No"/>
    <s v="No"/>
  </r>
  <r>
    <x v="1291"/>
    <s v="Ankit Sharma"/>
    <s v="Male"/>
    <n v="49"/>
    <s v="Indore"/>
    <x v="1"/>
    <n v="6"/>
    <n v="399"/>
    <n v="2394"/>
    <s v="No Internet"/>
    <d v="2025-03-23T00:00:00"/>
    <s v="Yes"/>
    <s v="No"/>
    <s v="No"/>
    <s v="No"/>
    <s v="No"/>
    <s v="No"/>
  </r>
  <r>
    <x v="1292"/>
    <s v="Pooja Reddy"/>
    <s v="Female"/>
    <n v="68"/>
    <s v="Unknown"/>
    <x v="0"/>
    <n v="10"/>
    <n v="1299"/>
    <n v="12990"/>
    <s v="Fiber"/>
    <d v="2024-11-07T00:00:00"/>
    <s v="Unknown"/>
    <s v="No"/>
    <s v="No"/>
    <s v="No"/>
    <s v="No"/>
    <s v="Churn unknown"/>
  </r>
  <r>
    <x v="1293"/>
    <s v="Priya Yadav"/>
    <s v="Female"/>
    <n v="47"/>
    <s v="Lucknow"/>
    <x v="0"/>
    <n v="9"/>
    <n v="649"/>
    <n v="5841"/>
    <s v="DSL"/>
    <d v="2024-12-04T00:00:00"/>
    <s v="No"/>
    <s v="Yes"/>
    <s v="No"/>
    <s v="No"/>
    <s v="No"/>
    <s v="No"/>
  </r>
  <r>
    <x v="1294"/>
    <s v="Gaurav Joshi"/>
    <s v="Male"/>
    <n v="75"/>
    <s v="Bangalore"/>
    <x v="0"/>
    <n v="10"/>
    <n v="699"/>
    <n v="6990"/>
    <s v="DSL"/>
    <d v="2024-11-24T00:00:00"/>
    <s v="Yes"/>
    <s v="No"/>
    <s v="No"/>
    <s v="No"/>
    <s v="No"/>
    <s v="No"/>
  </r>
  <r>
    <x v="1295"/>
    <s v="Neha Joshi"/>
    <s v="Female"/>
    <n v="53"/>
    <s v="Delhi"/>
    <x v="0"/>
    <n v="20"/>
    <n v="549"/>
    <n v="10980"/>
    <s v="No Internet"/>
    <d v="2024-01-25T00:00:00"/>
    <s v="Yes"/>
    <s v="No"/>
    <s v="No"/>
    <s v="No"/>
    <s v="Yes"/>
    <s v="No"/>
  </r>
  <r>
    <x v="1296"/>
    <s v="Gaurav Rao"/>
    <s v="Male"/>
    <n v="42"/>
    <s v="Delhi"/>
    <x v="1"/>
    <n v="25"/>
    <n v="699"/>
    <n v="17475"/>
    <s v="DSL"/>
    <d v="2023-08-15T00:00:00"/>
    <s v="No"/>
    <s v="No"/>
    <s v="No"/>
    <s v="No"/>
    <s v="No"/>
    <s v="No"/>
  </r>
  <r>
    <x v="1297"/>
    <s v="Nisha Pandey"/>
    <s v="Female"/>
    <n v="39"/>
    <s v="Bangalore"/>
    <x v="2"/>
    <n v="71"/>
    <n v="1099"/>
    <n v="78029"/>
    <s v="Fiber"/>
    <d v="2019-10-31T00:00:00"/>
    <s v="No"/>
    <s v="No"/>
    <s v="No"/>
    <s v="No"/>
    <s v="No"/>
    <s v="No"/>
  </r>
  <r>
    <x v="1298"/>
    <s v="Unknown"/>
    <s v="Female"/>
    <n v="38"/>
    <s v="Chandigarh"/>
    <x v="0"/>
    <n v="5"/>
    <n v="899"/>
    <n v="4495"/>
    <s v="DSL"/>
    <d v="2025-04-26T00:00:00"/>
    <s v="Yes"/>
    <s v="No"/>
    <s v="No"/>
    <s v="No"/>
    <s v="Yes"/>
    <s v="No"/>
  </r>
  <r>
    <x v="1299"/>
    <s v="Neha Singh"/>
    <s v="Female"/>
    <n v="54"/>
    <s v="Kochi"/>
    <x v="0"/>
    <n v="3"/>
    <n v="599"/>
    <n v="1797"/>
    <s v="DSL"/>
    <d v="2025-06-20T00:00:00"/>
    <s v="No"/>
    <s v="No"/>
    <s v="No"/>
    <s v="No"/>
    <s v="No"/>
    <s v="No"/>
  </r>
  <r>
    <x v="1300"/>
    <s v="Rohit Bose"/>
    <s v="Male"/>
    <n v="58"/>
    <s v="Chandigarh"/>
    <x v="2"/>
    <n v="43"/>
    <n v="1199"/>
    <n v="51557"/>
    <s v="Fiber"/>
    <d v="2022-03-17T00:00:00"/>
    <s v="No"/>
    <s v="No"/>
    <s v="No"/>
    <s v="No"/>
    <s v="No"/>
    <s v="No"/>
  </r>
  <r>
    <x v="1301"/>
    <s v="Sanjay Agarwal"/>
    <s v="Male"/>
    <n v="23"/>
    <s v="Bangalore"/>
    <x v="0"/>
    <n v="1"/>
    <n v="399"/>
    <n v="399"/>
    <s v="No Internet"/>
    <d v="2025-08-07T00:00:00"/>
    <s v="Yes"/>
    <s v="No"/>
    <s v="No"/>
    <s v="No"/>
    <s v="No"/>
    <s v="No"/>
  </r>
  <r>
    <x v="1302"/>
    <s v="Deepak Joshi"/>
    <s v="Male"/>
    <n v="58"/>
    <s v="Jaipur"/>
    <x v="0"/>
    <n v="23"/>
    <n v="399"/>
    <n v="9177"/>
    <s v="Unknown"/>
    <d v="2023-10-16T00:00:00"/>
    <s v="No"/>
    <s v="No"/>
    <s v="No"/>
    <s v="Yes"/>
    <s v="No"/>
    <s v="No"/>
  </r>
  <r>
    <x v="1303"/>
    <s v="Ankit Gupta"/>
    <s v="Male"/>
    <n v="50"/>
    <s v="Delhi"/>
    <x v="0"/>
    <n v="9"/>
    <n v="549"/>
    <n v="4941"/>
    <s v="No Internet"/>
    <d v="2024-12-10T00:00:00"/>
    <s v="No"/>
    <s v="No"/>
    <s v="No"/>
    <s v="No"/>
    <s v="No"/>
    <s v="No"/>
  </r>
  <r>
    <x v="1304"/>
    <s v="Vikram Mehta"/>
    <s v="Male"/>
    <n v="29"/>
    <s v="Chandigarh"/>
    <x v="0"/>
    <n v="6"/>
    <n v="549"/>
    <n v="3294"/>
    <s v="No Internet"/>
    <d v="2025-03-19T00:00:00"/>
    <s v="Yes"/>
    <s v="No"/>
    <s v="No"/>
    <s v="No"/>
    <s v="No"/>
    <s v="No"/>
  </r>
  <r>
    <x v="1305"/>
    <s v="Deepika Tiwari"/>
    <s v="Female"/>
    <n v="34"/>
    <s v="Chandigarh"/>
    <x v="0"/>
    <n v="1"/>
    <n v="849"/>
    <n v="849"/>
    <s v="DSL"/>
    <d v="2025-08-24T00:00:00"/>
    <s v="Yes"/>
    <s v="No"/>
    <s v="No"/>
    <s v="No"/>
    <s v="No"/>
    <s v="No"/>
  </r>
  <r>
    <x v="1306"/>
    <s v="Amit Kumar"/>
    <s v="Unknown"/>
    <n v="49"/>
    <s v="Pune"/>
    <x v="2"/>
    <n v="56"/>
    <n v="599"/>
    <n v="33544"/>
    <s v="DSL"/>
    <d v="2021-01-29T00:00:00"/>
    <s v="Yes"/>
    <s v="No"/>
    <s v="No"/>
    <s v="No"/>
    <s v="No"/>
    <s v="No"/>
  </r>
  <r>
    <x v="1307"/>
    <s v="Nikhil Bose"/>
    <s v="Male"/>
    <n v="67"/>
    <s v="Pune"/>
    <x v="1"/>
    <n v="5"/>
    <n v="1049"/>
    <n v="5245"/>
    <s v="Fiber"/>
    <d v="2025-04-08T00:00:00"/>
    <s v="No"/>
    <s v="No"/>
    <s v="No"/>
    <s v="No"/>
    <s v="No"/>
    <s v="No"/>
  </r>
  <r>
    <x v="1308"/>
    <s v="Isha Desai"/>
    <s v="Female"/>
    <n v="37"/>
    <s v="Kochi"/>
    <x v="0"/>
    <n v="24"/>
    <n v="999"/>
    <n v="23976"/>
    <s v="Fiber"/>
    <d v="2023-09-17T00:00:00"/>
    <s v="Yes"/>
    <s v="No"/>
    <s v="No"/>
    <s v="No"/>
    <s v="No"/>
    <s v="No"/>
  </r>
  <r>
    <x v="1309"/>
    <s v="Nisha Kapoor"/>
    <s v="Female"/>
    <n v="74"/>
    <s v="Ahmedabad"/>
    <x v="0"/>
    <n v="13"/>
    <n v="1299"/>
    <n v="16887"/>
    <s v="Fiber"/>
    <d v="2024-08-30T00:00:00"/>
    <s v="Yes"/>
    <s v="No"/>
    <s v="No"/>
    <s v="No"/>
    <s v="No"/>
    <s v="No"/>
  </r>
  <r>
    <x v="1310"/>
    <s v="Nisha Sharma"/>
    <s v="Female"/>
    <n v="73"/>
    <s v="Bangalore"/>
    <x v="1"/>
    <n v="10"/>
    <n v="1049"/>
    <n v="10490"/>
    <s v="Fiber"/>
    <d v="2024-11-06T00:00:00"/>
    <s v="No"/>
    <s v="No"/>
    <s v="No"/>
    <s v="No"/>
    <s v="No"/>
    <s v="No"/>
  </r>
  <r>
    <x v="1311"/>
    <s v="Rohit Bose"/>
    <s v="Male"/>
    <n v="29"/>
    <s v="Hyderabad"/>
    <x v="0"/>
    <n v="5"/>
    <n v="1049"/>
    <n v="5245"/>
    <s v="Fiber"/>
    <d v="2025-04-19T00:00:00"/>
    <s v="Yes"/>
    <s v="No"/>
    <s v="No"/>
    <s v="No"/>
    <s v="No"/>
    <s v="No"/>
  </r>
  <r>
    <x v="1312"/>
    <s v="Harsh Mishra"/>
    <s v="Male"/>
    <n v="35"/>
    <s v="Hyderabad"/>
    <x v="0"/>
    <n v="16"/>
    <n v="1099"/>
    <n v="17584"/>
    <s v="Fiber"/>
    <d v="2024-05-15T00:00:00"/>
    <s v="No"/>
    <s v="No"/>
    <s v="No"/>
    <s v="No"/>
    <s v="No"/>
    <s v="No"/>
  </r>
  <r>
    <x v="1313"/>
    <s v="Aman Reddy"/>
    <s v="Male"/>
    <n v="22"/>
    <s v="Pune"/>
    <x v="1"/>
    <n v="10"/>
    <n v="1149"/>
    <n v="11490"/>
    <s v="Fiber"/>
    <d v="2024-11-19T00:00:00"/>
    <s v="No"/>
    <s v="No"/>
    <s v="No"/>
    <s v="No"/>
    <s v="No"/>
    <s v="No"/>
  </r>
  <r>
    <x v="1314"/>
    <s v="Priya Iyer"/>
    <s v="Female"/>
    <n v="58"/>
    <s v="Unknown"/>
    <x v="0"/>
    <n v="20"/>
    <n v="749"/>
    <n v="14980"/>
    <s v="DSL"/>
    <d v="2024-01-21T00:00:00"/>
    <s v="No"/>
    <s v="No"/>
    <s v="No"/>
    <s v="No"/>
    <s v="No"/>
    <s v="No"/>
  </r>
  <r>
    <x v="1315"/>
    <s v="Swati Agarwal"/>
    <s v="Female"/>
    <n v="41"/>
    <s v="Kochi"/>
    <x v="1"/>
    <n v="37"/>
    <n v="749"/>
    <n v="27713"/>
    <s v="DSL"/>
    <d v="2022-09-01T00:00:00"/>
    <s v="No"/>
    <s v="No"/>
    <s v="No"/>
    <s v="No"/>
    <s v="No"/>
    <s v="No"/>
  </r>
  <r>
    <x v="1316"/>
    <s v="Sanjay Joshi"/>
    <s v="Male"/>
    <n v="62"/>
    <s v="Hyderabad"/>
    <x v="2"/>
    <n v="61"/>
    <n v="549"/>
    <n v="33489"/>
    <s v="No Internet"/>
    <d v="2020-08-30T00:00:00"/>
    <s v="No"/>
    <s v="No"/>
    <s v="No"/>
    <s v="No"/>
    <s v="No"/>
    <s v="No"/>
  </r>
  <r>
    <x v="1317"/>
    <s v="Deepika Singh"/>
    <s v="Female"/>
    <n v="38"/>
    <s v="Kochi"/>
    <x v="1"/>
    <n v="15"/>
    <n v="549"/>
    <n v="8235"/>
    <s v="No Internet"/>
    <d v="2024-06-09T00:00:00"/>
    <s v="No"/>
    <s v="No"/>
    <s v="No"/>
    <s v="No"/>
    <s v="No"/>
    <s v="No"/>
  </r>
  <r>
    <x v="1318"/>
    <s v="Unknown"/>
    <s v="Male"/>
    <n v="48"/>
    <s v="Delhi"/>
    <x v="0"/>
    <n v="13"/>
    <n v="549"/>
    <n v="7137"/>
    <s v="No Internet"/>
    <d v="2024-08-18T00:00:00"/>
    <s v="Yes"/>
    <s v="No"/>
    <s v="No"/>
    <s v="No"/>
    <s v="No"/>
    <s v="No"/>
  </r>
  <r>
    <x v="1319"/>
    <s v="Shreya Yadav"/>
    <s v="Female"/>
    <n v="75"/>
    <s v="Bhopal"/>
    <x v="0"/>
    <n v="7"/>
    <n v="1299"/>
    <n v="9093"/>
    <s v="Fiber"/>
    <d v="2025-02-19T00:00:00"/>
    <s v="No"/>
    <s v="No"/>
    <s v="No"/>
    <s v="Yes"/>
    <s v="No"/>
    <s v="No"/>
  </r>
  <r>
    <x v="1320"/>
    <s v="Gaurav Nair"/>
    <s v="Male"/>
    <n v="32"/>
    <s v="Indore"/>
    <x v="0"/>
    <n v="20"/>
    <n v="1149"/>
    <n v="22980"/>
    <s v="Fiber"/>
    <d v="2024-01-27T00:00:00"/>
    <s v="Unknown"/>
    <s v="No"/>
    <s v="No"/>
    <s v="No"/>
    <s v="No"/>
    <s v="Churn unknown"/>
  </r>
  <r>
    <x v="1321"/>
    <s v="Swati Yadav"/>
    <s v="Female"/>
    <n v="74"/>
    <s v="Jaipur"/>
    <x v="0"/>
    <n v="7"/>
    <n v="349"/>
    <n v="2443"/>
    <s v="No Internet"/>
    <d v="2025-03-01T00:00:00"/>
    <s v="Yes"/>
    <s v="No"/>
    <s v="Yes"/>
    <s v="No"/>
    <s v="No"/>
    <s v="No"/>
  </r>
  <r>
    <x v="1322"/>
    <s v="Mohit Jain"/>
    <s v="Male"/>
    <n v="36"/>
    <s v="Hyderabad"/>
    <x v="1"/>
    <n v="1"/>
    <n v="1049"/>
    <n v="1049"/>
    <s v="Fiber"/>
    <d v="2025-08-29T00:00:00"/>
    <s v="Yes"/>
    <s v="No"/>
    <s v="No"/>
    <s v="No"/>
    <s v="No"/>
    <s v="No"/>
  </r>
  <r>
    <x v="1323"/>
    <s v="Vivek Kumar"/>
    <s v="Male"/>
    <n v="41"/>
    <s v="Ahmedabad"/>
    <x v="1"/>
    <n v="29"/>
    <n v="549"/>
    <n v="15921"/>
    <s v="No Internet"/>
    <d v="2023-04-28T00:00:00"/>
    <s v="No"/>
    <s v="No"/>
    <s v="No"/>
    <s v="No"/>
    <s v="No"/>
    <s v="No"/>
  </r>
  <r>
    <x v="1324"/>
    <s v="Anjali Malhotra"/>
    <s v="Female"/>
    <n v="47"/>
    <s v="Chennai"/>
    <x v="0"/>
    <n v="10"/>
    <n v="1149"/>
    <n v="11490"/>
    <s v="Fiber"/>
    <d v="2024-12-02T00:00:00"/>
    <s v="Yes"/>
    <s v="No"/>
    <s v="No"/>
    <s v="No"/>
    <s v="No"/>
    <s v="No"/>
  </r>
  <r>
    <x v="1325"/>
    <s v="Amit Joshi"/>
    <s v="Male"/>
    <n v="53"/>
    <s v="Ahmedabad"/>
    <x v="0"/>
    <n v="24"/>
    <n v="749"/>
    <n v="17976"/>
    <s v="DSL"/>
    <d v="2023-09-19T00:00:00"/>
    <s v="No"/>
    <s v="No"/>
    <s v="No"/>
    <s v="No"/>
    <s v="No"/>
    <s v="No"/>
  </r>
  <r>
    <x v="1326"/>
    <s v="Divya Gupta"/>
    <s v="Female"/>
    <n v="38"/>
    <s v="Lucknow"/>
    <x v="2"/>
    <n v="37"/>
    <n v="699"/>
    <n v="25863"/>
    <s v="DSL"/>
    <d v="2022-08-29T00:00:00"/>
    <s v="Yes"/>
    <s v="No"/>
    <s v="No"/>
    <s v="No"/>
    <s v="No"/>
    <s v="No"/>
  </r>
  <r>
    <x v="1327"/>
    <s v="Rohit Desai"/>
    <s v="Male"/>
    <n v="22"/>
    <s v="Mumbai"/>
    <x v="0"/>
    <n v="6"/>
    <n v="849"/>
    <n v="5094"/>
    <s v="DSL"/>
    <d v="2025-03-21T00:00:00"/>
    <s v="No"/>
    <s v="No"/>
    <s v="No"/>
    <s v="No"/>
    <s v="No"/>
    <s v="No"/>
  </r>
  <r>
    <x v="1328"/>
    <s v="Neha Tiwari"/>
    <s v="Female"/>
    <n v="39"/>
    <s v="Kochi"/>
    <x v="0"/>
    <n v="2"/>
    <n v="1099"/>
    <n v="2198"/>
    <s v="Fiber"/>
    <d v="2025-07-13T00:00:00"/>
    <s v="No"/>
    <s v="No"/>
    <s v="No"/>
    <s v="No"/>
    <s v="No"/>
    <s v="No"/>
  </r>
  <r>
    <x v="1329"/>
    <s v="Sanjay Kapoor"/>
    <s v="Male"/>
    <n v="28"/>
    <s v="Mumbai"/>
    <x v="1"/>
    <n v="15"/>
    <n v="549"/>
    <n v="8235"/>
    <s v="No Internet"/>
    <d v="2024-06-15T00:00:00"/>
    <s v="Yes"/>
    <s v="No"/>
    <s v="No"/>
    <s v="Yes"/>
    <s v="No"/>
    <s v="No"/>
  </r>
  <r>
    <x v="1330"/>
    <s v="Gaurav Verma"/>
    <s v="Male"/>
    <n v="20"/>
    <s v="Hyderabad"/>
    <x v="1"/>
    <n v="9"/>
    <n v="449"/>
    <n v="4041"/>
    <s v="No Internet"/>
    <d v="2024-12-12T00:00:00"/>
    <s v="No"/>
    <s v="No"/>
    <s v="No"/>
    <s v="No"/>
    <s v="No"/>
    <s v="No"/>
  </r>
  <r>
    <x v="1331"/>
    <s v="Priya Jain"/>
    <s v="Female"/>
    <n v="66"/>
    <s v="Chennai"/>
    <x v="0"/>
    <n v="23"/>
    <n v="1149"/>
    <n v="26427"/>
    <s v="Fiber"/>
    <d v="2023-10-21T00:00:00"/>
    <s v="Yes"/>
    <s v="No"/>
    <s v="No"/>
    <s v="No"/>
    <s v="No"/>
    <s v="No"/>
  </r>
  <r>
    <x v="1332"/>
    <s v="Sanjay Nair"/>
    <s v="Male"/>
    <n v="55"/>
    <s v="Ahmedabad"/>
    <x v="0"/>
    <n v="19"/>
    <n v="1149"/>
    <n v="21831"/>
    <s v="Fiber"/>
    <d v="2024-03-03T00:00:00"/>
    <s v="Yes"/>
    <s v="No"/>
    <s v="No"/>
    <s v="No"/>
    <s v="No"/>
    <s v="No"/>
  </r>
  <r>
    <x v="1333"/>
    <s v="Pankaj Iyer"/>
    <s v="Male"/>
    <n v="35"/>
    <s v="Jaipur"/>
    <x v="0"/>
    <n v="7"/>
    <n v="1149"/>
    <n v="8043"/>
    <s v="Fiber"/>
    <d v="2025-02-20T00:00:00"/>
    <s v="Yes"/>
    <s v="No"/>
    <s v="No"/>
    <s v="No"/>
    <s v="No"/>
    <s v="No"/>
  </r>
  <r>
    <x v="1334"/>
    <s v="Divya Reddy"/>
    <s v="Female"/>
    <n v="59"/>
    <s v="Chennai"/>
    <x v="0"/>
    <n v="21"/>
    <n v="1149"/>
    <n v="24129"/>
    <s v="Fiber"/>
    <d v="2024-01-04T00:00:00"/>
    <s v="Yes"/>
    <s v="No"/>
    <s v="No"/>
    <s v="No"/>
    <s v="No"/>
    <s v="No"/>
  </r>
  <r>
    <x v="1335"/>
    <s v="Deepak Reddy"/>
    <s v="Male"/>
    <n v="65"/>
    <s v="Chandigarh"/>
    <x v="0"/>
    <n v="24"/>
    <n v="1049"/>
    <n v="25176"/>
    <s v="Fiber"/>
    <d v="2023-09-13T00:00:00"/>
    <s v="No"/>
    <s v="No"/>
    <s v="No"/>
    <s v="No"/>
    <s v="No"/>
    <s v="No"/>
  </r>
  <r>
    <x v="1336"/>
    <s v="Isha Kapoor"/>
    <s v="Female"/>
    <n v="21"/>
    <s v="Indore"/>
    <x v="1"/>
    <n v="17"/>
    <n v="1149"/>
    <n v="19533"/>
    <s v="Fiber"/>
    <d v="2024-04-30T00:00:00"/>
    <s v="No"/>
    <s v="No"/>
    <s v="No"/>
    <s v="No"/>
    <s v="No"/>
    <s v="No"/>
  </r>
  <r>
    <x v="1337"/>
    <s v="Nikhil Mehta"/>
    <s v="Male"/>
    <n v="49"/>
    <s v="Bhopal"/>
    <x v="0"/>
    <n v="13"/>
    <n v="799"/>
    <n v="10387"/>
    <s v="DSL"/>
    <d v="2024-08-19T00:00:00"/>
    <s v="No"/>
    <s v="No"/>
    <s v="No"/>
    <s v="No"/>
    <s v="No"/>
    <s v="No"/>
  </r>
  <r>
    <x v="1338"/>
    <s v="Ritu Kumar"/>
    <s v="Female"/>
    <n v="57"/>
    <s v="Mumbai"/>
    <x v="2"/>
    <n v="7"/>
    <n v="449"/>
    <n v="3143"/>
    <s v="No Internet"/>
    <d v="2025-02-21T00:00:00"/>
    <s v="No"/>
    <s v="No"/>
    <s v="No"/>
    <s v="No"/>
    <s v="No"/>
    <s v="No"/>
  </r>
  <r>
    <x v="1339"/>
    <s v="Divya Agarwal"/>
    <s v="Female"/>
    <n v="54"/>
    <s v="Bangalore"/>
    <x v="0"/>
    <n v="21"/>
    <n v="1099"/>
    <n v="23079"/>
    <s v="Fiber"/>
    <d v="2023-12-25T00:00:00"/>
    <s v="Yes"/>
    <s v="No"/>
    <s v="No"/>
    <s v="No"/>
    <s v="No"/>
    <s v="No"/>
  </r>
  <r>
    <x v="1340"/>
    <s v="Harsh Verma"/>
    <s v="Male"/>
    <n v="75"/>
    <s v="Mumbai"/>
    <x v="0"/>
    <n v="7"/>
    <n v="599"/>
    <n v="4193"/>
    <s v="DSL"/>
    <d v="2025-02-01T00:00:00"/>
    <s v="No"/>
    <s v="No"/>
    <s v="No"/>
    <s v="No"/>
    <s v="No"/>
    <s v="No"/>
  </r>
  <r>
    <x v="1341"/>
    <s v="Meera Sharma"/>
    <s v="Female"/>
    <n v="25"/>
    <s v="Mumbai"/>
    <x v="1"/>
    <n v="38"/>
    <n v="1149"/>
    <n v="43662"/>
    <s v="Fiber"/>
    <d v="2022-07-24T00:00:00"/>
    <s v="No"/>
    <s v="No"/>
    <s v="No"/>
    <s v="No"/>
    <s v="No"/>
    <s v="No"/>
  </r>
  <r>
    <x v="1342"/>
    <s v="Neha Agarwal"/>
    <s v="Female"/>
    <n v="62"/>
    <s v="Bangalore"/>
    <x v="0"/>
    <m/>
    <m/>
    <n v="11687"/>
    <s v="Fiber"/>
    <d v="2024-08-20T00:00:00"/>
    <s v="Yes"/>
    <s v="No"/>
    <s v="No"/>
    <s v="No"/>
    <s v="No"/>
    <s v="Monthly missing; Tenure missing"/>
  </r>
  <r>
    <x v="1343"/>
    <s v="Meera Sharma"/>
    <s v="Female"/>
    <n v="54"/>
    <s v="Delhi"/>
    <x v="1"/>
    <n v="18"/>
    <m/>
    <m/>
    <s v="No Internet"/>
    <d v="2024-03-29T00:00:00"/>
    <s v="No"/>
    <s v="No"/>
    <s v="No"/>
    <s v="No"/>
    <s v="No"/>
    <s v="Monthly missing; Total missing"/>
  </r>
  <r>
    <x v="1344"/>
    <s v="Suresh Mehta"/>
    <s v="Male"/>
    <n v="33"/>
    <s v="Bhopal"/>
    <x v="0"/>
    <n v="21"/>
    <n v="599"/>
    <n v="12579"/>
    <s v="DSL"/>
    <d v="2023-12-25T00:00:00"/>
    <s v="No"/>
    <s v="No"/>
    <s v="No"/>
    <s v="No"/>
    <s v="Yes"/>
    <s v="No"/>
  </r>
  <r>
    <x v="1345"/>
    <s v="Ritu Pandey"/>
    <s v="Female"/>
    <n v="72"/>
    <s v="Bhopal"/>
    <x v="0"/>
    <n v="20"/>
    <n v="1099"/>
    <n v="21980"/>
    <s v="Fiber"/>
    <d v="2024-01-26T00:00:00"/>
    <s v="No"/>
    <s v="No"/>
    <s v="Yes"/>
    <s v="No"/>
    <s v="No"/>
    <s v="No"/>
  </r>
  <r>
    <x v="1346"/>
    <s v="Sonal Mishra"/>
    <s v="Female"/>
    <n v="27"/>
    <s v="Pune"/>
    <x v="1"/>
    <n v="12"/>
    <n v="799"/>
    <n v="9588"/>
    <s v="DSL"/>
    <d v="2024-09-22T00:00:00"/>
    <s v="No"/>
    <s v="No"/>
    <s v="No"/>
    <s v="No"/>
    <s v="No"/>
    <s v="No"/>
  </r>
  <r>
    <x v="1347"/>
    <s v="Pooja Saxena"/>
    <s v="Female"/>
    <n v="66"/>
    <s v="Ahmedabad"/>
    <x v="1"/>
    <n v="28"/>
    <n v="1149"/>
    <n v="32172"/>
    <s v="Fiber"/>
    <d v="2023-06-01T00:00:00"/>
    <s v="No"/>
    <s v="No"/>
    <s v="No"/>
    <s v="No"/>
    <s v="No"/>
    <s v="No"/>
  </r>
  <r>
    <x v="1348"/>
    <s v="Shreya Kapoor"/>
    <s v="Female"/>
    <n v="66"/>
    <s v="Jaipur"/>
    <x v="3"/>
    <n v="6"/>
    <n v="699"/>
    <n v="4194"/>
    <s v="DSL"/>
    <d v="2025-03-15T00:00:00"/>
    <s v="No"/>
    <s v="No"/>
    <s v="No"/>
    <s v="No"/>
    <s v="No"/>
    <s v="No"/>
  </r>
  <r>
    <x v="1349"/>
    <s v="Rajesh Singh"/>
    <s v="Male"/>
    <n v="70"/>
    <s v="Kochi"/>
    <x v="0"/>
    <n v="3"/>
    <n v="1099"/>
    <n v="3297"/>
    <s v="Fiber"/>
    <d v="2025-06-13T00:00:00"/>
    <s v="No"/>
    <s v="No"/>
    <s v="No"/>
    <s v="No"/>
    <s v="No"/>
    <s v="No"/>
  </r>
  <r>
    <x v="1350"/>
    <s v="Mohit Reddy"/>
    <s v="Male"/>
    <n v="54"/>
    <s v="Delhi"/>
    <x v="0"/>
    <n v="6"/>
    <n v="999"/>
    <n v="5994"/>
    <s v="Fiber"/>
    <d v="2025-03-22T00:00:00"/>
    <s v="No"/>
    <s v="No"/>
    <s v="No"/>
    <s v="No"/>
    <s v="No"/>
    <s v="No"/>
  </r>
  <r>
    <x v="1351"/>
    <s v="Sonal Rao"/>
    <s v="Female"/>
    <n v="51"/>
    <s v="Indore"/>
    <x v="2"/>
    <n v="45"/>
    <n v="849"/>
    <n v="38205"/>
    <s v="DSL"/>
    <d v="2021-12-28T00:00:00"/>
    <s v="No"/>
    <s v="No"/>
    <s v="No"/>
    <s v="No"/>
    <s v="No"/>
    <s v="No"/>
  </r>
  <r>
    <x v="1352"/>
    <s v="Pooja Pandey"/>
    <s v="Female"/>
    <n v="47"/>
    <s v="Kochi"/>
    <x v="0"/>
    <n v="17"/>
    <n v="899"/>
    <n v="15283"/>
    <s v="DSL"/>
    <d v="2024-05-04T00:00:00"/>
    <s v="Unknown"/>
    <s v="Yes"/>
    <s v="No"/>
    <s v="No"/>
    <s v="Yes"/>
    <s v="Churn unknown"/>
  </r>
  <r>
    <x v="1353"/>
    <s v="Ritu Rao"/>
    <s v="Female"/>
    <n v="37"/>
    <s v="Chandigarh"/>
    <x v="0"/>
    <n v="7"/>
    <n v="899"/>
    <n v="6293"/>
    <s v="Fiber"/>
    <d v="2025-02-24T00:00:00"/>
    <s v="Yes"/>
    <s v="No"/>
    <s v="No"/>
    <s v="No"/>
    <s v="Yes"/>
    <s v="No"/>
  </r>
  <r>
    <x v="1354"/>
    <s v="Vikram Kumar"/>
    <s v="Male"/>
    <n v="34"/>
    <s v="Ahmedabad"/>
    <x v="2"/>
    <n v="46"/>
    <n v="1099"/>
    <n v="50554"/>
    <s v="Fiber"/>
    <d v="2021-12-09T00:00:00"/>
    <s v="No"/>
    <s v="No"/>
    <s v="No"/>
    <s v="No"/>
    <s v="No"/>
    <s v="No"/>
  </r>
  <r>
    <x v="1355"/>
    <s v="Divya Patel"/>
    <s v="Female"/>
    <n v="31"/>
    <s v="Chennai"/>
    <x v="0"/>
    <n v="16"/>
    <n v="1149"/>
    <n v="18384"/>
    <s v="Fiber"/>
    <d v="2024-05-21T00:00:00"/>
    <s v="Yes"/>
    <s v="No"/>
    <s v="Yes"/>
    <s v="No"/>
    <s v="No"/>
    <s v="No"/>
  </r>
  <r>
    <x v="1356"/>
    <s v="Gaurav Joshi"/>
    <s v="Male"/>
    <n v="40"/>
    <s v="Delhi"/>
    <x v="0"/>
    <n v="13"/>
    <n v="1149"/>
    <n v="14937"/>
    <s v="Fiber"/>
    <d v="2024-08-16T00:00:00"/>
    <s v="Yes"/>
    <s v="No"/>
    <s v="Yes"/>
    <s v="No"/>
    <s v="No"/>
    <s v="No"/>
  </r>
  <r>
    <x v="1357"/>
    <s v="Komal Sharma"/>
    <s v="Female"/>
    <n v="42"/>
    <s v="Delhi"/>
    <x v="2"/>
    <n v="12"/>
    <n v="1049"/>
    <n v="12588"/>
    <s v="Fiber"/>
    <d v="2024-09-26T00:00:00"/>
    <s v="Yes"/>
    <s v="No"/>
    <s v="No"/>
    <s v="No"/>
    <s v="No"/>
    <s v="No"/>
  </r>
  <r>
    <x v="1358"/>
    <s v="Ankit Rao"/>
    <s v="Male"/>
    <n v="65"/>
    <s v="Pune"/>
    <x v="0"/>
    <n v="2"/>
    <n v="549"/>
    <n v="1098"/>
    <s v="No Internet"/>
    <d v="2025-07-03T00:00:00"/>
    <s v="No"/>
    <s v="No"/>
    <s v="No"/>
    <s v="No"/>
    <s v="No"/>
    <s v="No"/>
  </r>
  <r>
    <x v="1359"/>
    <s v="Deepika Yadav"/>
    <s v="Female"/>
    <n v="44"/>
    <s v="Mumbai"/>
    <x v="0"/>
    <n v="22"/>
    <n v="899"/>
    <n v="19778"/>
    <s v="DSL"/>
    <d v="2023-11-22T00:00:00"/>
    <s v="No"/>
    <s v="No"/>
    <s v="No"/>
    <s v="No"/>
    <s v="No"/>
    <s v="No"/>
  </r>
  <r>
    <x v="1360"/>
    <s v="Ankit Malhotra"/>
    <s v="Male"/>
    <n v="62"/>
    <s v="Lucknow"/>
    <x v="0"/>
    <n v="21"/>
    <n v="449"/>
    <n v="9429"/>
    <s v="No Internet"/>
    <d v="2023-12-16T00:00:00"/>
    <s v="No"/>
    <s v="No"/>
    <s v="No"/>
    <s v="Yes"/>
    <s v="No"/>
    <s v="No"/>
  </r>
  <r>
    <x v="1361"/>
    <s v="Meera Kapoor"/>
    <s v="Female"/>
    <n v="36"/>
    <s v="Chandigarh"/>
    <x v="0"/>
    <n v="11"/>
    <n v="749"/>
    <n v="8239"/>
    <s v="DSL"/>
    <d v="2024-10-31T00:00:00"/>
    <s v="No"/>
    <s v="No"/>
    <s v="No"/>
    <s v="No"/>
    <s v="No"/>
    <s v="No"/>
  </r>
  <r>
    <x v="1362"/>
    <s v="Gaurav Desai"/>
    <s v="Male"/>
    <n v="33"/>
    <s v="Delhi"/>
    <x v="0"/>
    <n v="21"/>
    <n v="1299"/>
    <n v="27279"/>
    <s v="Fiber"/>
    <d v="2024-01-02T00:00:00"/>
    <s v="Unknown"/>
    <s v="No"/>
    <s v="No"/>
    <s v="No"/>
    <s v="No"/>
    <s v="Churn unknown"/>
  </r>
  <r>
    <x v="1363"/>
    <s v="Nikhil Saxena"/>
    <s v="Male"/>
    <n v="55"/>
    <s v="Chandigarh"/>
    <x v="0"/>
    <n v="23"/>
    <n v="899"/>
    <n v="20677"/>
    <s v="Fiber"/>
    <d v="2023-10-16T00:00:00"/>
    <s v="Yes"/>
    <s v="No"/>
    <s v="No"/>
    <s v="No"/>
    <s v="No"/>
    <s v="No"/>
  </r>
  <r>
    <x v="1364"/>
    <s v="Ankit Desai"/>
    <s v="Male"/>
    <n v="41"/>
    <s v="Kochi"/>
    <x v="1"/>
    <n v="34"/>
    <n v="849"/>
    <n v="28866"/>
    <s v="DSL"/>
    <d v="2022-11-28T00:00:00"/>
    <s v="Yes"/>
    <s v="No"/>
    <s v="No"/>
    <s v="No"/>
    <s v="No"/>
    <s v="No"/>
  </r>
  <r>
    <x v="1365"/>
    <s v="Suresh Tiwari"/>
    <s v="Male"/>
    <n v="53"/>
    <s v="Bhopal"/>
    <x v="0"/>
    <n v="9"/>
    <n v="849"/>
    <n v="7641"/>
    <s v="DSL"/>
    <d v="2024-12-03T00:00:00"/>
    <s v="Yes"/>
    <s v="No"/>
    <s v="No"/>
    <s v="No"/>
    <s v="No"/>
    <s v="No"/>
  </r>
  <r>
    <x v="1366"/>
    <s v="Rohit Reddy"/>
    <s v="Male"/>
    <n v="19"/>
    <s v="Bangalore"/>
    <x v="0"/>
    <n v="7"/>
    <n v="749"/>
    <n v="5243"/>
    <s v="DSL"/>
    <d v="2025-02-22T00:00:00"/>
    <s v="Yes"/>
    <s v="No"/>
    <s v="No"/>
    <s v="No"/>
    <s v="Yes"/>
    <s v="No"/>
  </r>
  <r>
    <x v="1367"/>
    <s v="Neha Saxena"/>
    <s v="Female"/>
    <n v="29"/>
    <s v="Lucknow"/>
    <x v="0"/>
    <n v="8"/>
    <n v="999"/>
    <n v="7992"/>
    <s v="Fiber"/>
    <d v="2025-01-09T00:00:00"/>
    <s v="Yes"/>
    <s v="No"/>
    <s v="No"/>
    <s v="No"/>
    <s v="No"/>
    <s v="No"/>
  </r>
  <r>
    <x v="1368"/>
    <s v="Priya Patel"/>
    <s v="Female"/>
    <n v="21"/>
    <s v="Jaipur"/>
    <x v="1"/>
    <n v="18"/>
    <n v="799"/>
    <n v="14382"/>
    <s v="DSL"/>
    <d v="2024-03-12T00:00:00"/>
    <s v="No"/>
    <s v="No"/>
    <s v="No"/>
    <s v="No"/>
    <s v="No"/>
    <s v="No"/>
  </r>
  <r>
    <x v="1369"/>
    <s v="Nikhil Nair"/>
    <s v="Male"/>
    <n v="73"/>
    <s v="Ahmedabad"/>
    <x v="2"/>
    <n v="61"/>
    <n v="749"/>
    <n v="45689"/>
    <s v="DSL"/>
    <d v="2020-09-12T00:00:00"/>
    <s v="Unknown"/>
    <s v="No"/>
    <s v="No"/>
    <s v="No"/>
    <s v="No"/>
    <s v="Churn unknown"/>
  </r>
  <r>
    <x v="1370"/>
    <s v="Rohit Saxena"/>
    <s v="Male"/>
    <n v="26"/>
    <s v="Chandigarh"/>
    <x v="0"/>
    <n v="3"/>
    <n v="349"/>
    <n v="1047"/>
    <s v="No Internet"/>
    <d v="2025-06-23T00:00:00"/>
    <s v="Yes"/>
    <s v="No"/>
    <s v="No"/>
    <s v="No"/>
    <s v="No"/>
    <s v="No"/>
  </r>
  <r>
    <x v="1371"/>
    <s v="Isha Nair"/>
    <s v="Unknown"/>
    <n v="70"/>
    <s v="Chennai"/>
    <x v="0"/>
    <n v="2"/>
    <n v="1049"/>
    <n v="2098"/>
    <s v="Fiber"/>
    <d v="2025-07-09T00:00:00"/>
    <s v="Yes"/>
    <s v="No"/>
    <s v="No"/>
    <s v="No"/>
    <s v="No"/>
    <s v="No"/>
  </r>
  <r>
    <x v="1372"/>
    <s v="Divya Kapoor"/>
    <s v="Female"/>
    <n v="56"/>
    <s v="Chandigarh"/>
    <x v="2"/>
    <n v="17"/>
    <n v="1149"/>
    <n v="19533"/>
    <s v="Fiber"/>
    <d v="2024-04-16T00:00:00"/>
    <s v="No"/>
    <s v="No"/>
    <s v="Yes"/>
    <s v="No"/>
    <s v="No"/>
    <s v="No"/>
  </r>
  <r>
    <x v="1373"/>
    <s v="Manish Yadav"/>
    <s v="Male"/>
    <n v="51"/>
    <s v="Chennai"/>
    <x v="0"/>
    <n v="20"/>
    <n v="599"/>
    <n v="11980"/>
    <s v="DSL"/>
    <d v="2024-01-15T00:00:00"/>
    <s v="No"/>
    <s v="No"/>
    <s v="No"/>
    <s v="No"/>
    <s v="No"/>
    <s v="No"/>
  </r>
  <r>
    <x v="1374"/>
    <s v="Amit Patel"/>
    <s v="Male"/>
    <n v="35"/>
    <s v="Kolkata"/>
    <x v="0"/>
    <n v="11"/>
    <n v="1299"/>
    <n v="14289"/>
    <s v="Fiber"/>
    <d v="2024-10-04T00:00:00"/>
    <s v="No"/>
    <s v="No"/>
    <s v="No"/>
    <s v="No"/>
    <s v="No"/>
    <s v="No"/>
  </r>
  <r>
    <x v="1375"/>
    <s v="Komal Jain"/>
    <s v="Female"/>
    <n v="49"/>
    <s v="Kolkata"/>
    <x v="1"/>
    <n v="38"/>
    <n v="549"/>
    <n v="20862"/>
    <s v="No Internet"/>
    <d v="2022-07-21T00:00:00"/>
    <s v="No"/>
    <s v="No"/>
    <s v="No"/>
    <s v="No"/>
    <s v="No"/>
    <s v="No"/>
  </r>
  <r>
    <x v="1376"/>
    <s v="Gaurav Joshi"/>
    <s v="Male"/>
    <n v="23"/>
    <s v="Bhopal"/>
    <x v="0"/>
    <n v="17"/>
    <n v="799"/>
    <n v="13583"/>
    <s v="DSL"/>
    <m/>
    <s v="Yes"/>
    <s v="No"/>
    <s v="No"/>
    <s v="No"/>
    <s v="No"/>
    <s v="Date missing"/>
  </r>
  <r>
    <x v="1377"/>
    <s v="Aditi Yadav"/>
    <s v="Female"/>
    <n v="50"/>
    <s v="Unknown"/>
    <x v="0"/>
    <n v="8"/>
    <n v="449"/>
    <n v="3592"/>
    <s v="No Internet"/>
    <d v="2025-01-25T00:00:00"/>
    <s v="No"/>
    <s v="No"/>
    <s v="No"/>
    <s v="No"/>
    <s v="No"/>
    <s v="No"/>
  </r>
  <r>
    <x v="1378"/>
    <s v="Payal Saxena"/>
    <s v="Female"/>
    <n v="44"/>
    <s v="Chennai"/>
    <x v="0"/>
    <n v="22"/>
    <n v="1299"/>
    <n v="28578"/>
    <s v="Fiber"/>
    <d v="2023-12-04T00:00:00"/>
    <s v="No"/>
    <s v="No"/>
    <s v="No"/>
    <s v="No"/>
    <s v="No"/>
    <s v="No"/>
  </r>
  <r>
    <x v="1379"/>
    <s v="Deepika Saxena"/>
    <s v="Female"/>
    <n v="61"/>
    <s v="Pune"/>
    <x v="1"/>
    <n v="14"/>
    <n v="1099"/>
    <n v="15386"/>
    <s v="Unknown"/>
    <d v="2024-08-01T00:00:00"/>
    <s v="No"/>
    <s v="No"/>
    <s v="Yes"/>
    <s v="No"/>
    <s v="No"/>
    <s v="No"/>
  </r>
  <r>
    <x v="1380"/>
    <s v="Ritu Mehta"/>
    <s v="Female"/>
    <n v="56"/>
    <s v="Kochi"/>
    <x v="1"/>
    <n v="32"/>
    <n v="699"/>
    <n v="22368"/>
    <s v="DSL"/>
    <d v="2023-02-03T00:00:00"/>
    <s v="No"/>
    <s v="No"/>
    <s v="No"/>
    <s v="No"/>
    <s v="No"/>
    <s v="No"/>
  </r>
  <r>
    <x v="1381"/>
    <s v="Sonal Joshi"/>
    <s v="Female"/>
    <n v="27"/>
    <s v="Chennai"/>
    <x v="1"/>
    <n v="25"/>
    <n v="899"/>
    <n v="22475"/>
    <s v="DSL"/>
    <d v="2023-09-03T00:00:00"/>
    <s v="Yes"/>
    <s v="No"/>
    <s v="No"/>
    <s v="No"/>
    <s v="No"/>
    <s v="No"/>
  </r>
  <r>
    <x v="1382"/>
    <s v="Komal Kapoor"/>
    <s v="Female"/>
    <n v="53"/>
    <s v="Lucknow"/>
    <x v="2"/>
    <n v="54"/>
    <n v="1049"/>
    <n v="56646"/>
    <s v="Fiber"/>
    <d v="2021-04-02T00:00:00"/>
    <s v="No"/>
    <s v="No"/>
    <s v="No"/>
    <s v="No"/>
    <s v="No"/>
    <s v="No"/>
  </r>
  <r>
    <x v="1383"/>
    <s v="Riya Reddy"/>
    <s v="Female"/>
    <n v="48"/>
    <s v="Kolkata"/>
    <x v="0"/>
    <n v="6"/>
    <m/>
    <m/>
    <s v="DSL"/>
    <d v="2025-03-30T00:00:00"/>
    <s v="Yes"/>
    <s v="No"/>
    <s v="No"/>
    <s v="No"/>
    <s v="No"/>
    <s v="Monthly missing; Total missing"/>
  </r>
  <r>
    <x v="1384"/>
    <s v="Anjali Mishra"/>
    <s v="Female"/>
    <n v="52"/>
    <s v="Chennai"/>
    <x v="0"/>
    <n v="24"/>
    <n v="849"/>
    <n v="20376"/>
    <s v="DSL"/>
    <d v="2023-09-18T00:00:00"/>
    <s v="Yes"/>
    <s v="No"/>
    <s v="No"/>
    <s v="No"/>
    <s v="No"/>
    <s v="No"/>
  </r>
  <r>
    <x v="1385"/>
    <s v="Rahul Reddy"/>
    <s v="Male"/>
    <n v="39"/>
    <s v="Lucknow"/>
    <x v="1"/>
    <n v="16"/>
    <n v="649"/>
    <n v="10384"/>
    <s v="DSL"/>
    <d v="2024-05-12T00:00:00"/>
    <s v="No"/>
    <s v="No"/>
    <s v="No"/>
    <s v="No"/>
    <s v="No"/>
    <s v="No"/>
  </r>
  <r>
    <x v="1386"/>
    <s v="Sonal Patel"/>
    <s v="Female"/>
    <n v="71"/>
    <s v="Hyderabad"/>
    <x v="0"/>
    <n v="11"/>
    <n v="999"/>
    <n v="10989"/>
    <s v="Fiber"/>
    <d v="2024-10-07T00:00:00"/>
    <s v="No"/>
    <s v="No"/>
    <s v="No"/>
    <s v="No"/>
    <s v="No"/>
    <s v="No"/>
  </r>
  <r>
    <x v="1387"/>
    <s v="Deepika Mishra"/>
    <s v="Female"/>
    <n v="57"/>
    <s v="Delhi"/>
    <x v="2"/>
    <n v="35"/>
    <n v="899"/>
    <n v="31465"/>
    <s v="DSL"/>
    <d v="2022-10-17T00:00:00"/>
    <s v="No"/>
    <s v="No"/>
    <s v="No"/>
    <s v="No"/>
    <s v="No"/>
    <s v="No"/>
  </r>
  <r>
    <x v="1388"/>
    <s v="Ritu Nair"/>
    <s v="Female"/>
    <n v="47"/>
    <s v="Lucknow"/>
    <x v="0"/>
    <n v="8"/>
    <n v="699"/>
    <n v="5592"/>
    <s v="DSL"/>
    <d v="2025-01-22T00:00:00"/>
    <s v="Yes"/>
    <s v="No"/>
    <s v="No"/>
    <s v="No"/>
    <s v="No"/>
    <s v="No"/>
  </r>
  <r>
    <x v="1389"/>
    <s v="Tanvi Yadav"/>
    <s v="Female"/>
    <n v="72"/>
    <s v="Kolkata"/>
    <x v="0"/>
    <n v="3"/>
    <n v="749"/>
    <n v="2247"/>
    <s v="DSL"/>
    <d v="2025-06-07T00:00:00"/>
    <s v="Yes"/>
    <s v="No"/>
    <s v="No"/>
    <s v="No"/>
    <s v="No"/>
    <s v="No"/>
  </r>
  <r>
    <x v="1390"/>
    <s v="Riya Rao"/>
    <s v="Female"/>
    <n v="19"/>
    <s v="Jaipur"/>
    <x v="1"/>
    <n v="32"/>
    <n v="749"/>
    <n v="23968"/>
    <s v="DSL"/>
    <d v="2023-02-11T00:00:00"/>
    <s v="No"/>
    <s v="No"/>
    <s v="No"/>
    <s v="No"/>
    <s v="No"/>
    <s v="No"/>
  </r>
  <r>
    <x v="1391"/>
    <s v="Payal Yadav"/>
    <s v="Female"/>
    <n v="42"/>
    <s v="Chandigarh"/>
    <x v="0"/>
    <n v="5"/>
    <n v="849"/>
    <n v="4245"/>
    <s v="DSL"/>
    <d v="2025-04-10T00:00:00"/>
    <s v="No"/>
    <s v="No"/>
    <s v="No"/>
    <s v="No"/>
    <s v="No"/>
    <s v="No"/>
  </r>
  <r>
    <x v="1392"/>
    <s v="Meera Rao"/>
    <s v="Female"/>
    <n v="31"/>
    <s v="Hyderabad"/>
    <x v="0"/>
    <n v="8"/>
    <n v="1049"/>
    <n v="8392"/>
    <s v="Fiber"/>
    <d v="2025-01-03T00:00:00"/>
    <s v="Yes"/>
    <s v="No"/>
    <s v="No"/>
    <s v="No"/>
    <s v="No"/>
    <s v="No"/>
  </r>
  <r>
    <x v="1393"/>
    <s v="Priya Saxena"/>
    <s v="Female"/>
    <n v="54"/>
    <s v="Hyderabad"/>
    <x v="1"/>
    <n v="2"/>
    <n v="749"/>
    <n v="1498"/>
    <s v="DSL"/>
    <d v="2025-07-30T00:00:00"/>
    <s v="No"/>
    <s v="No"/>
    <s v="Yes"/>
    <s v="No"/>
    <s v="No"/>
    <s v="No"/>
  </r>
  <r>
    <x v="1394"/>
    <s v="Nisha Agarwal"/>
    <s v="Female"/>
    <n v="46"/>
    <s v="Kolkata"/>
    <x v="0"/>
    <n v="8"/>
    <n v="699"/>
    <n v="5592"/>
    <s v="DSL"/>
    <d v="2025-01-26T00:00:00"/>
    <s v="No"/>
    <s v="No"/>
    <s v="No"/>
    <s v="No"/>
    <s v="No"/>
    <s v="No"/>
  </r>
  <r>
    <x v="1395"/>
    <s v="Rajesh Chopra"/>
    <s v="Male"/>
    <n v="51"/>
    <s v="Lucknow"/>
    <x v="0"/>
    <n v="2"/>
    <n v="749"/>
    <n v="1498"/>
    <s v="DSL"/>
    <d v="2025-07-28T00:00:00"/>
    <s v="No"/>
    <s v="No"/>
    <s v="No"/>
    <s v="No"/>
    <s v="No"/>
    <s v="No"/>
  </r>
  <r>
    <x v="1396"/>
    <s v="Vikram Yadav"/>
    <s v="Male"/>
    <n v="62"/>
    <s v="Jaipur"/>
    <x v="0"/>
    <n v="9"/>
    <n v="749"/>
    <n v="6741"/>
    <s v="DSL"/>
    <d v="2024-12-19T00:00:00"/>
    <s v="Yes"/>
    <s v="No"/>
    <s v="No"/>
    <s v="No"/>
    <s v="Yes"/>
    <s v="No"/>
  </r>
  <r>
    <x v="1397"/>
    <s v="Meera Nair"/>
    <s v="Female"/>
    <n v="44"/>
    <s v="Chennai"/>
    <x v="0"/>
    <n v="3"/>
    <n v="799"/>
    <n v="2397"/>
    <s v="DSL"/>
    <d v="2025-06-05T00:00:00"/>
    <s v="No"/>
    <s v="No"/>
    <s v="No"/>
    <s v="No"/>
    <s v="No"/>
    <s v="No"/>
  </r>
  <r>
    <x v="1398"/>
    <s v="Harsh Mishra"/>
    <s v="Male"/>
    <n v="48"/>
    <s v="Kolkata"/>
    <x v="2"/>
    <n v="26"/>
    <n v="799"/>
    <n v="20774"/>
    <s v="DSL"/>
    <d v="2023-08-07T00:00:00"/>
    <s v="Yes"/>
    <s v="No"/>
    <s v="No"/>
    <s v="No"/>
    <s v="Yes"/>
    <s v="No"/>
  </r>
  <r>
    <x v="1399"/>
    <s v="Meera Mishra"/>
    <s v="Female"/>
    <n v="25"/>
    <s v="Kochi"/>
    <x v="0"/>
    <n v="24"/>
    <n v="999"/>
    <n v="23976"/>
    <s v="Fiber"/>
    <d v="2023-10-02T00:00:00"/>
    <s v="No"/>
    <s v="No"/>
    <s v="No"/>
    <s v="No"/>
    <s v="No"/>
    <s v="No"/>
  </r>
  <r>
    <x v="1400"/>
    <s v="Nikhil Gupta"/>
    <s v="Male"/>
    <n v="67"/>
    <s v="Chennai"/>
    <x v="0"/>
    <n v="17"/>
    <n v="599"/>
    <n v="10183"/>
    <s v="DSL"/>
    <d v="2024-04-21T00:00:00"/>
    <s v="Yes"/>
    <s v="No"/>
    <s v="No"/>
    <s v="No"/>
    <s v="No"/>
    <s v="No"/>
  </r>
  <r>
    <x v="1401"/>
    <s v="Unknown"/>
    <s v="Male"/>
    <n v="73"/>
    <s v="Lucknow"/>
    <x v="2"/>
    <n v="36"/>
    <n v="999"/>
    <n v="35964"/>
    <s v="Fiber"/>
    <d v="2022-10-11T00:00:00"/>
    <s v="Unknown"/>
    <s v="No"/>
    <s v="No"/>
    <s v="No"/>
    <s v="No"/>
    <s v="Churn unknown"/>
  </r>
  <r>
    <x v="1402"/>
    <s v="Arjun Chopra"/>
    <s v="Male"/>
    <n v="56"/>
    <s v="Kochi"/>
    <x v="0"/>
    <n v="5"/>
    <n v="499"/>
    <n v="2495"/>
    <s v="No Internet"/>
    <d v="2025-04-16T00:00:00"/>
    <s v="Yes"/>
    <s v="No"/>
    <s v="No"/>
    <s v="Yes"/>
    <s v="No"/>
    <s v="No"/>
  </r>
  <r>
    <x v="1403"/>
    <s v="Sonal Mishra"/>
    <s v="Female"/>
    <n v="64"/>
    <s v="Kolkata"/>
    <x v="2"/>
    <n v="67"/>
    <n v="1299"/>
    <n v="87033"/>
    <s v="Fiber"/>
    <d v="2020-03-02T00:00:00"/>
    <s v="No"/>
    <s v="No"/>
    <s v="No"/>
    <s v="No"/>
    <s v="Yes"/>
    <s v="No"/>
  </r>
  <r>
    <x v="1404"/>
    <s v="Kavita Jain"/>
    <s v="Female"/>
    <n v="44"/>
    <s v="Bangalore"/>
    <x v="0"/>
    <n v="2"/>
    <n v="899"/>
    <n v="1798"/>
    <s v="Fiber"/>
    <d v="2025-07-04T00:00:00"/>
    <s v="No"/>
    <s v="No"/>
    <s v="No"/>
    <s v="No"/>
    <s v="No"/>
    <s v="No"/>
  </r>
  <r>
    <x v="1405"/>
    <s v="Anjali Yadav"/>
    <s v="Female"/>
    <n v="75"/>
    <s v="Kolkata"/>
    <x v="0"/>
    <n v="1"/>
    <n v="699"/>
    <n v="699"/>
    <s v="DSL"/>
    <d v="2025-08-23T00:00:00"/>
    <s v="No"/>
    <s v="No"/>
    <s v="No"/>
    <s v="No"/>
    <s v="No"/>
    <s v="No"/>
  </r>
  <r>
    <x v="1406"/>
    <s v="Pooja Kapoor"/>
    <s v="Female"/>
    <n v="47"/>
    <s v="Lucknow"/>
    <x v="1"/>
    <n v="20"/>
    <n v="999"/>
    <n v="19980"/>
    <s v="Fiber"/>
    <d v="2024-01-30T00:00:00"/>
    <s v="Yes"/>
    <s v="Yes"/>
    <s v="No"/>
    <s v="No"/>
    <s v="No"/>
    <s v="No"/>
  </r>
  <r>
    <x v="1407"/>
    <s v="Kavita Desai"/>
    <s v="Female"/>
    <n v="43"/>
    <s v="Ahmedabad"/>
    <x v="1"/>
    <n v="14"/>
    <n v="999"/>
    <n v="13986"/>
    <s v="Fiber"/>
    <d v="2024-07-28T00:00:00"/>
    <s v="No"/>
    <s v="No"/>
    <s v="No"/>
    <s v="No"/>
    <s v="No"/>
    <s v="No"/>
  </r>
  <r>
    <x v="1408"/>
    <s v="Karan Iyer"/>
    <s v="Male"/>
    <n v="41"/>
    <s v="Delhi"/>
    <x v="0"/>
    <n v="21"/>
    <n v="349"/>
    <n v="7329"/>
    <s v="No Internet"/>
    <d v="2023-12-27T00:00:00"/>
    <s v="No"/>
    <s v="No"/>
    <s v="No"/>
    <s v="No"/>
    <s v="No"/>
    <s v="No"/>
  </r>
  <r>
    <x v="1409"/>
    <s v="Sneha Desai"/>
    <s v="Female"/>
    <n v="22"/>
    <s v="Pune"/>
    <x v="0"/>
    <n v="17"/>
    <n v="649"/>
    <n v="11033"/>
    <s v="DSL"/>
    <d v="2024-04-14T00:00:00"/>
    <s v="Yes"/>
    <s v="No"/>
    <s v="No"/>
    <s v="No"/>
    <s v="No"/>
    <s v="No"/>
  </r>
  <r>
    <x v="1410"/>
    <s v="Sneha Sharma"/>
    <s v="Female"/>
    <n v="50"/>
    <s v="Hyderabad"/>
    <x v="1"/>
    <n v="29"/>
    <n v="1049"/>
    <n v="30421"/>
    <s v="Fiber"/>
    <d v="2023-04-23T00:00:00"/>
    <s v="No"/>
    <s v="No"/>
    <s v="No"/>
    <s v="No"/>
    <s v="No"/>
    <s v="No"/>
  </r>
  <r>
    <x v="1411"/>
    <s v="Aditi Patel"/>
    <s v="Female"/>
    <n v="21"/>
    <s v="Kochi"/>
    <x v="0"/>
    <n v="15"/>
    <n v="899"/>
    <n v="13485"/>
    <s v="DSL"/>
    <d v="2024-07-04T00:00:00"/>
    <s v="No"/>
    <s v="No"/>
    <s v="No"/>
    <s v="No"/>
    <s v="Yes"/>
    <s v="No"/>
  </r>
  <r>
    <x v="1412"/>
    <s v="Rohit Rao"/>
    <s v="Male"/>
    <n v="39"/>
    <s v="Indore"/>
    <x v="1"/>
    <n v="18"/>
    <n v="999"/>
    <n v="17982"/>
    <s v="Fiber"/>
    <d v="2024-03-25T00:00:00"/>
    <s v="Yes"/>
    <s v="No"/>
    <s v="No"/>
    <s v="No"/>
    <s v="No"/>
    <s v="No"/>
  </r>
  <r>
    <x v="1413"/>
    <s v="Divya Nair"/>
    <s v="Unknown"/>
    <n v="20"/>
    <s v="Delhi"/>
    <x v="0"/>
    <n v="7"/>
    <n v="399"/>
    <n v="2793"/>
    <s v="No Internet"/>
    <d v="2025-02-04T00:00:00"/>
    <s v="Yes"/>
    <s v="No"/>
    <s v="No"/>
    <s v="No"/>
    <s v="No"/>
    <s v="No"/>
  </r>
  <r>
    <x v="1414"/>
    <s v="Vivek Mishra"/>
    <s v="Male"/>
    <n v="54"/>
    <s v="Chennai"/>
    <x v="2"/>
    <n v="9"/>
    <n v="649"/>
    <n v="5841"/>
    <s v="DSL"/>
    <d v="2024-12-17T00:00:00"/>
    <s v="No"/>
    <s v="No"/>
    <s v="No"/>
    <s v="No"/>
    <s v="No"/>
    <s v="No"/>
  </r>
  <r>
    <x v="1415"/>
    <s v="Manish Kapoor"/>
    <s v="Male"/>
    <n v="28"/>
    <s v="Indore"/>
    <x v="0"/>
    <n v="15"/>
    <n v="899"/>
    <n v="13485"/>
    <s v="DSL"/>
    <d v="2024-06-24T00:00:00"/>
    <s v="No"/>
    <s v="No"/>
    <s v="No"/>
    <s v="Yes"/>
    <s v="No"/>
    <s v="No"/>
  </r>
  <r>
    <x v="1416"/>
    <s v="Kavita Bose"/>
    <s v="Female"/>
    <n v="53"/>
    <s v="Jaipur"/>
    <x v="2"/>
    <n v="43"/>
    <n v="449"/>
    <n v="19307"/>
    <s v="No Internet"/>
    <d v="2022-02-25T00:00:00"/>
    <s v="No"/>
    <s v="No"/>
    <s v="No"/>
    <s v="No"/>
    <s v="No"/>
    <s v="No"/>
  </r>
  <r>
    <x v="1417"/>
    <s v="Riya Nair"/>
    <s v="Female"/>
    <n v="32"/>
    <s v="Chandigarh"/>
    <x v="0"/>
    <n v="11"/>
    <n v="1049"/>
    <n v="11539"/>
    <s v="Fiber"/>
    <d v="2024-10-21T00:00:00"/>
    <s v="No"/>
    <s v="No"/>
    <s v="No"/>
    <s v="No"/>
    <s v="No"/>
    <s v="No"/>
  </r>
  <r>
    <x v="1418"/>
    <s v="Rajesh Iyer"/>
    <s v="Male"/>
    <n v="69"/>
    <s v="Unknown"/>
    <x v="0"/>
    <n v="18"/>
    <n v="399"/>
    <n v="7182"/>
    <s v="No Internet"/>
    <d v="2024-03-30T00:00:00"/>
    <s v="No"/>
    <s v="No"/>
    <s v="No"/>
    <s v="No"/>
    <s v="No"/>
    <s v="No"/>
  </r>
  <r>
    <x v="1419"/>
    <s v="Pooja Reddy"/>
    <s v="Female"/>
    <n v="62"/>
    <s v="Jaipur"/>
    <x v="0"/>
    <n v="13"/>
    <n v="1149"/>
    <n v="14937"/>
    <s v="Fiber"/>
    <d v="2024-08-27T00:00:00"/>
    <s v="Yes"/>
    <s v="No"/>
    <s v="No"/>
    <s v="No"/>
    <s v="No"/>
    <s v="No"/>
  </r>
  <r>
    <x v="1420"/>
    <s v="Pankaj Desai"/>
    <s v="Male"/>
    <n v="60"/>
    <s v="Mumbai"/>
    <x v="1"/>
    <n v="4"/>
    <n v="499"/>
    <n v="1996"/>
    <s v="No Internet"/>
    <d v="2025-05-16T00:00:00"/>
    <s v="Yes"/>
    <s v="No"/>
    <s v="No"/>
    <s v="No"/>
    <s v="No"/>
    <s v="No"/>
  </r>
  <r>
    <x v="1421"/>
    <s v="Nikhil Patel"/>
    <s v="Male"/>
    <n v="25"/>
    <s v="Chennai"/>
    <x v="0"/>
    <n v="16"/>
    <n v="399"/>
    <n v="6384"/>
    <s v="No Internet"/>
    <d v="2024-05-09T00:00:00"/>
    <s v="Yes"/>
    <s v="No"/>
    <s v="No"/>
    <s v="No"/>
    <s v="No"/>
    <s v="No"/>
  </r>
  <r>
    <x v="1422"/>
    <s v="Harsh Nair"/>
    <s v="Male"/>
    <n v="57"/>
    <s v="Kochi"/>
    <x v="0"/>
    <n v="11"/>
    <n v="799"/>
    <n v="8789"/>
    <s v="DSL"/>
    <d v="2024-10-31T00:00:00"/>
    <s v="Yes"/>
    <s v="No"/>
    <s v="No"/>
    <s v="No"/>
    <s v="No"/>
    <s v="No"/>
  </r>
  <r>
    <x v="1423"/>
    <s v="Rohit Mishra"/>
    <s v="Male"/>
    <n v="45"/>
    <s v="Ahmedabad"/>
    <x v="2"/>
    <n v="20"/>
    <n v="499"/>
    <n v="9980"/>
    <s v="No Internet"/>
    <d v="2024-02-02T00:00:00"/>
    <s v="No"/>
    <s v="No"/>
    <s v="No"/>
    <s v="No"/>
    <s v="No"/>
    <s v="No"/>
  </r>
  <r>
    <x v="1424"/>
    <s v="Isha Saxena"/>
    <s v="Female"/>
    <n v="61"/>
    <s v="Chandigarh"/>
    <x v="1"/>
    <n v="6"/>
    <n v="999"/>
    <n v="5994"/>
    <s v="Fiber"/>
    <d v="2025-03-31T00:00:00"/>
    <s v="No"/>
    <s v="No"/>
    <s v="No"/>
    <s v="No"/>
    <s v="No"/>
    <s v="No"/>
  </r>
  <r>
    <x v="1425"/>
    <s v="Amit Yadav"/>
    <s v="Male"/>
    <n v="47"/>
    <s v="Chandigarh"/>
    <x v="2"/>
    <n v="51"/>
    <n v="1099"/>
    <n v="56049"/>
    <s v="Unknown"/>
    <d v="2021-07-12T00:00:00"/>
    <s v="No"/>
    <s v="Yes"/>
    <s v="No"/>
    <s v="No"/>
    <s v="No"/>
    <s v="No"/>
  </r>
  <r>
    <x v="1426"/>
    <s v="Pankaj Iyer"/>
    <s v="Male"/>
    <n v="26"/>
    <s v="Mumbai"/>
    <x v="0"/>
    <n v="6"/>
    <n v="549"/>
    <n v="3294"/>
    <s v="No Internet"/>
    <d v="2025-03-13T00:00:00"/>
    <s v="Yes"/>
    <s v="No"/>
    <s v="No"/>
    <s v="No"/>
    <s v="No"/>
    <s v="No"/>
  </r>
  <r>
    <x v="1427"/>
    <s v="Harsh Verma"/>
    <s v="Male"/>
    <n v="47"/>
    <s v="Chandigarh"/>
    <x v="0"/>
    <n v="16"/>
    <n v="899"/>
    <n v="14384"/>
    <s v="DSL"/>
    <d v="2024-05-27T00:00:00"/>
    <s v="No"/>
    <s v="Yes"/>
    <s v="No"/>
    <s v="No"/>
    <s v="No"/>
    <s v="No"/>
  </r>
  <r>
    <x v="1428"/>
    <s v="Divya Tiwari"/>
    <s v="Female"/>
    <n v="69"/>
    <s v="Hyderabad"/>
    <x v="1"/>
    <n v="21"/>
    <n v="499"/>
    <n v="10479"/>
    <s v="No Internet"/>
    <d v="2024-01-03T00:00:00"/>
    <s v="Yes"/>
    <s v="No"/>
    <s v="No"/>
    <s v="No"/>
    <s v="No"/>
    <s v="No"/>
  </r>
  <r>
    <x v="1429"/>
    <s v="Vikram Verma"/>
    <s v="Male"/>
    <n v="55"/>
    <s v="Mumbai"/>
    <x v="0"/>
    <n v="5"/>
    <n v="349"/>
    <n v="1745"/>
    <s v="No Internet"/>
    <d v="2025-04-21T00:00:00"/>
    <s v="Yes"/>
    <s v="No"/>
    <s v="No"/>
    <s v="No"/>
    <s v="No"/>
    <s v="No"/>
  </r>
  <r>
    <x v="1430"/>
    <s v="Tanvi Nair"/>
    <s v="Female"/>
    <n v="63"/>
    <s v="Ahmedabad"/>
    <x v="0"/>
    <n v="21"/>
    <n v="849"/>
    <n v="17829"/>
    <s v="DSL"/>
    <d v="2023-12-29T00:00:00"/>
    <s v="No"/>
    <s v="No"/>
    <s v="No"/>
    <s v="No"/>
    <s v="No"/>
    <s v="No"/>
  </r>
  <r>
    <x v="1431"/>
    <s v="Gaurav Chopra"/>
    <s v="Male"/>
    <n v="20"/>
    <s v="Pune"/>
    <x v="0"/>
    <n v="3"/>
    <n v="599"/>
    <n v="1797"/>
    <s v="DSL"/>
    <d v="2025-06-04T00:00:00"/>
    <s v="Yes"/>
    <s v="No"/>
    <s v="No"/>
    <s v="No"/>
    <s v="No"/>
    <s v="No"/>
  </r>
  <r>
    <x v="1432"/>
    <s v="Shreya Saxena"/>
    <s v="Female"/>
    <n v="43"/>
    <s v="Kochi"/>
    <x v="1"/>
    <n v="9"/>
    <n v="899"/>
    <n v="8091"/>
    <s v="DSL"/>
    <d v="2024-12-03T00:00:00"/>
    <s v="No"/>
    <s v="No"/>
    <s v="No"/>
    <s v="No"/>
    <s v="No"/>
    <s v="No"/>
  </r>
  <r>
    <x v="1433"/>
    <s v="Unknown"/>
    <s v="Male"/>
    <n v="34"/>
    <s v="Kolkata"/>
    <x v="0"/>
    <n v="11"/>
    <n v="399"/>
    <n v="4389"/>
    <s v="No Internet"/>
    <d v="2024-10-14T00:00:00"/>
    <s v="Yes"/>
    <s v="No"/>
    <s v="No"/>
    <s v="No"/>
    <s v="No"/>
    <s v="No"/>
  </r>
  <r>
    <x v="1434"/>
    <s v="Kavita Mehta"/>
    <s v="Female"/>
    <n v="64"/>
    <s v="Bangalore"/>
    <x v="0"/>
    <n v="21"/>
    <n v="1199"/>
    <n v="25179"/>
    <s v="Fiber"/>
    <d v="2023-12-27T00:00:00"/>
    <s v="No"/>
    <s v="No"/>
    <s v="No"/>
    <s v="No"/>
    <s v="No"/>
    <s v="No"/>
  </r>
  <r>
    <x v="1435"/>
    <s v="Priya Reddy"/>
    <s v="Female"/>
    <n v="48"/>
    <s v="Kochi"/>
    <x v="2"/>
    <n v="28"/>
    <n v="1049"/>
    <n v="29372"/>
    <s v="Fiber"/>
    <d v="2023-05-30T00:00:00"/>
    <s v="No"/>
    <s v="No"/>
    <s v="No"/>
    <s v="No"/>
    <s v="Yes"/>
    <s v="No"/>
  </r>
  <r>
    <x v="1436"/>
    <s v="Vivek Agarwal"/>
    <s v="Male"/>
    <n v="69"/>
    <s v="Delhi"/>
    <x v="0"/>
    <n v="18"/>
    <n v="1149"/>
    <n v="20682"/>
    <s v="Fiber"/>
    <d v="2024-03-27T00:00:00"/>
    <s v="Yes"/>
    <s v="No"/>
    <s v="No"/>
    <s v="No"/>
    <s v="No"/>
    <s v="No"/>
  </r>
  <r>
    <x v="1437"/>
    <s v="Vivek Bose"/>
    <s v="Male"/>
    <n v="58"/>
    <s v="Kochi"/>
    <x v="0"/>
    <n v="14"/>
    <n v="549"/>
    <n v="7686"/>
    <s v="No Internet"/>
    <d v="2024-07-25T00:00:00"/>
    <s v="Yes"/>
    <s v="No"/>
    <s v="No"/>
    <s v="No"/>
    <s v="No"/>
    <s v="No"/>
  </r>
  <r>
    <x v="1438"/>
    <s v="Ankit Malhotra"/>
    <s v="Male"/>
    <n v="37"/>
    <s v="Indore"/>
    <x v="2"/>
    <n v="33"/>
    <n v="349"/>
    <n v="11517"/>
    <s v="No Internet"/>
    <d v="2023-01-11T00:00:00"/>
    <s v="No"/>
    <s v="No"/>
    <s v="No"/>
    <s v="No"/>
    <s v="No"/>
    <s v="No"/>
  </r>
  <r>
    <x v="1439"/>
    <s v="Ankit Nair"/>
    <s v="Male"/>
    <n v="43"/>
    <s v="Delhi"/>
    <x v="0"/>
    <n v="9"/>
    <n v="549"/>
    <n v="4941"/>
    <s v="No Internet"/>
    <d v="2025-01-01T00:00:00"/>
    <s v="No"/>
    <s v="No"/>
    <s v="No"/>
    <s v="No"/>
    <s v="No"/>
    <s v="No"/>
  </r>
  <r>
    <x v="1440"/>
    <s v="Riya Saxena"/>
    <s v="Female"/>
    <n v="47"/>
    <s v="Ahmedabad"/>
    <x v="2"/>
    <n v="71"/>
    <n v="699"/>
    <n v="49629"/>
    <s v="Unknown"/>
    <d v="2019-10-31T00:00:00"/>
    <s v="No"/>
    <s v="Yes"/>
    <s v="No"/>
    <s v="No"/>
    <s v="No"/>
    <s v="No"/>
  </r>
  <r>
    <x v="1441"/>
    <s v="Sonal Agarwal"/>
    <s v="Female"/>
    <n v="39"/>
    <s v="Bangalore"/>
    <x v="0"/>
    <n v="22"/>
    <n v="749"/>
    <n v="16478"/>
    <s v="DSL"/>
    <d v="2023-11-23T00:00:00"/>
    <s v="No"/>
    <s v="No"/>
    <s v="No"/>
    <s v="No"/>
    <s v="No"/>
    <s v="No"/>
  </r>
  <r>
    <x v="1442"/>
    <s v="Karan Singh"/>
    <s v="Male"/>
    <n v="65"/>
    <s v="Bhopal"/>
    <x v="0"/>
    <n v="22"/>
    <n v="1099"/>
    <n v="24178"/>
    <s v="Fiber"/>
    <d v="2023-12-02T00:00:00"/>
    <s v="No"/>
    <s v="No"/>
    <s v="No"/>
    <s v="No"/>
    <s v="No"/>
    <s v="No"/>
  </r>
  <r>
    <x v="1443"/>
    <s v="Aman Reddy"/>
    <s v="Male"/>
    <n v="66"/>
    <s v="Chennai"/>
    <x v="0"/>
    <n v="18"/>
    <n v="899"/>
    <n v="16182"/>
    <s v="Fiber"/>
    <d v="2024-03-10T00:00:00"/>
    <s v="No"/>
    <s v="No"/>
    <s v="No"/>
    <s v="No"/>
    <s v="No"/>
    <s v="No"/>
  </r>
  <r>
    <x v="1444"/>
    <s v="Rahul Nair"/>
    <s v="Male"/>
    <n v="22"/>
    <s v="Kochi"/>
    <x v="1"/>
    <n v="18"/>
    <n v="899"/>
    <n v="16182"/>
    <s v="Fiber"/>
    <d v="2024-03-21T00:00:00"/>
    <s v="No"/>
    <s v="No"/>
    <s v="No"/>
    <s v="No"/>
    <s v="No"/>
    <s v="No"/>
  </r>
  <r>
    <x v="1445"/>
    <s v="Payal Reddy"/>
    <s v="Female"/>
    <n v="48"/>
    <s v="Indore"/>
    <x v="1"/>
    <n v="23"/>
    <n v="899"/>
    <n v="20677"/>
    <s v="Fiber"/>
    <m/>
    <s v="Yes"/>
    <s v="No"/>
    <s v="No"/>
    <s v="No"/>
    <s v="No"/>
    <s v="Date missing"/>
  </r>
  <r>
    <x v="1446"/>
    <s v="Sachin Malhotra"/>
    <s v="Male"/>
    <n v="64"/>
    <s v="Delhi"/>
    <x v="2"/>
    <n v="12"/>
    <n v="999"/>
    <n v="11988"/>
    <s v="Fiber"/>
    <d v="2024-09-17T00:00:00"/>
    <s v="No"/>
    <s v="No"/>
    <s v="No"/>
    <s v="No"/>
    <s v="No"/>
    <s v="No"/>
  </r>
  <r>
    <x v="1447"/>
    <s v="Gaurav Chopra"/>
    <s v="Male"/>
    <n v="40"/>
    <s v="Delhi"/>
    <x v="0"/>
    <n v="14"/>
    <n v="1299"/>
    <n v="18186"/>
    <s v="Fiber"/>
    <d v="2024-07-23T00:00:00"/>
    <s v="No"/>
    <s v="No"/>
    <s v="No"/>
    <s v="No"/>
    <s v="No"/>
    <s v="No"/>
  </r>
  <r>
    <x v="1448"/>
    <s v="Arjun Mehta"/>
    <s v="Male"/>
    <n v="57"/>
    <s v="Indore"/>
    <x v="0"/>
    <n v="23"/>
    <n v="1199"/>
    <n v="27577"/>
    <s v="Fiber"/>
    <d v="2023-10-10T00:00:00"/>
    <s v="No"/>
    <s v="No"/>
    <s v="No"/>
    <s v="No"/>
    <s v="No"/>
    <s v="No"/>
  </r>
  <r>
    <x v="1449"/>
    <s v="Sonal Kapoor"/>
    <s v="Female"/>
    <n v="42"/>
    <s v="Pune"/>
    <x v="1"/>
    <n v="3"/>
    <n v="599"/>
    <n v="1797"/>
    <s v="DSL"/>
    <d v="2025-06-19T00:00:00"/>
    <s v="Yes"/>
    <s v="No"/>
    <s v="No"/>
    <s v="No"/>
    <s v="No"/>
    <s v="No"/>
  </r>
  <r>
    <x v="1450"/>
    <s v="Aman Chopra"/>
    <s v="Male"/>
    <n v="39"/>
    <s v="Kolkata"/>
    <x v="1"/>
    <n v="21"/>
    <n v="899"/>
    <n v="18879"/>
    <s v="DSL"/>
    <d v="2024-01-04T00:00:00"/>
    <s v="Yes"/>
    <s v="No"/>
    <s v="No"/>
    <s v="No"/>
    <s v="No"/>
    <s v="No"/>
  </r>
  <r>
    <x v="1451"/>
    <s v="Rajesh Singh"/>
    <s v="Male"/>
    <n v="48"/>
    <s v="Ahmedabad"/>
    <x v="1"/>
    <n v="22"/>
    <n v="1149"/>
    <n v="25278"/>
    <s v="Fiber"/>
    <d v="2023-11-18T00:00:00"/>
    <s v="No"/>
    <s v="No"/>
    <s v="No"/>
    <s v="No"/>
    <s v="No"/>
    <s v="No"/>
  </r>
  <r>
    <x v="1452"/>
    <s v="Ritu Iyer"/>
    <s v="Female"/>
    <n v="52"/>
    <s v="Chandigarh"/>
    <x v="0"/>
    <n v="4"/>
    <n v="599"/>
    <n v="2396"/>
    <s v="DSL"/>
    <d v="2025-05-05T00:00:00"/>
    <s v="No"/>
    <s v="No"/>
    <s v="No"/>
    <s v="No"/>
    <s v="No"/>
    <s v="No"/>
  </r>
  <r>
    <x v="1453"/>
    <s v="Pooja Malhotra"/>
    <s v="Female"/>
    <n v="39"/>
    <s v="Chandigarh"/>
    <x v="0"/>
    <n v="17"/>
    <n v="699"/>
    <n v="11883"/>
    <s v="DSL"/>
    <d v="2024-04-27T00:00:00"/>
    <s v="Yes"/>
    <s v="No"/>
    <s v="No"/>
    <s v="No"/>
    <s v="No"/>
    <s v="No"/>
  </r>
  <r>
    <x v="1454"/>
    <s v="Priya Sharma"/>
    <s v="Female"/>
    <n v="36"/>
    <s v="Pune"/>
    <x v="0"/>
    <n v="5"/>
    <n v="799"/>
    <n v="3995"/>
    <s v="DSL"/>
    <d v="2025-04-20T00:00:00"/>
    <s v="No"/>
    <s v="No"/>
    <s v="No"/>
    <s v="No"/>
    <s v="No"/>
    <s v="No"/>
  </r>
  <r>
    <x v="1455"/>
    <s v="Karan Malhotra"/>
    <s v="Male"/>
    <n v="67"/>
    <s v="Pune"/>
    <x v="0"/>
    <n v="19"/>
    <n v="649"/>
    <n v="12331"/>
    <s v="DSL"/>
    <d v="2024-02-28T00:00:00"/>
    <s v="Yes"/>
    <s v="No"/>
    <s v="No"/>
    <s v="No"/>
    <s v="No"/>
    <s v="No"/>
  </r>
  <r>
    <x v="1456"/>
    <s v="Sonal Mishra"/>
    <s v="Female"/>
    <n v="47"/>
    <s v="Mumbai"/>
    <x v="2"/>
    <n v="70"/>
    <n v="1149"/>
    <n v="80430"/>
    <s v="Fiber"/>
    <d v="2019-12-17T00:00:00"/>
    <s v="Yes"/>
    <s v="Yes"/>
    <s v="No"/>
    <s v="No"/>
    <s v="No"/>
    <s v="No"/>
  </r>
  <r>
    <x v="1457"/>
    <s v="Harsh Tiwari"/>
    <s v="Male"/>
    <n v="23"/>
    <s v="Indore"/>
    <x v="0"/>
    <n v="5"/>
    <n v="899"/>
    <n v="4495"/>
    <s v="Fiber"/>
    <d v="2025-04-03T00:00:00"/>
    <s v="Yes"/>
    <s v="No"/>
    <s v="No"/>
    <s v="No"/>
    <s v="No"/>
    <s v="No"/>
  </r>
  <r>
    <x v="1458"/>
    <s v="Sneha Desai"/>
    <s v="Female"/>
    <n v="69"/>
    <s v="Pune"/>
    <x v="0"/>
    <n v="6"/>
    <n v="799"/>
    <n v="4794"/>
    <s v="DSL"/>
    <d v="2025-03-27T00:00:00"/>
    <s v="Yes"/>
    <s v="No"/>
    <s v="No"/>
    <s v="No"/>
    <s v="No"/>
    <s v="No"/>
  </r>
  <r>
    <x v="1459"/>
    <s v="Rajesh Pandey"/>
    <s v="Male"/>
    <n v="73"/>
    <s v="Mumbai"/>
    <x v="1"/>
    <n v="14"/>
    <n v="849"/>
    <n v="11886"/>
    <s v="DSL"/>
    <d v="2024-07-09T00:00:00"/>
    <s v="No"/>
    <s v="No"/>
    <s v="No"/>
    <s v="No"/>
    <s v="No"/>
    <s v="No"/>
  </r>
  <r>
    <x v="1460"/>
    <s v="Vivek Sharma"/>
    <s v="Male"/>
    <n v="61"/>
    <s v="Jaipur"/>
    <x v="2"/>
    <n v="25"/>
    <n v="1149"/>
    <n v="28725"/>
    <s v="Fiber"/>
    <d v="2023-09-03T00:00:00"/>
    <s v="Unknown"/>
    <s v="No"/>
    <s v="No"/>
    <s v="No"/>
    <s v="No"/>
    <s v="Churn unknown"/>
  </r>
  <r>
    <x v="1461"/>
    <s v="Deepika Jain"/>
    <s v="Female"/>
    <n v="36"/>
    <s v="Pune"/>
    <x v="0"/>
    <n v="14"/>
    <n v="449"/>
    <n v="6286"/>
    <s v="No Internet"/>
    <d v="2024-07-08T00:00:00"/>
    <s v="Yes"/>
    <s v="No"/>
    <s v="No"/>
    <s v="No"/>
    <s v="No"/>
    <s v="No"/>
  </r>
  <r>
    <x v="1462"/>
    <s v="Vivek Malhotra"/>
    <s v="Male"/>
    <n v="59"/>
    <s v="Lucknow"/>
    <x v="0"/>
    <n v="13"/>
    <n v="449"/>
    <n v="5837"/>
    <s v="No Internet"/>
    <d v="2024-08-16T00:00:00"/>
    <s v="No"/>
    <s v="No"/>
    <s v="No"/>
    <s v="No"/>
    <s v="No"/>
    <s v="No"/>
  </r>
  <r>
    <x v="1463"/>
    <s v="Rajesh Reddy"/>
    <s v="Male"/>
    <n v="60"/>
    <s v="Hyderabad"/>
    <x v="0"/>
    <n v="8"/>
    <n v="849"/>
    <n v="6792"/>
    <s v="DSL"/>
    <d v="2025-01-27T00:00:00"/>
    <s v="No"/>
    <s v="No"/>
    <s v="No"/>
    <s v="No"/>
    <s v="Yes"/>
    <s v="No"/>
  </r>
  <r>
    <x v="1464"/>
    <s v="Suresh Reddy"/>
    <s v="Male"/>
    <n v="54"/>
    <s v="Delhi"/>
    <x v="1"/>
    <n v="1"/>
    <n v="899"/>
    <n v="899"/>
    <s v="Fiber"/>
    <d v="2025-08-25T00:00:00"/>
    <s v="Yes"/>
    <s v="No"/>
    <s v="No"/>
    <s v="Yes"/>
    <s v="No"/>
    <s v="No"/>
  </r>
  <r>
    <x v="1465"/>
    <s v="Karan Patel"/>
    <s v="Male"/>
    <n v="38"/>
    <s v="Kolkata"/>
    <x v="0"/>
    <n v="9"/>
    <n v="1199"/>
    <n v="10791"/>
    <s v="Fiber"/>
    <d v="2024-12-28T00:00:00"/>
    <s v="No"/>
    <s v="No"/>
    <s v="No"/>
    <s v="No"/>
    <s v="No"/>
    <s v="No"/>
  </r>
  <r>
    <x v="1466"/>
    <s v="Deepak Patel"/>
    <s v="Male"/>
    <n v="30"/>
    <s v="Chandigarh"/>
    <x v="1"/>
    <n v="16"/>
    <n v="449"/>
    <n v="7184"/>
    <s v="No Internet"/>
    <d v="2024-05-28T00:00:00"/>
    <s v="No"/>
    <s v="No"/>
    <s v="No"/>
    <s v="No"/>
    <s v="No"/>
    <s v="No"/>
  </r>
  <r>
    <x v="1467"/>
    <s v="Vivek Kapoor"/>
    <s v="Male"/>
    <n v="28"/>
    <s v="Delhi"/>
    <x v="1"/>
    <n v="30"/>
    <n v="399"/>
    <n v="11970"/>
    <s v="No Internet"/>
    <d v="2023-03-15T00:00:00"/>
    <s v="No"/>
    <s v="No"/>
    <s v="No"/>
    <s v="No"/>
    <s v="No"/>
    <s v="No"/>
  </r>
  <r>
    <x v="1468"/>
    <s v="Pooja Iyer"/>
    <s v="Female"/>
    <n v="35"/>
    <s v="Bangalore"/>
    <x v="0"/>
    <n v="17"/>
    <n v="599"/>
    <n v="10183"/>
    <s v="DSL"/>
    <d v="2024-04-16T00:00:00"/>
    <s v="Yes"/>
    <s v="No"/>
    <s v="No"/>
    <s v="No"/>
    <s v="No"/>
    <s v="No"/>
  </r>
  <r>
    <x v="1469"/>
    <s v="Ankit Mehta"/>
    <s v="Male"/>
    <n v="62"/>
    <s v="Chandigarh"/>
    <x v="0"/>
    <n v="13"/>
    <n v="999"/>
    <n v="12987"/>
    <s v="Fiber"/>
    <d v="2024-08-06T00:00:00"/>
    <s v="Yes"/>
    <s v="No"/>
    <s v="No"/>
    <s v="No"/>
    <s v="No"/>
    <s v="No"/>
  </r>
  <r>
    <x v="1470"/>
    <s v="Rahul Nair"/>
    <s v="Male"/>
    <n v="59"/>
    <s v="Ahmedabad"/>
    <x v="0"/>
    <n v="18"/>
    <n v="399"/>
    <n v="7182"/>
    <s v="No Internet"/>
    <d v="2024-03-14T00:00:00"/>
    <s v="Yes"/>
    <s v="No"/>
    <s v="No"/>
    <s v="No"/>
    <s v="No"/>
    <s v="No"/>
  </r>
  <r>
    <x v="1471"/>
    <s v="Payal Malhotra"/>
    <s v="Female"/>
    <n v="62"/>
    <s v="Mumbai"/>
    <x v="0"/>
    <n v="10"/>
    <n v="1099"/>
    <n v="10990"/>
    <s v="Fiber"/>
    <d v="2024-11-04T00:00:00"/>
    <s v="Yes"/>
    <s v="No"/>
    <s v="No"/>
    <s v="Yes"/>
    <s v="No"/>
    <s v="No"/>
  </r>
  <r>
    <x v="1472"/>
    <s v="Manish Iyer"/>
    <s v="Male"/>
    <n v="34"/>
    <s v="Kochi"/>
    <x v="0"/>
    <n v="18"/>
    <n v="549"/>
    <n v="9882"/>
    <s v="No Internet"/>
    <d v="2024-03-21T00:00:00"/>
    <s v="No"/>
    <s v="No"/>
    <s v="No"/>
    <s v="No"/>
    <s v="No"/>
    <s v="No"/>
  </r>
  <r>
    <x v="1473"/>
    <s v="Gaurav Jain"/>
    <s v="Male"/>
    <n v="18"/>
    <s v="Bangalore"/>
    <x v="2"/>
    <n v="71"/>
    <n v="749"/>
    <n v="53179"/>
    <s v="DSL"/>
    <d v="2019-11-23T00:00:00"/>
    <s v="Yes"/>
    <s v="No"/>
    <s v="No"/>
    <s v="No"/>
    <s v="No"/>
    <s v="No"/>
  </r>
  <r>
    <x v="1474"/>
    <s v="Karan Agarwal"/>
    <s v="Male"/>
    <n v="37"/>
    <s v="Bhopal"/>
    <x v="1"/>
    <n v="18"/>
    <n v="799"/>
    <n v="14382"/>
    <s v="DSL"/>
    <d v="2024-03-18T00:00:00"/>
    <s v="No"/>
    <s v="No"/>
    <s v="No"/>
    <s v="No"/>
    <s v="No"/>
    <s v="No"/>
  </r>
  <r>
    <x v="1475"/>
    <s v="Anjali Rao"/>
    <s v="Female"/>
    <n v="48"/>
    <s v="Lucknow"/>
    <x v="0"/>
    <n v="2"/>
    <n v="899"/>
    <n v="1798"/>
    <s v="DSL"/>
    <d v="2025-07-23T00:00:00"/>
    <s v="Yes"/>
    <s v="No"/>
    <s v="No"/>
    <s v="No"/>
    <s v="No"/>
    <s v="No"/>
  </r>
  <r>
    <x v="1476"/>
    <s v="Komal Nair"/>
    <s v="Female"/>
    <n v="45"/>
    <s v="Jaipur"/>
    <x v="0"/>
    <n v="19"/>
    <n v="649"/>
    <n v="12331"/>
    <s v="DSL"/>
    <d v="2024-03-01T00:00:00"/>
    <s v="No"/>
    <s v="No"/>
    <s v="No"/>
    <s v="No"/>
    <s v="No"/>
    <s v="No"/>
  </r>
  <r>
    <x v="1477"/>
    <s v="Nisha Mishra"/>
    <s v="Female"/>
    <n v="65"/>
    <s v="Mumbai"/>
    <x v="0"/>
    <n v="18"/>
    <n v="399"/>
    <n v="7182"/>
    <s v="No Internet"/>
    <d v="2024-03-31T00:00:00"/>
    <s v="Yes"/>
    <s v="No"/>
    <s v="No"/>
    <s v="No"/>
    <s v="No"/>
    <s v="No"/>
  </r>
  <r>
    <x v="1478"/>
    <s v="Aman Reddy"/>
    <s v="Male"/>
    <n v="20"/>
    <s v="Chennai"/>
    <x v="0"/>
    <n v="4"/>
    <n v="1199"/>
    <n v="4796"/>
    <s v="Fiber"/>
    <d v="2025-05-03T00:00:00"/>
    <s v="No"/>
    <s v="No"/>
    <s v="No"/>
    <s v="No"/>
    <s v="No"/>
    <s v="No"/>
  </r>
  <r>
    <x v="1479"/>
    <s v="Vikram Joshi"/>
    <s v="Male"/>
    <n v="47"/>
    <s v="Lucknow"/>
    <x v="0"/>
    <n v="20"/>
    <n v="399"/>
    <n v="7980"/>
    <s v="No Internet"/>
    <d v="2024-01-15T00:00:00"/>
    <s v="Yes"/>
    <s v="Yes"/>
    <s v="No"/>
    <s v="No"/>
    <s v="No"/>
    <s v="No"/>
  </r>
  <r>
    <x v="1480"/>
    <s v="Sonal Gupta"/>
    <s v="Female"/>
    <n v="60"/>
    <s v="Kochi"/>
    <x v="1"/>
    <n v="32"/>
    <n v="899"/>
    <n v="28768"/>
    <s v="DSL"/>
    <d v="2023-02-08T00:00:00"/>
    <s v="No"/>
    <s v="No"/>
    <s v="No"/>
    <s v="No"/>
    <s v="No"/>
    <s v="No"/>
  </r>
  <r>
    <x v="1481"/>
    <s v="Mohit Bose"/>
    <s v="Male"/>
    <n v="32"/>
    <s v="Lucknow"/>
    <x v="0"/>
    <n v="12"/>
    <n v="1299"/>
    <n v="15588"/>
    <s v="Fiber"/>
    <d v="2024-09-28T00:00:00"/>
    <s v="No"/>
    <s v="No"/>
    <s v="No"/>
    <s v="No"/>
    <s v="No"/>
    <s v="No"/>
  </r>
  <r>
    <x v="1482"/>
    <s v="Karan Chopra"/>
    <s v="Unknown"/>
    <n v="54"/>
    <s v="Delhi"/>
    <x v="1"/>
    <n v="11"/>
    <n v="649"/>
    <n v="7139"/>
    <s v="DSL"/>
    <d v="2024-10-27T00:00:00"/>
    <s v="No"/>
    <s v="No"/>
    <s v="No"/>
    <s v="No"/>
    <s v="No"/>
    <s v="No"/>
  </r>
  <r>
    <x v="1483"/>
    <s v="Sanjay Singh"/>
    <s v="Male"/>
    <n v="36"/>
    <s v="Ahmedabad"/>
    <x v="0"/>
    <n v="20"/>
    <n v="899"/>
    <n v="17980"/>
    <s v="Fiber"/>
    <d v="2024-01-14T00:00:00"/>
    <s v="No"/>
    <s v="No"/>
    <s v="No"/>
    <s v="No"/>
    <s v="No"/>
    <s v="No"/>
  </r>
  <r>
    <x v="1484"/>
    <s v="Aman Chopra"/>
    <s v="Male"/>
    <n v="66"/>
    <s v="Kochi"/>
    <x v="3"/>
    <n v="5"/>
    <n v="899"/>
    <n v="4495"/>
    <s v="Fiber"/>
    <d v="2025-05-01T00:00:00"/>
    <s v="Yes"/>
    <s v="No"/>
    <s v="No"/>
    <s v="No"/>
    <s v="No"/>
    <s v="No"/>
  </r>
  <r>
    <x v="1485"/>
    <s v="Aman Verma"/>
    <s v="Male"/>
    <n v="52"/>
    <s v="Bangalore"/>
    <x v="1"/>
    <n v="7"/>
    <n v="399"/>
    <n v="2793"/>
    <s v="No Internet"/>
    <d v="2025-02-26T00:00:00"/>
    <s v="Unknown"/>
    <s v="No"/>
    <s v="No"/>
    <s v="No"/>
    <s v="No"/>
    <s v="Churn unknown"/>
  </r>
  <r>
    <x v="1486"/>
    <s v="Anjali Tiwari"/>
    <s v="Female"/>
    <n v="32"/>
    <s v="Bhopal"/>
    <x v="2"/>
    <n v="67"/>
    <n v="849"/>
    <n v="56883"/>
    <s v="DSL"/>
    <d v="2020-02-28T00:00:00"/>
    <s v="No"/>
    <s v="No"/>
    <s v="No"/>
    <s v="No"/>
    <s v="No"/>
    <s v="No"/>
  </r>
  <r>
    <x v="1487"/>
    <s v="Shreya Gupta"/>
    <s v="Female"/>
    <n v="71"/>
    <s v="Lucknow"/>
    <x v="0"/>
    <n v="15"/>
    <n v="999"/>
    <n v="14985"/>
    <s v="Fiber"/>
    <d v="2024-06-21T00:00:00"/>
    <s v="No"/>
    <s v="No"/>
    <s v="No"/>
    <s v="No"/>
    <s v="No"/>
    <s v="No"/>
  </r>
  <r>
    <x v="1488"/>
    <s v="Swati Malhotra"/>
    <s v="Female"/>
    <n v="56"/>
    <s v="Hyderabad"/>
    <x v="2"/>
    <n v="3"/>
    <n v="1099"/>
    <n v="3297"/>
    <s v="Fiber"/>
    <d v="2025-06-13T00:00:00"/>
    <s v="No"/>
    <s v="No"/>
    <s v="No"/>
    <s v="No"/>
    <s v="No"/>
    <s v="No"/>
  </r>
  <r>
    <x v="1489"/>
    <s v="Neha Bose"/>
    <s v="Female"/>
    <n v="25"/>
    <s v="Kochi"/>
    <x v="1"/>
    <n v="15"/>
    <n v="549"/>
    <n v="8235"/>
    <s v="No Internet"/>
    <d v="2024-07-02T00:00:00"/>
    <s v="No"/>
    <s v="No"/>
    <s v="No"/>
    <s v="No"/>
    <s v="No"/>
    <s v="No"/>
  </r>
  <r>
    <x v="1490"/>
    <s v="Divya Chopra"/>
    <s v="Female"/>
    <n v="55"/>
    <s v="Bhopal"/>
    <x v="1"/>
    <n v="34"/>
    <n v="649"/>
    <n v="22066"/>
    <s v="DSL"/>
    <d v="2022-12-06T00:00:00"/>
    <s v="No"/>
    <s v="No"/>
    <s v="No"/>
    <s v="No"/>
    <s v="No"/>
    <s v="No"/>
  </r>
  <r>
    <x v="1491"/>
    <s v="Mohit Yadav"/>
    <s v="Male"/>
    <n v="52"/>
    <s v="Mumbai"/>
    <x v="0"/>
    <n v="11"/>
    <n v="1149"/>
    <n v="12639"/>
    <s v="Fiber"/>
    <d v="2024-10-23T00:00:00"/>
    <s v="Yes"/>
    <s v="No"/>
    <s v="No"/>
    <s v="No"/>
    <s v="No"/>
    <s v="No"/>
  </r>
  <r>
    <x v="1492"/>
    <s v="Arjun Verma"/>
    <s v="Male"/>
    <n v="45"/>
    <s v="Ahmedabad"/>
    <x v="2"/>
    <n v="29"/>
    <n v="849"/>
    <n v="24621"/>
    <s v="DSL"/>
    <d v="2023-04-23T00:00:00"/>
    <s v="No"/>
    <s v="No"/>
    <s v="No"/>
    <s v="No"/>
    <s v="No"/>
    <s v="No"/>
  </r>
  <r>
    <x v="1493"/>
    <s v="Neha Tiwari"/>
    <s v="Female"/>
    <n v="64"/>
    <s v="Indore"/>
    <x v="0"/>
    <n v="11"/>
    <n v="999"/>
    <n v="10989"/>
    <s v="Fiber"/>
    <d v="2024-10-23T00:00:00"/>
    <s v="No"/>
    <s v="No"/>
    <s v="No"/>
    <s v="No"/>
    <s v="No"/>
    <s v="No"/>
  </r>
  <r>
    <x v="1494"/>
    <s v="Amit Sharma"/>
    <s v="Male"/>
    <n v="67"/>
    <s v="Delhi"/>
    <x v="1"/>
    <n v="2"/>
    <n v="1049"/>
    <n v="2098"/>
    <s v="Fiber"/>
    <d v="2025-07-05T00:00:00"/>
    <s v="No"/>
    <s v="No"/>
    <s v="No"/>
    <s v="No"/>
    <s v="No"/>
    <s v="No"/>
  </r>
  <r>
    <x v="1495"/>
    <s v="Vikram Pandey"/>
    <s v="Male"/>
    <n v="30"/>
    <s v="Ahmedabad"/>
    <x v="2"/>
    <n v="69"/>
    <n v="849"/>
    <n v="58581"/>
    <s v="DSL"/>
    <d v="2020-01-05T00:00:00"/>
    <s v="No"/>
    <s v="No"/>
    <s v="No"/>
    <s v="No"/>
    <s v="No"/>
    <s v="No"/>
  </r>
  <r>
    <x v="1496"/>
    <s v="Rohit Patel"/>
    <s v="Male"/>
    <n v="38"/>
    <s v="Kolkata"/>
    <x v="1"/>
    <n v="33"/>
    <n v="1049"/>
    <n v="34617"/>
    <s v="Fiber"/>
    <d v="2023-01-10T00:00:00"/>
    <s v="No"/>
    <s v="No"/>
    <s v="No"/>
    <s v="No"/>
    <s v="Yes"/>
    <s v="No"/>
  </r>
  <r>
    <x v="1497"/>
    <s v="Pankaj Saxena"/>
    <s v="Male"/>
    <n v="54"/>
    <s v="Jaipur"/>
    <x v="0"/>
    <n v="3"/>
    <n v="999"/>
    <n v="2997"/>
    <s v="Fiber"/>
    <d v="2025-06-05T00:00:00"/>
    <s v="Yes"/>
    <s v="No"/>
    <s v="No"/>
    <s v="No"/>
    <s v="Yes"/>
    <s v="No"/>
  </r>
  <r>
    <x v="1498"/>
    <s v="Nikhil Rao"/>
    <s v="Unknown"/>
    <n v="48"/>
    <s v="Delhi"/>
    <x v="0"/>
    <n v="2"/>
    <n v="899"/>
    <n v="1798"/>
    <s v="Unknown"/>
    <d v="2025-07-02T00:00:00"/>
    <s v="No"/>
    <s v="No"/>
    <s v="No"/>
    <s v="No"/>
    <s v="No"/>
    <s v="No"/>
  </r>
  <r>
    <x v="1499"/>
    <s v="Deepak Patel"/>
    <s v="Male"/>
    <n v="58"/>
    <s v="Pune"/>
    <x v="0"/>
    <n v="9"/>
    <n v="999"/>
    <n v="8991"/>
    <s v="Fiber"/>
    <d v="2024-12-29T00:00:00"/>
    <s v="Yes"/>
    <s v="No"/>
    <s v="No"/>
    <s v="No"/>
    <s v="No"/>
    <s v="No"/>
  </r>
  <r>
    <x v="1500"/>
    <s v="Vivek Singh"/>
    <s v="Male"/>
    <n v="69"/>
    <s v="Chennai"/>
    <x v="0"/>
    <n v="12"/>
    <n v="449"/>
    <n v="5388"/>
    <s v="No Internet"/>
    <d v="2024-09-28T00:00:00"/>
    <s v="Yes"/>
    <s v="No"/>
    <s v="No"/>
    <s v="No"/>
    <s v="No"/>
    <s v="No"/>
  </r>
  <r>
    <x v="1501"/>
    <s v="Sneha Mishra"/>
    <s v="Female"/>
    <n v="63"/>
    <s v="Delhi"/>
    <x v="1"/>
    <n v="14"/>
    <n v="649"/>
    <n v="9086"/>
    <s v="DSL"/>
    <d v="2024-07-18T00:00:00"/>
    <s v="No"/>
    <s v="No"/>
    <s v="Yes"/>
    <s v="No"/>
    <s v="No"/>
    <s v="No"/>
  </r>
  <r>
    <x v="1502"/>
    <s v="Riya Patel"/>
    <s v="Female"/>
    <n v="68"/>
    <s v="Delhi"/>
    <x v="1"/>
    <n v="34"/>
    <n v="999"/>
    <n v="33966"/>
    <s v="Fiber"/>
    <d v="2022-11-18T00:00:00"/>
    <s v="Yes"/>
    <s v="No"/>
    <s v="No"/>
    <s v="No"/>
    <s v="No"/>
    <s v="No"/>
  </r>
  <r>
    <x v="1503"/>
    <s v="Karan Rao"/>
    <s v="Male"/>
    <n v="34"/>
    <s v="Chandigarh"/>
    <x v="0"/>
    <m/>
    <n v="449"/>
    <m/>
    <s v="No Internet"/>
    <d v="2024-04-28T00:00:00"/>
    <s v="No"/>
    <s v="No"/>
    <s v="No"/>
    <s v="No"/>
    <s v="No"/>
    <s v="Total missing; Tenure missing"/>
  </r>
  <r>
    <x v="1504"/>
    <s v="Sachin Desai"/>
    <s v="Male"/>
    <n v="49"/>
    <s v="Hyderabad"/>
    <x v="0"/>
    <n v="7"/>
    <n v="1199"/>
    <n v="8393"/>
    <s v="Fiber"/>
    <d v="2025-02-23T00:00:00"/>
    <s v="Yes"/>
    <s v="No"/>
    <s v="Yes"/>
    <s v="No"/>
    <s v="No"/>
    <s v="No"/>
  </r>
  <r>
    <x v="1505"/>
    <s v="Vikram Singh"/>
    <s v="Male"/>
    <n v="62"/>
    <s v="Unknown"/>
    <x v="1"/>
    <n v="11"/>
    <n v="799"/>
    <n v="8789"/>
    <s v="DSL"/>
    <d v="2024-10-28T00:00:00"/>
    <s v="No"/>
    <s v="No"/>
    <s v="No"/>
    <s v="No"/>
    <s v="No"/>
    <s v="No"/>
  </r>
  <r>
    <x v="1506"/>
    <s v="Manish Tiwari"/>
    <s v="Male"/>
    <n v="66"/>
    <s v="Bhopal"/>
    <x v="0"/>
    <n v="17"/>
    <n v="999"/>
    <n v="16983"/>
    <s v="Fiber"/>
    <d v="2024-04-12T00:00:00"/>
    <s v="Yes"/>
    <s v="No"/>
    <s v="No"/>
    <s v="No"/>
    <s v="No"/>
    <s v="No"/>
  </r>
  <r>
    <x v="1507"/>
    <s v="Neha Kapoor"/>
    <s v="Female"/>
    <n v="73"/>
    <s v="Delhi"/>
    <x v="2"/>
    <n v="50"/>
    <n v="649"/>
    <n v="32450"/>
    <s v="DSL"/>
    <d v="2021-07-24T00:00:00"/>
    <s v="No"/>
    <s v="No"/>
    <s v="No"/>
    <s v="No"/>
    <s v="No"/>
    <s v="No"/>
  </r>
  <r>
    <x v="1508"/>
    <s v="Arjun Rao"/>
    <s v="Male"/>
    <n v="68"/>
    <s v="Hyderabad"/>
    <x v="1"/>
    <n v="35"/>
    <n v="999"/>
    <n v="34965"/>
    <s v="Fiber"/>
    <d v="2022-10-17T00:00:00"/>
    <s v="Yes"/>
    <s v="No"/>
    <s v="No"/>
    <s v="No"/>
    <s v="No"/>
    <s v="No"/>
  </r>
  <r>
    <x v="1509"/>
    <s v="Vikram Desai"/>
    <s v="Male"/>
    <n v="42"/>
    <s v="Chennai"/>
    <x v="0"/>
    <n v="10"/>
    <n v="799"/>
    <n v="7990"/>
    <s v="DSL"/>
    <d v="2024-11-03T00:00:00"/>
    <s v="No"/>
    <s v="No"/>
    <s v="No"/>
    <s v="No"/>
    <s v="No"/>
    <s v="No"/>
  </r>
  <r>
    <x v="1510"/>
    <s v="Manish Agarwal"/>
    <s v="Male"/>
    <n v="24"/>
    <s v="Pune"/>
    <x v="0"/>
    <n v="17"/>
    <n v="1299"/>
    <n v="22083"/>
    <s v="Fiber"/>
    <d v="2024-05-02T00:00:00"/>
    <s v="Yes"/>
    <s v="No"/>
    <s v="No"/>
    <s v="No"/>
    <s v="No"/>
    <s v="No"/>
  </r>
  <r>
    <x v="1511"/>
    <s v="Riya Pandey"/>
    <s v="Female"/>
    <n v="21"/>
    <s v="Indore"/>
    <x v="1"/>
    <n v="4"/>
    <n v="899"/>
    <n v="3596"/>
    <s v="DSL"/>
    <d v="2025-05-25T00:00:00"/>
    <s v="Yes"/>
    <s v="No"/>
    <s v="No"/>
    <s v="Yes"/>
    <s v="No"/>
    <s v="No"/>
  </r>
  <r>
    <x v="1512"/>
    <s v="Aman Mehta"/>
    <s v="Male"/>
    <n v="71"/>
    <s v="Jaipur"/>
    <x v="0"/>
    <n v="23"/>
    <n v="599"/>
    <n v="13777"/>
    <s v="DSL"/>
    <d v="2023-10-14T00:00:00"/>
    <s v="No"/>
    <s v="No"/>
    <s v="No"/>
    <s v="No"/>
    <s v="No"/>
    <s v="No"/>
  </r>
  <r>
    <x v="1513"/>
    <s v="Vikram Reddy"/>
    <s v="Male"/>
    <n v="63"/>
    <s v="Lucknow"/>
    <x v="0"/>
    <n v="4"/>
    <n v="899"/>
    <n v="3596"/>
    <s v="Fiber"/>
    <d v="2025-05-24T00:00:00"/>
    <s v="No"/>
    <s v="No"/>
    <s v="No"/>
    <s v="No"/>
    <s v="No"/>
    <s v="No"/>
  </r>
  <r>
    <x v="1514"/>
    <s v="Sanjay Desai"/>
    <s v="Male"/>
    <n v="31"/>
    <s v="Bangalore"/>
    <x v="0"/>
    <n v="8"/>
    <n v="599"/>
    <n v="4792"/>
    <s v="DSL"/>
    <d v="2025-01-29T00:00:00"/>
    <s v="No"/>
    <s v="No"/>
    <s v="No"/>
    <s v="No"/>
    <s v="No"/>
    <s v="No"/>
  </r>
  <r>
    <x v="1515"/>
    <s v="Swati Rao"/>
    <s v="Female"/>
    <n v="24"/>
    <s v="Ahmedabad"/>
    <x v="2"/>
    <n v="71"/>
    <n v="549"/>
    <n v="38979"/>
    <s v="No Internet"/>
    <d v="2019-11-29T00:00:00"/>
    <s v="No"/>
    <s v="No"/>
    <s v="No"/>
    <s v="No"/>
    <s v="No"/>
    <s v="No"/>
  </r>
  <r>
    <x v="1516"/>
    <s v="Sanjay Sharma"/>
    <s v="Male"/>
    <n v="69"/>
    <s v="Delhi"/>
    <x v="1"/>
    <n v="27"/>
    <n v="599"/>
    <n v="16173"/>
    <s v="DSL"/>
    <d v="2023-06-25T00:00:00"/>
    <s v="No"/>
    <s v="No"/>
    <s v="No"/>
    <s v="No"/>
    <s v="No"/>
    <s v="No"/>
  </r>
  <r>
    <x v="1517"/>
    <s v="Manish Pandey"/>
    <s v="Male"/>
    <n v="42"/>
    <s v="Pune"/>
    <x v="0"/>
    <n v="9"/>
    <n v="1049"/>
    <n v="9441"/>
    <s v="Fiber"/>
    <d v="2024-12-09T00:00:00"/>
    <s v="Yes"/>
    <s v="No"/>
    <s v="No"/>
    <s v="No"/>
    <s v="No"/>
    <s v="No"/>
  </r>
  <r>
    <x v="1518"/>
    <s v="Priya Yadav"/>
    <s v="Female"/>
    <n v="61"/>
    <s v="Hyderabad"/>
    <x v="0"/>
    <n v="12"/>
    <n v="899"/>
    <n v="10788"/>
    <s v="Fiber"/>
    <d v="2024-10-01T00:00:00"/>
    <s v="Yes"/>
    <s v="No"/>
    <s v="No"/>
    <s v="No"/>
    <s v="No"/>
    <s v="No"/>
  </r>
  <r>
    <x v="1519"/>
    <s v="Mohit Chopra"/>
    <s v="Male"/>
    <n v="67"/>
    <s v="Lucknow"/>
    <x v="0"/>
    <n v="8"/>
    <n v="1099"/>
    <n v="8792"/>
    <s v="Fiber"/>
    <d v="2025-01-05T00:00:00"/>
    <s v="No"/>
    <s v="No"/>
    <s v="No"/>
    <s v="No"/>
    <s v="No"/>
    <s v="No"/>
  </r>
  <r>
    <x v="1520"/>
    <s v="Rajesh Singh"/>
    <s v="Male"/>
    <n v="66"/>
    <s v="Kolkata"/>
    <x v="0"/>
    <n v="6"/>
    <n v="549"/>
    <n v="3294"/>
    <s v="No Internet"/>
    <d v="2025-03-30T00:00:00"/>
    <s v="No"/>
    <s v="No"/>
    <s v="No"/>
    <s v="No"/>
    <s v="No"/>
    <s v="No"/>
  </r>
  <r>
    <x v="1521"/>
    <s v="Ankit Malhotra"/>
    <s v="Male"/>
    <n v="39"/>
    <s v="Pune"/>
    <x v="0"/>
    <n v="2"/>
    <n v="849"/>
    <n v="1698"/>
    <s v="DSL"/>
    <d v="2025-07-13T00:00:00"/>
    <s v="Yes"/>
    <s v="No"/>
    <s v="No"/>
    <s v="No"/>
    <s v="No"/>
    <s v="No"/>
  </r>
  <r>
    <x v="1522"/>
    <s v="Sneha Patel"/>
    <s v="Female"/>
    <n v="58"/>
    <s v="Delhi"/>
    <x v="1"/>
    <n v="32"/>
    <n v="749"/>
    <n v="23968"/>
    <s v="DSL"/>
    <d v="2023-01-19T00:00:00"/>
    <s v="No"/>
    <s v="No"/>
    <s v="No"/>
    <s v="No"/>
    <s v="No"/>
    <s v="No"/>
  </r>
  <r>
    <x v="1523"/>
    <s v="Mohit Pandey"/>
    <s v="Male"/>
    <n v="24"/>
    <s v="Mumbai"/>
    <x v="1"/>
    <n v="2"/>
    <n v="999"/>
    <n v="1998"/>
    <s v="Fiber"/>
    <m/>
    <s v="No"/>
    <s v="No"/>
    <s v="No"/>
    <s v="No"/>
    <s v="No"/>
    <s v="Date missing"/>
  </r>
  <r>
    <x v="1524"/>
    <s v="Divya Rao"/>
    <s v="Female"/>
    <n v="74"/>
    <s v="Lucknow"/>
    <x v="0"/>
    <n v="1"/>
    <n v="499"/>
    <n v="499"/>
    <s v="No Internet"/>
    <m/>
    <s v="Yes"/>
    <s v="No"/>
    <s v="No"/>
    <s v="No"/>
    <s v="No"/>
    <s v="Date missing"/>
  </r>
  <r>
    <x v="1525"/>
    <s v="Karan Gupta"/>
    <s v="Unknown"/>
    <n v="67"/>
    <s v="Hyderabad"/>
    <x v="0"/>
    <n v="2"/>
    <n v="899"/>
    <n v="1798"/>
    <s v="DSL"/>
    <d v="2025-07-17T00:00:00"/>
    <s v="Yes"/>
    <s v="No"/>
    <s v="No"/>
    <s v="No"/>
    <s v="No"/>
    <s v="No"/>
  </r>
  <r>
    <x v="1526"/>
    <s v="Gaurav Chopra"/>
    <s v="Male"/>
    <n v="72"/>
    <s v="Ahmedabad"/>
    <x v="0"/>
    <n v="5"/>
    <n v="999"/>
    <n v="4995"/>
    <s v="Fiber"/>
    <d v="2025-04-22T00:00:00"/>
    <s v="No"/>
    <s v="No"/>
    <s v="No"/>
    <s v="Yes"/>
    <s v="No"/>
    <s v="No"/>
  </r>
  <r>
    <x v="1527"/>
    <s v="Karan Nair"/>
    <s v="Male"/>
    <n v="37"/>
    <s v="Jaipur"/>
    <x v="0"/>
    <n v="15"/>
    <n v="999"/>
    <n v="14985"/>
    <s v="Fiber"/>
    <d v="2024-06-20T00:00:00"/>
    <s v="Yes"/>
    <s v="No"/>
    <s v="No"/>
    <s v="No"/>
    <s v="No"/>
    <s v="No"/>
  </r>
  <r>
    <x v="1528"/>
    <s v="Vivek Verma"/>
    <s v="Male"/>
    <n v="31"/>
    <s v="Hyderabad"/>
    <x v="1"/>
    <n v="8"/>
    <n v="899"/>
    <n v="7192"/>
    <s v="Fiber"/>
    <d v="2025-01-09T00:00:00"/>
    <s v="No"/>
    <s v="No"/>
    <s v="No"/>
    <s v="No"/>
    <s v="No"/>
    <s v="No"/>
  </r>
  <r>
    <x v="1529"/>
    <s v="Pankaj Verma"/>
    <s v="Male"/>
    <n v="50"/>
    <s v="Pune"/>
    <x v="2"/>
    <n v="9"/>
    <n v="1049"/>
    <n v="9441"/>
    <s v="Fiber"/>
    <d v="2024-12-03T00:00:00"/>
    <s v="No"/>
    <s v="No"/>
    <s v="No"/>
    <s v="No"/>
    <s v="Yes"/>
    <s v="No"/>
  </r>
  <r>
    <x v="1530"/>
    <s v="Ankit Malhotra"/>
    <s v="Male"/>
    <n v="55"/>
    <s v="Kochi"/>
    <x v="0"/>
    <n v="23"/>
    <n v="1149"/>
    <n v="26427"/>
    <s v="Fiber"/>
    <d v="2023-10-21T00:00:00"/>
    <s v="No"/>
    <s v="No"/>
    <s v="No"/>
    <s v="No"/>
    <s v="No"/>
    <s v="No"/>
  </r>
  <r>
    <x v="1531"/>
    <s v="Aditi Mishra"/>
    <s v="Female"/>
    <n v="59"/>
    <s v="Lucknow"/>
    <x v="1"/>
    <m/>
    <m/>
    <n v="34470"/>
    <s v="Unknown"/>
    <d v="2023-03-18T00:00:00"/>
    <s v="Yes"/>
    <s v="No"/>
    <s v="No"/>
    <s v="No"/>
    <s v="No"/>
    <s v="Monthly missing; Tenure missing"/>
  </r>
  <r>
    <x v="1532"/>
    <s v="Tanvi Rao"/>
    <s v="Female"/>
    <n v="58"/>
    <s v="Lucknow"/>
    <x v="0"/>
    <n v="4"/>
    <n v="699"/>
    <n v="2796"/>
    <s v="DSL"/>
    <d v="2025-05-13T00:00:00"/>
    <s v="No"/>
    <s v="No"/>
    <s v="No"/>
    <s v="No"/>
    <s v="No"/>
    <s v="No"/>
  </r>
  <r>
    <x v="1533"/>
    <s v="Arjun Mehta"/>
    <s v="Male"/>
    <n v="24"/>
    <s v="Bangalore"/>
    <x v="2"/>
    <n v="29"/>
    <n v="399"/>
    <n v="11571"/>
    <s v="No Internet"/>
    <d v="2023-04-29T00:00:00"/>
    <s v="No"/>
    <s v="No"/>
    <s v="No"/>
    <s v="No"/>
    <s v="No"/>
    <s v="No"/>
  </r>
  <r>
    <x v="1534"/>
    <s v="Tanvi Mishra"/>
    <s v="Female"/>
    <n v="21"/>
    <s v="Kolkata"/>
    <x v="1"/>
    <n v="36"/>
    <n v="749"/>
    <n v="26964"/>
    <s v="Unknown"/>
    <d v="2022-09-30T00:00:00"/>
    <s v="No"/>
    <s v="No"/>
    <s v="No"/>
    <s v="No"/>
    <s v="No"/>
    <s v="No"/>
  </r>
  <r>
    <x v="1535"/>
    <s v="Priya Chopra"/>
    <s v="Female"/>
    <n v="46"/>
    <s v="Bangalore"/>
    <x v="1"/>
    <n v="15"/>
    <n v="799"/>
    <n v="11985"/>
    <s v="DSL"/>
    <d v="2024-06-14T00:00:00"/>
    <s v="No"/>
    <s v="No"/>
    <s v="No"/>
    <s v="No"/>
    <s v="No"/>
    <s v="No"/>
  </r>
  <r>
    <x v="1536"/>
    <s v="Ritu Jain"/>
    <s v="Female"/>
    <n v="26"/>
    <s v="Indore"/>
    <x v="2"/>
    <n v="37"/>
    <n v="899"/>
    <n v="33263"/>
    <s v="Fiber"/>
    <d v="2022-08-17T00:00:00"/>
    <s v="No"/>
    <s v="No"/>
    <s v="No"/>
    <s v="No"/>
    <s v="No"/>
    <s v="No"/>
  </r>
  <r>
    <x v="1537"/>
    <s v="Rohit Pandey"/>
    <s v="Male"/>
    <n v="54"/>
    <s v="Lucknow"/>
    <x v="0"/>
    <n v="5"/>
    <n v="749"/>
    <n v="3745"/>
    <s v="DSL"/>
    <d v="2025-04-27T00:00:00"/>
    <s v="Yes"/>
    <s v="No"/>
    <s v="No"/>
    <s v="No"/>
    <s v="No"/>
    <s v="No"/>
  </r>
  <r>
    <x v="1538"/>
    <s v="Kavita Kumar"/>
    <s v="Female"/>
    <n v="68"/>
    <s v="Jaipur"/>
    <x v="0"/>
    <n v="14"/>
    <n v="899"/>
    <n v="12586"/>
    <s v="Fiber"/>
    <d v="2024-07-20T00:00:00"/>
    <s v="Yes"/>
    <s v="No"/>
    <s v="No"/>
    <s v="No"/>
    <s v="Yes"/>
    <s v="No"/>
  </r>
  <r>
    <x v="1539"/>
    <s v="Anjali Saxena"/>
    <s v="Female"/>
    <n v="71"/>
    <s v="Indore"/>
    <x v="2"/>
    <n v="68"/>
    <n v="1149"/>
    <n v="78132"/>
    <s v="Fiber"/>
    <d v="2020-02-03T00:00:00"/>
    <s v="No"/>
    <s v="No"/>
    <s v="No"/>
    <s v="No"/>
    <s v="No"/>
    <s v="No"/>
  </r>
  <r>
    <x v="1540"/>
    <s v="Suresh Mehta"/>
    <s v="Male"/>
    <n v="67"/>
    <s v="Chennai"/>
    <x v="0"/>
    <n v="19"/>
    <n v="899"/>
    <n v="17081"/>
    <s v="DSL"/>
    <d v="2024-02-28T00:00:00"/>
    <s v="No"/>
    <s v="No"/>
    <s v="No"/>
    <s v="No"/>
    <s v="No"/>
    <s v="No"/>
  </r>
  <r>
    <x v="1541"/>
    <s v="Rahul Gupta"/>
    <s v="Male"/>
    <n v="48"/>
    <s v="Kochi"/>
    <x v="0"/>
    <n v="17"/>
    <n v="749"/>
    <n v="12733"/>
    <s v="DSL"/>
    <d v="2024-04-24T00:00:00"/>
    <s v="No"/>
    <s v="No"/>
    <s v="No"/>
    <s v="No"/>
    <s v="No"/>
    <s v="No"/>
  </r>
  <r>
    <x v="1542"/>
    <s v="Amit Reddy"/>
    <s v="Male"/>
    <n v="71"/>
    <s v="Kochi"/>
    <x v="0"/>
    <n v="3"/>
    <n v="849"/>
    <n v="2547"/>
    <s v="DSL"/>
    <d v="2025-06-04T00:00:00"/>
    <s v="Yes"/>
    <s v="No"/>
    <s v="No"/>
    <s v="No"/>
    <s v="No"/>
    <s v="No"/>
  </r>
  <r>
    <x v="1543"/>
    <s v="Amit Kumar"/>
    <s v="Male"/>
    <n v="42"/>
    <s v="Jaipur"/>
    <x v="0"/>
    <n v="3"/>
    <n v="1199"/>
    <n v="3597"/>
    <s v="Fiber"/>
    <d v="2025-06-07T00:00:00"/>
    <s v="Yes"/>
    <s v="No"/>
    <s v="No"/>
    <s v="No"/>
    <s v="No"/>
    <s v="No"/>
  </r>
  <r>
    <x v="1544"/>
    <s v="Sneha Kapoor"/>
    <s v="Female"/>
    <n v="44"/>
    <s v="Kochi"/>
    <x v="0"/>
    <n v="7"/>
    <n v="1149"/>
    <n v="8043"/>
    <s v="Fiber"/>
    <d v="2025-02-10T00:00:00"/>
    <s v="No"/>
    <s v="No"/>
    <s v="No"/>
    <s v="No"/>
    <s v="No"/>
    <s v="No"/>
  </r>
  <r>
    <x v="1545"/>
    <s v="Amit Agarwal"/>
    <s v="Male"/>
    <n v="41"/>
    <s v="Hyderabad"/>
    <x v="1"/>
    <n v="32"/>
    <n v="749"/>
    <n v="23968"/>
    <s v="DSL"/>
    <d v="2023-02-06T00:00:00"/>
    <s v="No"/>
    <s v="No"/>
    <s v="No"/>
    <s v="No"/>
    <s v="Yes"/>
    <s v="No"/>
  </r>
  <r>
    <x v="1546"/>
    <s v="Ankit Singh"/>
    <s v="Unknown"/>
    <n v="64"/>
    <s v="Kolkata"/>
    <x v="1"/>
    <n v="9"/>
    <n v="999"/>
    <n v="8991"/>
    <s v="Fiber"/>
    <d v="2024-12-07T00:00:00"/>
    <s v="Yes"/>
    <s v="No"/>
    <s v="No"/>
    <s v="Yes"/>
    <s v="No"/>
    <s v="No"/>
  </r>
  <r>
    <x v="1547"/>
    <s v="Gaurav Agarwal"/>
    <s v="Male"/>
    <n v="58"/>
    <s v="Chandigarh"/>
    <x v="0"/>
    <n v="2"/>
    <n v="1149"/>
    <n v="2298"/>
    <s v="Fiber"/>
    <d v="2025-07-06T00:00:00"/>
    <s v="Unknown"/>
    <s v="No"/>
    <s v="No"/>
    <s v="No"/>
    <s v="Yes"/>
    <s v="Churn unknown"/>
  </r>
  <r>
    <x v="1548"/>
    <s v="Priya Rao"/>
    <s v="Female"/>
    <n v="51"/>
    <s v="Indore"/>
    <x v="0"/>
    <n v="7"/>
    <n v="649"/>
    <n v="4543"/>
    <s v="DSL"/>
    <d v="2025-02-01T00:00:00"/>
    <s v="Yes"/>
    <s v="No"/>
    <s v="No"/>
    <s v="No"/>
    <s v="No"/>
    <s v="No"/>
  </r>
  <r>
    <x v="1549"/>
    <s v="Nikhil Patel"/>
    <s v="Male"/>
    <n v="63"/>
    <s v="Bangalore"/>
    <x v="0"/>
    <n v="13"/>
    <n v="549"/>
    <n v="7137"/>
    <s v="No Internet"/>
    <d v="2024-08-20T00:00:00"/>
    <s v="No"/>
    <s v="No"/>
    <s v="No"/>
    <s v="No"/>
    <s v="No"/>
    <s v="No"/>
  </r>
  <r>
    <x v="1550"/>
    <s v="Sanjay Gupta"/>
    <s v="Male"/>
    <n v="61"/>
    <s v="Mumbai"/>
    <x v="0"/>
    <n v="13"/>
    <n v="599"/>
    <n v="7787"/>
    <s v="DSL"/>
    <d v="2024-08-18T00:00:00"/>
    <s v="Yes"/>
    <s v="No"/>
    <s v="No"/>
    <s v="No"/>
    <s v="No"/>
    <s v="No"/>
  </r>
  <r>
    <x v="1551"/>
    <s v="Pooja Kapoor"/>
    <s v="Female"/>
    <n v="49"/>
    <s v="Jaipur"/>
    <x v="1"/>
    <n v="8"/>
    <n v="649"/>
    <n v="5192"/>
    <s v="DSL"/>
    <d v="2025-01-10T00:00:00"/>
    <s v="Yes"/>
    <s v="No"/>
    <s v="No"/>
    <s v="No"/>
    <s v="No"/>
    <s v="No"/>
  </r>
  <r>
    <x v="1552"/>
    <s v="Aditi Malhotra"/>
    <s v="Female"/>
    <n v="55"/>
    <s v="Delhi"/>
    <x v="1"/>
    <n v="38"/>
    <n v="699"/>
    <n v="26562"/>
    <s v="DSL"/>
    <d v="2022-08-06T00:00:00"/>
    <s v="No"/>
    <s v="No"/>
    <s v="No"/>
    <s v="No"/>
    <s v="No"/>
    <s v="No"/>
  </r>
  <r>
    <x v="1553"/>
    <s v="Karan Tiwari"/>
    <s v="Male"/>
    <n v="35"/>
    <s v="Chennai"/>
    <x v="2"/>
    <n v="27"/>
    <n v="849"/>
    <n v="22923"/>
    <s v="DSL"/>
    <d v="2023-06-24T00:00:00"/>
    <s v="No"/>
    <s v="No"/>
    <s v="No"/>
    <s v="No"/>
    <s v="No"/>
    <s v="No"/>
  </r>
  <r>
    <x v="1554"/>
    <s v="Rohit Kapoor"/>
    <s v="Male"/>
    <n v="65"/>
    <s v="Kochi"/>
    <x v="0"/>
    <n v="6"/>
    <n v="899"/>
    <n v="5394"/>
    <s v="Fiber"/>
    <m/>
    <s v="No"/>
    <s v="No"/>
    <s v="No"/>
    <s v="No"/>
    <s v="No"/>
    <s v="Date missing"/>
  </r>
  <r>
    <x v="1555"/>
    <s v="Tanvi Mishra"/>
    <s v="Female"/>
    <n v="70"/>
    <s v="Unknown"/>
    <x v="0"/>
    <n v="17"/>
    <n v="749"/>
    <n v="12733"/>
    <s v="DSL"/>
    <d v="2024-04-13T00:00:00"/>
    <s v="No"/>
    <s v="No"/>
    <s v="No"/>
    <s v="No"/>
    <s v="No"/>
    <s v="No"/>
  </r>
  <r>
    <x v="1556"/>
    <s v="Riya Kapoor"/>
    <s v="Female"/>
    <n v="32"/>
    <s v="Kochi"/>
    <x v="0"/>
    <n v="18"/>
    <n v="549"/>
    <n v="9882"/>
    <s v="No Internet"/>
    <d v="2024-03-16T00:00:00"/>
    <s v="Yes"/>
    <s v="No"/>
    <s v="No"/>
    <s v="No"/>
    <s v="Yes"/>
    <s v="No"/>
  </r>
  <r>
    <x v="1557"/>
    <s v="Nisha Sharma"/>
    <s v="Female"/>
    <n v="39"/>
    <s v="Hyderabad"/>
    <x v="1"/>
    <n v="2"/>
    <n v="1299"/>
    <n v="2598"/>
    <s v="Fiber"/>
    <d v="2025-07-10T00:00:00"/>
    <s v="No"/>
    <s v="No"/>
    <s v="No"/>
    <s v="No"/>
    <s v="No"/>
    <s v="No"/>
  </r>
  <r>
    <x v="1558"/>
    <s v="Divya Saxena"/>
    <s v="Female"/>
    <n v="25"/>
    <s v="Ahmedabad"/>
    <x v="0"/>
    <n v="16"/>
    <n v="649"/>
    <n v="10384"/>
    <s v="DSL"/>
    <d v="2024-06-01T00:00:00"/>
    <s v="No"/>
    <s v="No"/>
    <s v="No"/>
    <s v="No"/>
    <s v="No"/>
    <s v="No"/>
  </r>
  <r>
    <x v="1559"/>
    <s v="Aman Sharma"/>
    <s v="Male"/>
    <n v="42"/>
    <s v="Jaipur"/>
    <x v="0"/>
    <n v="6"/>
    <n v="999"/>
    <n v="5994"/>
    <s v="Fiber"/>
    <d v="2025-03-27T00:00:00"/>
    <s v="Yes"/>
    <s v="No"/>
    <s v="No"/>
    <s v="No"/>
    <s v="No"/>
    <s v="No"/>
  </r>
  <r>
    <x v="1560"/>
    <s v="Deepak Saxena"/>
    <s v="Male"/>
    <n v="73"/>
    <s v="Indore"/>
    <x v="0"/>
    <n v="18"/>
    <n v="899"/>
    <n v="16182"/>
    <s v="Fiber"/>
    <d v="2024-04-02T00:00:00"/>
    <s v="Yes"/>
    <s v="No"/>
    <s v="No"/>
    <s v="No"/>
    <s v="No"/>
    <s v="No"/>
  </r>
  <r>
    <x v="1561"/>
    <s v="Unknown"/>
    <s v="Male"/>
    <n v="47"/>
    <s v="Bangalore"/>
    <x v="0"/>
    <n v="11"/>
    <n v="1099"/>
    <n v="12089"/>
    <s v="Fiber"/>
    <d v="2024-11-01T00:00:00"/>
    <s v="No"/>
    <s v="Yes"/>
    <s v="No"/>
    <s v="No"/>
    <s v="Yes"/>
    <s v="No"/>
  </r>
  <r>
    <x v="1562"/>
    <s v="Ritu Tiwari"/>
    <s v="Female"/>
    <n v="57"/>
    <s v="Lucknow"/>
    <x v="0"/>
    <n v="1"/>
    <n v="999"/>
    <n v="999"/>
    <s v="Fiber"/>
    <d v="2025-08-04T00:00:00"/>
    <s v="No"/>
    <s v="No"/>
    <s v="No"/>
    <s v="No"/>
    <s v="Yes"/>
    <s v="No"/>
  </r>
  <r>
    <x v="1563"/>
    <s v="Pankaj Pandey"/>
    <s v="Male"/>
    <n v="64"/>
    <s v="Hyderabad"/>
    <x v="1"/>
    <n v="39"/>
    <n v="1199"/>
    <n v="46761"/>
    <s v="Fiber"/>
    <d v="2022-07-07T00:00:00"/>
    <s v="No"/>
    <s v="No"/>
    <s v="No"/>
    <s v="No"/>
    <s v="No"/>
    <s v="No"/>
  </r>
  <r>
    <x v="1564"/>
    <s v="Harsh Yadav"/>
    <s v="Male"/>
    <n v="39"/>
    <s v="Chandigarh"/>
    <x v="1"/>
    <n v="5"/>
    <n v="899"/>
    <n v="4495"/>
    <s v="Fiber"/>
    <d v="2025-04-11T00:00:00"/>
    <s v="Yes"/>
    <s v="No"/>
    <s v="No"/>
    <s v="No"/>
    <s v="No"/>
    <s v="No"/>
  </r>
  <r>
    <x v="1565"/>
    <s v="Sneha Pandey"/>
    <s v="Female"/>
    <n v="59"/>
    <s v="Ahmedabad"/>
    <x v="0"/>
    <n v="8"/>
    <n v="499"/>
    <n v="3992"/>
    <s v="No Internet"/>
    <d v="2025-01-25T00:00:00"/>
    <s v="Yes"/>
    <s v="No"/>
    <s v="No"/>
    <s v="No"/>
    <s v="No"/>
    <s v="No"/>
  </r>
  <r>
    <x v="1566"/>
    <s v="Rahul Yadav"/>
    <s v="Male"/>
    <n v="46"/>
    <s v="Unknown"/>
    <x v="0"/>
    <n v="20"/>
    <n v="599"/>
    <n v="11980"/>
    <s v="DSL"/>
    <d v="2024-01-20T00:00:00"/>
    <s v="No"/>
    <s v="No"/>
    <s v="Yes"/>
    <s v="No"/>
    <s v="No"/>
    <s v="No"/>
  </r>
  <r>
    <x v="1567"/>
    <s v="Divya Mishra"/>
    <s v="Female"/>
    <n v="27"/>
    <s v="Chandigarh"/>
    <x v="1"/>
    <n v="33"/>
    <n v="399"/>
    <n v="13167"/>
    <s v="No Internet"/>
    <d v="2023-01-08T00:00:00"/>
    <s v="No"/>
    <s v="No"/>
    <s v="No"/>
    <s v="No"/>
    <s v="No"/>
    <s v="No"/>
  </r>
  <r>
    <x v="1568"/>
    <s v="Payal Bose"/>
    <s v="Female"/>
    <n v="30"/>
    <s v="Ahmedabad"/>
    <x v="2"/>
    <n v="69"/>
    <n v="699"/>
    <n v="48231"/>
    <s v="DSL"/>
    <d v="2020-01-08T00:00:00"/>
    <s v="Yes"/>
    <s v="No"/>
    <s v="No"/>
    <s v="No"/>
    <s v="No"/>
    <s v="No"/>
  </r>
  <r>
    <x v="1569"/>
    <s v="Manish Patel"/>
    <s v="Male"/>
    <n v="21"/>
    <s v="Bhopal"/>
    <x v="0"/>
    <n v="12"/>
    <n v="899"/>
    <n v="10788"/>
    <s v="DSL"/>
    <d v="2024-09-23T00:00:00"/>
    <s v="No"/>
    <s v="No"/>
    <s v="No"/>
    <s v="No"/>
    <s v="No"/>
    <s v="No"/>
  </r>
  <r>
    <x v="1570"/>
    <s v="Tanvi Verma"/>
    <s v="Female"/>
    <n v="19"/>
    <s v="Indore"/>
    <x v="0"/>
    <n v="18"/>
    <n v="649"/>
    <n v="11682"/>
    <s v="DSL"/>
    <d v="2024-03-29T00:00:00"/>
    <s v="No"/>
    <s v="No"/>
    <s v="No"/>
    <s v="No"/>
    <s v="No"/>
    <s v="No"/>
  </r>
  <r>
    <x v="1571"/>
    <s v="Meera Jain"/>
    <s v="Female"/>
    <n v="43"/>
    <s v="Ahmedabad"/>
    <x v="1"/>
    <n v="23"/>
    <n v="899"/>
    <n v="20677"/>
    <s v="DSL"/>
    <d v="2023-10-19T00:00:00"/>
    <s v="No"/>
    <s v="No"/>
    <s v="No"/>
    <s v="No"/>
    <s v="No"/>
    <s v="No"/>
  </r>
  <r>
    <x v="1572"/>
    <s v="Rohit Saxena"/>
    <s v="Male"/>
    <n v="52"/>
    <s v="Bhopal"/>
    <x v="1"/>
    <n v="26"/>
    <n v="899"/>
    <n v="23374"/>
    <s v="DSL"/>
    <m/>
    <s v="No"/>
    <s v="No"/>
    <s v="No"/>
    <s v="No"/>
    <s v="No"/>
    <s v="Date missing"/>
  </r>
  <r>
    <x v="1573"/>
    <s v="Nikhil Rao"/>
    <s v="Male"/>
    <n v="28"/>
    <s v="Chennai"/>
    <x v="0"/>
    <n v="11"/>
    <n v="1149"/>
    <n v="12639"/>
    <s v="Fiber"/>
    <d v="2024-10-04T00:00:00"/>
    <s v="No"/>
    <s v="No"/>
    <s v="No"/>
    <s v="Yes"/>
    <s v="No"/>
    <s v="No"/>
  </r>
  <r>
    <x v="1574"/>
    <s v="Meera Joshi"/>
    <s v="Female"/>
    <n v="42"/>
    <s v="Bangalore"/>
    <x v="2"/>
    <n v="29"/>
    <n v="899"/>
    <n v="26071"/>
    <s v="DSL"/>
    <d v="2023-04-23T00:00:00"/>
    <s v="No"/>
    <s v="No"/>
    <s v="No"/>
    <s v="No"/>
    <s v="No"/>
    <s v="No"/>
  </r>
  <r>
    <x v="1575"/>
    <s v="Anjali Nair"/>
    <s v="Female"/>
    <n v="47"/>
    <s v="Jaipur"/>
    <x v="0"/>
    <n v="12"/>
    <n v="899"/>
    <n v="10788"/>
    <s v="Fiber"/>
    <d v="2024-09-21T00:00:00"/>
    <s v="No"/>
    <s v="Yes"/>
    <s v="No"/>
    <s v="No"/>
    <s v="No"/>
    <s v="No"/>
  </r>
  <r>
    <x v="1576"/>
    <s v="Priya Yadav"/>
    <s v="Female"/>
    <n v="38"/>
    <s v="Kochi"/>
    <x v="0"/>
    <n v="9"/>
    <n v="899"/>
    <n v="8091"/>
    <s v="Fiber"/>
    <d v="2024-12-13T00:00:00"/>
    <s v="Yes"/>
    <s v="No"/>
    <s v="No"/>
    <s v="No"/>
    <s v="Yes"/>
    <s v="No"/>
  </r>
  <r>
    <x v="1577"/>
    <s v="Mohit Bose"/>
    <s v="Male"/>
    <n v="47"/>
    <s v="Chandigarh"/>
    <x v="0"/>
    <n v="16"/>
    <n v="899"/>
    <n v="14384"/>
    <s v="Fiber"/>
    <d v="2024-05-14T00:00:00"/>
    <s v="No"/>
    <s v="Yes"/>
    <s v="No"/>
    <s v="No"/>
    <s v="No"/>
    <s v="No"/>
  </r>
  <r>
    <x v="1578"/>
    <s v="Tanvi Nair"/>
    <s v="Female"/>
    <n v="35"/>
    <s v="Kochi"/>
    <x v="0"/>
    <n v="7"/>
    <n v="349"/>
    <n v="2443"/>
    <s v="No Internet"/>
    <m/>
    <s v="Yes"/>
    <s v="No"/>
    <s v="No"/>
    <s v="No"/>
    <s v="No"/>
    <s v="Date missing"/>
  </r>
  <r>
    <x v="1579"/>
    <s v="Nikhil Joshi"/>
    <s v="Unknown"/>
    <n v="30"/>
    <s v="Mumbai"/>
    <x v="0"/>
    <n v="20"/>
    <n v="649"/>
    <n v="12980"/>
    <s v="DSL"/>
    <d v="2024-01-10T00:00:00"/>
    <s v="No"/>
    <s v="No"/>
    <s v="No"/>
    <s v="No"/>
    <s v="No"/>
    <s v="No"/>
  </r>
  <r>
    <x v="1580"/>
    <s v="Manish Tiwari"/>
    <s v="Unknown"/>
    <n v="46"/>
    <s v="Chandigarh"/>
    <x v="0"/>
    <n v="20"/>
    <n v="699"/>
    <n v="13980"/>
    <s v="DSL"/>
    <d v="2024-01-17T00:00:00"/>
    <s v="No"/>
    <s v="No"/>
    <s v="No"/>
    <s v="No"/>
    <s v="No"/>
    <s v="No"/>
  </r>
  <r>
    <x v="1581"/>
    <s v="Harsh Kumar"/>
    <s v="Male"/>
    <n v="20"/>
    <s v="Unknown"/>
    <x v="0"/>
    <n v="20"/>
    <n v="899"/>
    <n v="17980"/>
    <s v="Fiber"/>
    <d v="2024-01-20T00:00:00"/>
    <s v="No"/>
    <s v="No"/>
    <s v="No"/>
    <s v="No"/>
    <s v="Yes"/>
    <s v="No"/>
  </r>
  <r>
    <x v="1582"/>
    <s v="Pankaj Agarwal"/>
    <s v="Male"/>
    <n v="71"/>
    <s v="Bangalore"/>
    <x v="1"/>
    <n v="24"/>
    <n v="649"/>
    <n v="15576"/>
    <s v="DSL"/>
    <d v="2023-09-12T00:00:00"/>
    <s v="No"/>
    <s v="No"/>
    <s v="No"/>
    <s v="No"/>
    <s v="No"/>
    <s v="No"/>
  </r>
  <r>
    <x v="1583"/>
    <s v="Divya Gupta"/>
    <s v="Female"/>
    <n v="74"/>
    <s v="Bangalore"/>
    <x v="2"/>
    <n v="55"/>
    <n v="899"/>
    <n v="49445"/>
    <s v="Fiber"/>
    <d v="2021-03-05T00:00:00"/>
    <s v="No"/>
    <s v="No"/>
    <s v="No"/>
    <s v="No"/>
    <s v="Yes"/>
    <s v="No"/>
  </r>
  <r>
    <x v="1584"/>
    <s v="Shreya Mishra"/>
    <s v="Unknown"/>
    <n v="46"/>
    <s v="Chennai"/>
    <x v="0"/>
    <n v="16"/>
    <n v="849"/>
    <n v="13584"/>
    <s v="DSL"/>
    <d v="2024-05-13T00:00:00"/>
    <s v="Yes"/>
    <s v="No"/>
    <s v="No"/>
    <s v="No"/>
    <s v="No"/>
    <s v="No"/>
  </r>
  <r>
    <x v="1585"/>
    <s v="Sonal Chopra"/>
    <s v="Female"/>
    <n v="39"/>
    <s v="Bhopal"/>
    <x v="1"/>
    <n v="21"/>
    <n v="549"/>
    <n v="11529"/>
    <s v="No Internet"/>
    <m/>
    <s v="No"/>
    <s v="No"/>
    <s v="No"/>
    <s v="No"/>
    <s v="No"/>
    <s v="Date missing"/>
  </r>
  <r>
    <x v="1586"/>
    <s v="Harsh Yadav"/>
    <s v="Male"/>
    <n v="25"/>
    <s v="Mumbai"/>
    <x v="2"/>
    <n v="43"/>
    <n v="999"/>
    <n v="42957"/>
    <s v="Fiber"/>
    <d v="2022-03-17T00:00:00"/>
    <s v="No"/>
    <s v="No"/>
    <s v="No"/>
    <s v="No"/>
    <s v="No"/>
    <s v="No"/>
  </r>
  <r>
    <x v="1587"/>
    <s v="Harsh Patel"/>
    <s v="Male"/>
    <n v="58"/>
    <s v="Hyderabad"/>
    <x v="1"/>
    <n v="5"/>
    <n v="349"/>
    <n v="1745"/>
    <s v="No Internet"/>
    <d v="2025-04-04T00:00:00"/>
    <s v="No"/>
    <s v="No"/>
    <s v="No"/>
    <s v="No"/>
    <s v="No"/>
    <s v="No"/>
  </r>
  <r>
    <x v="1588"/>
    <s v="Neha Mehta"/>
    <s v="Female"/>
    <n v="18"/>
    <s v="Pune"/>
    <x v="0"/>
    <n v="7"/>
    <n v="849"/>
    <n v="5943"/>
    <s v="DSL"/>
    <d v="2025-02-25T00:00:00"/>
    <s v="No"/>
    <s v="No"/>
    <s v="No"/>
    <s v="No"/>
    <s v="No"/>
    <s v="No"/>
  </r>
  <r>
    <x v="1589"/>
    <s v="Harsh Iyer"/>
    <s v="Male"/>
    <n v="36"/>
    <s v="Chandigarh"/>
    <x v="0"/>
    <n v="13"/>
    <n v="1149"/>
    <n v="14937"/>
    <s v="Fiber"/>
    <d v="2024-08-07T00:00:00"/>
    <s v="Yes"/>
    <s v="No"/>
    <s v="No"/>
    <s v="No"/>
    <s v="No"/>
    <s v="No"/>
  </r>
  <r>
    <x v="1590"/>
    <s v="Vivek Kapoor"/>
    <s v="Unknown"/>
    <n v="75"/>
    <s v="Indore"/>
    <x v="1"/>
    <n v="19"/>
    <n v="1099"/>
    <n v="20881"/>
    <s v="Fiber"/>
    <d v="2024-03-03T00:00:00"/>
    <s v="No"/>
    <s v="No"/>
    <s v="No"/>
    <s v="No"/>
    <s v="No"/>
    <s v="No"/>
  </r>
  <r>
    <x v="1591"/>
    <s v="Payal Agarwal"/>
    <s v="Unknown"/>
    <n v="63"/>
    <s v="Bangalore"/>
    <x v="2"/>
    <n v="9"/>
    <n v="799"/>
    <n v="7191"/>
    <s v="DSL"/>
    <d v="2024-12-07T00:00:00"/>
    <s v="No"/>
    <s v="No"/>
    <s v="No"/>
    <s v="No"/>
    <s v="No"/>
    <s v="No"/>
  </r>
  <r>
    <x v="1592"/>
    <s v="Rohit Mehta"/>
    <s v="Male"/>
    <n v="71"/>
    <s v="Mumbai"/>
    <x v="0"/>
    <n v="21"/>
    <n v="1199"/>
    <n v="25179"/>
    <s v="Fiber"/>
    <d v="2024-01-06T00:00:00"/>
    <s v="No"/>
    <s v="No"/>
    <s v="No"/>
    <s v="No"/>
    <s v="No"/>
    <s v="No"/>
  </r>
  <r>
    <x v="1593"/>
    <s v="Priya Kumar"/>
    <s v="Female"/>
    <n v="51"/>
    <s v="Hyderabad"/>
    <x v="0"/>
    <n v="7"/>
    <n v="1149"/>
    <n v="8043"/>
    <s v="Fiber"/>
    <d v="2025-02-13T00:00:00"/>
    <s v="Yes"/>
    <s v="No"/>
    <s v="No"/>
    <s v="No"/>
    <s v="No"/>
    <s v="No"/>
  </r>
  <r>
    <x v="1594"/>
    <s v="Gaurav Rao"/>
    <s v="Male"/>
    <n v="51"/>
    <s v="Bhopal"/>
    <x v="0"/>
    <n v="6"/>
    <n v="1099"/>
    <n v="6594"/>
    <s v="Fiber"/>
    <d v="2025-03-09T00:00:00"/>
    <s v="Yes"/>
    <s v="No"/>
    <s v="No"/>
    <s v="No"/>
    <s v="No"/>
    <s v="No"/>
  </r>
  <r>
    <x v="1595"/>
    <s v="Sonal Chopra"/>
    <s v="Female"/>
    <n v="35"/>
    <s v="Ahmedabad"/>
    <x v="0"/>
    <n v="19"/>
    <n v="599"/>
    <n v="11381"/>
    <s v="DSL"/>
    <d v="2024-02-20T00:00:00"/>
    <s v="No"/>
    <s v="No"/>
    <s v="No"/>
    <s v="No"/>
    <s v="No"/>
    <s v="No"/>
  </r>
  <r>
    <x v="1596"/>
    <s v="Divya Saxena"/>
    <s v="Female"/>
    <n v="53"/>
    <s v="Hyderabad"/>
    <x v="1"/>
    <n v="36"/>
    <n v="999"/>
    <n v="35964"/>
    <s v="Fiber"/>
    <d v="2022-09-24T00:00:00"/>
    <s v="No"/>
    <s v="No"/>
    <s v="No"/>
    <s v="No"/>
    <s v="No"/>
    <s v="No"/>
  </r>
  <r>
    <x v="1597"/>
    <s v="Meera Kumar"/>
    <s v="Female"/>
    <n v="47"/>
    <s v="Indore"/>
    <x v="0"/>
    <n v="23"/>
    <n v="999"/>
    <n v="22977"/>
    <s v="Fiber"/>
    <d v="2023-11-03T00:00:00"/>
    <s v="No"/>
    <s v="No"/>
    <s v="No"/>
    <s v="No"/>
    <s v="No"/>
    <s v="No"/>
  </r>
  <r>
    <x v="1598"/>
    <s v="Nikhil Gupta"/>
    <s v="Male"/>
    <n v="29"/>
    <s v="Bangalore"/>
    <x v="1"/>
    <n v="40"/>
    <n v="1199"/>
    <n v="47960"/>
    <s v="Fiber"/>
    <d v="2022-06-13T00:00:00"/>
    <s v="No"/>
    <s v="No"/>
    <s v="No"/>
    <s v="No"/>
    <s v="No"/>
    <s v="No"/>
  </r>
  <r>
    <x v="1599"/>
    <s v="Swati Saxena"/>
    <s v="Female"/>
    <n v="72"/>
    <s v="Lucknow"/>
    <x v="3"/>
    <n v="18"/>
    <n v="799"/>
    <n v="14382"/>
    <s v="DSL"/>
    <d v="2024-03-27T00:00:00"/>
    <s v="No"/>
    <s v="No"/>
    <s v="No"/>
    <s v="No"/>
    <s v="No"/>
    <s v="No"/>
  </r>
  <r>
    <x v="1600"/>
    <s v="Ritu Bose"/>
    <s v="Female"/>
    <n v="72"/>
    <s v="Jaipur"/>
    <x v="0"/>
    <n v="10"/>
    <n v="1099"/>
    <n v="10990"/>
    <s v="Fiber"/>
    <d v="2024-11-12T00:00:00"/>
    <s v="No"/>
    <s v="No"/>
    <s v="No"/>
    <s v="No"/>
    <s v="No"/>
    <s v="No"/>
  </r>
  <r>
    <x v="1601"/>
    <s v="Komal Nair"/>
    <s v="Female"/>
    <n v="28"/>
    <s v="Unknown"/>
    <x v="0"/>
    <n v="1"/>
    <n v="799"/>
    <n v="799"/>
    <s v="DSL"/>
    <d v="2025-08-11T00:00:00"/>
    <s v="No"/>
    <s v="No"/>
    <s v="No"/>
    <s v="No"/>
    <s v="No"/>
    <s v="No"/>
  </r>
  <r>
    <x v="1602"/>
    <s v="Riya Pandey"/>
    <s v="Female"/>
    <n v="64"/>
    <s v="Mumbai"/>
    <x v="0"/>
    <n v="19"/>
    <n v="899"/>
    <n v="17081"/>
    <s v="Fiber"/>
    <d v="2024-02-22T00:00:00"/>
    <s v="No"/>
    <s v="No"/>
    <s v="No"/>
    <s v="No"/>
    <s v="No"/>
    <s v="No"/>
  </r>
  <r>
    <x v="1603"/>
    <s v="Arjun Verma"/>
    <s v="Male"/>
    <n v="39"/>
    <s v="Hyderabad"/>
    <x v="1"/>
    <n v="34"/>
    <n v="1199"/>
    <n v="40766"/>
    <s v="Fiber"/>
    <d v="2022-11-21T00:00:00"/>
    <s v="No"/>
    <s v="No"/>
    <s v="No"/>
    <s v="No"/>
    <s v="No"/>
    <s v="No"/>
  </r>
  <r>
    <x v="1604"/>
    <s v="Pooja Bose"/>
    <s v="Female"/>
    <n v="53"/>
    <s v="Jaipur"/>
    <x v="0"/>
    <n v="22"/>
    <n v="899"/>
    <n v="19778"/>
    <s v="DSL"/>
    <d v="2023-11-26T00:00:00"/>
    <s v="No"/>
    <s v="No"/>
    <s v="No"/>
    <s v="No"/>
    <s v="No"/>
    <s v="No"/>
  </r>
  <r>
    <x v="1605"/>
    <s v="Sachin Mehta"/>
    <s v="Unknown"/>
    <n v="29"/>
    <s v="Delhi"/>
    <x v="2"/>
    <n v="71"/>
    <n v="749"/>
    <n v="53179"/>
    <s v="DSL"/>
    <d v="2019-11-13T00:00:00"/>
    <s v="No"/>
    <s v="No"/>
    <s v="No"/>
    <s v="No"/>
    <s v="No"/>
    <s v="No"/>
  </r>
  <r>
    <x v="1606"/>
    <s v="Isha Saxena"/>
    <s v="Female"/>
    <n v="31"/>
    <s v="Bhopal"/>
    <x v="1"/>
    <n v="24"/>
    <n v="1149"/>
    <n v="27576"/>
    <s v="Fiber"/>
    <d v="2023-09-19T00:00:00"/>
    <s v="Yes"/>
    <s v="No"/>
    <s v="No"/>
    <s v="No"/>
    <s v="No"/>
    <s v="No"/>
  </r>
  <r>
    <x v="1607"/>
    <s v="Sneha Verma"/>
    <s v="Female"/>
    <n v="30"/>
    <s v="Delhi"/>
    <x v="0"/>
    <n v="13"/>
    <n v="849"/>
    <n v="11037"/>
    <s v="DSL"/>
    <d v="2024-08-16T00:00:00"/>
    <s v="No"/>
    <s v="No"/>
    <s v="No"/>
    <s v="No"/>
    <s v="No"/>
    <s v="No"/>
  </r>
  <r>
    <x v="1608"/>
    <s v="Anjali Kapoor"/>
    <s v="Female"/>
    <n v="22"/>
    <s v="Pune"/>
    <x v="2"/>
    <n v="27"/>
    <n v="899"/>
    <n v="24273"/>
    <s v="DSL"/>
    <d v="2023-06-14T00:00:00"/>
    <s v="No"/>
    <s v="No"/>
    <s v="No"/>
    <s v="No"/>
    <s v="Yes"/>
    <s v="No"/>
  </r>
  <r>
    <x v="1609"/>
    <s v="Rahul Singh"/>
    <s v="Male"/>
    <n v="59"/>
    <s v="Lucknow"/>
    <x v="0"/>
    <n v="19"/>
    <n v="349"/>
    <n v="6631"/>
    <s v="No Internet"/>
    <d v="2024-03-01T00:00:00"/>
    <s v="Yes"/>
    <s v="No"/>
    <s v="No"/>
    <s v="No"/>
    <s v="No"/>
    <s v="No"/>
  </r>
  <r>
    <x v="1610"/>
    <s v="Kavita Chopra"/>
    <s v="Unknown"/>
    <n v="73"/>
    <s v="Bhopal"/>
    <x v="0"/>
    <n v="7"/>
    <n v="599"/>
    <n v="4193"/>
    <s v="DSL"/>
    <d v="2025-02-28T00:00:00"/>
    <s v="No"/>
    <s v="No"/>
    <s v="No"/>
    <s v="No"/>
    <s v="No"/>
    <s v="No"/>
  </r>
  <r>
    <x v="1611"/>
    <s v="Rajesh Desai"/>
    <s v="Male"/>
    <n v="23"/>
    <s v="Lucknow"/>
    <x v="2"/>
    <n v="7"/>
    <n v="849"/>
    <n v="5943"/>
    <s v="DSL"/>
    <d v="2025-02-25T00:00:00"/>
    <s v="No"/>
    <s v="No"/>
    <s v="No"/>
    <s v="No"/>
    <s v="No"/>
    <s v="No"/>
  </r>
  <r>
    <x v="1612"/>
    <s v="Ankit Tiwari"/>
    <s v="Male"/>
    <n v="47"/>
    <s v="Kochi"/>
    <x v="1"/>
    <n v="39"/>
    <n v="899"/>
    <n v="35061"/>
    <s v="DSL"/>
    <d v="2022-07-04T00:00:00"/>
    <s v="Yes"/>
    <s v="No"/>
    <s v="No"/>
    <s v="No"/>
    <s v="No"/>
    <s v="No"/>
  </r>
  <r>
    <x v="1613"/>
    <s v="Anjali Singh"/>
    <s v="Female"/>
    <n v="29"/>
    <s v="Delhi"/>
    <x v="0"/>
    <n v="15"/>
    <n v="1199"/>
    <n v="17985"/>
    <s v="Fiber"/>
    <d v="2024-06-06T00:00:00"/>
    <s v="No"/>
    <s v="No"/>
    <s v="No"/>
    <s v="No"/>
    <s v="No"/>
    <s v="No"/>
  </r>
  <r>
    <x v="1614"/>
    <s v="Ritu Mehta"/>
    <s v="Unknown"/>
    <n v="57"/>
    <s v="Bhopal"/>
    <x v="1"/>
    <n v="37"/>
    <n v="649"/>
    <n v="24013"/>
    <s v="DSL"/>
    <d v="2022-08-28T00:00:00"/>
    <s v="No"/>
    <s v="No"/>
    <s v="No"/>
    <s v="Yes"/>
    <s v="No"/>
    <s v="No"/>
  </r>
  <r>
    <x v="1615"/>
    <s v="Arjun Kapoor"/>
    <s v="Male"/>
    <n v="59"/>
    <s v="Indore"/>
    <x v="2"/>
    <n v="14"/>
    <n v="1299"/>
    <n v="18186"/>
    <s v="Fiber"/>
    <d v="2024-08-02T00:00:00"/>
    <s v="No"/>
    <s v="No"/>
    <s v="No"/>
    <s v="No"/>
    <s v="No"/>
    <s v="No"/>
  </r>
  <r>
    <x v="1616"/>
    <s v="Priya Mishra"/>
    <s v="Female"/>
    <n v="61"/>
    <s v="Kolkata"/>
    <x v="1"/>
    <n v="22"/>
    <n v="899"/>
    <n v="19778"/>
    <s v="DSL"/>
    <d v="2023-12-04T00:00:00"/>
    <s v="No"/>
    <s v="No"/>
    <s v="No"/>
    <s v="No"/>
    <s v="No"/>
    <s v="No"/>
  </r>
  <r>
    <x v="1617"/>
    <s v="Pankaj Iyer"/>
    <s v="Male"/>
    <n v="42"/>
    <s v="Bangalore"/>
    <x v="0"/>
    <n v="7"/>
    <n v="449"/>
    <n v="3143"/>
    <s v="No Internet"/>
    <d v="2025-02-19T00:00:00"/>
    <s v="No"/>
    <s v="No"/>
    <s v="No"/>
    <s v="No"/>
    <s v="No"/>
    <s v="No"/>
  </r>
  <r>
    <x v="1618"/>
    <s v="Neha Agarwal"/>
    <s v="Female"/>
    <n v="65"/>
    <s v="Indore"/>
    <x v="0"/>
    <n v="23"/>
    <n v="549"/>
    <n v="12627"/>
    <s v="No Internet"/>
    <d v="2023-10-15T00:00:00"/>
    <s v="Yes"/>
    <s v="No"/>
    <s v="No"/>
    <s v="No"/>
    <s v="No"/>
    <s v="No"/>
  </r>
  <r>
    <x v="1619"/>
    <s v="Priya Reddy"/>
    <s v="Female"/>
    <n v="32"/>
    <s v="Ahmedabad"/>
    <x v="0"/>
    <n v="14"/>
    <n v="699"/>
    <n v="9786"/>
    <s v="DSL"/>
    <d v="2024-07-23T00:00:00"/>
    <s v="No"/>
    <s v="No"/>
    <s v="No"/>
    <s v="Yes"/>
    <s v="No"/>
    <s v="No"/>
  </r>
  <r>
    <x v="1620"/>
    <s v="Pooja Mehta"/>
    <s v="Female"/>
    <n v="72"/>
    <s v="Delhi"/>
    <x v="0"/>
    <n v="24"/>
    <n v="899"/>
    <n v="21576"/>
    <s v="DSL"/>
    <d v="2023-09-24T00:00:00"/>
    <s v="Yes"/>
    <s v="No"/>
    <s v="No"/>
    <s v="No"/>
    <s v="No"/>
    <s v="No"/>
  </r>
  <r>
    <x v="1621"/>
    <s v="Vivek Reddy"/>
    <s v="Male"/>
    <n v="41"/>
    <s v="Lucknow"/>
    <x v="0"/>
    <n v="16"/>
    <n v="699"/>
    <n v="11184"/>
    <s v="DSL"/>
    <d v="2024-06-04T00:00:00"/>
    <s v="No"/>
    <s v="No"/>
    <s v="No"/>
    <s v="Yes"/>
    <s v="No"/>
    <s v="No"/>
  </r>
  <r>
    <x v="1622"/>
    <s v="Neha Tiwari"/>
    <s v="Female"/>
    <n v="47"/>
    <s v="Chandigarh"/>
    <x v="1"/>
    <n v="9"/>
    <n v="1299"/>
    <n v="11691"/>
    <s v="Fiber"/>
    <d v="2024-12-04T00:00:00"/>
    <s v="No"/>
    <s v="Yes"/>
    <s v="No"/>
    <s v="No"/>
    <s v="No"/>
    <s v="No"/>
  </r>
  <r>
    <x v="1623"/>
    <s v="Nikhil Joshi"/>
    <s v="Male"/>
    <n v="34"/>
    <s v="Chandigarh"/>
    <x v="0"/>
    <n v="21"/>
    <n v="399"/>
    <n v="8379"/>
    <s v="Unknown"/>
    <d v="2023-12-11T00:00:00"/>
    <s v="No"/>
    <s v="No"/>
    <s v="No"/>
    <s v="No"/>
    <s v="No"/>
    <s v="No"/>
  </r>
  <r>
    <x v="1624"/>
    <s v="Sneha Nair"/>
    <s v="Female"/>
    <n v="21"/>
    <s v="Mumbai"/>
    <x v="0"/>
    <n v="13"/>
    <n v="1149"/>
    <n v="14937"/>
    <s v="Fiber"/>
    <d v="2024-08-06T00:00:00"/>
    <s v="Yes"/>
    <s v="No"/>
    <s v="No"/>
    <s v="No"/>
    <s v="No"/>
    <s v="No"/>
  </r>
  <r>
    <x v="1625"/>
    <s v="Riya Kumar"/>
    <s v="Female"/>
    <n v="41"/>
    <s v="Ahmedabad"/>
    <x v="1"/>
    <n v="23"/>
    <n v="1049"/>
    <n v="24127"/>
    <s v="Fiber"/>
    <d v="2023-11-01T00:00:00"/>
    <s v="No"/>
    <s v="No"/>
    <s v="No"/>
    <s v="Yes"/>
    <s v="No"/>
    <s v="No"/>
  </r>
  <r>
    <x v="1626"/>
    <s v="Komal Reddy"/>
    <s v="Female"/>
    <n v="26"/>
    <s v="Chandigarh"/>
    <x v="2"/>
    <n v="1"/>
    <n v="899"/>
    <n v="899"/>
    <s v="Fiber"/>
    <d v="2025-08-26T00:00:00"/>
    <s v="Yes"/>
    <s v="No"/>
    <s v="No"/>
    <s v="No"/>
    <s v="No"/>
    <s v="No"/>
  </r>
  <r>
    <x v="1627"/>
    <s v="Amit Mehta"/>
    <s v="Unknown"/>
    <n v="47"/>
    <s v="Kochi"/>
    <x v="2"/>
    <n v="71"/>
    <n v="899"/>
    <n v="63829"/>
    <s v="Fiber"/>
    <d v="2019-11-05T00:00:00"/>
    <s v="No"/>
    <s v="Yes"/>
    <s v="No"/>
    <s v="No"/>
    <s v="No"/>
    <s v="No"/>
  </r>
  <r>
    <x v="1628"/>
    <s v="Gaurav Gupta"/>
    <s v="Male"/>
    <n v="45"/>
    <s v="Jaipur"/>
    <x v="0"/>
    <m/>
    <m/>
    <n v="3596"/>
    <s v="Unknown"/>
    <d v="2025-05-27T00:00:00"/>
    <s v="Yes"/>
    <s v="No"/>
    <s v="No"/>
    <s v="No"/>
    <s v="No"/>
    <s v="Monthly missing; Tenure missing"/>
  </r>
  <r>
    <x v="1629"/>
    <s v="Karan Joshi"/>
    <s v="Male"/>
    <n v="63"/>
    <s v="Delhi"/>
    <x v="0"/>
    <n v="2"/>
    <n v="749"/>
    <n v="1498"/>
    <s v="DSL"/>
    <d v="2025-07-16T00:00:00"/>
    <s v="Yes"/>
    <s v="No"/>
    <s v="No"/>
    <s v="No"/>
    <s v="Yes"/>
    <s v="No"/>
  </r>
  <r>
    <x v="1630"/>
    <s v="Nikhil Kumar"/>
    <s v="Male"/>
    <n v="21"/>
    <s v="Chandigarh"/>
    <x v="2"/>
    <n v="68"/>
    <n v="1099"/>
    <n v="74732"/>
    <s v="Fiber"/>
    <d v="2020-02-15T00:00:00"/>
    <s v="No"/>
    <s v="No"/>
    <s v="No"/>
    <s v="Yes"/>
    <s v="No"/>
    <s v="No"/>
  </r>
  <r>
    <x v="1631"/>
    <s v="Karan Pandey"/>
    <s v="Male"/>
    <n v="30"/>
    <s v="Delhi"/>
    <x v="0"/>
    <n v="12"/>
    <n v="1299"/>
    <n v="15588"/>
    <s v="Fiber"/>
    <d v="2024-09-19T00:00:00"/>
    <s v="No"/>
    <s v="No"/>
    <s v="No"/>
    <s v="No"/>
    <s v="No"/>
    <s v="No"/>
  </r>
  <r>
    <x v="1632"/>
    <s v="Nisha Yadav"/>
    <s v="Female"/>
    <n v="34"/>
    <s v="Ahmedabad"/>
    <x v="0"/>
    <n v="1"/>
    <n v="699"/>
    <n v="699"/>
    <s v="DSL"/>
    <d v="2025-08-24T00:00:00"/>
    <s v="No"/>
    <s v="No"/>
    <s v="No"/>
    <s v="No"/>
    <s v="No"/>
    <s v="No"/>
  </r>
  <r>
    <x v="1633"/>
    <s v="Kavita Tiwari"/>
    <s v="Female"/>
    <n v="74"/>
    <s v="Kolkata"/>
    <x v="0"/>
    <n v="12"/>
    <n v="799"/>
    <n v="9588"/>
    <s v="DSL"/>
    <d v="2024-09-29T00:00:00"/>
    <s v="Yes"/>
    <s v="No"/>
    <s v="No"/>
    <s v="No"/>
    <s v="No"/>
    <s v="No"/>
  </r>
  <r>
    <x v="1634"/>
    <s v="Priya Verma"/>
    <s v="Female"/>
    <n v="21"/>
    <s v="Chennai"/>
    <x v="0"/>
    <n v="10"/>
    <n v="1199"/>
    <n v="11990"/>
    <s v="Fiber"/>
    <d v="2024-11-30T00:00:00"/>
    <s v="Yes"/>
    <s v="No"/>
    <s v="No"/>
    <s v="No"/>
    <s v="No"/>
    <s v="No"/>
  </r>
  <r>
    <x v="1635"/>
    <s v="Amit Kapoor"/>
    <s v="Male"/>
    <n v="55"/>
    <s v="Ahmedabad"/>
    <x v="1"/>
    <n v="17"/>
    <n v="599"/>
    <n v="10183"/>
    <s v="DSL"/>
    <d v="2024-04-19T00:00:00"/>
    <s v="No"/>
    <s v="No"/>
    <s v="No"/>
    <s v="No"/>
    <s v="No"/>
    <s v="No"/>
  </r>
  <r>
    <x v="1636"/>
    <s v="Rajesh Pandey"/>
    <s v="Male"/>
    <n v="72"/>
    <s v="Bhopal"/>
    <x v="1"/>
    <n v="1"/>
    <n v="699"/>
    <n v="699"/>
    <s v="DSL"/>
    <d v="2025-08-24T00:00:00"/>
    <s v="No"/>
    <s v="No"/>
    <s v="No"/>
    <s v="No"/>
    <s v="No"/>
    <s v="No"/>
  </r>
  <r>
    <x v="1637"/>
    <s v="Suresh Yadav"/>
    <s v="Male"/>
    <n v="56"/>
    <s v="Jaipur"/>
    <x v="0"/>
    <n v="21"/>
    <n v="1149"/>
    <n v="24129"/>
    <s v="Unknown"/>
    <d v="2023-12-26T00:00:00"/>
    <s v="No"/>
    <s v="No"/>
    <s v="No"/>
    <s v="No"/>
    <s v="Yes"/>
    <s v="No"/>
  </r>
  <r>
    <x v="1638"/>
    <s v="Ritu Chopra"/>
    <s v="Female"/>
    <n v="22"/>
    <s v="Hyderabad"/>
    <x v="0"/>
    <n v="4"/>
    <n v="1099"/>
    <n v="4396"/>
    <s v="Fiber"/>
    <d v="2025-05-08T00:00:00"/>
    <s v="Yes"/>
    <s v="No"/>
    <s v="No"/>
    <s v="No"/>
    <s v="No"/>
    <s v="No"/>
  </r>
  <r>
    <x v="1639"/>
    <s v="Anjali Tiwari"/>
    <s v="Female"/>
    <n v="42"/>
    <s v="Mumbai"/>
    <x v="0"/>
    <n v="2"/>
    <n v="1099"/>
    <n v="2198"/>
    <s v="Fiber"/>
    <d v="2025-07-23T00:00:00"/>
    <s v="Yes"/>
    <s v="No"/>
    <s v="No"/>
    <s v="No"/>
    <s v="Yes"/>
    <s v="No"/>
  </r>
  <r>
    <x v="1640"/>
    <s v="Nikhil Tiwari"/>
    <s v="Male"/>
    <n v="29"/>
    <s v="Unknown"/>
    <x v="1"/>
    <n v="38"/>
    <n v="549"/>
    <n v="20862"/>
    <s v="No Internet"/>
    <d v="2022-08-12T00:00:00"/>
    <s v="No"/>
    <s v="No"/>
    <s v="No"/>
    <s v="No"/>
    <s v="No"/>
    <s v="No"/>
  </r>
  <r>
    <x v="1641"/>
    <s v="Priya Kumar"/>
    <s v="Female"/>
    <n v="63"/>
    <s v="Chandigarh"/>
    <x v="2"/>
    <n v="56"/>
    <n v="899"/>
    <n v="50344"/>
    <s v="DSL"/>
    <d v="2021-02-07T00:00:00"/>
    <s v="Yes"/>
    <s v="No"/>
    <s v="No"/>
    <s v="No"/>
    <s v="No"/>
    <s v="No"/>
  </r>
  <r>
    <x v="1642"/>
    <s v="Mohit Kapoor"/>
    <s v="Male"/>
    <n v="70"/>
    <s v="Jaipur"/>
    <x v="2"/>
    <n v="53"/>
    <n v="599"/>
    <n v="31747"/>
    <s v="DSL"/>
    <d v="2021-05-01T00:00:00"/>
    <s v="No"/>
    <s v="No"/>
    <s v="No"/>
    <s v="No"/>
    <s v="No"/>
    <s v="No"/>
  </r>
  <r>
    <x v="1643"/>
    <s v="Suresh Reddy"/>
    <s v="Male"/>
    <n v="72"/>
    <s v="Jaipur"/>
    <x v="2"/>
    <n v="31"/>
    <n v="1199"/>
    <n v="37169"/>
    <s v="Fiber"/>
    <d v="2023-02-22T00:00:00"/>
    <s v="No"/>
    <s v="No"/>
    <s v="No"/>
    <s v="No"/>
    <s v="No"/>
    <s v="No"/>
  </r>
  <r>
    <x v="1644"/>
    <s v="Pooja Reddy"/>
    <s v="Female"/>
    <n v="23"/>
    <s v="Ahmedabad"/>
    <x v="2"/>
    <n v="69"/>
    <n v="1199"/>
    <n v="82731"/>
    <s v="Fiber"/>
    <d v="2019-12-30T00:00:00"/>
    <s v="No"/>
    <s v="No"/>
    <s v="No"/>
    <s v="No"/>
    <s v="No"/>
    <s v="No"/>
  </r>
  <r>
    <x v="1645"/>
    <s v="Vikram Mishra"/>
    <s v="Male"/>
    <n v="43"/>
    <s v="Chennai"/>
    <x v="0"/>
    <n v="4"/>
    <n v="749"/>
    <n v="2996"/>
    <s v="DSL"/>
    <d v="2025-05-02T00:00:00"/>
    <s v="Yes"/>
    <s v="No"/>
    <s v="No"/>
    <s v="No"/>
    <s v="No"/>
    <s v="No"/>
  </r>
  <r>
    <x v="1646"/>
    <s v="Rajesh Kapoor"/>
    <s v="Male"/>
    <n v="50"/>
    <s v="Pune"/>
    <x v="0"/>
    <n v="6"/>
    <n v="599"/>
    <n v="3594"/>
    <s v="DSL"/>
    <d v="2025-03-31T00:00:00"/>
    <s v="Yes"/>
    <s v="No"/>
    <s v="No"/>
    <s v="Yes"/>
    <s v="No"/>
    <s v="No"/>
  </r>
  <r>
    <x v="1647"/>
    <s v="Komal Joshi"/>
    <s v="Unknown"/>
    <n v="48"/>
    <s v="Indore"/>
    <x v="0"/>
    <n v="7"/>
    <n v="349"/>
    <n v="2443"/>
    <s v="No Internet"/>
    <d v="2025-02-18T00:00:00"/>
    <s v="Yes"/>
    <s v="No"/>
    <s v="No"/>
    <s v="No"/>
    <s v="No"/>
    <s v="No"/>
  </r>
  <r>
    <x v="1648"/>
    <s v="Vikram Gupta"/>
    <s v="Male"/>
    <n v="50"/>
    <s v="Ahmedabad"/>
    <x v="1"/>
    <n v="11"/>
    <n v="1199"/>
    <n v="13189"/>
    <s v="Fiber"/>
    <d v="2024-10-17T00:00:00"/>
    <s v="No"/>
    <s v="No"/>
    <s v="No"/>
    <s v="Yes"/>
    <s v="No"/>
    <s v="No"/>
  </r>
  <r>
    <x v="1649"/>
    <s v="Ankit Agarwal"/>
    <s v="Male"/>
    <n v="66"/>
    <s v="Kolkata"/>
    <x v="1"/>
    <n v="31"/>
    <n v="349"/>
    <n v="10819"/>
    <s v="No Internet"/>
    <d v="2023-02-23T00:00:00"/>
    <s v="No"/>
    <s v="No"/>
    <s v="No"/>
    <s v="No"/>
    <s v="No"/>
    <s v="No"/>
  </r>
  <r>
    <x v="1650"/>
    <s v="Ritu Pandey"/>
    <s v="Female"/>
    <n v="25"/>
    <s v="Chennai"/>
    <x v="2"/>
    <n v="55"/>
    <n v="599"/>
    <n v="32945"/>
    <s v="DSL"/>
    <d v="2021-02-23T00:00:00"/>
    <s v="Yes"/>
    <s v="No"/>
    <s v="No"/>
    <s v="No"/>
    <s v="No"/>
    <s v="No"/>
  </r>
  <r>
    <x v="1651"/>
    <s v="Arjun Desai"/>
    <s v="Male"/>
    <n v="47"/>
    <s v="Indore"/>
    <x v="2"/>
    <n v="72"/>
    <n v="1049"/>
    <n v="75528"/>
    <s v="Fiber"/>
    <d v="2019-10-06T00:00:00"/>
    <s v="No"/>
    <s v="Yes"/>
    <s v="No"/>
    <s v="No"/>
    <s v="No"/>
    <s v="No"/>
  </r>
  <r>
    <x v="1652"/>
    <s v="Tanvi Saxena"/>
    <s v="Female"/>
    <n v="60"/>
    <s v="Indore"/>
    <x v="0"/>
    <n v="2"/>
    <n v="799"/>
    <n v="1598"/>
    <s v="DSL"/>
    <d v="2025-07-18T00:00:00"/>
    <s v="No"/>
    <s v="No"/>
    <s v="No"/>
    <s v="No"/>
    <s v="Yes"/>
    <s v="No"/>
  </r>
  <r>
    <x v="1653"/>
    <s v="Sonal Nair"/>
    <s v="Female"/>
    <n v="64"/>
    <s v="Chennai"/>
    <x v="2"/>
    <n v="35"/>
    <n v="1149"/>
    <n v="40215"/>
    <s v="Fiber"/>
    <d v="2022-10-30T00:00:00"/>
    <s v="No"/>
    <s v="No"/>
    <s v="No"/>
    <s v="No"/>
    <s v="No"/>
    <s v="No"/>
  </r>
  <r>
    <x v="1654"/>
    <s v="Rohit Mishra"/>
    <s v="Male"/>
    <n v="39"/>
    <s v="Mumbai"/>
    <x v="0"/>
    <n v="12"/>
    <n v="799"/>
    <n v="9588"/>
    <s v="DSL"/>
    <d v="2024-09-20T00:00:00"/>
    <s v="No"/>
    <s v="No"/>
    <s v="No"/>
    <s v="No"/>
    <s v="No"/>
    <s v="No"/>
  </r>
  <r>
    <x v="1655"/>
    <s v="Sonal Mishra"/>
    <s v="Female"/>
    <n v="26"/>
    <s v="Delhi"/>
    <x v="0"/>
    <n v="8"/>
    <n v="1149"/>
    <n v="9192"/>
    <s v="Fiber"/>
    <d v="2025-01-15T00:00:00"/>
    <s v="No"/>
    <s v="No"/>
    <s v="No"/>
    <s v="No"/>
    <s v="No"/>
    <s v="No"/>
  </r>
  <r>
    <x v="1656"/>
    <s v="Pankaj Verma"/>
    <s v="Male"/>
    <n v="74"/>
    <s v="Kolkata"/>
    <x v="0"/>
    <n v="16"/>
    <n v="649"/>
    <n v="10384"/>
    <s v="DSL"/>
    <d v="2024-05-18T00:00:00"/>
    <s v="No"/>
    <s v="No"/>
    <s v="No"/>
    <s v="No"/>
    <s v="No"/>
    <s v="No"/>
  </r>
  <r>
    <x v="1657"/>
    <s v="Vivek Sharma"/>
    <s v="Male"/>
    <n v="57"/>
    <s v="Chandigarh"/>
    <x v="0"/>
    <n v="7"/>
    <n v="899"/>
    <n v="6293"/>
    <s v="DSL"/>
    <d v="2025-02-07T00:00:00"/>
    <s v="No"/>
    <s v="No"/>
    <s v="No"/>
    <s v="No"/>
    <s v="No"/>
    <s v="No"/>
  </r>
  <r>
    <x v="1658"/>
    <s v="Aman Saxena"/>
    <s v="Male"/>
    <n v="66"/>
    <s v="Lucknow"/>
    <x v="1"/>
    <n v="14"/>
    <n v="849"/>
    <n v="11886"/>
    <s v="DSL"/>
    <d v="2024-07-20T00:00:00"/>
    <s v="No"/>
    <s v="No"/>
    <s v="No"/>
    <s v="No"/>
    <s v="No"/>
    <s v="No"/>
  </r>
  <r>
    <x v="1659"/>
    <s v="Priya Joshi"/>
    <s v="Female"/>
    <n v="29"/>
    <s v="Hyderabad"/>
    <x v="0"/>
    <n v="18"/>
    <n v="799"/>
    <n v="14382"/>
    <s v="Unknown"/>
    <d v="2024-03-11T00:00:00"/>
    <s v="Yes"/>
    <s v="No"/>
    <s v="No"/>
    <s v="No"/>
    <s v="No"/>
    <s v="No"/>
  </r>
  <r>
    <x v="1660"/>
    <s v="Arjun Patel"/>
    <s v="Male"/>
    <n v="35"/>
    <s v="Kochi"/>
    <x v="0"/>
    <n v="4"/>
    <n v="799"/>
    <n v="3196"/>
    <s v="DSL"/>
    <d v="2025-05-30T00:00:00"/>
    <s v="Yes"/>
    <s v="No"/>
    <s v="No"/>
    <s v="No"/>
    <s v="No"/>
    <s v="No"/>
  </r>
  <r>
    <x v="1661"/>
    <s v="Harsh Malhotra"/>
    <s v="Male"/>
    <n v="19"/>
    <s v="Kochi"/>
    <x v="1"/>
    <n v="5"/>
    <n v="1299"/>
    <n v="6495"/>
    <s v="Fiber"/>
    <d v="2025-04-02T00:00:00"/>
    <s v="No"/>
    <s v="No"/>
    <s v="No"/>
    <s v="Yes"/>
    <s v="No"/>
    <s v="No"/>
  </r>
  <r>
    <x v="1662"/>
    <s v="Mohit Singh"/>
    <s v="Unknown"/>
    <n v="47"/>
    <s v="Chennai"/>
    <x v="1"/>
    <n v="35"/>
    <n v="899"/>
    <n v="31465"/>
    <s v="Fiber"/>
    <d v="2022-10-15T00:00:00"/>
    <s v="No"/>
    <s v="Yes"/>
    <s v="No"/>
    <s v="No"/>
    <s v="No"/>
    <s v="No"/>
  </r>
  <r>
    <x v="1663"/>
    <s v="Deepak Kapoor"/>
    <s v="Male"/>
    <n v="71"/>
    <s v="Jaipur"/>
    <x v="0"/>
    <n v="15"/>
    <n v="699"/>
    <n v="10485"/>
    <s v="DSL"/>
    <d v="2024-07-02T00:00:00"/>
    <s v="No"/>
    <s v="No"/>
    <s v="No"/>
    <s v="No"/>
    <s v="Yes"/>
    <s v="No"/>
  </r>
  <r>
    <x v="1664"/>
    <s v="Nikhil Yadav"/>
    <s v="Male"/>
    <n v="29"/>
    <s v="Kolkata"/>
    <x v="1"/>
    <n v="35"/>
    <n v="549"/>
    <n v="19215"/>
    <s v="No Internet"/>
    <d v="2022-10-15T00:00:00"/>
    <s v="No"/>
    <s v="No"/>
    <s v="No"/>
    <s v="No"/>
    <s v="No"/>
    <s v="No"/>
  </r>
  <r>
    <x v="1665"/>
    <s v="Rajesh Rao"/>
    <s v="Male"/>
    <n v="62"/>
    <s v="Lucknow"/>
    <x v="0"/>
    <n v="17"/>
    <n v="749"/>
    <n v="12733"/>
    <s v="DSL"/>
    <d v="2024-04-09T00:00:00"/>
    <s v="No"/>
    <s v="No"/>
    <s v="No"/>
    <s v="No"/>
    <s v="No"/>
    <s v="No"/>
  </r>
  <r>
    <x v="1666"/>
    <s v="Nikhil Joshi"/>
    <s v="Unknown"/>
    <n v="55"/>
    <s v="Chennai"/>
    <x v="2"/>
    <n v="7"/>
    <n v="549"/>
    <n v="3843"/>
    <s v="No Internet"/>
    <d v="2025-02-11T00:00:00"/>
    <s v="No"/>
    <s v="No"/>
    <s v="No"/>
    <s v="Yes"/>
    <s v="No"/>
    <s v="No"/>
  </r>
  <r>
    <x v="1667"/>
    <s v="Amit Saxena"/>
    <s v="Male"/>
    <n v="67"/>
    <s v="Ahmedabad"/>
    <x v="2"/>
    <n v="49"/>
    <n v="849"/>
    <n v="41601"/>
    <s v="DSL"/>
    <d v="2021-09-04T00:00:00"/>
    <s v="No"/>
    <s v="No"/>
    <s v="No"/>
    <s v="No"/>
    <s v="No"/>
    <s v="No"/>
  </r>
  <r>
    <x v="1668"/>
    <s v="Vivek Saxena"/>
    <s v="Male"/>
    <n v="64"/>
    <s v="Delhi"/>
    <x v="0"/>
    <n v="18"/>
    <n v="1099"/>
    <n v="19782"/>
    <s v="Fiber"/>
    <d v="2024-03-30T00:00:00"/>
    <s v="Yes"/>
    <s v="No"/>
    <s v="No"/>
    <s v="No"/>
    <s v="No"/>
    <s v="No"/>
  </r>
  <r>
    <x v="1669"/>
    <s v="Pooja Reddy"/>
    <s v="Female"/>
    <n v="50"/>
    <s v="Lucknow"/>
    <x v="0"/>
    <n v="2"/>
    <n v="1099"/>
    <n v="2198"/>
    <s v="Fiber"/>
    <d v="2025-07-11T00:00:00"/>
    <s v="Yes"/>
    <s v="No"/>
    <s v="No"/>
    <s v="No"/>
    <s v="No"/>
    <s v="No"/>
  </r>
  <r>
    <x v="1670"/>
    <s v="Pooja Iyer"/>
    <s v="Female"/>
    <n v="51"/>
    <s v="Lucknow"/>
    <x v="0"/>
    <n v="13"/>
    <n v="749"/>
    <n v="9737"/>
    <s v="DSL"/>
    <d v="2024-08-11T00:00:00"/>
    <s v="No"/>
    <s v="No"/>
    <s v="No"/>
    <s v="No"/>
    <s v="No"/>
    <s v="No"/>
  </r>
  <r>
    <x v="1671"/>
    <s v="Nisha Desai"/>
    <s v="Female"/>
    <n v="44"/>
    <s v="Delhi"/>
    <x v="0"/>
    <n v="6"/>
    <n v="1299"/>
    <n v="7794"/>
    <s v="Fiber"/>
    <d v="2025-03-05T00:00:00"/>
    <s v="Yes"/>
    <s v="No"/>
    <s v="No"/>
    <s v="No"/>
    <s v="No"/>
    <s v="No"/>
  </r>
  <r>
    <x v="1672"/>
    <s v="Komal Kapoor"/>
    <s v="Female"/>
    <n v="39"/>
    <s v="Jaipur"/>
    <x v="2"/>
    <n v="40"/>
    <n v="1049"/>
    <n v="41960"/>
    <s v="Fiber"/>
    <d v="2022-05-31T00:00:00"/>
    <s v="No"/>
    <s v="No"/>
    <s v="No"/>
    <s v="No"/>
    <s v="No"/>
    <s v="No"/>
  </r>
  <r>
    <x v="1673"/>
    <s v="Vivek Singh"/>
    <s v="Male"/>
    <n v="33"/>
    <s v="Chandigarh"/>
    <x v="1"/>
    <n v="26"/>
    <n v="749"/>
    <n v="19474"/>
    <s v="DSL"/>
    <d v="2023-08-05T00:00:00"/>
    <s v="No"/>
    <s v="No"/>
    <s v="No"/>
    <s v="Yes"/>
    <s v="No"/>
    <s v="No"/>
  </r>
  <r>
    <x v="1674"/>
    <s v="Swati Pandey"/>
    <s v="Female"/>
    <n v="36"/>
    <s v="Delhi"/>
    <x v="0"/>
    <n v="20"/>
    <n v="1049"/>
    <n v="20980"/>
    <s v="Fiber"/>
    <d v="2024-02-06T00:00:00"/>
    <s v="No"/>
    <s v="No"/>
    <s v="No"/>
    <s v="No"/>
    <s v="No"/>
    <s v="No"/>
  </r>
  <r>
    <x v="1675"/>
    <s v="Meera Gupta"/>
    <s v="Unknown"/>
    <n v="25"/>
    <s v="Bangalore"/>
    <x v="0"/>
    <n v="15"/>
    <n v="749"/>
    <n v="11235"/>
    <s v="DSL"/>
    <d v="2024-07-01T00:00:00"/>
    <s v="Yes"/>
    <s v="No"/>
    <s v="No"/>
    <s v="No"/>
    <s v="No"/>
    <s v="No"/>
  </r>
  <r>
    <x v="1676"/>
    <s v="Riya Kumar"/>
    <s v="Female"/>
    <n v="42"/>
    <s v="Delhi"/>
    <x v="0"/>
    <n v="23"/>
    <n v="599"/>
    <n v="13777"/>
    <s v="DSL"/>
    <d v="2023-10-12T00:00:00"/>
    <s v="No"/>
    <s v="No"/>
    <s v="No"/>
    <s v="No"/>
    <s v="No"/>
    <s v="No"/>
  </r>
  <r>
    <x v="1677"/>
    <s v="Sonal Jain"/>
    <s v="Female"/>
    <n v="58"/>
    <s v="Kolkata"/>
    <x v="3"/>
    <n v="69"/>
    <n v="599"/>
    <n v="41331"/>
    <s v="DSL"/>
    <d v="2020-01-16T00:00:00"/>
    <s v="No"/>
    <s v="No"/>
    <s v="No"/>
    <s v="No"/>
    <s v="No"/>
    <s v="No"/>
  </r>
  <r>
    <x v="1678"/>
    <s v="Komal Mishra"/>
    <s v="Female"/>
    <n v="26"/>
    <s v="Hyderabad"/>
    <x v="2"/>
    <n v="46"/>
    <n v="749"/>
    <n v="34454"/>
    <s v="DSL"/>
    <d v="2021-12-10T00:00:00"/>
    <s v="No"/>
    <s v="No"/>
    <s v="No"/>
    <s v="No"/>
    <s v="No"/>
    <s v="No"/>
  </r>
  <r>
    <x v="1679"/>
    <s v="Pooja Pandey"/>
    <s v="Female"/>
    <n v="44"/>
    <s v="Kochi"/>
    <x v="0"/>
    <n v="14"/>
    <n v="599"/>
    <n v="8386"/>
    <s v="DSL"/>
    <d v="2024-08-03T00:00:00"/>
    <s v="No"/>
    <s v="No"/>
    <s v="No"/>
    <s v="No"/>
    <s v="No"/>
    <s v="No"/>
  </r>
  <r>
    <x v="1680"/>
    <s v="Mohit Malhotra"/>
    <s v="Male"/>
    <n v="32"/>
    <s v="Bhopal"/>
    <x v="1"/>
    <n v="15"/>
    <n v="1049"/>
    <n v="15735"/>
    <s v="Fiber"/>
    <d v="2024-06-08T00:00:00"/>
    <s v="No"/>
    <s v="No"/>
    <s v="Yes"/>
    <s v="No"/>
    <s v="No"/>
    <s v="No"/>
  </r>
  <r>
    <x v="1681"/>
    <s v="Ankit Mishra"/>
    <s v="Male"/>
    <n v="40"/>
    <s v="Chandigarh"/>
    <x v="1"/>
    <n v="17"/>
    <n v="999"/>
    <n v="16983"/>
    <s v="Fiber"/>
    <d v="2024-04-15T00:00:00"/>
    <s v="Yes"/>
    <s v="No"/>
    <s v="No"/>
    <s v="No"/>
    <s v="Yes"/>
    <s v="No"/>
  </r>
  <r>
    <x v="1682"/>
    <s v="Mohit Joshi"/>
    <s v="Male"/>
    <n v="74"/>
    <s v="Chennai"/>
    <x v="0"/>
    <n v="9"/>
    <n v="899"/>
    <n v="8091"/>
    <s v="Fiber"/>
    <d v="2024-12-12T00:00:00"/>
    <s v="Yes"/>
    <s v="No"/>
    <s v="No"/>
    <s v="No"/>
    <s v="Yes"/>
    <s v="No"/>
  </r>
  <r>
    <x v="1683"/>
    <s v="Aditi Chopra"/>
    <s v="Female"/>
    <n v="47"/>
    <s v="Pune"/>
    <x v="1"/>
    <n v="5"/>
    <n v="399"/>
    <n v="1995"/>
    <s v="No Internet"/>
    <d v="2025-04-09T00:00:00"/>
    <s v="Yes"/>
    <s v="No"/>
    <s v="No"/>
    <s v="No"/>
    <s v="Yes"/>
    <s v="No"/>
  </r>
  <r>
    <x v="1684"/>
    <s v="Aditi Mishra"/>
    <s v="Female"/>
    <n v="57"/>
    <s v="Kochi"/>
    <x v="1"/>
    <n v="40"/>
    <n v="349"/>
    <n v="13960"/>
    <s v="No Internet"/>
    <d v="2022-05-19T00:00:00"/>
    <s v="No"/>
    <s v="No"/>
    <s v="No"/>
    <s v="Yes"/>
    <s v="No"/>
    <s v="No"/>
  </r>
  <r>
    <x v="1685"/>
    <s v="Deepika Nair"/>
    <s v="Female"/>
    <n v="60"/>
    <s v="Chennai"/>
    <x v="1"/>
    <n v="11"/>
    <n v="999"/>
    <n v="10989"/>
    <s v="Fiber"/>
    <d v="2024-10-07T00:00:00"/>
    <s v="Yes"/>
    <s v="No"/>
    <s v="No"/>
    <s v="No"/>
    <s v="No"/>
    <s v="No"/>
  </r>
  <r>
    <x v="1686"/>
    <s v="Meera Kumar"/>
    <s v="Female"/>
    <n v="75"/>
    <s v="Ahmedabad"/>
    <x v="0"/>
    <n v="18"/>
    <n v="599"/>
    <n v="10782"/>
    <s v="DSL"/>
    <d v="2024-03-25T00:00:00"/>
    <s v="No"/>
    <s v="No"/>
    <s v="No"/>
    <s v="No"/>
    <s v="No"/>
    <s v="No"/>
  </r>
  <r>
    <x v="1687"/>
    <s v="Amit Malhotra"/>
    <s v="Unknown"/>
    <n v="39"/>
    <s v="Bhopal"/>
    <x v="1"/>
    <n v="39"/>
    <n v="899"/>
    <n v="35061"/>
    <s v="DSL"/>
    <d v="2022-06-30T00:00:00"/>
    <s v="No"/>
    <s v="No"/>
    <s v="No"/>
    <s v="No"/>
    <s v="No"/>
    <s v="No"/>
  </r>
  <r>
    <x v="1688"/>
    <s v="Suresh Yadav"/>
    <s v="Male"/>
    <n v="75"/>
    <s v="Hyderabad"/>
    <x v="0"/>
    <n v="10"/>
    <n v="599"/>
    <n v="5990"/>
    <s v="DSL"/>
    <d v="2024-11-10T00:00:00"/>
    <s v="No"/>
    <s v="No"/>
    <s v="No"/>
    <s v="No"/>
    <s v="No"/>
    <s v="No"/>
  </r>
  <r>
    <x v="1689"/>
    <s v="Shreya Desai"/>
    <s v="Female"/>
    <n v="50"/>
    <s v="Chennai"/>
    <x v="0"/>
    <n v="14"/>
    <n v="699"/>
    <n v="9786"/>
    <s v="DSL"/>
    <d v="2024-07-06T00:00:00"/>
    <s v="Yes"/>
    <s v="No"/>
    <s v="No"/>
    <s v="No"/>
    <s v="No"/>
    <s v="No"/>
  </r>
  <r>
    <x v="1690"/>
    <s v="Kavita Malhotra"/>
    <s v="Female"/>
    <n v="45"/>
    <s v="Delhi"/>
    <x v="2"/>
    <n v="69"/>
    <n v="699"/>
    <n v="48231"/>
    <s v="DSL"/>
    <d v="2020-01-09T00:00:00"/>
    <s v="No"/>
    <s v="No"/>
    <s v="No"/>
    <s v="No"/>
    <s v="No"/>
    <s v="No"/>
  </r>
  <r>
    <x v="1691"/>
    <s v="Ankit Pandey"/>
    <s v="Male"/>
    <n v="68"/>
    <s v="Jaipur"/>
    <x v="0"/>
    <n v="21"/>
    <n v="1299"/>
    <n v="27279"/>
    <s v="Fiber"/>
    <d v="2023-12-19T00:00:00"/>
    <s v="Yes"/>
    <s v="No"/>
    <s v="No"/>
    <s v="No"/>
    <s v="No"/>
    <s v="No"/>
  </r>
  <r>
    <x v="1692"/>
    <s v="Rohit Mishra"/>
    <s v="Male"/>
    <n v="47"/>
    <s v="Jaipur"/>
    <x v="0"/>
    <n v="18"/>
    <n v="849"/>
    <n v="15282"/>
    <s v="DSL"/>
    <d v="2024-03-24T00:00:00"/>
    <s v="No"/>
    <s v="No"/>
    <s v="No"/>
    <s v="No"/>
    <s v="No"/>
    <s v="No"/>
  </r>
  <r>
    <x v="1693"/>
    <s v="Pankaj Verma"/>
    <s v="Male"/>
    <n v="47"/>
    <s v="Pune"/>
    <x v="0"/>
    <n v="16"/>
    <n v="1049"/>
    <n v="16784"/>
    <s v="Fiber"/>
    <d v="2024-05-28T00:00:00"/>
    <s v="No"/>
    <s v="Yes"/>
    <s v="No"/>
    <s v="No"/>
    <s v="Yes"/>
    <s v="No"/>
  </r>
  <r>
    <x v="1694"/>
    <s v="Ritu Verma"/>
    <s v="Female"/>
    <n v="69"/>
    <s v="Mumbai"/>
    <x v="2"/>
    <n v="70"/>
    <n v="449"/>
    <n v="31430"/>
    <s v="No Internet"/>
    <d v="2019-12-25T00:00:00"/>
    <s v="No"/>
    <s v="No"/>
    <s v="No"/>
    <s v="No"/>
    <s v="No"/>
    <s v="No"/>
  </r>
  <r>
    <x v="1695"/>
    <s v="Sachin Chopra"/>
    <s v="Male"/>
    <n v="32"/>
    <s v="Lucknow"/>
    <x v="0"/>
    <n v="8"/>
    <n v="1299"/>
    <n v="10392"/>
    <s v="Fiber"/>
    <d v="2025-01-28T00:00:00"/>
    <s v="Yes"/>
    <s v="No"/>
    <s v="No"/>
    <s v="No"/>
    <s v="No"/>
    <s v="No"/>
  </r>
  <r>
    <x v="1696"/>
    <s v="Priya Rao"/>
    <s v="Female"/>
    <n v="70"/>
    <s v="Bangalore"/>
    <x v="2"/>
    <n v="23"/>
    <n v="1299"/>
    <n v="29877"/>
    <s v="Fiber"/>
    <d v="2023-10-17T00:00:00"/>
    <s v="No"/>
    <s v="No"/>
    <s v="No"/>
    <s v="No"/>
    <s v="No"/>
    <s v="No"/>
  </r>
  <r>
    <x v="1697"/>
    <s v="Arjun Singh"/>
    <s v="Male"/>
    <n v="25"/>
    <s v="Delhi"/>
    <x v="2"/>
    <n v="30"/>
    <n v="649"/>
    <n v="19470"/>
    <s v="DSL"/>
    <d v="2023-03-27T00:00:00"/>
    <s v="Yes"/>
    <s v="No"/>
    <s v="No"/>
    <s v="No"/>
    <s v="No"/>
    <s v="No"/>
  </r>
  <r>
    <x v="1698"/>
    <s v="Shreya Tiwari"/>
    <s v="Female"/>
    <n v="42"/>
    <s v="Mumbai"/>
    <x v="0"/>
    <n v="21"/>
    <n v="799"/>
    <n v="16779"/>
    <s v="DSL"/>
    <d v="2023-12-17T00:00:00"/>
    <s v="No"/>
    <s v="No"/>
    <s v="No"/>
    <s v="No"/>
    <s v="No"/>
    <s v="No"/>
  </r>
  <r>
    <x v="1699"/>
    <s v="Divya Reddy"/>
    <s v="Female"/>
    <n v="18"/>
    <s v="Jaipur"/>
    <x v="0"/>
    <n v="12"/>
    <n v="749"/>
    <n v="8988"/>
    <s v="DSL"/>
    <d v="2024-09-04T00:00:00"/>
    <s v="Yes"/>
    <s v="No"/>
    <s v="Yes"/>
    <s v="No"/>
    <s v="No"/>
    <s v="No"/>
  </r>
  <r>
    <x v="1700"/>
    <s v="Sachin Iyer"/>
    <s v="Male"/>
    <n v="38"/>
    <s v="Indore"/>
    <x v="0"/>
    <n v="19"/>
    <n v="349"/>
    <n v="6631"/>
    <s v="No Internet"/>
    <d v="2024-02-28T00:00:00"/>
    <s v="No"/>
    <s v="No"/>
    <s v="No"/>
    <s v="No"/>
    <s v="No"/>
    <s v="No"/>
  </r>
  <r>
    <x v="1701"/>
    <s v="Sonal Chopra"/>
    <s v="Female"/>
    <n v="26"/>
    <s v="Hyderabad"/>
    <x v="0"/>
    <n v="19"/>
    <n v="1299"/>
    <n v="24681"/>
    <s v="Fiber"/>
    <d v="2024-03-01T00:00:00"/>
    <s v="Yes"/>
    <s v="No"/>
    <s v="No"/>
    <s v="No"/>
    <s v="No"/>
    <s v="No"/>
  </r>
  <r>
    <x v="1702"/>
    <s v="Ankit Rao"/>
    <s v="Male"/>
    <n v="29"/>
    <s v="Delhi"/>
    <x v="0"/>
    <n v="11"/>
    <n v="499"/>
    <n v="5489"/>
    <s v="No Internet"/>
    <d v="2024-10-31T00:00:00"/>
    <s v="No"/>
    <s v="No"/>
    <s v="No"/>
    <s v="No"/>
    <s v="No"/>
    <s v="No"/>
  </r>
  <r>
    <x v="1703"/>
    <s v="Priya Pandey"/>
    <s v="Female"/>
    <n v="20"/>
    <s v="Kolkata"/>
    <x v="3"/>
    <n v="13"/>
    <n v="349"/>
    <n v="4537"/>
    <s v="No Internet"/>
    <d v="2024-08-06T00:00:00"/>
    <s v="Yes"/>
    <s v="No"/>
    <s v="No"/>
    <s v="No"/>
    <s v="No"/>
    <s v="No"/>
  </r>
  <r>
    <x v="1704"/>
    <s v="Isha Iyer"/>
    <s v="Female"/>
    <n v="73"/>
    <s v="Mumbai"/>
    <x v="1"/>
    <n v="15"/>
    <n v="899"/>
    <n v="13485"/>
    <s v="Fiber"/>
    <d v="2024-07-02T00:00:00"/>
    <s v="No"/>
    <s v="No"/>
    <s v="No"/>
    <s v="No"/>
    <s v="No"/>
    <s v="No"/>
  </r>
  <r>
    <x v="1705"/>
    <s v="Riya Bose"/>
    <s v="Female"/>
    <n v="35"/>
    <s v="Kochi"/>
    <x v="1"/>
    <n v="40"/>
    <n v="599"/>
    <n v="23960"/>
    <s v="DSL"/>
    <d v="2022-06-03T00:00:00"/>
    <s v="No"/>
    <s v="No"/>
    <s v="No"/>
    <s v="No"/>
    <s v="No"/>
    <s v="No"/>
  </r>
  <r>
    <x v="1706"/>
    <s v="Sonal Mehta"/>
    <s v="Female"/>
    <n v="36"/>
    <s v="Jaipur"/>
    <x v="0"/>
    <n v="19"/>
    <n v="1149"/>
    <n v="21831"/>
    <s v="Fiber"/>
    <d v="2024-02-17T00:00:00"/>
    <s v="Yes"/>
    <s v="No"/>
    <s v="No"/>
    <s v="No"/>
    <s v="No"/>
    <s v="No"/>
  </r>
  <r>
    <x v="1707"/>
    <s v="Priya Jain"/>
    <s v="Female"/>
    <n v="32"/>
    <s v="Jaipur"/>
    <x v="0"/>
    <n v="21"/>
    <n v="899"/>
    <n v="18879"/>
    <s v="Fiber"/>
    <d v="2023-12-17T00:00:00"/>
    <s v="No"/>
    <s v="No"/>
    <s v="No"/>
    <s v="No"/>
    <s v="No"/>
    <s v="No"/>
  </r>
  <r>
    <x v="1708"/>
    <s v="Riya Kumar"/>
    <s v="Female"/>
    <n v="41"/>
    <s v="Delhi"/>
    <x v="0"/>
    <n v="6"/>
    <n v="1099"/>
    <n v="6594"/>
    <s v="Fiber"/>
    <d v="2025-03-04T00:00:00"/>
    <s v="No"/>
    <s v="No"/>
    <s v="No"/>
    <s v="No"/>
    <s v="Yes"/>
    <s v="No"/>
  </r>
  <r>
    <x v="1709"/>
    <s v="Priya Pandey"/>
    <s v="Female"/>
    <n v="56"/>
    <s v="Hyderabad"/>
    <x v="0"/>
    <n v="5"/>
    <n v="449"/>
    <n v="2245"/>
    <s v="No Internet"/>
    <d v="2025-04-11T00:00:00"/>
    <s v="Yes"/>
    <s v="No"/>
    <s v="No"/>
    <s v="No"/>
    <s v="No"/>
    <s v="No"/>
  </r>
  <r>
    <x v="1710"/>
    <s v="Deepak Sharma"/>
    <s v="Male"/>
    <n v="37"/>
    <s v="Mumbai"/>
    <x v="1"/>
    <n v="37"/>
    <n v="699"/>
    <n v="25863"/>
    <s v="DSL"/>
    <d v="2022-09-03T00:00:00"/>
    <s v="No"/>
    <s v="No"/>
    <s v="No"/>
    <s v="No"/>
    <s v="No"/>
    <s v="No"/>
  </r>
  <r>
    <x v="1711"/>
    <s v="Payal Joshi"/>
    <s v="Female"/>
    <n v="25"/>
    <s v="Ahmedabad"/>
    <x v="0"/>
    <n v="3"/>
    <n v="849"/>
    <n v="2547"/>
    <s v="DSL"/>
    <d v="2025-06-18T00:00:00"/>
    <s v="Yes"/>
    <s v="No"/>
    <s v="No"/>
    <s v="No"/>
    <s v="No"/>
    <s v="No"/>
  </r>
  <r>
    <x v="1712"/>
    <s v="Vikram Reddy"/>
    <s v="Male"/>
    <n v="52"/>
    <s v="Indore"/>
    <x v="1"/>
    <n v="10"/>
    <n v="899"/>
    <n v="8990"/>
    <s v="Fiber"/>
    <d v="2024-11-20T00:00:00"/>
    <s v="No"/>
    <s v="No"/>
    <s v="No"/>
    <s v="No"/>
    <s v="No"/>
    <s v="No"/>
  </r>
  <r>
    <x v="1713"/>
    <s v="Vivek Malhotra"/>
    <s v="Male"/>
    <n v="29"/>
    <s v="Bangalore"/>
    <x v="0"/>
    <n v="11"/>
    <n v="349"/>
    <n v="3839"/>
    <s v="No Internet"/>
    <d v="2024-10-08T00:00:00"/>
    <s v="No"/>
    <s v="No"/>
    <s v="No"/>
    <s v="No"/>
    <s v="No"/>
    <s v="No"/>
  </r>
  <r>
    <x v="1714"/>
    <s v="Isha Malhotra"/>
    <s v="Female"/>
    <n v="26"/>
    <s v="Mumbai"/>
    <x v="2"/>
    <n v="38"/>
    <n v="699"/>
    <n v="26562"/>
    <s v="DSL"/>
    <d v="2022-07-22T00:00:00"/>
    <s v="No"/>
    <s v="No"/>
    <s v="No"/>
    <s v="No"/>
    <s v="No"/>
    <s v="No"/>
  </r>
  <r>
    <x v="1715"/>
    <s v="Unknown"/>
    <s v="Male"/>
    <n v="27"/>
    <s v="Bangalore"/>
    <x v="2"/>
    <n v="1"/>
    <n v="1149"/>
    <n v="1149"/>
    <s v="Fiber"/>
    <d v="2025-08-28T00:00:00"/>
    <s v="No"/>
    <s v="No"/>
    <s v="No"/>
    <s v="No"/>
    <s v="No"/>
    <s v="No"/>
  </r>
  <r>
    <x v="1716"/>
    <s v="Deepak Nair"/>
    <s v="Male"/>
    <n v="63"/>
    <s v="Pune"/>
    <x v="0"/>
    <n v="15"/>
    <n v="399"/>
    <n v="5985"/>
    <s v="No Internet"/>
    <d v="2024-06-08T00:00:00"/>
    <s v="Yes"/>
    <s v="No"/>
    <s v="No"/>
    <s v="No"/>
    <s v="No"/>
    <s v="No"/>
  </r>
  <r>
    <x v="1717"/>
    <s v="Meera Jain"/>
    <s v="Female"/>
    <n v="28"/>
    <s v="Jaipur"/>
    <x v="1"/>
    <n v="18"/>
    <n v="349"/>
    <n v="6282"/>
    <s v="No Internet"/>
    <d v="2024-03-17T00:00:00"/>
    <s v="No"/>
    <s v="No"/>
    <s v="No"/>
    <s v="No"/>
    <s v="No"/>
    <s v="No"/>
  </r>
  <r>
    <x v="1718"/>
    <s v="Arjun Pandey"/>
    <s v="Male"/>
    <n v="34"/>
    <s v="Bhopal"/>
    <x v="0"/>
    <n v="14"/>
    <n v="599"/>
    <n v="8386"/>
    <s v="DSL"/>
    <d v="2024-07-10T00:00:00"/>
    <s v="No"/>
    <s v="No"/>
    <s v="No"/>
    <s v="No"/>
    <s v="No"/>
    <s v="No"/>
  </r>
  <r>
    <x v="1719"/>
    <s v="Priya Desai"/>
    <s v="Female"/>
    <n v="22"/>
    <s v="Delhi"/>
    <x v="1"/>
    <n v="4"/>
    <n v="549"/>
    <n v="2196"/>
    <s v="No Internet"/>
    <d v="2025-05-31T00:00:00"/>
    <s v="No"/>
    <s v="No"/>
    <s v="No"/>
    <s v="No"/>
    <s v="No"/>
    <s v="No"/>
  </r>
  <r>
    <x v="1720"/>
    <s v="Ankit Reddy"/>
    <s v="Male"/>
    <n v="70"/>
    <s v="Indore"/>
    <x v="0"/>
    <n v="3"/>
    <n v="849"/>
    <n v="2547"/>
    <s v="DSL"/>
    <d v="2025-06-04T00:00:00"/>
    <s v="Yes"/>
    <s v="No"/>
    <s v="No"/>
    <s v="No"/>
    <s v="No"/>
    <s v="No"/>
  </r>
  <r>
    <x v="1721"/>
    <s v="Sneha Bose"/>
    <s v="Female"/>
    <n v="26"/>
    <s v="Hyderabad"/>
    <x v="0"/>
    <n v="14"/>
    <n v="1049"/>
    <n v="14686"/>
    <s v="Fiber"/>
    <d v="2024-07-20T00:00:00"/>
    <s v="Yes"/>
    <s v="No"/>
    <s v="No"/>
    <s v="No"/>
    <s v="No"/>
    <s v="No"/>
  </r>
  <r>
    <x v="1722"/>
    <s v="Neha Jain"/>
    <s v="Female"/>
    <n v="54"/>
    <s v="Kochi"/>
    <x v="0"/>
    <n v="23"/>
    <n v="999"/>
    <n v="22977"/>
    <s v="Fiber"/>
    <d v="2023-10-23T00:00:00"/>
    <s v="No"/>
    <s v="No"/>
    <s v="No"/>
    <s v="No"/>
    <s v="No"/>
    <s v="No"/>
  </r>
  <r>
    <x v="1723"/>
    <s v="Nisha Bose"/>
    <s v="Female"/>
    <n v="53"/>
    <s v="Lucknow"/>
    <x v="0"/>
    <n v="12"/>
    <n v="449"/>
    <n v="5388"/>
    <s v="No Internet"/>
    <d v="2024-09-18T00:00:00"/>
    <s v="Yes"/>
    <s v="No"/>
    <s v="No"/>
    <s v="No"/>
    <s v="No"/>
    <s v="No"/>
  </r>
  <r>
    <x v="1724"/>
    <s v="Vivek Agarwal"/>
    <s v="Male"/>
    <n v="23"/>
    <s v="Lucknow"/>
    <x v="1"/>
    <n v="10"/>
    <n v="999"/>
    <n v="9990"/>
    <s v="Fiber"/>
    <d v="2024-11-30T00:00:00"/>
    <s v="No"/>
    <s v="No"/>
    <s v="No"/>
    <s v="Yes"/>
    <s v="No"/>
    <s v="No"/>
  </r>
  <r>
    <x v="1725"/>
    <s v="Vikram Verma"/>
    <s v="Male"/>
    <n v="34"/>
    <s v="Pune"/>
    <x v="0"/>
    <n v="18"/>
    <n v="1149"/>
    <n v="20682"/>
    <s v="Fiber"/>
    <d v="2024-04-01T00:00:00"/>
    <s v="Yes"/>
    <s v="No"/>
    <s v="No"/>
    <s v="No"/>
    <s v="No"/>
    <s v="No"/>
  </r>
  <r>
    <x v="1726"/>
    <s v="Ankit Iyer"/>
    <s v="Male"/>
    <n v="31"/>
    <s v="Kochi"/>
    <x v="1"/>
    <n v="17"/>
    <n v="1299"/>
    <n v="22083"/>
    <s v="Fiber"/>
    <d v="2024-04-07T00:00:00"/>
    <s v="No"/>
    <s v="No"/>
    <s v="No"/>
    <s v="No"/>
    <s v="No"/>
    <s v="No"/>
  </r>
  <r>
    <x v="1727"/>
    <s v="Vivek Jain"/>
    <s v="Male"/>
    <n v="21"/>
    <s v="Kolkata"/>
    <x v="2"/>
    <n v="56"/>
    <n v="499"/>
    <n v="27944"/>
    <s v="No Internet"/>
    <d v="2021-02-03T00:00:00"/>
    <s v="No"/>
    <s v="No"/>
    <s v="No"/>
    <s v="No"/>
    <s v="No"/>
    <s v="No"/>
  </r>
  <r>
    <x v="1728"/>
    <s v="Suresh Iyer"/>
    <s v="Male"/>
    <n v="52"/>
    <s v="Jaipur"/>
    <x v="0"/>
    <n v="6"/>
    <n v="699"/>
    <n v="4194"/>
    <s v="DSL"/>
    <d v="2025-03-07T00:00:00"/>
    <s v="Yes"/>
    <s v="No"/>
    <s v="No"/>
    <s v="No"/>
    <s v="No"/>
    <s v="No"/>
  </r>
  <r>
    <x v="1729"/>
    <s v="Divya Singh"/>
    <s v="Female"/>
    <n v="52"/>
    <s v="Delhi"/>
    <x v="0"/>
    <n v="15"/>
    <n v="699"/>
    <n v="10485"/>
    <s v="DSL"/>
    <d v="2024-06-21T00:00:00"/>
    <s v="Yes"/>
    <s v="No"/>
    <s v="No"/>
    <s v="No"/>
    <s v="No"/>
    <s v="No"/>
  </r>
  <r>
    <x v="1730"/>
    <s v="Isha Kumar"/>
    <s v="Female"/>
    <n v="41"/>
    <s v="Kolkata"/>
    <x v="0"/>
    <n v="24"/>
    <n v="899"/>
    <n v="21576"/>
    <s v="Fiber"/>
    <d v="2023-09-10T00:00:00"/>
    <s v="Yes"/>
    <s v="No"/>
    <s v="No"/>
    <s v="No"/>
    <s v="No"/>
    <s v="No"/>
  </r>
  <r>
    <x v="1731"/>
    <s v="Swati Reddy"/>
    <s v="Female"/>
    <n v="20"/>
    <s v="Ahmedabad"/>
    <x v="1"/>
    <n v="2"/>
    <n v="849"/>
    <n v="1698"/>
    <s v="DSL"/>
    <d v="2025-07-27T00:00:00"/>
    <s v="No"/>
    <s v="No"/>
    <s v="No"/>
    <s v="No"/>
    <s v="No"/>
    <s v="No"/>
  </r>
  <r>
    <x v="1732"/>
    <s v="Karan Kapoor"/>
    <s v="Male"/>
    <n v="67"/>
    <s v="Jaipur"/>
    <x v="2"/>
    <n v="3"/>
    <n v="649"/>
    <n v="1947"/>
    <s v="DSL"/>
    <d v="2025-06-16T00:00:00"/>
    <s v="No"/>
    <s v="No"/>
    <s v="No"/>
    <s v="No"/>
    <s v="Yes"/>
    <s v="No"/>
  </r>
  <r>
    <x v="1733"/>
    <s v="Sneha Saxena"/>
    <s v="Female"/>
    <n v="62"/>
    <s v="Bangalore"/>
    <x v="0"/>
    <n v="23"/>
    <n v="799"/>
    <n v="18377"/>
    <s v="DSL"/>
    <d v="2023-10-10T00:00:00"/>
    <s v="Yes"/>
    <s v="No"/>
    <s v="No"/>
    <s v="No"/>
    <s v="No"/>
    <s v="No"/>
  </r>
  <r>
    <x v="1734"/>
    <s v="Neha Saxena"/>
    <s v="Female"/>
    <n v="29"/>
    <s v="Delhi"/>
    <x v="2"/>
    <n v="24"/>
    <n v="1049"/>
    <n v="25176"/>
    <s v="Fiber"/>
    <d v="2023-10-08T00:00:00"/>
    <s v="No"/>
    <s v="No"/>
    <s v="No"/>
    <s v="No"/>
    <s v="No"/>
    <s v="No"/>
  </r>
  <r>
    <x v="1735"/>
    <s v="Arjun Tiwari"/>
    <s v="Male"/>
    <n v="66"/>
    <s v="Kochi"/>
    <x v="1"/>
    <n v="21"/>
    <n v="599"/>
    <n v="12579"/>
    <s v="DSL"/>
    <d v="2023-12-09T00:00:00"/>
    <s v="No"/>
    <s v="No"/>
    <s v="No"/>
    <s v="No"/>
    <s v="No"/>
    <s v="No"/>
  </r>
  <r>
    <x v="1736"/>
    <s v="Aman Chopra"/>
    <s v="Male"/>
    <n v="61"/>
    <s v="Indore"/>
    <x v="1"/>
    <n v="40"/>
    <n v="899"/>
    <n v="35960"/>
    <s v="Fiber"/>
    <d v="2022-05-21T00:00:00"/>
    <s v="No"/>
    <s v="No"/>
    <s v="No"/>
    <s v="No"/>
    <s v="Yes"/>
    <s v="No"/>
  </r>
  <r>
    <x v="1737"/>
    <s v="Anjali Kapoor"/>
    <s v="Female"/>
    <n v="63"/>
    <s v="Hyderabad"/>
    <x v="2"/>
    <n v="71"/>
    <n v="1049"/>
    <n v="74479"/>
    <s v="Fiber"/>
    <d v="2019-11-09T00:00:00"/>
    <s v="No"/>
    <s v="No"/>
    <s v="No"/>
    <s v="No"/>
    <s v="No"/>
    <s v="No"/>
  </r>
  <r>
    <x v="1738"/>
    <s v="Manish Saxena"/>
    <s v="Male"/>
    <n v="66"/>
    <s v="Chandigarh"/>
    <x v="0"/>
    <n v="13"/>
    <n v="699"/>
    <n v="9087"/>
    <s v="DSL"/>
    <d v="2024-08-25T00:00:00"/>
    <s v="Yes"/>
    <s v="No"/>
    <s v="No"/>
    <s v="No"/>
    <s v="No"/>
    <s v="No"/>
  </r>
  <r>
    <x v="1739"/>
    <s v="Sanjay Pandey"/>
    <s v="Male"/>
    <n v="75"/>
    <s v="Lucknow"/>
    <x v="0"/>
    <n v="5"/>
    <n v="599"/>
    <n v="2995"/>
    <s v="DSL"/>
    <d v="2025-04-12T00:00:00"/>
    <s v="Yes"/>
    <s v="No"/>
    <s v="No"/>
    <s v="No"/>
    <s v="No"/>
    <s v="No"/>
  </r>
  <r>
    <x v="1740"/>
    <s v="Neha Kumar"/>
    <s v="Female"/>
    <n v="52"/>
    <s v="Chennai"/>
    <x v="1"/>
    <n v="15"/>
    <n v="549"/>
    <n v="8235"/>
    <s v="No Internet"/>
    <d v="2024-06-30T00:00:00"/>
    <s v="No"/>
    <s v="No"/>
    <s v="No"/>
    <s v="No"/>
    <s v="No"/>
    <s v="No"/>
  </r>
  <r>
    <x v="1741"/>
    <s v="Isha Nair"/>
    <s v="Female"/>
    <n v="41"/>
    <s v="Indore"/>
    <x v="1"/>
    <n v="24"/>
    <n v="749"/>
    <n v="17976"/>
    <s v="DSL"/>
    <m/>
    <s v="Yes"/>
    <s v="No"/>
    <s v="No"/>
    <s v="No"/>
    <s v="No"/>
    <s v="Date missing"/>
  </r>
  <r>
    <x v="1742"/>
    <s v="Rahul Rao"/>
    <s v="Male"/>
    <n v="54"/>
    <s v="Kolkata"/>
    <x v="2"/>
    <n v="71"/>
    <n v="549"/>
    <n v="38979"/>
    <s v="No Internet"/>
    <m/>
    <s v="No"/>
    <s v="No"/>
    <s v="No"/>
    <s v="No"/>
    <s v="No"/>
    <s v="Date missing"/>
  </r>
  <r>
    <x v="1743"/>
    <s v="Kavita Verma"/>
    <s v="Female"/>
    <n v="67"/>
    <s v="Bhopal"/>
    <x v="2"/>
    <n v="65"/>
    <n v="399"/>
    <n v="25935"/>
    <s v="No Internet"/>
    <d v="2020-05-21T00:00:00"/>
    <s v="No"/>
    <s v="No"/>
    <s v="No"/>
    <s v="No"/>
    <s v="Yes"/>
    <s v="No"/>
  </r>
  <r>
    <x v="1744"/>
    <s v="Rajesh Iyer"/>
    <s v="Male"/>
    <n v="37"/>
    <s v="Lucknow"/>
    <x v="1"/>
    <n v="15"/>
    <n v="499"/>
    <n v="7485"/>
    <s v="No Internet"/>
    <d v="2024-06-23T00:00:00"/>
    <s v="No"/>
    <s v="No"/>
    <s v="No"/>
    <s v="No"/>
    <s v="No"/>
    <s v="No"/>
  </r>
  <r>
    <x v="1745"/>
    <s v="Nikhil Joshi"/>
    <s v="Male"/>
    <n v="18"/>
    <s v="Hyderabad"/>
    <x v="0"/>
    <n v="1"/>
    <n v="599"/>
    <n v="599"/>
    <s v="DSL"/>
    <d v="2025-08-19T00:00:00"/>
    <s v="No"/>
    <s v="No"/>
    <s v="No"/>
    <s v="No"/>
    <s v="No"/>
    <s v="No"/>
  </r>
  <r>
    <x v="1746"/>
    <s v="Pooja Rao"/>
    <s v="Female"/>
    <n v="29"/>
    <s v="Chennai"/>
    <x v="0"/>
    <n v="6"/>
    <n v="899"/>
    <n v="5394"/>
    <s v="Fiber"/>
    <d v="2025-03-14T00:00:00"/>
    <s v="No"/>
    <s v="No"/>
    <s v="No"/>
    <s v="No"/>
    <s v="No"/>
    <s v="No"/>
  </r>
  <r>
    <x v="1747"/>
    <s v="Manish Nair"/>
    <s v="Male"/>
    <n v="37"/>
    <s v="Pune"/>
    <x v="2"/>
    <n v="5"/>
    <n v="799"/>
    <n v="3995"/>
    <s v="DSL"/>
    <d v="2025-04-30T00:00:00"/>
    <s v="No"/>
    <s v="No"/>
    <s v="No"/>
    <s v="No"/>
    <s v="No"/>
    <s v="No"/>
  </r>
  <r>
    <x v="1748"/>
    <s v="Ritu Sharma"/>
    <s v="Female"/>
    <n v="58"/>
    <s v="Kochi"/>
    <x v="2"/>
    <n v="53"/>
    <n v="1049"/>
    <n v="55597"/>
    <s v="Fiber"/>
    <d v="2021-04-24T00:00:00"/>
    <s v="Yes"/>
    <s v="No"/>
    <s v="No"/>
    <s v="No"/>
    <s v="No"/>
    <s v="No"/>
  </r>
  <r>
    <x v="1749"/>
    <s v="Vikram Rao"/>
    <s v="Male"/>
    <n v="43"/>
    <s v="Ahmedabad"/>
    <x v="0"/>
    <n v="1"/>
    <n v="699"/>
    <n v="699"/>
    <s v="DSL"/>
    <d v="2025-07-31T00:00:00"/>
    <s v="No"/>
    <s v="No"/>
    <s v="No"/>
    <s v="No"/>
    <s v="No"/>
    <s v="No"/>
  </r>
  <r>
    <x v="1750"/>
    <s v="Swati Bose"/>
    <s v="Female"/>
    <n v="53"/>
    <s v="Kochi"/>
    <x v="2"/>
    <n v="24"/>
    <n v="999"/>
    <n v="23976"/>
    <s v="Fiber"/>
    <d v="2023-09-15T00:00:00"/>
    <s v="No"/>
    <s v="No"/>
    <s v="No"/>
    <s v="No"/>
    <s v="No"/>
    <s v="No"/>
  </r>
  <r>
    <x v="1751"/>
    <s v="Aditi Gupta"/>
    <s v="Female"/>
    <n v="43"/>
    <s v="Delhi"/>
    <x v="0"/>
    <n v="14"/>
    <n v="399"/>
    <n v="5586"/>
    <s v="No Internet"/>
    <d v="2024-07-07T00:00:00"/>
    <s v="No"/>
    <s v="No"/>
    <s v="No"/>
    <s v="No"/>
    <s v="No"/>
    <s v="No"/>
  </r>
  <r>
    <x v="1752"/>
    <s v="Ankit Patel"/>
    <s v="Male"/>
    <n v="40"/>
    <s v="Jaipur"/>
    <x v="0"/>
    <n v="15"/>
    <n v="599"/>
    <n v="8985"/>
    <s v="DSL"/>
    <d v="2024-06-06T00:00:00"/>
    <s v="Yes"/>
    <s v="No"/>
    <s v="No"/>
    <s v="No"/>
    <s v="Yes"/>
    <s v="No"/>
  </r>
  <r>
    <x v="1753"/>
    <s v="Anjali Kumar"/>
    <s v="Female"/>
    <n v="69"/>
    <s v="Pune"/>
    <x v="2"/>
    <n v="71"/>
    <n v="599"/>
    <n v="42529"/>
    <s v="DSL"/>
    <d v="2019-11-24T00:00:00"/>
    <s v="No"/>
    <s v="No"/>
    <s v="No"/>
    <s v="No"/>
    <s v="No"/>
    <s v="No"/>
  </r>
  <r>
    <x v="1754"/>
    <s v="Pankaj Agarwal"/>
    <s v="Male"/>
    <n v="60"/>
    <s v="Bangalore"/>
    <x v="0"/>
    <n v="17"/>
    <n v="549"/>
    <n v="9333"/>
    <s v="No Internet"/>
    <d v="2024-04-21T00:00:00"/>
    <s v="No"/>
    <s v="No"/>
    <s v="No"/>
    <s v="No"/>
    <s v="No"/>
    <s v="No"/>
  </r>
  <r>
    <x v="1755"/>
    <s v="Aman Bose"/>
    <s v="Male"/>
    <n v="24"/>
    <s v="Kolkata"/>
    <x v="0"/>
    <n v="14"/>
    <n v="649"/>
    <n v="9086"/>
    <s v="DSL"/>
    <d v="2024-07-18T00:00:00"/>
    <s v="Yes"/>
    <s v="No"/>
    <s v="No"/>
    <s v="No"/>
    <s v="No"/>
    <s v="No"/>
  </r>
  <r>
    <x v="1756"/>
    <s v="Rajesh Joshi"/>
    <s v="Unknown"/>
    <n v="54"/>
    <s v="Bhopal"/>
    <x v="0"/>
    <n v="6"/>
    <n v="349"/>
    <n v="2094"/>
    <s v="No Internet"/>
    <d v="2025-03-16T00:00:00"/>
    <s v="Yes"/>
    <s v="No"/>
    <s v="No"/>
    <s v="No"/>
    <s v="No"/>
    <s v="No"/>
  </r>
  <r>
    <x v="1757"/>
    <s v="Amit Joshi"/>
    <s v="Male"/>
    <n v="33"/>
    <s v="Ahmedabad"/>
    <x v="0"/>
    <n v="20"/>
    <n v="349"/>
    <n v="6980"/>
    <s v="No Internet"/>
    <d v="2024-01-25T00:00:00"/>
    <s v="No"/>
    <s v="No"/>
    <s v="No"/>
    <s v="No"/>
    <s v="No"/>
    <s v="No"/>
  </r>
  <r>
    <x v="1758"/>
    <s v="Mohit Bose"/>
    <s v="Male"/>
    <n v="48"/>
    <s v="Bangalore"/>
    <x v="2"/>
    <n v="40"/>
    <n v="899"/>
    <n v="35960"/>
    <s v="DSL"/>
    <d v="2022-06-12T00:00:00"/>
    <s v="No"/>
    <s v="No"/>
    <s v="No"/>
    <s v="No"/>
    <s v="No"/>
    <s v="No"/>
  </r>
  <r>
    <x v="1759"/>
    <s v="Gaurav Gupta"/>
    <s v="Male"/>
    <n v="18"/>
    <s v="Delhi"/>
    <x v="0"/>
    <n v="10"/>
    <n v="799"/>
    <n v="7990"/>
    <s v="DSL"/>
    <d v="2024-11-28T00:00:00"/>
    <s v="Yes"/>
    <s v="No"/>
    <s v="No"/>
    <s v="No"/>
    <s v="No"/>
    <s v="No"/>
  </r>
  <r>
    <x v="1760"/>
    <s v="Suresh Kumar"/>
    <s v="Male"/>
    <n v="35"/>
    <s v="Chennai"/>
    <x v="0"/>
    <n v="7"/>
    <n v="849"/>
    <n v="5943"/>
    <s v="DSL"/>
    <m/>
    <s v="No"/>
    <s v="No"/>
    <s v="No"/>
    <s v="No"/>
    <s v="No"/>
    <s v="Date missing"/>
  </r>
  <r>
    <x v="1761"/>
    <s v="Isha Bose"/>
    <s v="Female"/>
    <n v="56"/>
    <s v="Bhopal"/>
    <x v="0"/>
    <n v="5"/>
    <n v="849"/>
    <n v="4245"/>
    <s v="DSL"/>
    <d v="2025-04-11T00:00:00"/>
    <s v="Yes"/>
    <s v="No"/>
    <s v="No"/>
    <s v="No"/>
    <s v="No"/>
    <s v="No"/>
  </r>
  <r>
    <x v="1762"/>
    <s v="Amit Malhotra"/>
    <s v="Male"/>
    <n v="63"/>
    <s v="Bhopal"/>
    <x v="0"/>
    <n v="5"/>
    <n v="499"/>
    <n v="2495"/>
    <s v="No Internet"/>
    <d v="2025-04-02T00:00:00"/>
    <s v="Yes"/>
    <s v="No"/>
    <s v="No"/>
    <s v="Yes"/>
    <s v="No"/>
    <s v="No"/>
  </r>
  <r>
    <x v="1763"/>
    <s v="Karan Nair"/>
    <s v="Male"/>
    <n v="41"/>
    <s v="Bhopal"/>
    <x v="0"/>
    <n v="5"/>
    <n v="499"/>
    <n v="2495"/>
    <s v="No Internet"/>
    <d v="2025-04-30T00:00:00"/>
    <s v="Yes"/>
    <s v="No"/>
    <s v="No"/>
    <s v="No"/>
    <s v="No"/>
    <s v="No"/>
  </r>
  <r>
    <x v="1764"/>
    <s v="Kavita Rao"/>
    <s v="Female"/>
    <n v="30"/>
    <s v="Delhi"/>
    <x v="1"/>
    <n v="23"/>
    <n v="549"/>
    <n v="12627"/>
    <s v="Unknown"/>
    <d v="2023-10-13T00:00:00"/>
    <s v="No"/>
    <s v="No"/>
    <s v="No"/>
    <s v="Yes"/>
    <s v="No"/>
    <s v="No"/>
  </r>
  <r>
    <x v="1765"/>
    <s v="Shreya Kapoor"/>
    <s v="Female"/>
    <n v="40"/>
    <s v="Kolkata"/>
    <x v="2"/>
    <n v="69"/>
    <n v="649"/>
    <n v="44781"/>
    <s v="DSL"/>
    <d v="2020-01-08T00:00:00"/>
    <s v="No"/>
    <s v="No"/>
    <s v="No"/>
    <s v="No"/>
    <s v="No"/>
    <s v="No"/>
  </r>
  <r>
    <x v="1766"/>
    <s v="Pankaj Kumar"/>
    <s v="Male"/>
    <n v="44"/>
    <s v="Indore"/>
    <x v="2"/>
    <n v="10"/>
    <n v="1049"/>
    <n v="10490"/>
    <s v="Fiber"/>
    <d v="2024-12-01T00:00:00"/>
    <s v="No"/>
    <s v="No"/>
    <s v="No"/>
    <s v="No"/>
    <s v="No"/>
    <s v="No"/>
  </r>
  <r>
    <x v="1767"/>
    <s v="Rajesh Agarwal"/>
    <s v="Male"/>
    <n v="51"/>
    <s v="Hyderabad"/>
    <x v="0"/>
    <n v="9"/>
    <n v="1299"/>
    <n v="11691"/>
    <s v="Fiber"/>
    <d v="2024-12-30T00:00:00"/>
    <s v="No"/>
    <s v="No"/>
    <s v="No"/>
    <s v="No"/>
    <s v="No"/>
    <s v="No"/>
  </r>
  <r>
    <x v="1768"/>
    <s v="Divya Gupta"/>
    <s v="Female"/>
    <n v="27"/>
    <s v="Lucknow"/>
    <x v="0"/>
    <n v="4"/>
    <n v="349"/>
    <n v="1396"/>
    <s v="No Internet"/>
    <d v="2025-05-20T00:00:00"/>
    <s v="Yes"/>
    <s v="No"/>
    <s v="No"/>
    <s v="No"/>
    <s v="No"/>
    <s v="No"/>
  </r>
  <r>
    <x v="1769"/>
    <s v="Sonal Patel"/>
    <s v="Female"/>
    <n v="71"/>
    <s v="Kolkata"/>
    <x v="2"/>
    <n v="59"/>
    <n v="499"/>
    <n v="29441"/>
    <s v="No Internet"/>
    <d v="2020-11-11T00:00:00"/>
    <s v="No"/>
    <s v="No"/>
    <s v="No"/>
    <s v="No"/>
    <s v="No"/>
    <s v="No"/>
  </r>
  <r>
    <x v="1770"/>
    <s v="Vikram Bose"/>
    <s v="Male"/>
    <n v="47"/>
    <s v="Kochi"/>
    <x v="0"/>
    <n v="10"/>
    <n v="1049"/>
    <n v="10490"/>
    <s v="Fiber"/>
    <d v="2024-12-01T00:00:00"/>
    <s v="Yes"/>
    <s v="Yes"/>
    <s v="No"/>
    <s v="No"/>
    <s v="No"/>
    <s v="No"/>
  </r>
  <r>
    <x v="1771"/>
    <s v="Nisha Rao"/>
    <s v="Female"/>
    <n v="30"/>
    <s v="Indore"/>
    <x v="0"/>
    <n v="23"/>
    <n v="1149"/>
    <n v="26427"/>
    <s v="Fiber"/>
    <d v="2023-10-30T00:00:00"/>
    <s v="Yes"/>
    <s v="No"/>
    <s v="No"/>
    <s v="No"/>
    <s v="No"/>
    <s v="No"/>
  </r>
  <r>
    <x v="1772"/>
    <s v="Meera Kapoor"/>
    <s v="Female"/>
    <n v="30"/>
    <s v="Bangalore"/>
    <x v="2"/>
    <n v="56"/>
    <n v="899"/>
    <n v="50344"/>
    <s v="Fiber"/>
    <d v="2021-02-17T00:00:00"/>
    <s v="No"/>
    <s v="No"/>
    <s v="No"/>
    <s v="No"/>
    <s v="No"/>
    <s v="No"/>
  </r>
  <r>
    <x v="1773"/>
    <s v="Deepika Tiwari"/>
    <s v="Female"/>
    <n v="60"/>
    <s v="Bangalore"/>
    <x v="2"/>
    <n v="72"/>
    <n v="1049"/>
    <n v="75528"/>
    <s v="Fiber"/>
    <d v="2019-10-27T00:00:00"/>
    <s v="No"/>
    <s v="No"/>
    <s v="No"/>
    <s v="No"/>
    <s v="No"/>
    <s v="No"/>
  </r>
  <r>
    <x v="1774"/>
    <s v="Sachin Agarwal"/>
    <s v="Male"/>
    <n v="49"/>
    <s v="Lucknow"/>
    <x v="2"/>
    <n v="53"/>
    <n v="1199"/>
    <n v="63547"/>
    <s v="Fiber"/>
    <d v="2021-04-23T00:00:00"/>
    <s v="No"/>
    <s v="No"/>
    <s v="No"/>
    <s v="No"/>
    <s v="No"/>
    <s v="No"/>
  </r>
  <r>
    <x v="1775"/>
    <s v="Pankaj Bose"/>
    <s v="Male"/>
    <n v="61"/>
    <s v="Kolkata"/>
    <x v="0"/>
    <n v="11"/>
    <n v="899"/>
    <n v="9889"/>
    <s v="DSL"/>
    <d v="2024-10-24T00:00:00"/>
    <s v="No"/>
    <s v="No"/>
    <s v="No"/>
    <s v="No"/>
    <s v="No"/>
    <s v="No"/>
  </r>
  <r>
    <x v="1776"/>
    <s v="Meera Patel"/>
    <s v="Female"/>
    <n v="60"/>
    <s v="Delhi"/>
    <x v="0"/>
    <n v="8"/>
    <n v="699"/>
    <n v="5592"/>
    <s v="DSL"/>
    <d v="2025-01-24T00:00:00"/>
    <s v="No"/>
    <s v="No"/>
    <s v="No"/>
    <s v="No"/>
    <s v="No"/>
    <s v="No"/>
  </r>
  <r>
    <x v="1777"/>
    <s v="Vikram Pandey"/>
    <s v="Male"/>
    <n v="71"/>
    <s v="Pune"/>
    <x v="2"/>
    <n v="52"/>
    <n v="1049"/>
    <n v="54548"/>
    <s v="Fiber"/>
    <d v="2021-06-07T00:00:00"/>
    <s v="No"/>
    <s v="No"/>
    <s v="No"/>
    <s v="No"/>
    <s v="Yes"/>
    <s v="No"/>
  </r>
  <r>
    <x v="1778"/>
    <s v="Tanvi Saxena"/>
    <s v="Female"/>
    <n v="35"/>
    <s v="Ahmedabad"/>
    <x v="0"/>
    <n v="19"/>
    <n v="1199"/>
    <n v="22781"/>
    <s v="Fiber"/>
    <d v="2024-02-08T00:00:00"/>
    <s v="No"/>
    <s v="No"/>
    <s v="No"/>
    <s v="No"/>
    <s v="No"/>
    <s v="No"/>
  </r>
  <r>
    <x v="1779"/>
    <s v="Deepika Patel"/>
    <s v="Female"/>
    <n v="33"/>
    <s v="Kolkata"/>
    <x v="0"/>
    <n v="9"/>
    <n v="1099"/>
    <n v="9891"/>
    <s v="Fiber"/>
    <d v="2024-12-20T00:00:00"/>
    <s v="No"/>
    <s v="No"/>
    <s v="No"/>
    <s v="No"/>
    <s v="Yes"/>
    <s v="No"/>
  </r>
  <r>
    <x v="1780"/>
    <s v="Vivek Mehta"/>
    <s v="Male"/>
    <n v="75"/>
    <s v="Chennai"/>
    <x v="0"/>
    <n v="10"/>
    <n v="699"/>
    <n v="6990"/>
    <s v="DSL"/>
    <d v="2024-12-02T00:00:00"/>
    <s v="No"/>
    <s v="No"/>
    <s v="No"/>
    <s v="No"/>
    <s v="No"/>
    <s v="No"/>
  </r>
  <r>
    <x v="1781"/>
    <s v="Riya Iyer"/>
    <s v="Female"/>
    <n v="50"/>
    <s v="Mumbai"/>
    <x v="2"/>
    <n v="52"/>
    <n v="799"/>
    <n v="41548"/>
    <s v="DSL"/>
    <d v="2021-06-10T00:00:00"/>
    <s v="No"/>
    <s v="No"/>
    <s v="No"/>
    <s v="No"/>
    <s v="Yes"/>
    <s v="No"/>
  </r>
  <r>
    <x v="1782"/>
    <s v="Divya Iyer"/>
    <s v="Female"/>
    <n v="72"/>
    <s v="Ahmedabad"/>
    <x v="0"/>
    <n v="8"/>
    <n v="449"/>
    <n v="3592"/>
    <s v="No Internet"/>
    <d v="2025-01-20T00:00:00"/>
    <s v="Yes"/>
    <s v="No"/>
    <s v="No"/>
    <s v="No"/>
    <s v="No"/>
    <s v="No"/>
  </r>
  <r>
    <x v="1783"/>
    <s v="Suresh Gupta"/>
    <s v="Male"/>
    <n v="42"/>
    <s v="Mumbai"/>
    <x v="2"/>
    <n v="34"/>
    <n v="849"/>
    <n v="28866"/>
    <s v="DSL"/>
    <d v="2022-11-18T00:00:00"/>
    <s v="No"/>
    <s v="No"/>
    <s v="No"/>
    <s v="No"/>
    <s v="No"/>
    <s v="No"/>
  </r>
  <r>
    <x v="1784"/>
    <s v="Vivek Reddy"/>
    <s v="Male"/>
    <n v="37"/>
    <s v="Kochi"/>
    <x v="0"/>
    <n v="23"/>
    <n v="899"/>
    <n v="20677"/>
    <s v="DSL"/>
    <m/>
    <s v="Unknown"/>
    <s v="No"/>
    <s v="No"/>
    <s v="No"/>
    <s v="No"/>
    <s v="Date missing; Churn unknown"/>
  </r>
  <r>
    <x v="1785"/>
    <s v="Ritu Reddy"/>
    <s v="Female"/>
    <n v="61"/>
    <s v="Delhi"/>
    <x v="0"/>
    <n v="24"/>
    <n v="1099"/>
    <n v="26376"/>
    <s v="Fiber"/>
    <d v="2023-09-10T00:00:00"/>
    <s v="No"/>
    <s v="No"/>
    <s v="No"/>
    <s v="No"/>
    <s v="No"/>
    <s v="No"/>
  </r>
  <r>
    <x v="1786"/>
    <s v="Rohit Reddy"/>
    <s v="Male"/>
    <n v="23"/>
    <s v="Pune"/>
    <x v="1"/>
    <n v="36"/>
    <n v="1049"/>
    <n v="37764"/>
    <s v="Fiber"/>
    <d v="2022-09-18T00:00:00"/>
    <s v="No"/>
    <s v="No"/>
    <s v="No"/>
    <s v="No"/>
    <s v="No"/>
    <s v="No"/>
  </r>
  <r>
    <x v="1787"/>
    <s v="Meera Tiwari"/>
    <s v="Female"/>
    <n v="74"/>
    <s v="Jaipur"/>
    <x v="1"/>
    <n v="32"/>
    <n v="599"/>
    <n v="19168"/>
    <s v="DSL"/>
    <d v="2023-02-06T00:00:00"/>
    <s v="No"/>
    <s v="No"/>
    <s v="No"/>
    <s v="No"/>
    <s v="No"/>
    <s v="No"/>
  </r>
  <r>
    <x v="1788"/>
    <s v="Mohit Tiwari"/>
    <s v="Male"/>
    <n v="68"/>
    <s v="Pune"/>
    <x v="2"/>
    <n v="29"/>
    <n v="499"/>
    <n v="14471"/>
    <s v="No Internet"/>
    <d v="2023-04-29T00:00:00"/>
    <s v="No"/>
    <s v="No"/>
    <s v="No"/>
    <s v="No"/>
    <s v="No"/>
    <s v="No"/>
  </r>
  <r>
    <x v="1789"/>
    <s v="Swati Tiwari"/>
    <s v="Female"/>
    <n v="30"/>
    <s v="Hyderabad"/>
    <x v="0"/>
    <n v="2"/>
    <n v="849"/>
    <n v="1698"/>
    <s v="DSL"/>
    <d v="2025-07-10T00:00:00"/>
    <s v="No"/>
    <s v="No"/>
    <s v="No"/>
    <s v="No"/>
    <s v="No"/>
    <s v="No"/>
  </r>
  <r>
    <x v="1790"/>
    <s v="Pooja Kapoor"/>
    <s v="Female"/>
    <n v="52"/>
    <s v="Mumbai"/>
    <x v="0"/>
    <n v="11"/>
    <n v="349"/>
    <n v="3839"/>
    <s v="No Internet"/>
    <d v="2024-10-04T00:00:00"/>
    <s v="Yes"/>
    <s v="No"/>
    <s v="No"/>
    <s v="No"/>
    <s v="No"/>
    <s v="No"/>
  </r>
  <r>
    <x v="1791"/>
    <s v="Gaurav Saxena"/>
    <s v="Male"/>
    <n v="29"/>
    <s v="Bhopal"/>
    <x v="0"/>
    <n v="11"/>
    <n v="749"/>
    <n v="8239"/>
    <s v="DSL"/>
    <d v="2024-11-02T00:00:00"/>
    <s v="Yes"/>
    <s v="No"/>
    <s v="No"/>
    <s v="No"/>
    <s v="No"/>
    <s v="No"/>
  </r>
  <r>
    <x v="1792"/>
    <s v="Ritu Bose"/>
    <s v="Female"/>
    <n v="62"/>
    <s v="Kochi"/>
    <x v="0"/>
    <n v="13"/>
    <n v="349"/>
    <n v="4537"/>
    <s v="No Internet"/>
    <d v="2024-08-29T00:00:00"/>
    <s v="No"/>
    <s v="No"/>
    <s v="No"/>
    <s v="No"/>
    <s v="No"/>
    <s v="No"/>
  </r>
  <r>
    <x v="1793"/>
    <s v="Sanjay Reddy"/>
    <s v="Male"/>
    <n v="30"/>
    <s v="Kolkata"/>
    <x v="1"/>
    <n v="10"/>
    <n v="1299"/>
    <n v="12990"/>
    <s v="Fiber"/>
    <d v="2024-11-09T00:00:00"/>
    <s v="Yes"/>
    <s v="No"/>
    <s v="No"/>
    <s v="No"/>
    <s v="No"/>
    <s v="No"/>
  </r>
  <r>
    <x v="1794"/>
    <s v="Pankaj Chopra"/>
    <s v="Male"/>
    <n v="29"/>
    <s v="Lucknow"/>
    <x v="1"/>
    <n v="16"/>
    <n v="449"/>
    <n v="7184"/>
    <s v="No Internet"/>
    <d v="2024-05-25T00:00:00"/>
    <s v="No"/>
    <s v="No"/>
    <s v="No"/>
    <s v="No"/>
    <s v="No"/>
    <s v="No"/>
  </r>
  <r>
    <x v="1795"/>
    <s v="Manish Singh"/>
    <s v="Male"/>
    <n v="28"/>
    <s v="Bangalore"/>
    <x v="1"/>
    <n v="29"/>
    <n v="1199"/>
    <n v="34771"/>
    <s v="Fiber"/>
    <d v="2023-04-26T00:00:00"/>
    <s v="Yes"/>
    <s v="No"/>
    <s v="No"/>
    <s v="No"/>
    <s v="No"/>
    <s v="No"/>
  </r>
  <r>
    <x v="1796"/>
    <s v="Rahul Iyer"/>
    <s v="Male"/>
    <n v="41"/>
    <s v="Chandigarh"/>
    <x v="0"/>
    <n v="8"/>
    <n v="1049"/>
    <n v="8392"/>
    <s v="Fiber"/>
    <d v="2025-01-18T00:00:00"/>
    <s v="Yes"/>
    <s v="No"/>
    <s v="No"/>
    <s v="No"/>
    <s v="No"/>
    <s v="No"/>
  </r>
  <r>
    <x v="1797"/>
    <s v="Neha Jain"/>
    <s v="Female"/>
    <n v="40"/>
    <s v="Delhi"/>
    <x v="0"/>
    <n v="2"/>
    <n v="799"/>
    <n v="1598"/>
    <s v="DSL"/>
    <d v="2025-07-18T00:00:00"/>
    <s v="Yes"/>
    <s v="No"/>
    <s v="No"/>
    <s v="No"/>
    <s v="No"/>
    <s v="No"/>
  </r>
  <r>
    <x v="1798"/>
    <s v="Anjali Jain"/>
    <s v="Female"/>
    <n v="69"/>
    <s v="Bangalore"/>
    <x v="2"/>
    <n v="5"/>
    <n v="599"/>
    <n v="2995"/>
    <s v="DSL"/>
    <d v="2025-04-19T00:00:00"/>
    <s v="Yes"/>
    <s v="No"/>
    <s v="Yes"/>
    <s v="No"/>
    <s v="No"/>
    <s v="No"/>
  </r>
  <r>
    <x v="1799"/>
    <s v="Aman Chopra"/>
    <s v="Male"/>
    <n v="72"/>
    <s v="Chandigarh"/>
    <x v="2"/>
    <n v="72"/>
    <n v="849"/>
    <n v="61128"/>
    <s v="DSL"/>
    <d v="2019-10-03T00:00:00"/>
    <s v="No"/>
    <s v="No"/>
    <s v="No"/>
    <s v="No"/>
    <s v="No"/>
    <s v="No"/>
  </r>
  <r>
    <x v="1800"/>
    <s v="Nisha Pandey"/>
    <s v="Female"/>
    <n v="66"/>
    <s v="Chennai"/>
    <x v="0"/>
    <n v="13"/>
    <n v="749"/>
    <n v="9737"/>
    <s v="DSL"/>
    <d v="2024-08-26T00:00:00"/>
    <s v="No"/>
    <s v="No"/>
    <s v="No"/>
    <s v="Yes"/>
    <s v="No"/>
    <s v="No"/>
  </r>
  <r>
    <x v="1801"/>
    <s v="Rohit Mehta"/>
    <s v="Male"/>
    <n v="31"/>
    <s v="Bhopal"/>
    <x v="2"/>
    <n v="21"/>
    <n v="849"/>
    <n v="17829"/>
    <s v="DSL"/>
    <d v="2023-12-14T00:00:00"/>
    <s v="No"/>
    <s v="No"/>
    <s v="No"/>
    <s v="No"/>
    <s v="No"/>
    <s v="No"/>
  </r>
  <r>
    <x v="1802"/>
    <s v="Kavita Singh"/>
    <s v="Female"/>
    <n v="40"/>
    <s v="Jaipur"/>
    <x v="2"/>
    <n v="20"/>
    <n v="399"/>
    <n v="7980"/>
    <s v="No Internet"/>
    <d v="2024-01-26T00:00:00"/>
    <s v="No"/>
    <s v="No"/>
    <s v="No"/>
    <s v="Yes"/>
    <s v="No"/>
    <s v="No"/>
  </r>
  <r>
    <x v="1803"/>
    <s v="Sneha Rao"/>
    <s v="Female"/>
    <n v="29"/>
    <s v="Chandigarh"/>
    <x v="2"/>
    <n v="44"/>
    <n v="349"/>
    <n v="15356"/>
    <s v="No Internet"/>
    <d v="2022-02-09T00:00:00"/>
    <s v="No"/>
    <s v="No"/>
    <s v="No"/>
    <s v="No"/>
    <s v="No"/>
    <s v="No"/>
  </r>
  <r>
    <x v="1804"/>
    <s v="Ritu Kumar"/>
    <s v="Female"/>
    <n v="72"/>
    <s v="Indore"/>
    <x v="0"/>
    <n v="13"/>
    <n v="849"/>
    <n v="11037"/>
    <s v="DSL"/>
    <d v="2024-08-08T00:00:00"/>
    <s v="Yes"/>
    <s v="No"/>
    <s v="Yes"/>
    <s v="No"/>
    <s v="No"/>
    <s v="No"/>
  </r>
  <r>
    <x v="1805"/>
    <s v="Rahul Desai"/>
    <s v="Male"/>
    <n v="60"/>
    <s v="Pune"/>
    <x v="0"/>
    <n v="10"/>
    <n v="899"/>
    <n v="8990"/>
    <s v="Fiber"/>
    <d v="2024-12-02T00:00:00"/>
    <s v="Yes"/>
    <s v="No"/>
    <s v="No"/>
    <s v="No"/>
    <s v="No"/>
    <s v="No"/>
  </r>
  <r>
    <x v="1806"/>
    <s v="Manish Rao"/>
    <s v="Unknown"/>
    <n v="29"/>
    <s v="Kolkata"/>
    <x v="1"/>
    <n v="19"/>
    <n v="1099"/>
    <n v="20881"/>
    <s v="Unknown"/>
    <d v="2024-02-13T00:00:00"/>
    <s v="No"/>
    <s v="No"/>
    <s v="No"/>
    <s v="No"/>
    <s v="No"/>
    <s v="No"/>
  </r>
  <r>
    <x v="1807"/>
    <s v="Isha Rao"/>
    <s v="Female"/>
    <n v="22"/>
    <s v="Pune"/>
    <x v="1"/>
    <n v="3"/>
    <n v="1049"/>
    <n v="3147"/>
    <s v="Fiber"/>
    <d v="2025-06-05T00:00:00"/>
    <s v="No"/>
    <s v="No"/>
    <s v="No"/>
    <s v="No"/>
    <s v="Yes"/>
    <s v="No"/>
  </r>
  <r>
    <x v="1808"/>
    <s v="Vikram Patel"/>
    <s v="Male"/>
    <n v="23"/>
    <s v="Kolkata"/>
    <x v="2"/>
    <n v="10"/>
    <n v="799"/>
    <n v="7990"/>
    <s v="Unknown"/>
    <d v="2024-11-24T00:00:00"/>
    <s v="No"/>
    <s v="No"/>
    <s v="No"/>
    <s v="No"/>
    <s v="No"/>
    <s v="No"/>
  </r>
  <r>
    <x v="1809"/>
    <s v="Rajesh Saxena"/>
    <s v="Male"/>
    <n v="23"/>
    <s v="Lucknow"/>
    <x v="1"/>
    <n v="14"/>
    <n v="1049"/>
    <n v="14686"/>
    <s v="Fiber"/>
    <d v="2024-07-24T00:00:00"/>
    <s v="No"/>
    <s v="No"/>
    <s v="No"/>
    <s v="No"/>
    <s v="No"/>
    <s v="No"/>
  </r>
  <r>
    <x v="1810"/>
    <s v="Amit Desai"/>
    <s v="Male"/>
    <n v="69"/>
    <s v="Delhi"/>
    <x v="2"/>
    <n v="22"/>
    <n v="749"/>
    <n v="16478"/>
    <s v="DSL"/>
    <d v="2023-11-11T00:00:00"/>
    <s v="No"/>
    <s v="No"/>
    <s v="No"/>
    <s v="No"/>
    <s v="No"/>
    <s v="No"/>
  </r>
  <r>
    <x v="1811"/>
    <s v="Anjali Singh"/>
    <s v="Female"/>
    <n v="64"/>
    <s v="Indore"/>
    <x v="0"/>
    <n v="7"/>
    <n v="799"/>
    <n v="5593"/>
    <s v="DSL"/>
    <m/>
    <s v="No"/>
    <s v="No"/>
    <s v="No"/>
    <s v="No"/>
    <s v="No"/>
    <s v="Date missing"/>
  </r>
  <r>
    <x v="1812"/>
    <s v="Shreya Mishra"/>
    <s v="Female"/>
    <n v="54"/>
    <s v="Indore"/>
    <x v="0"/>
    <n v="17"/>
    <n v="749"/>
    <n v="12733"/>
    <s v="DSL"/>
    <d v="2024-04-21T00:00:00"/>
    <s v="Yes"/>
    <s v="No"/>
    <s v="No"/>
    <s v="No"/>
    <s v="No"/>
    <s v="No"/>
  </r>
  <r>
    <x v="1813"/>
    <s v="Ritu Kumar"/>
    <s v="Female"/>
    <n v="69"/>
    <s v="Lucknow"/>
    <x v="2"/>
    <n v="57"/>
    <n v="849"/>
    <n v="48393"/>
    <s v="DSL"/>
    <d v="2021-01-12T00:00:00"/>
    <s v="No"/>
    <s v="No"/>
    <s v="No"/>
    <s v="No"/>
    <s v="No"/>
    <s v="No"/>
  </r>
  <r>
    <x v="1814"/>
    <s v="Sonal Tiwari"/>
    <s v="Female"/>
    <n v="40"/>
    <s v="Hyderabad"/>
    <x v="2"/>
    <n v="40"/>
    <n v="549"/>
    <n v="21960"/>
    <s v="No Internet"/>
    <d v="2022-05-23T00:00:00"/>
    <s v="No"/>
    <s v="No"/>
    <s v="No"/>
    <s v="No"/>
    <s v="No"/>
    <s v="No"/>
  </r>
  <r>
    <x v="1815"/>
    <s v="Swati Iyer"/>
    <s v="Female"/>
    <n v="30"/>
    <s v="Delhi"/>
    <x v="2"/>
    <n v="43"/>
    <n v="999"/>
    <n v="42957"/>
    <s v="Fiber"/>
    <d v="2022-03-13T00:00:00"/>
    <s v="No"/>
    <s v="No"/>
    <s v="No"/>
    <s v="No"/>
    <s v="No"/>
    <s v="No"/>
  </r>
  <r>
    <x v="1816"/>
    <s v="Rajesh Kumar"/>
    <s v="Male"/>
    <n v="40"/>
    <s v="Chandigarh"/>
    <x v="0"/>
    <n v="13"/>
    <n v="699"/>
    <n v="9087"/>
    <s v="DSL"/>
    <d v="2024-08-09T00:00:00"/>
    <s v="No"/>
    <s v="No"/>
    <s v="No"/>
    <s v="No"/>
    <s v="Yes"/>
    <s v="No"/>
  </r>
  <r>
    <x v="1817"/>
    <s v="Komal Sharma"/>
    <s v="Female"/>
    <n v="63"/>
    <s v="Delhi"/>
    <x v="0"/>
    <n v="18"/>
    <n v="1099"/>
    <n v="19782"/>
    <s v="Fiber"/>
    <d v="2024-03-16T00:00:00"/>
    <s v="Yes"/>
    <s v="No"/>
    <s v="No"/>
    <s v="No"/>
    <s v="No"/>
    <s v="No"/>
  </r>
  <r>
    <x v="1818"/>
    <s v="Komal Rao"/>
    <s v="Female"/>
    <n v="37"/>
    <s v="Lucknow"/>
    <x v="0"/>
    <n v="10"/>
    <n v="1099"/>
    <n v="10990"/>
    <s v="Fiber"/>
    <d v="2024-11-21T00:00:00"/>
    <s v="Yes"/>
    <s v="No"/>
    <s v="No"/>
    <s v="No"/>
    <s v="No"/>
    <s v="No"/>
  </r>
  <r>
    <x v="1819"/>
    <s v="Sneha Malhotra"/>
    <s v="Female"/>
    <n v="72"/>
    <s v="Pune"/>
    <x v="0"/>
    <n v="12"/>
    <n v="1199"/>
    <n v="14388"/>
    <s v="Fiber"/>
    <d v="2024-10-02T00:00:00"/>
    <s v="No"/>
    <s v="No"/>
    <s v="No"/>
    <s v="No"/>
    <s v="No"/>
    <s v="No"/>
  </r>
  <r>
    <x v="1820"/>
    <s v="Kavita Bose"/>
    <s v="Female"/>
    <n v="45"/>
    <s v="Lucknow"/>
    <x v="0"/>
    <m/>
    <n v="1199"/>
    <m/>
    <s v="Fiber"/>
    <d v="2025-06-26T00:00:00"/>
    <s v="No"/>
    <s v="No"/>
    <s v="No"/>
    <s v="No"/>
    <s v="No"/>
    <s v="Total missing; Tenure missing"/>
  </r>
  <r>
    <x v="1821"/>
    <s v="Ritu Joshi"/>
    <s v="Female"/>
    <n v="31"/>
    <s v="Delhi"/>
    <x v="1"/>
    <n v="1"/>
    <n v="1049"/>
    <n v="1049"/>
    <s v="Fiber"/>
    <d v="2025-08-13T00:00:00"/>
    <s v="Yes"/>
    <s v="No"/>
    <s v="No"/>
    <s v="No"/>
    <s v="No"/>
    <s v="No"/>
  </r>
  <r>
    <x v="1822"/>
    <s v="Ankit Tiwari"/>
    <s v="Male"/>
    <n v="61"/>
    <s v="Hyderabad"/>
    <x v="0"/>
    <n v="3"/>
    <n v="899"/>
    <n v="2697"/>
    <s v="DSL"/>
    <d v="2025-06-14T00:00:00"/>
    <s v="Yes"/>
    <s v="No"/>
    <s v="No"/>
    <s v="No"/>
    <s v="No"/>
    <s v="No"/>
  </r>
  <r>
    <x v="1823"/>
    <s v="Riya Rao"/>
    <s v="Female"/>
    <n v="40"/>
    <s v="Chennai"/>
    <x v="0"/>
    <n v="10"/>
    <n v="1299"/>
    <n v="12990"/>
    <s v="Fiber"/>
    <d v="2024-11-03T00:00:00"/>
    <s v="No"/>
    <s v="No"/>
    <s v="No"/>
    <s v="No"/>
    <s v="No"/>
    <s v="No"/>
  </r>
  <r>
    <x v="1824"/>
    <s v="Ritu Iyer"/>
    <s v="Female"/>
    <n v="47"/>
    <s v="Chennai"/>
    <x v="1"/>
    <n v="20"/>
    <n v="899"/>
    <n v="17980"/>
    <s v="Fiber"/>
    <d v="2024-01-18T00:00:00"/>
    <s v="No"/>
    <s v="Yes"/>
    <s v="No"/>
    <s v="No"/>
    <s v="No"/>
    <s v="No"/>
  </r>
  <r>
    <x v="1825"/>
    <s v="Pankaj Nair"/>
    <s v="Male"/>
    <n v="71"/>
    <s v="Bhopal"/>
    <x v="2"/>
    <n v="58"/>
    <n v="699"/>
    <n v="40542"/>
    <s v="DSL"/>
    <d v="2020-11-25T00:00:00"/>
    <s v="No"/>
    <s v="No"/>
    <s v="No"/>
    <s v="No"/>
    <s v="Yes"/>
    <s v="No"/>
  </r>
  <r>
    <x v="1826"/>
    <s v="Kavita Sharma"/>
    <s v="Female"/>
    <n v="51"/>
    <s v="Kochi"/>
    <x v="1"/>
    <n v="36"/>
    <n v="999"/>
    <n v="35964"/>
    <s v="Fiber"/>
    <d v="2022-10-04T00:00:00"/>
    <s v="Yes"/>
    <s v="No"/>
    <s v="No"/>
    <s v="No"/>
    <s v="Yes"/>
    <s v="No"/>
  </r>
  <r>
    <x v="1827"/>
    <s v="Pooja Yadav"/>
    <s v="Female"/>
    <n v="47"/>
    <s v="Ahmedabad"/>
    <x v="1"/>
    <n v="37"/>
    <n v="849"/>
    <n v="31413"/>
    <s v="DSL"/>
    <d v="2022-08-17T00:00:00"/>
    <s v="No"/>
    <s v="Yes"/>
    <s v="No"/>
    <s v="No"/>
    <s v="No"/>
    <s v="No"/>
  </r>
  <r>
    <x v="1828"/>
    <s v="Anjali Nair"/>
    <s v="Female"/>
    <n v="28"/>
    <s v="Mumbai"/>
    <x v="2"/>
    <n v="58"/>
    <n v="399"/>
    <n v="23142"/>
    <s v="No Internet"/>
    <d v="2020-12-08T00:00:00"/>
    <s v="No"/>
    <s v="No"/>
    <s v="No"/>
    <s v="No"/>
    <s v="No"/>
    <s v="No"/>
  </r>
  <r>
    <x v="1829"/>
    <s v="Gaurav Joshi"/>
    <s v="Male"/>
    <n v="37"/>
    <s v="Chandigarh"/>
    <x v="0"/>
    <n v="21"/>
    <n v="849"/>
    <n v="17829"/>
    <s v="DSL"/>
    <d v="2023-12-23T00:00:00"/>
    <s v="Yes"/>
    <s v="No"/>
    <s v="Yes"/>
    <s v="No"/>
    <s v="No"/>
    <s v="No"/>
  </r>
  <r>
    <x v="1830"/>
    <s v="Rohit Verma"/>
    <s v="Male"/>
    <n v="33"/>
    <s v="Delhi"/>
    <x v="0"/>
    <n v="14"/>
    <n v="899"/>
    <n v="12586"/>
    <s v="DSL"/>
    <d v="2024-07-31T00:00:00"/>
    <s v="No"/>
    <s v="No"/>
    <s v="No"/>
    <s v="No"/>
    <s v="No"/>
    <s v="No"/>
  </r>
  <r>
    <x v="1831"/>
    <s v="Rajesh Verma"/>
    <s v="Male"/>
    <n v="70"/>
    <s v="Delhi"/>
    <x v="0"/>
    <n v="12"/>
    <n v="999"/>
    <n v="11988"/>
    <s v="Fiber"/>
    <d v="2024-09-06T00:00:00"/>
    <s v="Unknown"/>
    <s v="No"/>
    <s v="No"/>
    <s v="No"/>
    <s v="No"/>
    <s v="Churn unknown"/>
  </r>
  <r>
    <x v="1832"/>
    <s v="Swati Rao"/>
    <s v="Female"/>
    <n v="47"/>
    <s v="Pune"/>
    <x v="0"/>
    <n v="7"/>
    <n v="1149"/>
    <n v="8043"/>
    <s v="Fiber"/>
    <d v="2025-02-04T00:00:00"/>
    <s v="No"/>
    <s v="Yes"/>
    <s v="No"/>
    <s v="No"/>
    <s v="No"/>
    <s v="No"/>
  </r>
  <r>
    <x v="1833"/>
    <s v="Priya Mishra"/>
    <s v="Unknown"/>
    <n v="45"/>
    <s v="Kochi"/>
    <x v="3"/>
    <n v="7"/>
    <n v="1049"/>
    <n v="7343"/>
    <s v="Fiber"/>
    <d v="2025-02-24T00:00:00"/>
    <s v="No"/>
    <s v="No"/>
    <s v="No"/>
    <s v="No"/>
    <s v="No"/>
    <s v="No"/>
  </r>
  <r>
    <x v="1834"/>
    <s v="Swati Rao"/>
    <s v="Female"/>
    <n v="42"/>
    <s v="Hyderabad"/>
    <x v="0"/>
    <n v="18"/>
    <n v="799"/>
    <n v="14382"/>
    <s v="DSL"/>
    <d v="2024-03-28T00:00:00"/>
    <s v="No"/>
    <s v="No"/>
    <s v="No"/>
    <s v="Yes"/>
    <s v="No"/>
    <s v="No"/>
  </r>
  <r>
    <x v="1835"/>
    <s v="Sanjay Tiwari"/>
    <s v="Male"/>
    <n v="28"/>
    <s v="Indore"/>
    <x v="1"/>
    <n v="16"/>
    <n v="649"/>
    <n v="10384"/>
    <s v="DSL"/>
    <d v="2024-05-28T00:00:00"/>
    <s v="No"/>
    <s v="No"/>
    <s v="No"/>
    <s v="Yes"/>
    <s v="No"/>
    <s v="No"/>
  </r>
  <r>
    <x v="1836"/>
    <s v="Deepika Chopra"/>
    <s v="Female"/>
    <n v="24"/>
    <s v="Delhi"/>
    <x v="0"/>
    <n v="23"/>
    <n v="1099"/>
    <n v="25277"/>
    <s v="Fiber"/>
    <d v="2023-10-18T00:00:00"/>
    <s v="No"/>
    <s v="No"/>
    <s v="No"/>
    <s v="No"/>
    <s v="Yes"/>
    <s v="No"/>
  </r>
  <r>
    <x v="1837"/>
    <s v="Sonal Sharma"/>
    <s v="Female"/>
    <n v="20"/>
    <s v="Jaipur"/>
    <x v="1"/>
    <n v="21"/>
    <n v="399"/>
    <n v="8379"/>
    <s v="No Internet"/>
    <d v="2023-12-30T00:00:00"/>
    <s v="No"/>
    <s v="No"/>
    <s v="No"/>
    <s v="No"/>
    <s v="No"/>
    <s v="No"/>
  </r>
  <r>
    <x v="1838"/>
    <s v="Tanvi Verma"/>
    <s v="Female"/>
    <n v="27"/>
    <s v="Kochi"/>
    <x v="1"/>
    <n v="32"/>
    <n v="1049"/>
    <n v="33568"/>
    <s v="Fiber"/>
    <d v="2023-02-05T00:00:00"/>
    <s v="No"/>
    <s v="No"/>
    <s v="No"/>
    <s v="No"/>
    <s v="No"/>
    <s v="No"/>
  </r>
  <r>
    <x v="1839"/>
    <s v="Harsh Mehta"/>
    <s v="Unknown"/>
    <n v="71"/>
    <s v="Pune"/>
    <x v="0"/>
    <n v="12"/>
    <n v="599"/>
    <n v="7188"/>
    <s v="DSL"/>
    <d v="2024-09-14T00:00:00"/>
    <s v="No"/>
    <s v="No"/>
    <s v="No"/>
    <s v="No"/>
    <s v="No"/>
    <s v="No"/>
  </r>
  <r>
    <x v="1840"/>
    <s v="Nisha Rao"/>
    <s v="Female"/>
    <n v="39"/>
    <s v="Bangalore"/>
    <x v="0"/>
    <n v="6"/>
    <n v="649"/>
    <n v="3894"/>
    <s v="DSL"/>
    <d v="2025-03-28T00:00:00"/>
    <s v="No"/>
    <s v="No"/>
    <s v="No"/>
    <s v="No"/>
    <s v="Yes"/>
    <s v="No"/>
  </r>
  <r>
    <x v="1841"/>
    <s v="Rahul Singh"/>
    <s v="Male"/>
    <n v="19"/>
    <s v="Bangalore"/>
    <x v="0"/>
    <n v="4"/>
    <n v="999"/>
    <n v="3996"/>
    <s v="Fiber"/>
    <d v="2025-05-24T00:00:00"/>
    <s v="Yes"/>
    <s v="No"/>
    <s v="No"/>
    <s v="No"/>
    <s v="No"/>
    <s v="No"/>
  </r>
  <r>
    <x v="1842"/>
    <s v="Suresh Tiwari"/>
    <s v="Male"/>
    <n v="47"/>
    <s v="Ahmedabad"/>
    <x v="0"/>
    <n v="22"/>
    <n v="1299"/>
    <n v="28578"/>
    <s v="Fiber"/>
    <d v="2023-11-12T00:00:00"/>
    <s v="Yes"/>
    <s v="No"/>
    <s v="No"/>
    <s v="No"/>
    <s v="No"/>
    <s v="No"/>
  </r>
  <r>
    <x v="1843"/>
    <s v="Ankit Tiwari"/>
    <s v="Male"/>
    <n v="27"/>
    <s v="Kochi"/>
    <x v="0"/>
    <n v="11"/>
    <n v="1199"/>
    <n v="13189"/>
    <s v="Fiber"/>
    <d v="2024-10-13T00:00:00"/>
    <s v="Yes"/>
    <s v="No"/>
    <s v="No"/>
    <s v="No"/>
    <s v="No"/>
    <s v="No"/>
  </r>
  <r>
    <x v="1844"/>
    <s v="Unknown"/>
    <s v="Unknown"/>
    <n v="23"/>
    <s v="Bangalore"/>
    <x v="2"/>
    <n v="72"/>
    <n v="1049"/>
    <n v="75528"/>
    <s v="Fiber"/>
    <d v="2019-10-30T00:00:00"/>
    <s v="Unknown"/>
    <s v="No"/>
    <s v="No"/>
    <s v="No"/>
    <s v="No"/>
    <s v="Churn unknown"/>
  </r>
  <r>
    <x v="1845"/>
    <s v="Suresh Pandey"/>
    <s v="Male"/>
    <n v="47"/>
    <s v="Bangalore"/>
    <x v="0"/>
    <n v="15"/>
    <n v="1299"/>
    <n v="19485"/>
    <s v="Fiber"/>
    <d v="2024-06-10T00:00:00"/>
    <s v="No"/>
    <s v="Yes"/>
    <s v="No"/>
    <s v="No"/>
    <s v="No"/>
    <s v="No"/>
  </r>
  <r>
    <x v="1846"/>
    <s v="Vikram Kapoor"/>
    <s v="Male"/>
    <n v="63"/>
    <s v="Bangalore"/>
    <x v="2"/>
    <n v="17"/>
    <n v="899"/>
    <n v="15283"/>
    <s v="Fiber"/>
    <d v="2024-04-10T00:00:00"/>
    <s v="Yes"/>
    <s v="No"/>
    <s v="No"/>
    <s v="No"/>
    <s v="No"/>
    <s v="No"/>
  </r>
  <r>
    <x v="1847"/>
    <s v="Kavita Saxena"/>
    <s v="Female"/>
    <n v="74"/>
    <s v="Jaipur"/>
    <x v="0"/>
    <n v="4"/>
    <n v="1099"/>
    <n v="4396"/>
    <s v="Fiber"/>
    <d v="2025-05-23T00:00:00"/>
    <s v="Yes"/>
    <s v="No"/>
    <s v="No"/>
    <s v="No"/>
    <s v="No"/>
    <s v="No"/>
  </r>
  <r>
    <x v="1848"/>
    <s v="Anjali Yadav"/>
    <s v="Female"/>
    <n v="68"/>
    <s v="Chandigarh"/>
    <x v="1"/>
    <n v="17"/>
    <n v="449"/>
    <n v="7633"/>
    <s v="No Internet"/>
    <d v="2024-04-29T00:00:00"/>
    <s v="No"/>
    <s v="No"/>
    <s v="No"/>
    <s v="No"/>
    <s v="No"/>
    <s v="No"/>
  </r>
  <r>
    <x v="1849"/>
    <s v="Pooja Saxena"/>
    <s v="Female"/>
    <n v="48"/>
    <s v="Indore"/>
    <x v="0"/>
    <n v="3"/>
    <n v="999"/>
    <n v="2997"/>
    <s v="Fiber"/>
    <d v="2025-06-05T00:00:00"/>
    <s v="Yes"/>
    <s v="No"/>
    <s v="No"/>
    <s v="No"/>
    <s v="No"/>
    <s v="No"/>
  </r>
  <r>
    <x v="1850"/>
    <s v="Divya Rao"/>
    <s v="Female"/>
    <n v="66"/>
    <s v="Jaipur"/>
    <x v="0"/>
    <n v="17"/>
    <n v="849"/>
    <n v="14433"/>
    <s v="DSL"/>
    <d v="2024-04-21T00:00:00"/>
    <s v="No"/>
    <s v="No"/>
    <s v="No"/>
    <s v="No"/>
    <s v="No"/>
    <s v="No"/>
  </r>
  <r>
    <x v="1851"/>
    <s v="Sanjay Kapoor"/>
    <s v="Male"/>
    <n v="54"/>
    <s v="Kochi"/>
    <x v="2"/>
    <n v="13"/>
    <n v="899"/>
    <n v="11687"/>
    <s v="Fiber"/>
    <d v="2024-08-31T00:00:00"/>
    <s v="No"/>
    <s v="No"/>
    <s v="No"/>
    <s v="No"/>
    <s v="No"/>
    <s v="No"/>
  </r>
  <r>
    <x v="1852"/>
    <s v="Payal Verma"/>
    <s v="Female"/>
    <n v="33"/>
    <s v="Bhopal"/>
    <x v="0"/>
    <n v="14"/>
    <n v="1199"/>
    <n v="16786"/>
    <s v="Fiber"/>
    <d v="2024-07-06T00:00:00"/>
    <s v="Yes"/>
    <s v="No"/>
    <s v="No"/>
    <s v="No"/>
    <s v="No"/>
    <s v="No"/>
  </r>
  <r>
    <x v="1853"/>
    <s v="Ankit Verma"/>
    <s v="Male"/>
    <n v="73"/>
    <s v="Chandigarh"/>
    <x v="0"/>
    <n v="21"/>
    <n v="1149"/>
    <n v="24129"/>
    <s v="Fiber"/>
    <d v="2023-12-20T00:00:00"/>
    <s v="Yes"/>
    <s v="No"/>
    <s v="No"/>
    <s v="No"/>
    <s v="No"/>
    <s v="No"/>
  </r>
  <r>
    <x v="1854"/>
    <s v="Isha Gupta"/>
    <s v="Female"/>
    <n v="56"/>
    <s v="Pune"/>
    <x v="1"/>
    <n v="8"/>
    <n v="399"/>
    <n v="3192"/>
    <s v="No Internet"/>
    <d v="2025-01-03T00:00:00"/>
    <s v="No"/>
    <s v="No"/>
    <s v="Yes"/>
    <s v="No"/>
    <s v="No"/>
    <s v="No"/>
  </r>
  <r>
    <x v="1855"/>
    <s v="Divya Agarwal"/>
    <s v="Female"/>
    <n v="34"/>
    <s v="Hyderabad"/>
    <x v="0"/>
    <n v="6"/>
    <n v="1049"/>
    <n v="6294"/>
    <s v="Fiber"/>
    <d v="2025-03-29T00:00:00"/>
    <s v="Yes"/>
    <s v="No"/>
    <s v="No"/>
    <s v="No"/>
    <s v="No"/>
    <s v="No"/>
  </r>
  <r>
    <x v="1856"/>
    <s v="Meera Rao"/>
    <s v="Female"/>
    <n v="47"/>
    <s v="Pune"/>
    <x v="1"/>
    <n v="25"/>
    <n v="899"/>
    <n v="22475"/>
    <s v="DSL"/>
    <d v="2023-09-09T00:00:00"/>
    <s v="No"/>
    <s v="Yes"/>
    <s v="No"/>
    <s v="No"/>
    <s v="No"/>
    <s v="No"/>
  </r>
  <r>
    <x v="1857"/>
    <s v="Sanjay Iyer"/>
    <s v="Male"/>
    <n v="36"/>
    <s v="Chennai"/>
    <x v="0"/>
    <n v="1"/>
    <n v="549"/>
    <n v="549"/>
    <s v="No Internet"/>
    <d v="2025-08-10T00:00:00"/>
    <s v="Yes"/>
    <s v="No"/>
    <s v="No"/>
    <s v="No"/>
    <s v="No"/>
    <s v="No"/>
  </r>
  <r>
    <x v="1858"/>
    <s v="Priya Malhotra"/>
    <s v="Female"/>
    <n v="47"/>
    <s v="Delhi"/>
    <x v="2"/>
    <n v="48"/>
    <n v="799"/>
    <n v="38352"/>
    <s v="DSL"/>
    <d v="2021-09-28T00:00:00"/>
    <s v="No"/>
    <s v="No"/>
    <s v="No"/>
    <s v="No"/>
    <s v="No"/>
    <s v="No"/>
  </r>
  <r>
    <x v="1859"/>
    <s v="Neha Yadav"/>
    <s v="Female"/>
    <n v="67"/>
    <s v="Chandigarh"/>
    <x v="0"/>
    <n v="15"/>
    <n v="1049"/>
    <n v="15735"/>
    <s v="Fiber"/>
    <d v="2024-06-30T00:00:00"/>
    <s v="No"/>
    <s v="No"/>
    <s v="No"/>
    <s v="No"/>
    <s v="No"/>
    <s v="No"/>
  </r>
  <r>
    <x v="1860"/>
    <s v="Nisha Chopra"/>
    <s v="Female"/>
    <n v="60"/>
    <s v="Hyderabad"/>
    <x v="0"/>
    <n v="24"/>
    <n v="399"/>
    <n v="9576"/>
    <s v="No Internet"/>
    <d v="2023-09-25T00:00:00"/>
    <s v="Yes"/>
    <s v="No"/>
    <s v="No"/>
    <s v="No"/>
    <s v="No"/>
    <s v="No"/>
  </r>
  <r>
    <x v="1861"/>
    <s v="Komal Joshi"/>
    <s v="Female"/>
    <n v="68"/>
    <s v="Bangalore"/>
    <x v="0"/>
    <n v="5"/>
    <n v="1099"/>
    <n v="5495"/>
    <s v="Fiber"/>
    <d v="2025-04-20T00:00:00"/>
    <s v="No"/>
    <s v="No"/>
    <s v="No"/>
    <s v="No"/>
    <s v="No"/>
    <s v="No"/>
  </r>
  <r>
    <x v="1862"/>
    <s v="Rohit Yadav"/>
    <s v="Male"/>
    <n v="26"/>
    <s v="Delhi"/>
    <x v="1"/>
    <n v="11"/>
    <n v="1149"/>
    <n v="12639"/>
    <s v="Fiber"/>
    <m/>
    <s v="Yes"/>
    <s v="No"/>
    <s v="No"/>
    <s v="No"/>
    <s v="No"/>
    <s v="Date missing"/>
  </r>
  <r>
    <x v="1863"/>
    <s v="Deepika Verma"/>
    <s v="Female"/>
    <n v="27"/>
    <s v="Lucknow"/>
    <x v="0"/>
    <n v="23"/>
    <n v="1099"/>
    <n v="25277"/>
    <s v="Fiber"/>
    <d v="2023-10-25T00:00:00"/>
    <s v="Yes"/>
    <s v="No"/>
    <s v="No"/>
    <s v="No"/>
    <s v="Yes"/>
    <s v="No"/>
  </r>
  <r>
    <x v="1864"/>
    <s v="Vivek Gupta"/>
    <s v="Male"/>
    <n v="70"/>
    <s v="Lucknow"/>
    <x v="1"/>
    <n v="12"/>
    <n v="1099"/>
    <n v="13188"/>
    <s v="Fiber"/>
    <d v="2024-09-12T00:00:00"/>
    <s v="Yes"/>
    <s v="No"/>
    <s v="No"/>
    <s v="No"/>
    <s v="No"/>
    <s v="No"/>
  </r>
  <r>
    <x v="1865"/>
    <s v="Riya Jain"/>
    <s v="Female"/>
    <n v="19"/>
    <s v="Indore"/>
    <x v="1"/>
    <n v="13"/>
    <n v="649"/>
    <n v="8437"/>
    <s v="DSL"/>
    <d v="2024-08-17T00:00:00"/>
    <s v="No"/>
    <s v="No"/>
    <s v="No"/>
    <s v="No"/>
    <s v="No"/>
    <s v="No"/>
  </r>
  <r>
    <x v="1866"/>
    <s v="Amit Malhotra"/>
    <s v="Male"/>
    <n v="54"/>
    <s v="Jaipur"/>
    <x v="2"/>
    <n v="21"/>
    <n v="599"/>
    <n v="12579"/>
    <s v="DSL"/>
    <d v="2024-01-03T00:00:00"/>
    <s v="No"/>
    <s v="No"/>
    <s v="No"/>
    <s v="No"/>
    <s v="No"/>
    <s v="No"/>
  </r>
  <r>
    <x v="1867"/>
    <s v="Arjun Kumar"/>
    <s v="Male"/>
    <n v="41"/>
    <s v="Bhopal"/>
    <x v="0"/>
    <n v="4"/>
    <n v="1049"/>
    <n v="4196"/>
    <s v="Fiber"/>
    <d v="2025-05-18T00:00:00"/>
    <s v="Yes"/>
    <s v="No"/>
    <s v="No"/>
    <s v="No"/>
    <s v="No"/>
    <s v="No"/>
  </r>
  <r>
    <x v="1868"/>
    <s v="Sonal Desai"/>
    <s v="Female"/>
    <n v="43"/>
    <s v="Chennai"/>
    <x v="2"/>
    <n v="15"/>
    <n v="799"/>
    <n v="11985"/>
    <s v="DSL"/>
    <d v="2024-07-04T00:00:00"/>
    <s v="No"/>
    <s v="No"/>
    <s v="No"/>
    <s v="Yes"/>
    <s v="No"/>
    <s v="No"/>
  </r>
  <r>
    <x v="1869"/>
    <s v="Aditi Iyer"/>
    <s v="Female"/>
    <n v="66"/>
    <s v="Bangalore"/>
    <x v="2"/>
    <n v="6"/>
    <n v="1099"/>
    <n v="6594"/>
    <s v="Fiber"/>
    <d v="2025-03-16T00:00:00"/>
    <s v="No"/>
    <s v="No"/>
    <s v="No"/>
    <s v="No"/>
    <s v="No"/>
    <s v="No"/>
  </r>
  <r>
    <x v="1870"/>
    <s v="Unknown"/>
    <s v="Female"/>
    <n v="51"/>
    <s v="Ahmedabad"/>
    <x v="0"/>
    <n v="11"/>
    <n v="899"/>
    <n v="9889"/>
    <s v="DSL"/>
    <d v="2024-10-24T00:00:00"/>
    <s v="No"/>
    <s v="No"/>
    <s v="No"/>
    <s v="No"/>
    <s v="No"/>
    <s v="No"/>
  </r>
  <r>
    <x v="1871"/>
    <s v="Aditi Agarwal"/>
    <s v="Female"/>
    <n v="25"/>
    <s v="Lucknow"/>
    <x v="0"/>
    <n v="10"/>
    <n v="849"/>
    <n v="8490"/>
    <s v="DSL"/>
    <d v="2024-11-10T00:00:00"/>
    <s v="No"/>
    <s v="No"/>
    <s v="No"/>
    <s v="No"/>
    <s v="No"/>
    <s v="No"/>
  </r>
  <r>
    <x v="1872"/>
    <s v="Pooja Gupta"/>
    <s v="Female"/>
    <n v="22"/>
    <s v="Hyderabad"/>
    <x v="0"/>
    <n v="3"/>
    <n v="599"/>
    <n v="1797"/>
    <s v="DSL"/>
    <d v="2025-06-13T00:00:00"/>
    <s v="No"/>
    <s v="No"/>
    <s v="No"/>
    <s v="No"/>
    <s v="No"/>
    <s v="No"/>
  </r>
  <r>
    <x v="1873"/>
    <s v="Karan Iyer"/>
    <s v="Male"/>
    <n v="64"/>
    <s v="Ahmedabad"/>
    <x v="2"/>
    <n v="15"/>
    <n v="549"/>
    <n v="8235"/>
    <s v="No Internet"/>
    <d v="2024-06-09T00:00:00"/>
    <s v="No"/>
    <s v="No"/>
    <s v="No"/>
    <s v="No"/>
    <s v="No"/>
    <s v="No"/>
  </r>
  <r>
    <x v="1874"/>
    <s v="Tanvi Yadav"/>
    <s v="Female"/>
    <n v="56"/>
    <s v="Lucknow"/>
    <x v="0"/>
    <n v="4"/>
    <n v="999"/>
    <n v="3996"/>
    <s v="Fiber"/>
    <d v="2025-05-28T00:00:00"/>
    <s v="No"/>
    <s v="No"/>
    <s v="No"/>
    <s v="No"/>
    <s v="No"/>
    <s v="No"/>
  </r>
  <r>
    <x v="1875"/>
    <s v="Amit Nair"/>
    <s v="Unknown"/>
    <n v="74"/>
    <s v="Kolkata"/>
    <x v="0"/>
    <n v="23"/>
    <n v="849"/>
    <n v="19527"/>
    <s v="DSL"/>
    <d v="2023-10-28T00:00:00"/>
    <s v="Yes"/>
    <s v="No"/>
    <s v="No"/>
    <s v="No"/>
    <s v="No"/>
    <s v="No"/>
  </r>
  <r>
    <x v="1876"/>
    <s v="Arjun Mishra"/>
    <s v="Male"/>
    <n v="39"/>
    <s v="Hyderabad"/>
    <x v="0"/>
    <n v="4"/>
    <n v="599"/>
    <n v="2396"/>
    <s v="DSL"/>
    <d v="2025-05-26T00:00:00"/>
    <s v="Yes"/>
    <s v="No"/>
    <s v="No"/>
    <s v="Yes"/>
    <s v="No"/>
    <s v="No"/>
  </r>
  <r>
    <x v="1877"/>
    <s v="Ritu Jain"/>
    <s v="Female"/>
    <n v="75"/>
    <s v="Hyderabad"/>
    <x v="0"/>
    <n v="12"/>
    <n v="799"/>
    <n v="9588"/>
    <s v="DSL"/>
    <d v="2024-09-07T00:00:00"/>
    <s v="No"/>
    <s v="No"/>
    <s v="No"/>
    <s v="No"/>
    <s v="No"/>
    <s v="No"/>
  </r>
  <r>
    <x v="1878"/>
    <s v="Rajesh Yadav"/>
    <s v="Male"/>
    <n v="21"/>
    <s v="Delhi"/>
    <x v="0"/>
    <n v="14"/>
    <n v="1299"/>
    <n v="18186"/>
    <s v="Fiber"/>
    <d v="2024-07-06T00:00:00"/>
    <s v="No"/>
    <s v="No"/>
    <s v="No"/>
    <s v="No"/>
    <s v="No"/>
    <s v="No"/>
  </r>
  <r>
    <x v="1879"/>
    <s v="Manish Gupta"/>
    <s v="Male"/>
    <n v="72"/>
    <s v="Jaipur"/>
    <x v="2"/>
    <n v="65"/>
    <n v="799"/>
    <n v="51935"/>
    <s v="DSL"/>
    <d v="2020-05-12T00:00:00"/>
    <s v="No"/>
    <s v="No"/>
    <s v="No"/>
    <s v="No"/>
    <s v="No"/>
    <s v="No"/>
  </r>
  <r>
    <x v="1880"/>
    <s v="Neha Jain"/>
    <s v="Female"/>
    <n v="39"/>
    <s v="Indore"/>
    <x v="0"/>
    <n v="18"/>
    <n v="1299"/>
    <n v="23382"/>
    <s v="Fiber"/>
    <d v="2024-03-23T00:00:00"/>
    <s v="Yes"/>
    <s v="No"/>
    <s v="No"/>
    <s v="No"/>
    <s v="No"/>
    <s v="No"/>
  </r>
  <r>
    <x v="1881"/>
    <s v="Manish Tiwari"/>
    <s v="Male"/>
    <n v="53"/>
    <s v="Chennai"/>
    <x v="2"/>
    <n v="10"/>
    <n v="649"/>
    <n v="6490"/>
    <s v="DSL"/>
    <d v="2024-11-26T00:00:00"/>
    <s v="No"/>
    <s v="No"/>
    <s v="No"/>
    <s v="No"/>
    <s v="No"/>
    <s v="No"/>
  </r>
  <r>
    <x v="1882"/>
    <s v="Pankaj Singh"/>
    <s v="Male"/>
    <n v="24"/>
    <s v="Indore"/>
    <x v="0"/>
    <n v="8"/>
    <n v="999"/>
    <n v="7992"/>
    <s v="Fiber"/>
    <d v="2025-01-08T00:00:00"/>
    <s v="No"/>
    <s v="No"/>
    <s v="No"/>
    <s v="No"/>
    <s v="No"/>
    <s v="No"/>
  </r>
  <r>
    <x v="1883"/>
    <s v="Mohit Desai"/>
    <s v="Male"/>
    <n v="38"/>
    <s v="Bhopal"/>
    <x v="2"/>
    <n v="3"/>
    <n v="1099"/>
    <n v="3297"/>
    <s v="Fiber"/>
    <d v="2025-06-10T00:00:00"/>
    <s v="No"/>
    <s v="No"/>
    <s v="No"/>
    <s v="No"/>
    <s v="No"/>
    <s v="No"/>
  </r>
  <r>
    <x v="1884"/>
    <s v="Vivek Chopra"/>
    <s v="Male"/>
    <n v="64"/>
    <s v="Pune"/>
    <x v="2"/>
    <n v="69"/>
    <n v="799"/>
    <n v="55131"/>
    <s v="DSL"/>
    <d v="2020-01-26T00:00:00"/>
    <s v="No"/>
    <s v="No"/>
    <s v="No"/>
    <s v="No"/>
    <s v="No"/>
    <s v="No"/>
  </r>
  <r>
    <x v="1885"/>
    <s v="Ankit Yadav"/>
    <s v="Male"/>
    <n v="47"/>
    <s v="Kolkata"/>
    <x v="0"/>
    <n v="23"/>
    <n v="549"/>
    <n v="12627"/>
    <s v="No Internet"/>
    <d v="2023-10-12T00:00:00"/>
    <s v="Yes"/>
    <s v="Yes"/>
    <s v="No"/>
    <s v="No"/>
    <s v="No"/>
    <s v="No"/>
  </r>
  <r>
    <x v="1886"/>
    <s v="Sachin Pandey"/>
    <s v="Male"/>
    <n v="37"/>
    <s v="Pune"/>
    <x v="1"/>
    <n v="2"/>
    <n v="849"/>
    <n v="1698"/>
    <s v="DSL"/>
    <d v="2025-07-18T00:00:00"/>
    <s v="No"/>
    <s v="No"/>
    <s v="No"/>
    <s v="No"/>
    <s v="No"/>
    <s v="No"/>
  </r>
  <r>
    <x v="1887"/>
    <s v="Divya Mishra"/>
    <s v="Female"/>
    <n v="42"/>
    <s v="Kochi"/>
    <x v="0"/>
    <n v="19"/>
    <n v="399"/>
    <n v="7581"/>
    <s v="No Internet"/>
    <d v="2024-03-01T00:00:00"/>
    <s v="Yes"/>
    <s v="No"/>
    <s v="No"/>
    <s v="No"/>
    <s v="Yes"/>
    <s v="No"/>
  </r>
  <r>
    <x v="1888"/>
    <s v="Riya Jain"/>
    <s v="Female"/>
    <n v="55"/>
    <s v="Lucknow"/>
    <x v="2"/>
    <n v="42"/>
    <n v="649"/>
    <n v="27258"/>
    <s v="DSL"/>
    <d v="2022-03-28T00:00:00"/>
    <s v="No"/>
    <s v="No"/>
    <s v="No"/>
    <s v="No"/>
    <s v="Yes"/>
    <s v="No"/>
  </r>
  <r>
    <x v="1889"/>
    <s v="Ankit Agarwal"/>
    <s v="Male"/>
    <n v="37"/>
    <s v="Bangalore"/>
    <x v="1"/>
    <n v="29"/>
    <n v="1199"/>
    <n v="34771"/>
    <s v="Fiber"/>
    <d v="2023-04-23T00:00:00"/>
    <s v="Yes"/>
    <s v="No"/>
    <s v="No"/>
    <s v="No"/>
    <s v="No"/>
    <s v="No"/>
  </r>
  <r>
    <x v="1890"/>
    <s v="Nisha Bose"/>
    <s v="Female"/>
    <n v="37"/>
    <s v="Mumbai"/>
    <x v="1"/>
    <n v="26"/>
    <n v="899"/>
    <n v="23374"/>
    <s v="Fiber"/>
    <d v="2023-07-16T00:00:00"/>
    <s v="Yes"/>
    <s v="No"/>
    <s v="No"/>
    <s v="No"/>
    <s v="No"/>
    <s v="No"/>
  </r>
  <r>
    <x v="1891"/>
    <s v="Aditi Saxena"/>
    <s v="Female"/>
    <n v="61"/>
    <s v="Ahmedabad"/>
    <x v="0"/>
    <n v="20"/>
    <n v="1149"/>
    <n v="22980"/>
    <s v="Fiber"/>
    <d v="2024-02-04T00:00:00"/>
    <s v="Yes"/>
    <s v="No"/>
    <s v="No"/>
    <s v="No"/>
    <s v="No"/>
    <s v="No"/>
  </r>
  <r>
    <x v="1892"/>
    <s v="Pankaj Jain"/>
    <s v="Male"/>
    <n v="47"/>
    <s v="Chennai"/>
    <x v="0"/>
    <n v="10"/>
    <n v="1099"/>
    <n v="10990"/>
    <s v="Fiber"/>
    <d v="2024-11-22T00:00:00"/>
    <s v="No"/>
    <s v="Yes"/>
    <s v="No"/>
    <s v="No"/>
    <s v="Yes"/>
    <s v="No"/>
  </r>
  <r>
    <x v="1893"/>
    <s v="Deepak Agarwal"/>
    <s v="Male"/>
    <n v="55"/>
    <s v="Jaipur"/>
    <x v="2"/>
    <n v="49"/>
    <n v="699"/>
    <n v="34251"/>
    <s v="DSL"/>
    <d v="2021-09-11T00:00:00"/>
    <s v="No"/>
    <s v="No"/>
    <s v="No"/>
    <s v="No"/>
    <s v="No"/>
    <s v="No"/>
  </r>
  <r>
    <x v="1894"/>
    <s v="Swati Sharma"/>
    <s v="Female"/>
    <n v="68"/>
    <s v="Lucknow"/>
    <x v="0"/>
    <n v="13"/>
    <n v="1049"/>
    <n v="13637"/>
    <s v="Fiber"/>
    <d v="2024-08-06T00:00:00"/>
    <s v="Yes"/>
    <s v="No"/>
    <s v="No"/>
    <s v="No"/>
    <s v="No"/>
    <s v="No"/>
  </r>
  <r>
    <x v="1895"/>
    <s v="Arjun Rao"/>
    <s v="Male"/>
    <n v="26"/>
    <s v="Ahmedabad"/>
    <x v="0"/>
    <n v="18"/>
    <n v="899"/>
    <n v="16182"/>
    <s v="Fiber"/>
    <d v="2024-04-01T00:00:00"/>
    <s v="No"/>
    <s v="No"/>
    <s v="No"/>
    <s v="No"/>
    <s v="No"/>
    <s v="No"/>
  </r>
  <r>
    <x v="1896"/>
    <s v="Sonal Malhotra"/>
    <s v="Female"/>
    <n v="40"/>
    <s v="Jaipur"/>
    <x v="0"/>
    <n v="18"/>
    <n v="799"/>
    <n v="14382"/>
    <s v="DSL"/>
    <d v="2024-03-16T00:00:00"/>
    <s v="Yes"/>
    <s v="No"/>
    <s v="No"/>
    <s v="No"/>
    <s v="No"/>
    <s v="No"/>
  </r>
  <r>
    <x v="1897"/>
    <s v="Nikhil Desai"/>
    <s v="Male"/>
    <n v="37"/>
    <s v="Indore"/>
    <x v="2"/>
    <n v="61"/>
    <n v="1299"/>
    <n v="79239"/>
    <s v="Fiber"/>
    <d v="2020-09-11T00:00:00"/>
    <s v="No"/>
    <s v="No"/>
    <s v="No"/>
    <s v="No"/>
    <s v="No"/>
    <s v="No"/>
  </r>
  <r>
    <x v="1898"/>
    <s v="Rahul Singh"/>
    <s v="Male"/>
    <n v="46"/>
    <s v="Kochi"/>
    <x v="0"/>
    <n v="1"/>
    <n v="649"/>
    <n v="649"/>
    <s v="DSL"/>
    <d v="2025-08-05T00:00:00"/>
    <s v="No"/>
    <s v="No"/>
    <s v="No"/>
    <s v="No"/>
    <s v="No"/>
    <s v="No"/>
  </r>
  <r>
    <x v="1899"/>
    <s v="Anjali Bose"/>
    <s v="Female"/>
    <n v="74"/>
    <s v="Chandigarh"/>
    <x v="1"/>
    <n v="14"/>
    <n v="1049"/>
    <n v="14686"/>
    <s v="Fiber"/>
    <d v="2024-07-18T00:00:00"/>
    <s v="No"/>
    <s v="No"/>
    <s v="No"/>
    <s v="No"/>
    <s v="No"/>
    <s v="No"/>
  </r>
  <r>
    <x v="1900"/>
    <s v="Unknown"/>
    <s v="Female"/>
    <n v="70"/>
    <s v="Ahmedabad"/>
    <x v="2"/>
    <n v="38"/>
    <n v="1099"/>
    <n v="41762"/>
    <s v="Fiber"/>
    <d v="2022-07-22T00:00:00"/>
    <s v="Yes"/>
    <s v="No"/>
    <s v="No"/>
    <s v="No"/>
    <s v="No"/>
    <s v="No"/>
  </r>
  <r>
    <x v="1901"/>
    <s v="Priya Chopra"/>
    <s v="Female"/>
    <n v="25"/>
    <s v="Jaipur"/>
    <x v="0"/>
    <n v="21"/>
    <n v="899"/>
    <n v="18879"/>
    <s v="Fiber"/>
    <d v="2023-12-14T00:00:00"/>
    <s v="Yes"/>
    <s v="No"/>
    <s v="No"/>
    <s v="No"/>
    <s v="No"/>
    <s v="No"/>
  </r>
  <r>
    <x v="1902"/>
    <s v="Vivek Patel"/>
    <s v="Male"/>
    <n v="74"/>
    <s v="Bhopal"/>
    <x v="0"/>
    <n v="10"/>
    <n v="699"/>
    <n v="6990"/>
    <s v="DSL"/>
    <d v="2024-12-01T00:00:00"/>
    <s v="No"/>
    <s v="No"/>
    <s v="No"/>
    <s v="Yes"/>
    <s v="No"/>
    <s v="No"/>
  </r>
  <r>
    <x v="1903"/>
    <s v="Komal Malhotra"/>
    <s v="Unknown"/>
    <n v="60"/>
    <s v="Pune"/>
    <x v="2"/>
    <n v="52"/>
    <n v="1049"/>
    <n v="54548"/>
    <s v="Fiber"/>
    <d v="2021-06-20T00:00:00"/>
    <s v="No"/>
    <s v="No"/>
    <s v="No"/>
    <s v="No"/>
    <s v="No"/>
    <s v="No"/>
  </r>
  <r>
    <x v="1904"/>
    <s v="Pooja Singh"/>
    <s v="Female"/>
    <n v="25"/>
    <s v="Pune"/>
    <x v="2"/>
    <n v="56"/>
    <n v="1099"/>
    <n v="61544"/>
    <s v="Fiber"/>
    <d v="2021-02-08T00:00:00"/>
    <s v="No"/>
    <s v="No"/>
    <s v="No"/>
    <s v="No"/>
    <s v="No"/>
    <s v="No"/>
  </r>
  <r>
    <x v="1905"/>
    <s v="Arjun Gupta"/>
    <s v="Male"/>
    <n v="25"/>
    <s v="Lucknow"/>
    <x v="0"/>
    <n v="21"/>
    <n v="849"/>
    <n v="17829"/>
    <s v="DSL"/>
    <d v="2024-01-07T00:00:00"/>
    <s v="No"/>
    <s v="No"/>
    <s v="No"/>
    <s v="No"/>
    <s v="No"/>
    <s v="No"/>
  </r>
  <r>
    <x v="1906"/>
    <s v="Komal Iyer"/>
    <s v="Female"/>
    <n v="48"/>
    <s v="Kolkata"/>
    <x v="0"/>
    <n v="11"/>
    <n v="699"/>
    <n v="7689"/>
    <s v="DSL"/>
    <d v="2024-10-23T00:00:00"/>
    <s v="No"/>
    <s v="No"/>
    <s v="No"/>
    <s v="No"/>
    <s v="No"/>
    <s v="No"/>
  </r>
  <r>
    <x v="1907"/>
    <s v="Karan Nair"/>
    <s v="Male"/>
    <n v="52"/>
    <s v="Hyderabad"/>
    <x v="0"/>
    <n v="3"/>
    <n v="1049"/>
    <n v="3147"/>
    <s v="Fiber"/>
    <d v="2025-06-24T00:00:00"/>
    <s v="No"/>
    <s v="No"/>
    <s v="No"/>
    <s v="No"/>
    <s v="No"/>
    <s v="No"/>
  </r>
  <r>
    <x v="1908"/>
    <s v="Arjun Pandey"/>
    <s v="Male"/>
    <n v="71"/>
    <s v="Chandigarh"/>
    <x v="2"/>
    <n v="32"/>
    <n v="749"/>
    <n v="23968"/>
    <s v="DSL"/>
    <d v="2023-01-13T00:00:00"/>
    <s v="No"/>
    <s v="No"/>
    <s v="No"/>
    <s v="No"/>
    <s v="No"/>
    <s v="No"/>
  </r>
  <r>
    <x v="1909"/>
    <s v="Gaurav Nair"/>
    <s v="Male"/>
    <n v="67"/>
    <s v="Indore"/>
    <x v="0"/>
    <n v="16"/>
    <n v="449"/>
    <n v="7184"/>
    <s v="No Internet"/>
    <d v="2024-05-19T00:00:00"/>
    <s v="No"/>
    <s v="No"/>
    <s v="No"/>
    <s v="No"/>
    <s v="No"/>
    <s v="No"/>
  </r>
  <r>
    <x v="1910"/>
    <s v="Pankaj Patel"/>
    <s v="Male"/>
    <n v="53"/>
    <s v="Pune"/>
    <x v="1"/>
    <n v="21"/>
    <n v="649"/>
    <n v="13629"/>
    <s v="DSL"/>
    <d v="2024-01-02T00:00:00"/>
    <s v="No"/>
    <s v="No"/>
    <s v="No"/>
    <s v="No"/>
    <s v="No"/>
    <s v="No"/>
  </r>
  <r>
    <x v="1911"/>
    <s v="Pooja Pandey"/>
    <s v="Female"/>
    <n v="72"/>
    <s v="Pune"/>
    <x v="0"/>
    <n v="17"/>
    <n v="699"/>
    <n v="11883"/>
    <s v="DSL"/>
    <d v="2024-04-22T00:00:00"/>
    <s v="No"/>
    <s v="No"/>
    <s v="No"/>
    <s v="No"/>
    <s v="No"/>
    <s v="No"/>
  </r>
  <r>
    <x v="1912"/>
    <s v="Amit Joshi"/>
    <s v="Male"/>
    <n v="21"/>
    <s v="Jaipur"/>
    <x v="2"/>
    <n v="40"/>
    <n v="799"/>
    <n v="31960"/>
    <s v="DSL"/>
    <d v="2022-06-07T00:00:00"/>
    <s v="No"/>
    <s v="No"/>
    <s v="No"/>
    <s v="No"/>
    <s v="No"/>
    <s v="No"/>
  </r>
  <r>
    <x v="1913"/>
    <s v="Komal Nair"/>
    <s v="Female"/>
    <n v="66"/>
    <s v="Pune"/>
    <x v="1"/>
    <n v="10"/>
    <n v="1099"/>
    <n v="10990"/>
    <s v="Fiber"/>
    <d v="2024-11-05T00:00:00"/>
    <s v="No"/>
    <s v="No"/>
    <s v="No"/>
    <s v="No"/>
    <s v="No"/>
    <s v="No"/>
  </r>
  <r>
    <x v="1914"/>
    <s v="Anjali Kapoor"/>
    <s v="Female"/>
    <n v="25"/>
    <s v="Pune"/>
    <x v="1"/>
    <n v="37"/>
    <n v="999"/>
    <n v="36963"/>
    <s v="Fiber"/>
    <d v="2022-08-17T00:00:00"/>
    <s v="No"/>
    <s v="No"/>
    <s v="No"/>
    <s v="No"/>
    <s v="No"/>
    <s v="No"/>
  </r>
  <r>
    <x v="1915"/>
    <s v="Amit Joshi"/>
    <s v="Male"/>
    <n v="32"/>
    <s v="Ahmedabad"/>
    <x v="0"/>
    <n v="7"/>
    <n v="599"/>
    <n v="4193"/>
    <s v="DSL"/>
    <d v="2025-02-03T00:00:00"/>
    <s v="No"/>
    <s v="No"/>
    <s v="No"/>
    <s v="No"/>
    <s v="No"/>
    <s v="No"/>
  </r>
  <r>
    <x v="1916"/>
    <s v="Sanjay Nair"/>
    <s v="Male"/>
    <n v="70"/>
    <s v="Indore"/>
    <x v="0"/>
    <n v="6"/>
    <n v="899"/>
    <n v="5394"/>
    <s v="Fiber"/>
    <d v="2025-03-15T00:00:00"/>
    <s v="No"/>
    <s v="No"/>
    <s v="Yes"/>
    <s v="No"/>
    <s v="No"/>
    <s v="No"/>
  </r>
  <r>
    <x v="1917"/>
    <s v="Sachin Kumar"/>
    <s v="Male"/>
    <n v="40"/>
    <s v="Kochi"/>
    <x v="0"/>
    <n v="7"/>
    <n v="1049"/>
    <n v="7343"/>
    <s v="Fiber"/>
    <d v="2025-02-20T00:00:00"/>
    <s v="Yes"/>
    <s v="No"/>
    <s v="No"/>
    <s v="No"/>
    <s v="No"/>
    <s v="No"/>
  </r>
  <r>
    <x v="1918"/>
    <s v="Nikhil Gupta"/>
    <s v="Male"/>
    <n v="25"/>
    <s v="Ahmedabad"/>
    <x v="1"/>
    <n v="14"/>
    <n v="1199"/>
    <n v="16786"/>
    <s v="Fiber"/>
    <d v="2024-07-10T00:00:00"/>
    <s v="No"/>
    <s v="No"/>
    <s v="No"/>
    <s v="No"/>
    <s v="No"/>
    <s v="No"/>
  </r>
  <r>
    <x v="1919"/>
    <s v="Karan Jain"/>
    <s v="Male"/>
    <n v="54"/>
    <s v="Chandigarh"/>
    <x v="0"/>
    <n v="16"/>
    <n v="1049"/>
    <n v="16784"/>
    <s v="Fiber"/>
    <d v="2024-05-21T00:00:00"/>
    <s v="No"/>
    <s v="No"/>
    <s v="No"/>
    <s v="No"/>
    <s v="No"/>
    <s v="No"/>
  </r>
  <r>
    <x v="1920"/>
    <s v="Gaurav Kapoor"/>
    <s v="Male"/>
    <n v="65"/>
    <s v="Kolkata"/>
    <x v="2"/>
    <n v="51"/>
    <n v="899"/>
    <n v="45849"/>
    <s v="Fiber"/>
    <d v="2021-06-25T00:00:00"/>
    <s v="No"/>
    <s v="No"/>
    <s v="No"/>
    <s v="Yes"/>
    <s v="No"/>
    <s v="No"/>
  </r>
  <r>
    <x v="1921"/>
    <s v="Pooja Bose"/>
    <s v="Female"/>
    <n v="56"/>
    <s v="Lucknow"/>
    <x v="0"/>
    <n v="14"/>
    <n v="1049"/>
    <n v="14686"/>
    <s v="Fiber"/>
    <d v="2024-07-17T00:00:00"/>
    <s v="No"/>
    <s v="No"/>
    <s v="No"/>
    <s v="No"/>
    <s v="No"/>
    <s v="No"/>
  </r>
  <r>
    <x v="1922"/>
    <s v="Amit Reddy"/>
    <s v="Male"/>
    <n v="21"/>
    <s v="Jaipur"/>
    <x v="1"/>
    <n v="15"/>
    <n v="799"/>
    <n v="11985"/>
    <s v="DSL"/>
    <d v="2024-06-09T00:00:00"/>
    <s v="No"/>
    <s v="No"/>
    <s v="No"/>
    <s v="No"/>
    <s v="No"/>
    <s v="No"/>
  </r>
  <r>
    <x v="1923"/>
    <s v="Meera Reddy"/>
    <s v="Female"/>
    <n v="63"/>
    <s v="Mumbai"/>
    <x v="0"/>
    <n v="17"/>
    <n v="1049"/>
    <n v="17833"/>
    <s v="Fiber"/>
    <d v="2024-04-24T00:00:00"/>
    <s v="No"/>
    <s v="No"/>
    <s v="No"/>
    <s v="No"/>
    <s v="No"/>
    <s v="No"/>
  </r>
  <r>
    <x v="1924"/>
    <s v="Payal Jain"/>
    <s v="Female"/>
    <n v="37"/>
    <s v="Lucknow"/>
    <x v="1"/>
    <n v="40"/>
    <n v="549"/>
    <n v="21960"/>
    <s v="No Internet"/>
    <d v="2022-06-11T00:00:00"/>
    <s v="No"/>
    <s v="No"/>
    <s v="No"/>
    <s v="No"/>
    <s v="No"/>
    <s v="No"/>
  </r>
  <r>
    <x v="1925"/>
    <s v="Komal Joshi"/>
    <s v="Female"/>
    <n v="58"/>
    <s v="Bhopal"/>
    <x v="1"/>
    <n v="9"/>
    <n v="1199"/>
    <n v="10791"/>
    <s v="Fiber"/>
    <d v="2024-12-31T00:00:00"/>
    <s v="No"/>
    <s v="No"/>
    <s v="No"/>
    <s v="No"/>
    <s v="No"/>
    <s v="No"/>
  </r>
  <r>
    <x v="1926"/>
    <s v="Rohit Kumar"/>
    <s v="Male"/>
    <n v="46"/>
    <s v="Bhopal"/>
    <x v="1"/>
    <n v="39"/>
    <n v="1199"/>
    <n v="46761"/>
    <s v="Fiber"/>
    <d v="2022-07-07T00:00:00"/>
    <s v="No"/>
    <s v="No"/>
    <s v="No"/>
    <s v="No"/>
    <s v="No"/>
    <s v="No"/>
  </r>
  <r>
    <x v="1927"/>
    <s v="Pankaj Kapoor"/>
    <s v="Male"/>
    <n v="75"/>
    <s v="Mumbai"/>
    <x v="0"/>
    <n v="19"/>
    <n v="449"/>
    <n v="8531"/>
    <s v="No Internet"/>
    <d v="2024-02-11T00:00:00"/>
    <s v="No"/>
    <s v="No"/>
    <s v="No"/>
    <s v="No"/>
    <s v="No"/>
    <s v="No"/>
  </r>
  <r>
    <x v="1928"/>
    <s v="Suresh Mehta"/>
    <s v="Male"/>
    <n v="45"/>
    <s v="Ahmedabad"/>
    <x v="1"/>
    <n v="26"/>
    <n v="799"/>
    <n v="20774"/>
    <s v="DSL"/>
    <d v="2023-08-04T00:00:00"/>
    <s v="No"/>
    <s v="No"/>
    <s v="No"/>
    <s v="No"/>
    <s v="No"/>
    <s v="No"/>
  </r>
  <r>
    <x v="1929"/>
    <s v="Sanjay Jain"/>
    <s v="Male"/>
    <n v="50"/>
    <s v="Pune"/>
    <x v="1"/>
    <n v="8"/>
    <n v="549"/>
    <n v="4392"/>
    <s v="No Internet"/>
    <d v="2025-01-16T00:00:00"/>
    <s v="No"/>
    <s v="No"/>
    <s v="No"/>
    <s v="No"/>
    <s v="No"/>
    <s v="No"/>
  </r>
  <r>
    <x v="1930"/>
    <s v="Suresh Joshi"/>
    <s v="Male"/>
    <n v="54"/>
    <s v="Delhi"/>
    <x v="2"/>
    <n v="22"/>
    <n v="899"/>
    <n v="19778"/>
    <s v="DSL"/>
    <d v="2023-12-07T00:00:00"/>
    <s v="No"/>
    <s v="No"/>
    <s v="No"/>
    <s v="No"/>
    <s v="No"/>
    <s v="No"/>
  </r>
  <r>
    <x v="1931"/>
    <s v="Swati Singh"/>
    <s v="Unknown"/>
    <n v="53"/>
    <s v="Chandigarh"/>
    <x v="0"/>
    <n v="7"/>
    <n v="1299"/>
    <n v="9093"/>
    <s v="Fiber"/>
    <d v="2025-02-04T00:00:00"/>
    <s v="Yes"/>
    <s v="No"/>
    <s v="No"/>
    <s v="No"/>
    <s v="No"/>
    <s v="No"/>
  </r>
  <r>
    <x v="1932"/>
    <s v="Payal Mishra"/>
    <s v="Female"/>
    <n v="66"/>
    <s v="Delhi"/>
    <x v="1"/>
    <n v="1"/>
    <n v="1299"/>
    <n v="1299"/>
    <s v="Fiber"/>
    <d v="2025-08-08T00:00:00"/>
    <s v="Yes"/>
    <s v="No"/>
    <s v="No"/>
    <s v="No"/>
    <s v="Yes"/>
    <s v="No"/>
  </r>
  <r>
    <x v="1933"/>
    <s v="Priya Agarwal"/>
    <s v="Female"/>
    <n v="65"/>
    <s v="Mumbai"/>
    <x v="0"/>
    <n v="19"/>
    <n v="599"/>
    <n v="11381"/>
    <s v="DSL"/>
    <d v="2024-02-19T00:00:00"/>
    <s v="No"/>
    <s v="No"/>
    <s v="No"/>
    <s v="No"/>
    <s v="No"/>
    <s v="No"/>
  </r>
  <r>
    <x v="1934"/>
    <s v="Rajesh Desai"/>
    <s v="Male"/>
    <n v="37"/>
    <s v="Bangalore"/>
    <x v="1"/>
    <n v="8"/>
    <n v="649"/>
    <n v="5192"/>
    <s v="DSL"/>
    <d v="2025-01-30T00:00:00"/>
    <s v="Yes"/>
    <s v="No"/>
    <s v="No"/>
    <s v="No"/>
    <s v="No"/>
    <s v="No"/>
  </r>
  <r>
    <x v="1935"/>
    <s v="Unknown"/>
    <s v="Female"/>
    <n v="72"/>
    <s v="Jaipur"/>
    <x v="1"/>
    <n v="21"/>
    <n v="599"/>
    <n v="12579"/>
    <s v="DSL"/>
    <m/>
    <s v="No"/>
    <s v="No"/>
    <s v="No"/>
    <s v="No"/>
    <s v="No"/>
    <s v="Date missing"/>
  </r>
  <r>
    <x v="1936"/>
    <s v="Deepak Kumar"/>
    <s v="Male"/>
    <n v="75"/>
    <s v="Pune"/>
    <x v="2"/>
    <n v="68"/>
    <n v="999"/>
    <n v="67932"/>
    <s v="Fiber"/>
    <d v="2020-02-23T00:00:00"/>
    <s v="No"/>
    <s v="No"/>
    <s v="No"/>
    <s v="No"/>
    <s v="No"/>
    <s v="No"/>
  </r>
  <r>
    <x v="1937"/>
    <s v="Neha Mehta"/>
    <s v="Unknown"/>
    <n v="62"/>
    <s v="Pune"/>
    <x v="0"/>
    <n v="19"/>
    <n v="999"/>
    <n v="18981"/>
    <s v="Fiber"/>
    <d v="2024-02-17T00:00:00"/>
    <s v="Yes"/>
    <s v="No"/>
    <s v="No"/>
    <s v="No"/>
    <s v="No"/>
    <s v="No"/>
  </r>
  <r>
    <x v="1938"/>
    <s v="Rahul Chopra"/>
    <s v="Male"/>
    <n v="39"/>
    <s v="Jaipur"/>
    <x v="0"/>
    <n v="14"/>
    <n v="449"/>
    <n v="6286"/>
    <s v="No Internet"/>
    <d v="2024-07-28T00:00:00"/>
    <s v="No"/>
    <s v="No"/>
    <s v="No"/>
    <s v="No"/>
    <s v="No"/>
    <s v="No"/>
  </r>
  <r>
    <x v="1939"/>
    <s v="Nikhil Rao"/>
    <s v="Male"/>
    <n v="70"/>
    <s v="Kolkata"/>
    <x v="0"/>
    <n v="6"/>
    <n v="1049"/>
    <n v="6294"/>
    <s v="Fiber"/>
    <d v="2025-03-23T00:00:00"/>
    <s v="Yes"/>
    <s v="No"/>
    <s v="No"/>
    <s v="No"/>
    <s v="No"/>
    <s v="No"/>
  </r>
  <r>
    <x v="1940"/>
    <s v="Deepak Saxena"/>
    <s v="Male"/>
    <n v="57"/>
    <s v="Delhi"/>
    <x v="1"/>
    <n v="16"/>
    <n v="399"/>
    <n v="6384"/>
    <s v="No Internet"/>
    <d v="2024-05-09T00:00:00"/>
    <s v="No"/>
    <s v="No"/>
    <s v="Yes"/>
    <s v="No"/>
    <s v="No"/>
    <s v="No"/>
  </r>
  <r>
    <x v="1941"/>
    <s v="Sachin Yadav"/>
    <s v="Male"/>
    <n v="44"/>
    <s v="Kochi"/>
    <x v="1"/>
    <n v="22"/>
    <n v="1049"/>
    <n v="23078"/>
    <s v="Fiber"/>
    <d v="2023-11-26T00:00:00"/>
    <s v="No"/>
    <s v="No"/>
    <s v="No"/>
    <s v="No"/>
    <s v="No"/>
    <s v="No"/>
  </r>
  <r>
    <x v="1942"/>
    <s v="Kavita Kumar"/>
    <s v="Female"/>
    <n v="70"/>
    <s v="Bhopal"/>
    <x v="1"/>
    <n v="7"/>
    <n v="799"/>
    <n v="5593"/>
    <s v="DSL"/>
    <d v="2025-02-20T00:00:00"/>
    <s v="No"/>
    <s v="No"/>
    <s v="No"/>
    <s v="No"/>
    <s v="Yes"/>
    <s v="No"/>
  </r>
  <r>
    <x v="1943"/>
    <s v="Nikhil Mishra"/>
    <s v="Male"/>
    <n v="73"/>
    <s v="Chandigarh"/>
    <x v="1"/>
    <n v="17"/>
    <n v="599"/>
    <n v="10183"/>
    <s v="DSL"/>
    <d v="2024-04-15T00:00:00"/>
    <s v="Yes"/>
    <s v="No"/>
    <s v="No"/>
    <s v="No"/>
    <s v="No"/>
    <s v="No"/>
  </r>
  <r>
    <x v="1944"/>
    <s v="Rohit Desai"/>
    <s v="Male"/>
    <n v="31"/>
    <s v="Delhi"/>
    <x v="0"/>
    <n v="7"/>
    <n v="999"/>
    <n v="6993"/>
    <s v="Fiber"/>
    <d v="2025-02-22T00:00:00"/>
    <s v="No"/>
    <s v="No"/>
    <s v="No"/>
    <s v="No"/>
    <s v="No"/>
    <s v="No"/>
  </r>
  <r>
    <x v="1945"/>
    <s v="Kavita Kapoor"/>
    <s v="Female"/>
    <n v="25"/>
    <s v="Jaipur"/>
    <x v="1"/>
    <n v="21"/>
    <n v="899"/>
    <n v="18879"/>
    <s v="DSL"/>
    <d v="2023-12-20T00:00:00"/>
    <s v="No"/>
    <s v="No"/>
    <s v="No"/>
    <s v="No"/>
    <s v="No"/>
    <s v="No"/>
  </r>
  <r>
    <x v="1946"/>
    <s v="Vivek Desai"/>
    <s v="Male"/>
    <n v="43"/>
    <s v="Chennai"/>
    <x v="1"/>
    <n v="39"/>
    <n v="349"/>
    <n v="13611"/>
    <s v="No Internet"/>
    <d v="2022-07-11T00:00:00"/>
    <s v="No"/>
    <s v="No"/>
    <s v="No"/>
    <s v="No"/>
    <s v="No"/>
    <s v="No"/>
  </r>
  <r>
    <x v="1947"/>
    <s v="Riya Jain"/>
    <s v="Female"/>
    <n v="47"/>
    <s v="Kochi"/>
    <x v="0"/>
    <n v="12"/>
    <n v="599"/>
    <n v="7188"/>
    <s v="Unknown"/>
    <d v="2024-09-09T00:00:00"/>
    <s v="No"/>
    <s v="No"/>
    <s v="No"/>
    <s v="No"/>
    <s v="No"/>
    <s v="No"/>
  </r>
  <r>
    <x v="1948"/>
    <s v="Sonal Agarwal"/>
    <s v="Female"/>
    <n v="75"/>
    <s v="Ahmedabad"/>
    <x v="0"/>
    <n v="15"/>
    <n v="999"/>
    <n v="14985"/>
    <s v="Fiber"/>
    <d v="2024-06-22T00:00:00"/>
    <s v="No"/>
    <s v="No"/>
    <s v="No"/>
    <s v="No"/>
    <s v="Yes"/>
    <s v="No"/>
  </r>
  <r>
    <x v="1949"/>
    <s v="Karan Rao"/>
    <s v="Male"/>
    <n v="71"/>
    <s v="Chandigarh"/>
    <x v="2"/>
    <n v="5"/>
    <n v="1049"/>
    <n v="5245"/>
    <s v="Fiber"/>
    <d v="2025-04-07T00:00:00"/>
    <s v="No"/>
    <s v="No"/>
    <s v="No"/>
    <s v="No"/>
    <s v="No"/>
    <s v="No"/>
  </r>
  <r>
    <x v="1950"/>
    <s v="Mohit Desai"/>
    <s v="Male"/>
    <n v="31"/>
    <s v="Unknown"/>
    <x v="0"/>
    <n v="12"/>
    <n v="999"/>
    <n v="11988"/>
    <s v="Fiber"/>
    <d v="2024-09-24T00:00:00"/>
    <s v="Yes"/>
    <s v="No"/>
    <s v="No"/>
    <s v="No"/>
    <s v="No"/>
    <s v="No"/>
  </r>
  <r>
    <x v="1951"/>
    <s v="Shreya Sharma"/>
    <s v="Female"/>
    <n v="71"/>
    <s v="Chennai"/>
    <x v="0"/>
    <n v="20"/>
    <m/>
    <m/>
    <s v="Fiber"/>
    <d v="2024-01-26T00:00:00"/>
    <s v="No"/>
    <s v="No"/>
    <s v="No"/>
    <s v="No"/>
    <s v="No"/>
    <s v="Monthly missing; Total missing"/>
  </r>
  <r>
    <x v="1952"/>
    <s v="Mohit Chopra"/>
    <s v="Male"/>
    <n v="73"/>
    <s v="Kolkata"/>
    <x v="2"/>
    <n v="17"/>
    <n v="749"/>
    <n v="12733"/>
    <s v="DSL"/>
    <d v="2024-05-01T00:00:00"/>
    <s v="No"/>
    <s v="No"/>
    <s v="No"/>
    <s v="No"/>
    <s v="No"/>
    <s v="No"/>
  </r>
  <r>
    <x v="1953"/>
    <s v="Unknown"/>
    <s v="Male"/>
    <n v="59"/>
    <s v="Chandigarh"/>
    <x v="0"/>
    <n v="3"/>
    <n v="449"/>
    <n v="1347"/>
    <s v="No Internet"/>
    <d v="2025-06-26T00:00:00"/>
    <s v="Yes"/>
    <s v="No"/>
    <s v="No"/>
    <s v="No"/>
    <s v="No"/>
    <s v="No"/>
  </r>
  <r>
    <x v="1954"/>
    <s v="Suresh Malhotra"/>
    <s v="Male"/>
    <n v="22"/>
    <s v="Delhi"/>
    <x v="0"/>
    <n v="23"/>
    <n v="1299"/>
    <n v="29877"/>
    <s v="Fiber"/>
    <d v="2023-11-02T00:00:00"/>
    <s v="Yes"/>
    <s v="No"/>
    <s v="No"/>
    <s v="No"/>
    <s v="No"/>
    <s v="No"/>
  </r>
  <r>
    <x v="1955"/>
    <s v="Suresh Patel"/>
    <s v="Male"/>
    <n v="67"/>
    <s v="Hyderabad"/>
    <x v="2"/>
    <n v="8"/>
    <n v="1099"/>
    <n v="8792"/>
    <s v="Fiber"/>
    <d v="2025-01-11T00:00:00"/>
    <s v="No"/>
    <s v="No"/>
    <s v="No"/>
    <s v="No"/>
    <s v="No"/>
    <s v="No"/>
  </r>
  <r>
    <x v="1956"/>
    <s v="Rohit Malhotra"/>
    <s v="Male"/>
    <n v="52"/>
    <s v="Ahmedabad"/>
    <x v="0"/>
    <n v="18"/>
    <n v="999"/>
    <n v="17982"/>
    <s v="Unknown"/>
    <d v="2024-03-10T00:00:00"/>
    <s v="No"/>
    <s v="No"/>
    <s v="No"/>
    <s v="No"/>
    <s v="No"/>
    <s v="No"/>
  </r>
  <r>
    <x v="1957"/>
    <s v="Deepika Gupta"/>
    <s v="Female"/>
    <n v="29"/>
    <s v="Pune"/>
    <x v="0"/>
    <n v="10"/>
    <n v="999"/>
    <n v="9990"/>
    <s v="Fiber"/>
    <d v="2024-11-24T00:00:00"/>
    <s v="Yes"/>
    <s v="No"/>
    <s v="No"/>
    <s v="No"/>
    <s v="No"/>
    <s v="No"/>
  </r>
  <r>
    <x v="1958"/>
    <s v="Arjun Tiwari"/>
    <s v="Male"/>
    <n v="24"/>
    <s v="Mumbai"/>
    <x v="0"/>
    <n v="2"/>
    <n v="1049"/>
    <n v="2098"/>
    <s v="Fiber"/>
    <d v="2025-07-27T00:00:00"/>
    <s v="Yes"/>
    <s v="No"/>
    <s v="No"/>
    <s v="Yes"/>
    <s v="No"/>
    <s v="No"/>
  </r>
  <r>
    <x v="1959"/>
    <s v="Deepika Verma"/>
    <s v="Female"/>
    <n v="48"/>
    <s v="Delhi"/>
    <x v="0"/>
    <n v="23"/>
    <n v="999"/>
    <n v="22977"/>
    <s v="Fiber"/>
    <d v="2023-11-04T00:00:00"/>
    <s v="No"/>
    <s v="No"/>
    <s v="No"/>
    <s v="No"/>
    <s v="No"/>
    <s v="No"/>
  </r>
  <r>
    <x v="1960"/>
    <s v="Amit Yadav"/>
    <s v="Male"/>
    <n v="39"/>
    <s v="Kochi"/>
    <x v="1"/>
    <n v="27"/>
    <n v="999"/>
    <n v="26973"/>
    <s v="Fiber"/>
    <d v="2023-07-05T00:00:00"/>
    <s v="No"/>
    <s v="No"/>
    <s v="Yes"/>
    <s v="No"/>
    <s v="No"/>
    <s v="No"/>
  </r>
  <r>
    <x v="1961"/>
    <s v="Sonal Bose"/>
    <s v="Female"/>
    <n v="19"/>
    <s v="Delhi"/>
    <x v="0"/>
    <n v="11"/>
    <n v="899"/>
    <n v="9889"/>
    <s v="Fiber"/>
    <d v="2024-10-29T00:00:00"/>
    <s v="No"/>
    <s v="No"/>
    <s v="No"/>
    <s v="No"/>
    <s v="No"/>
    <s v="No"/>
  </r>
  <r>
    <x v="1962"/>
    <s v="Tanvi Sharma"/>
    <s v="Female"/>
    <n v="19"/>
    <s v="Kochi"/>
    <x v="0"/>
    <n v="3"/>
    <n v="1299"/>
    <n v="3897"/>
    <s v="Fiber"/>
    <d v="2025-06-25T00:00:00"/>
    <s v="No"/>
    <s v="No"/>
    <s v="No"/>
    <s v="No"/>
    <s v="No"/>
    <s v="No"/>
  </r>
  <r>
    <x v="1963"/>
    <s v="Vikram Reddy"/>
    <s v="Male"/>
    <n v="31"/>
    <s v="Jaipur"/>
    <x v="2"/>
    <n v="66"/>
    <n v="899"/>
    <n v="59334"/>
    <s v="Fiber"/>
    <d v="2020-04-22T00:00:00"/>
    <s v="No"/>
    <s v="No"/>
    <s v="No"/>
    <s v="No"/>
    <s v="No"/>
    <s v="No"/>
  </r>
  <r>
    <x v="1964"/>
    <s v="Rahul Malhotra"/>
    <s v="Male"/>
    <n v="38"/>
    <s v="Chandigarh"/>
    <x v="2"/>
    <n v="53"/>
    <n v="899"/>
    <n v="47647"/>
    <s v="Fiber"/>
    <d v="2021-05-17T00:00:00"/>
    <s v="Yes"/>
    <s v="No"/>
    <s v="No"/>
    <s v="No"/>
    <s v="No"/>
    <s v="No"/>
  </r>
  <r>
    <x v="1965"/>
    <s v="Gaurav Sharma"/>
    <s v="Male"/>
    <n v="47"/>
    <s v="Chennai"/>
    <x v="0"/>
    <n v="5"/>
    <n v="999"/>
    <n v="4995"/>
    <s v="Fiber"/>
    <d v="2025-04-06T00:00:00"/>
    <s v="Yes"/>
    <s v="No"/>
    <s v="No"/>
    <s v="No"/>
    <s v="No"/>
    <s v="No"/>
  </r>
  <r>
    <x v="1966"/>
    <s v="Arjun Patel"/>
    <s v="Unknown"/>
    <n v="27"/>
    <s v="Mumbai"/>
    <x v="1"/>
    <n v="22"/>
    <n v="649"/>
    <n v="14278"/>
    <s v="Unknown"/>
    <d v="2023-12-06T00:00:00"/>
    <s v="No"/>
    <s v="No"/>
    <s v="No"/>
    <s v="No"/>
    <s v="No"/>
    <s v="No"/>
  </r>
  <r>
    <x v="1967"/>
    <s v="Rahul Bose"/>
    <s v="Male"/>
    <n v="35"/>
    <s v="Chennai"/>
    <x v="1"/>
    <n v="31"/>
    <n v="1099"/>
    <n v="34069"/>
    <s v="Fiber"/>
    <d v="2023-02-20T00:00:00"/>
    <s v="Yes"/>
    <s v="No"/>
    <s v="No"/>
    <s v="No"/>
    <s v="No"/>
    <s v="No"/>
  </r>
  <r>
    <x v="1968"/>
    <s v="Vivek Chopra"/>
    <s v="Male"/>
    <n v="58"/>
    <s v="Pune"/>
    <x v="0"/>
    <n v="5"/>
    <n v="749"/>
    <n v="3745"/>
    <s v="DSL"/>
    <d v="2025-04-12T00:00:00"/>
    <s v="No"/>
    <s v="No"/>
    <s v="No"/>
    <s v="No"/>
    <s v="No"/>
    <s v="No"/>
  </r>
  <r>
    <x v="1969"/>
    <s v="Sonal Sharma"/>
    <s v="Female"/>
    <n v="61"/>
    <s v="Bangalore"/>
    <x v="0"/>
    <n v="23"/>
    <n v="699"/>
    <n v="16077"/>
    <s v="DSL"/>
    <d v="2023-10-27T00:00:00"/>
    <s v="Unknown"/>
    <s v="No"/>
    <s v="No"/>
    <s v="No"/>
    <s v="No"/>
    <s v="Churn unknown"/>
  </r>
  <r>
    <x v="1970"/>
    <s v="Rohit Reddy"/>
    <s v="Male"/>
    <n v="24"/>
    <s v="Lucknow"/>
    <x v="1"/>
    <n v="35"/>
    <n v="799"/>
    <n v="27965"/>
    <s v="DSL"/>
    <d v="2022-10-31T00:00:00"/>
    <s v="No"/>
    <s v="No"/>
    <s v="No"/>
    <s v="No"/>
    <s v="No"/>
    <s v="No"/>
  </r>
  <r>
    <x v="1971"/>
    <s v="Aditi Agarwal"/>
    <s v="Female"/>
    <n v="56"/>
    <s v="Kochi"/>
    <x v="0"/>
    <n v="16"/>
    <n v="1099"/>
    <n v="17584"/>
    <s v="Fiber"/>
    <d v="2024-06-01T00:00:00"/>
    <s v="No"/>
    <s v="No"/>
    <s v="No"/>
    <s v="No"/>
    <s v="Yes"/>
    <s v="No"/>
  </r>
  <r>
    <x v="1972"/>
    <s v="Ankit Rao"/>
    <s v="Male"/>
    <n v="21"/>
    <s v="Delhi"/>
    <x v="0"/>
    <n v="15"/>
    <n v="699"/>
    <n v="10485"/>
    <s v="DSL"/>
    <d v="2024-06-21T00:00:00"/>
    <s v="No"/>
    <s v="No"/>
    <s v="No"/>
    <s v="No"/>
    <s v="No"/>
    <s v="No"/>
  </r>
  <r>
    <x v="1973"/>
    <s v="Rajesh Reddy"/>
    <s v="Male"/>
    <n v="54"/>
    <s v="Delhi"/>
    <x v="0"/>
    <n v="19"/>
    <n v="899"/>
    <n v="17081"/>
    <s v="Fiber"/>
    <d v="2024-03-06T00:00:00"/>
    <s v="Yes"/>
    <s v="No"/>
    <s v="No"/>
    <s v="No"/>
    <s v="No"/>
    <s v="No"/>
  </r>
  <r>
    <x v="1974"/>
    <s v="Tanvi Agarwal"/>
    <s v="Female"/>
    <n v="64"/>
    <s v="Kochi"/>
    <x v="0"/>
    <n v="7"/>
    <n v="399"/>
    <n v="2793"/>
    <s v="No Internet"/>
    <d v="2025-02-05T00:00:00"/>
    <s v="No"/>
    <s v="No"/>
    <s v="No"/>
    <s v="No"/>
    <s v="No"/>
    <s v="No"/>
  </r>
  <r>
    <x v="1975"/>
    <s v="Ritu Malhotra"/>
    <s v="Female"/>
    <n v="52"/>
    <s v="Chennai"/>
    <x v="0"/>
    <n v="2"/>
    <n v="799"/>
    <n v="1598"/>
    <s v="DSL"/>
    <d v="2025-07-14T00:00:00"/>
    <s v="Yes"/>
    <s v="No"/>
    <s v="No"/>
    <s v="No"/>
    <s v="No"/>
    <s v="No"/>
  </r>
  <r>
    <x v="1976"/>
    <s v="Swati Malhotra"/>
    <s v="Female"/>
    <n v="45"/>
    <s v="Bangalore"/>
    <x v="0"/>
    <n v="6"/>
    <n v="399"/>
    <n v="2394"/>
    <s v="No Internet"/>
    <d v="2025-03-17T00:00:00"/>
    <s v="No"/>
    <s v="No"/>
    <s v="No"/>
    <s v="No"/>
    <s v="No"/>
    <s v="No"/>
  </r>
  <r>
    <x v="1977"/>
    <s v="Rahul Patel"/>
    <s v="Male"/>
    <n v="75"/>
    <s v="Pune"/>
    <x v="0"/>
    <n v="7"/>
    <n v="599"/>
    <n v="4193"/>
    <s v="DSL"/>
    <d v="2025-02-14T00:00:00"/>
    <s v="Yes"/>
    <s v="No"/>
    <s v="No"/>
    <s v="No"/>
    <s v="Yes"/>
    <s v="No"/>
  </r>
  <r>
    <x v="1978"/>
    <s v="Ritu Iyer"/>
    <s v="Female"/>
    <n v="65"/>
    <s v="Bhopal"/>
    <x v="2"/>
    <n v="15"/>
    <n v="899"/>
    <n v="13485"/>
    <s v="Fiber"/>
    <d v="2024-06-17T00:00:00"/>
    <s v="No"/>
    <s v="No"/>
    <s v="No"/>
    <s v="No"/>
    <s v="No"/>
    <s v="No"/>
  </r>
  <r>
    <x v="1979"/>
    <s v="Karan Malhotra"/>
    <s v="Male"/>
    <n v="47"/>
    <s v="Kolkata"/>
    <x v="1"/>
    <n v="6"/>
    <n v="749"/>
    <n v="4494"/>
    <s v="DSL"/>
    <d v="2025-03-28T00:00:00"/>
    <s v="No"/>
    <s v="Yes"/>
    <s v="No"/>
    <s v="No"/>
    <s v="No"/>
    <s v="No"/>
  </r>
  <r>
    <x v="1980"/>
    <s v="Deepika Kapoor"/>
    <s v="Female"/>
    <n v="65"/>
    <s v="Chandigarh"/>
    <x v="1"/>
    <n v="37"/>
    <n v="1099"/>
    <n v="40663"/>
    <s v="Fiber"/>
    <d v="2022-09-14T00:00:00"/>
    <s v="Yes"/>
    <s v="No"/>
    <s v="No"/>
    <s v="No"/>
    <s v="No"/>
    <s v="No"/>
  </r>
  <r>
    <x v="1981"/>
    <s v="Aditi Mishra"/>
    <s v="Female"/>
    <n v="71"/>
    <s v="Mumbai"/>
    <x v="2"/>
    <n v="71"/>
    <n v="449"/>
    <n v="31879"/>
    <s v="No Internet"/>
    <d v="2019-11-28T00:00:00"/>
    <s v="No"/>
    <s v="No"/>
    <s v="Yes"/>
    <s v="No"/>
    <s v="No"/>
    <s v="No"/>
  </r>
  <r>
    <x v="1982"/>
    <s v="Rahul Yadav"/>
    <s v="Male"/>
    <n v="70"/>
    <s v="Chandigarh"/>
    <x v="2"/>
    <n v="29"/>
    <n v="1099"/>
    <n v="31871"/>
    <s v="Fiber"/>
    <d v="2023-04-19T00:00:00"/>
    <s v="No"/>
    <s v="No"/>
    <s v="No"/>
    <s v="No"/>
    <s v="No"/>
    <s v="No"/>
  </r>
  <r>
    <x v="1983"/>
    <s v="Ankit Kumar"/>
    <s v="Male"/>
    <n v="24"/>
    <s v="Jaipur"/>
    <x v="2"/>
    <n v="72"/>
    <n v="849"/>
    <n v="61128"/>
    <s v="DSL"/>
    <d v="2019-10-26T00:00:00"/>
    <s v="No"/>
    <s v="No"/>
    <s v="No"/>
    <s v="No"/>
    <s v="No"/>
    <s v="No"/>
  </r>
  <r>
    <x v="1984"/>
    <s v="Pooja Sharma"/>
    <s v="Female"/>
    <n v="47"/>
    <s v="Indore"/>
    <x v="0"/>
    <n v="1"/>
    <n v="399"/>
    <n v="399"/>
    <s v="No Internet"/>
    <d v="2025-08-22T00:00:00"/>
    <s v="Yes"/>
    <s v="Yes"/>
    <s v="No"/>
    <s v="No"/>
    <s v="No"/>
    <s v="No"/>
  </r>
  <r>
    <x v="1985"/>
    <s v="Nisha Tiwari"/>
    <s v="Female"/>
    <n v="19"/>
    <s v="Ahmedabad"/>
    <x v="0"/>
    <n v="20"/>
    <n v="449"/>
    <n v="8980"/>
    <s v="No Internet"/>
    <m/>
    <s v="No"/>
    <s v="No"/>
    <s v="Yes"/>
    <s v="No"/>
    <s v="No"/>
    <s v="Date missing"/>
  </r>
  <r>
    <x v="1986"/>
    <s v="Divya Tiwari"/>
    <s v="Female"/>
    <n v="46"/>
    <s v="Bangalore"/>
    <x v="1"/>
    <n v="36"/>
    <n v="649"/>
    <n v="23364"/>
    <s v="DSL"/>
    <d v="2022-09-22T00:00:00"/>
    <s v="No"/>
    <s v="No"/>
    <s v="No"/>
    <s v="No"/>
    <s v="No"/>
    <s v="No"/>
  </r>
  <r>
    <x v="1987"/>
    <s v="Mohit Singh"/>
    <s v="Male"/>
    <n v="26"/>
    <s v="Indore"/>
    <x v="0"/>
    <n v="10"/>
    <n v="999"/>
    <n v="9990"/>
    <s v="Fiber"/>
    <d v="2024-11-16T00:00:00"/>
    <s v="Yes"/>
    <s v="No"/>
    <s v="No"/>
    <s v="Yes"/>
    <s v="No"/>
    <s v="No"/>
  </r>
  <r>
    <x v="1988"/>
    <s v="Payal Kumar"/>
    <s v="Unknown"/>
    <n v="49"/>
    <s v="Chennai"/>
    <x v="1"/>
    <n v="30"/>
    <n v="449"/>
    <n v="13470"/>
    <s v="No Internet"/>
    <d v="2023-04-06T00:00:00"/>
    <s v="No"/>
    <s v="No"/>
    <s v="No"/>
    <s v="No"/>
    <s v="No"/>
    <s v="No"/>
  </r>
  <r>
    <x v="1989"/>
    <s v="Unknown"/>
    <s v="Unknown"/>
    <n v="32"/>
    <s v="Pune"/>
    <x v="2"/>
    <n v="38"/>
    <n v="599"/>
    <n v="22762"/>
    <s v="DSL"/>
    <d v="2022-07-22T00:00:00"/>
    <s v="No"/>
    <s v="No"/>
    <s v="No"/>
    <s v="No"/>
    <s v="Yes"/>
    <s v="No"/>
  </r>
  <r>
    <x v="1990"/>
    <s v="Sachin Pandey"/>
    <s v="Male"/>
    <n v="39"/>
    <s v="Mumbai"/>
    <x v="3"/>
    <n v="3"/>
    <n v="999"/>
    <n v="2997"/>
    <s v="Fiber"/>
    <d v="2025-06-30T00:00:00"/>
    <s v="Yes"/>
    <s v="No"/>
    <s v="Yes"/>
    <s v="No"/>
    <s v="No"/>
    <s v="No"/>
  </r>
  <r>
    <x v="1991"/>
    <s v="Divya Reddy"/>
    <s v="Female"/>
    <n v="74"/>
    <s v="Delhi"/>
    <x v="0"/>
    <n v="8"/>
    <n v="1049"/>
    <n v="8392"/>
    <s v="Fiber"/>
    <d v="2025-01-30T00:00:00"/>
    <s v="Yes"/>
    <s v="No"/>
    <s v="No"/>
    <s v="Yes"/>
    <s v="No"/>
    <s v="No"/>
  </r>
  <r>
    <x v="1992"/>
    <s v="Rohit Mishra"/>
    <s v="Male"/>
    <n v="33"/>
    <s v="Jaipur"/>
    <x v="0"/>
    <n v="3"/>
    <n v="849"/>
    <n v="2547"/>
    <s v="DSL"/>
    <d v="2025-06-02T00:00:00"/>
    <s v="Yes"/>
    <s v="No"/>
    <s v="No"/>
    <s v="No"/>
    <s v="Yes"/>
    <s v="No"/>
  </r>
  <r>
    <x v="1993"/>
    <s v="Rajesh Agarwal"/>
    <s v="Male"/>
    <n v="58"/>
    <s v="Kolkata"/>
    <x v="0"/>
    <n v="1"/>
    <n v="849"/>
    <n v="849"/>
    <s v="DSL"/>
    <m/>
    <s v="No"/>
    <s v="No"/>
    <s v="No"/>
    <s v="Yes"/>
    <s v="No"/>
    <s v="Date missing"/>
  </r>
  <r>
    <x v="1994"/>
    <s v="Nisha Tiwari"/>
    <s v="Female"/>
    <n v="66"/>
    <s v="Pune"/>
    <x v="0"/>
    <n v="24"/>
    <n v="449"/>
    <n v="10776"/>
    <s v="No Internet"/>
    <d v="2023-10-08T00:00:00"/>
    <s v="Yes"/>
    <s v="No"/>
    <s v="No"/>
    <s v="No"/>
    <s v="No"/>
    <s v="No"/>
  </r>
  <r>
    <x v="1995"/>
    <s v="Meera Singh"/>
    <s v="Female"/>
    <n v="46"/>
    <s v="Kolkata"/>
    <x v="2"/>
    <n v="39"/>
    <n v="349"/>
    <n v="13611"/>
    <s v="No Internet"/>
    <d v="2022-07-14T00:00:00"/>
    <s v="No"/>
    <s v="No"/>
    <s v="No"/>
    <s v="No"/>
    <s v="No"/>
    <s v="No"/>
  </r>
  <r>
    <x v="1996"/>
    <s v="Ritu Sharma"/>
    <s v="Female"/>
    <n v="41"/>
    <s v="Ahmedabad"/>
    <x v="1"/>
    <n v="14"/>
    <n v="1049"/>
    <n v="14686"/>
    <s v="Fiber"/>
    <d v="2024-07-27T00:00:00"/>
    <s v="No"/>
    <s v="No"/>
    <s v="No"/>
    <s v="No"/>
    <s v="No"/>
    <s v="No"/>
  </r>
  <r>
    <x v="1997"/>
    <s v="Aman Mishra"/>
    <s v="Male"/>
    <n v="44"/>
    <s v="Mumbai"/>
    <x v="0"/>
    <n v="6"/>
    <n v="1049"/>
    <n v="6294"/>
    <s v="Fiber"/>
    <d v="2025-03-28T00:00:00"/>
    <s v="No"/>
    <s v="No"/>
    <s v="No"/>
    <s v="No"/>
    <s v="No"/>
    <s v="No"/>
  </r>
  <r>
    <x v="1998"/>
    <s v="Meera Rao"/>
    <s v="Female"/>
    <n v="46"/>
    <s v="Delhi"/>
    <x v="0"/>
    <n v="23"/>
    <n v="449"/>
    <n v="10327"/>
    <s v="No Internet"/>
    <d v="2023-10-14T00:00:00"/>
    <s v="No"/>
    <s v="No"/>
    <s v="No"/>
    <s v="No"/>
    <s v="No"/>
    <s v="No"/>
  </r>
  <r>
    <x v="1999"/>
    <s v="Pooja Singh"/>
    <s v="Female"/>
    <n v="35"/>
    <s v="Mumbai"/>
    <x v="2"/>
    <n v="57"/>
    <n v="1299"/>
    <n v="74043"/>
    <s v="Fiber"/>
    <d v="2020-12-26T00:00:00"/>
    <s v="No"/>
    <s v="No"/>
    <s v="No"/>
    <s v="No"/>
    <s v="No"/>
    <s v="No"/>
  </r>
  <r>
    <x v="2000"/>
    <m/>
    <m/>
    <m/>
    <m/>
    <x v="4"/>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C1001"/>
    <s v="Rahul Agarwal"/>
    <s v="Male"/>
    <n v="35"/>
    <x v="0"/>
    <x v="0"/>
    <x v="0"/>
    <n v="1149"/>
    <n v="25278"/>
    <x v="0"/>
    <d v="2023-12-07T00:00:00"/>
    <x v="0"/>
    <s v="No"/>
    <s v="No"/>
    <x v="0"/>
    <x v="0"/>
    <s v="No"/>
  </r>
  <r>
    <s v="C1002"/>
    <s v="Vikram Mehta"/>
    <s v="Male"/>
    <n v="32"/>
    <x v="1"/>
    <x v="1"/>
    <x v="1"/>
    <n v="999"/>
    <n v="34965"/>
    <x v="0"/>
    <d v="2022-10-19T00:00:00"/>
    <x v="0"/>
    <s v="No"/>
    <s v="No"/>
    <x v="0"/>
    <x v="0"/>
    <s v="No"/>
  </r>
  <r>
    <s v="C1003"/>
    <s v="Arjun Pandey"/>
    <s v="Male"/>
    <n v="47"/>
    <x v="2"/>
    <x v="0"/>
    <x v="2"/>
    <n v="599"/>
    <n v="6589"/>
    <x v="1"/>
    <d v="2024-10-06T00:00:00"/>
    <x v="1"/>
    <s v="Yes"/>
    <s v="No"/>
    <x v="0"/>
    <x v="0"/>
    <s v="No"/>
  </r>
  <r>
    <s v="C1004"/>
    <s v="Riya Malhotra"/>
    <s v="Female"/>
    <n v="69"/>
    <x v="3"/>
    <x v="1"/>
    <x v="3"/>
    <n v="1149"/>
    <n v="28725"/>
    <x v="0"/>
    <d v="2023-08-21T00:00:00"/>
    <x v="2"/>
    <s v="No"/>
    <s v="No"/>
    <x v="0"/>
    <x v="0"/>
    <s v="Churn unknown"/>
  </r>
  <r>
    <s v="C1005"/>
    <s v="Tanvi Mehta"/>
    <s v="Female"/>
    <n v="63"/>
    <x v="4"/>
    <x v="0"/>
    <x v="4"/>
    <n v="599"/>
    <n v="5990"/>
    <x v="1"/>
    <d v="2024-11-20T00:00:00"/>
    <x v="0"/>
    <s v="No"/>
    <s v="No"/>
    <x v="0"/>
    <x v="0"/>
    <s v="No"/>
  </r>
  <r>
    <s v="C1006"/>
    <s v="Shreya Chopra"/>
    <s v="Female"/>
    <n v="71"/>
    <x v="2"/>
    <x v="0"/>
    <x v="0"/>
    <n v="1199"/>
    <n v="26378"/>
    <x v="0"/>
    <d v="2023-12-03T00:00:00"/>
    <x v="0"/>
    <s v="No"/>
    <s v="No"/>
    <x v="0"/>
    <x v="0"/>
    <s v="No"/>
  </r>
  <r>
    <s v="C1007"/>
    <s v="Arjun Kapoor"/>
    <s v="Male"/>
    <n v="42"/>
    <x v="5"/>
    <x v="2"/>
    <x v="5"/>
    <n v="1199"/>
    <n v="86328"/>
    <x v="0"/>
    <d v="2019-10-06T00:00:00"/>
    <x v="0"/>
    <s v="No"/>
    <s v="No"/>
    <x v="0"/>
    <x v="0"/>
    <s v="No"/>
  </r>
  <r>
    <s v="C1008"/>
    <s v="Manish Verma"/>
    <s v="Male"/>
    <n v="69"/>
    <x v="2"/>
    <x v="0"/>
    <x v="6"/>
    <n v="849"/>
    <n v="16131"/>
    <x v="1"/>
    <d v="2024-02-24T00:00:00"/>
    <x v="0"/>
    <s v="No"/>
    <s v="No"/>
    <x v="0"/>
    <x v="0"/>
    <s v="No"/>
  </r>
  <r>
    <s v="C1009"/>
    <s v="Pooja Malhotra"/>
    <s v="Female"/>
    <n v="26"/>
    <x v="0"/>
    <x v="1"/>
    <x v="7"/>
    <n v="1149"/>
    <n v="43662"/>
    <x v="0"/>
    <d v="2022-08-11T00:00:00"/>
    <x v="0"/>
    <s v="No"/>
    <s v="No"/>
    <x v="0"/>
    <x v="1"/>
    <s v="No"/>
  </r>
  <r>
    <s v="C1010"/>
    <s v="Neha Verma"/>
    <s v="Female"/>
    <n v="73"/>
    <x v="4"/>
    <x v="0"/>
    <x v="0"/>
    <n v="749"/>
    <n v="16478"/>
    <x v="1"/>
    <m/>
    <x v="1"/>
    <s v="No"/>
    <s v="No"/>
    <x v="0"/>
    <x v="0"/>
    <s v="Date missing"/>
  </r>
  <r>
    <s v="C1011"/>
    <s v="Payal Malhotra"/>
    <s v="Female"/>
    <n v="53"/>
    <x v="6"/>
    <x v="2"/>
    <x v="8"/>
    <n v="1149"/>
    <n v="17235"/>
    <x v="0"/>
    <d v="2024-06-25T00:00:00"/>
    <x v="0"/>
    <s v="No"/>
    <s v="No"/>
    <x v="0"/>
    <x v="0"/>
    <s v="No"/>
  </r>
  <r>
    <s v="C1012"/>
    <s v="Harsh Tiwari"/>
    <s v="Male"/>
    <n v="28"/>
    <x v="7"/>
    <x v="0"/>
    <x v="9"/>
    <n v="1149"/>
    <n v="27576"/>
    <x v="0"/>
    <d v="2023-10-06T00:00:00"/>
    <x v="0"/>
    <s v="No"/>
    <s v="No"/>
    <x v="0"/>
    <x v="0"/>
    <s v="No"/>
  </r>
  <r>
    <s v="C1013"/>
    <s v="Payal Yadav"/>
    <s v="Unknown"/>
    <n v="30"/>
    <x v="8"/>
    <x v="0"/>
    <x v="10"/>
    <n v="599"/>
    <n v="10183"/>
    <x v="1"/>
    <d v="2024-05-03T00:00:00"/>
    <x v="0"/>
    <s v="No"/>
    <s v="No"/>
    <x v="0"/>
    <x v="0"/>
    <s v="No"/>
  </r>
  <r>
    <s v="C1014"/>
    <s v="Aditi Nair"/>
    <s v="Female"/>
    <n v="21"/>
    <x v="0"/>
    <x v="2"/>
    <x v="2"/>
    <n v="349"/>
    <n v="3839"/>
    <x v="2"/>
    <d v="2024-10-16T00:00:00"/>
    <x v="0"/>
    <s v="No"/>
    <s v="No"/>
    <x v="0"/>
    <x v="0"/>
    <s v="No"/>
  </r>
  <r>
    <s v="C1015"/>
    <s v="Rohit Saxena"/>
    <s v="Unknown"/>
    <n v="48"/>
    <x v="1"/>
    <x v="0"/>
    <x v="11"/>
    <n v="999"/>
    <n v="19980"/>
    <x v="0"/>
    <d v="2024-01-15T00:00:00"/>
    <x v="0"/>
    <s v="No"/>
    <s v="No"/>
    <x v="0"/>
    <x v="0"/>
    <s v="No"/>
  </r>
  <r>
    <s v="C1016"/>
    <s v="Harsh Rao"/>
    <s v="Male"/>
    <n v="60"/>
    <x v="9"/>
    <x v="0"/>
    <x v="12"/>
    <m/>
    <n v="5985"/>
    <x v="2"/>
    <d v="2024-07-05T00:00:00"/>
    <x v="1"/>
    <s v="No"/>
    <s v="No"/>
    <x v="0"/>
    <x v="0"/>
    <s v="Monthly missing; Tenure missing"/>
  </r>
  <r>
    <s v="C1017"/>
    <s v="Rajesh Nair"/>
    <s v="Male"/>
    <n v="18"/>
    <x v="4"/>
    <x v="1"/>
    <x v="13"/>
    <n v="599"/>
    <n v="2995"/>
    <x v="1"/>
    <d v="2025-04-24T00:00:00"/>
    <x v="1"/>
    <s v="No"/>
    <s v="No"/>
    <x v="0"/>
    <x v="0"/>
    <s v="No"/>
  </r>
  <r>
    <s v="C1018"/>
    <s v="Komal Mehta"/>
    <s v="Female"/>
    <n v="52"/>
    <x v="8"/>
    <x v="1"/>
    <x v="14"/>
    <n v="499"/>
    <n v="18463"/>
    <x v="2"/>
    <d v="2022-09-08T00:00:00"/>
    <x v="0"/>
    <s v="No"/>
    <s v="No"/>
    <x v="0"/>
    <x v="0"/>
    <s v="No"/>
  </r>
  <r>
    <s v="C1019"/>
    <s v="Karan Saxena"/>
    <s v="Male"/>
    <n v="45"/>
    <x v="2"/>
    <x v="0"/>
    <x v="9"/>
    <n v="1199"/>
    <n v="28776"/>
    <x v="0"/>
    <d v="2023-09-16T00:00:00"/>
    <x v="1"/>
    <s v="No"/>
    <s v="No"/>
    <x v="0"/>
    <x v="0"/>
    <s v="No"/>
  </r>
  <r>
    <s v="C1020"/>
    <s v="Anjali Nair"/>
    <s v="Female"/>
    <n v="30"/>
    <x v="0"/>
    <x v="0"/>
    <x v="15"/>
    <n v="699"/>
    <n v="4194"/>
    <x v="1"/>
    <d v="2025-03-30T00:00:00"/>
    <x v="0"/>
    <s v="No"/>
    <s v="No"/>
    <x v="0"/>
    <x v="1"/>
    <s v="No"/>
  </r>
  <r>
    <s v="C1021"/>
    <s v="Sonal Reddy"/>
    <s v="Female"/>
    <n v="21"/>
    <x v="9"/>
    <x v="2"/>
    <x v="16"/>
    <n v="399"/>
    <n v="4788"/>
    <x v="2"/>
    <d v="2024-09-18T00:00:00"/>
    <x v="0"/>
    <s v="No"/>
    <s v="No"/>
    <x v="0"/>
    <x v="1"/>
    <s v="No"/>
  </r>
  <r>
    <s v="C1022"/>
    <s v="Deepika Rao"/>
    <s v="Female"/>
    <n v="75"/>
    <x v="3"/>
    <x v="0"/>
    <x v="17"/>
    <n v="699"/>
    <n v="9087"/>
    <x v="1"/>
    <d v="2024-08-12T00:00:00"/>
    <x v="1"/>
    <s v="No"/>
    <s v="No"/>
    <x v="0"/>
    <x v="0"/>
    <s v="No"/>
  </r>
  <r>
    <s v="C1023"/>
    <s v="Pooja Mehta"/>
    <s v="Female"/>
    <n v="36"/>
    <x v="0"/>
    <x v="2"/>
    <x v="18"/>
    <n v="1199"/>
    <n v="83930"/>
    <x v="0"/>
    <d v="2019-12-11T00:00:00"/>
    <x v="1"/>
    <s v="No"/>
    <s v="No"/>
    <x v="0"/>
    <x v="0"/>
    <s v="No"/>
  </r>
  <r>
    <s v="C1024"/>
    <s v="Payal Jain"/>
    <s v="Female"/>
    <n v="28"/>
    <x v="10"/>
    <x v="2"/>
    <x v="9"/>
    <n v="599"/>
    <n v="14376"/>
    <x v="1"/>
    <d v="2023-10-02T00:00:00"/>
    <x v="0"/>
    <s v="No"/>
    <s v="No"/>
    <x v="0"/>
    <x v="0"/>
    <s v="No"/>
  </r>
  <r>
    <s v="C1025"/>
    <s v="Anjali Bose"/>
    <s v="Female"/>
    <n v="33"/>
    <x v="11"/>
    <x v="1"/>
    <x v="19"/>
    <n v="1149"/>
    <n v="31023"/>
    <x v="0"/>
    <d v="2023-06-12T00:00:00"/>
    <x v="0"/>
    <s v="No"/>
    <s v="No"/>
    <x v="0"/>
    <x v="0"/>
    <s v="No"/>
  </r>
  <r>
    <s v="C1026"/>
    <s v="Deepika Saxena"/>
    <s v="Female"/>
    <n v="63"/>
    <x v="2"/>
    <x v="0"/>
    <x v="0"/>
    <n v="1049"/>
    <n v="23078"/>
    <x v="0"/>
    <m/>
    <x v="1"/>
    <s v="No"/>
    <s v="No"/>
    <x v="0"/>
    <x v="0"/>
    <s v="Date missing"/>
  </r>
  <r>
    <s v="C1027"/>
    <s v="Rahul Kapoor"/>
    <s v="Male"/>
    <n v="57"/>
    <x v="11"/>
    <x v="2"/>
    <x v="20"/>
    <n v="799"/>
    <n v="22372"/>
    <x v="1"/>
    <d v="2023-05-14T00:00:00"/>
    <x v="0"/>
    <s v="No"/>
    <s v="No"/>
    <x v="0"/>
    <x v="0"/>
    <s v="No"/>
  </r>
  <r>
    <s v="C1028"/>
    <s v="Unknown"/>
    <s v="Male"/>
    <n v="36"/>
    <x v="8"/>
    <x v="0"/>
    <x v="4"/>
    <n v="1299"/>
    <n v="12990"/>
    <x v="0"/>
    <d v="2024-11-06T00:00:00"/>
    <x v="1"/>
    <s v="No"/>
    <s v="No"/>
    <x v="0"/>
    <x v="0"/>
    <s v="No"/>
  </r>
  <r>
    <s v="C1029"/>
    <s v="Anjali Singh"/>
    <s v="Female"/>
    <n v="34"/>
    <x v="4"/>
    <x v="2"/>
    <x v="11"/>
    <n v="1049"/>
    <n v="20980"/>
    <x v="0"/>
    <m/>
    <x v="0"/>
    <s v="No"/>
    <s v="Yes"/>
    <x v="0"/>
    <x v="0"/>
    <s v="Date missing"/>
  </r>
  <r>
    <s v="C1030"/>
    <s v="Suresh Jain"/>
    <s v="Male"/>
    <n v="49"/>
    <x v="5"/>
    <x v="3"/>
    <x v="16"/>
    <n v="449"/>
    <n v="5388"/>
    <x v="2"/>
    <d v="2024-09-23T00:00:00"/>
    <x v="1"/>
    <s v="No"/>
    <s v="No"/>
    <x v="0"/>
    <x v="0"/>
    <s v="No"/>
  </r>
  <r>
    <s v="C1031"/>
    <s v="Suresh Gupta"/>
    <s v="Male"/>
    <n v="65"/>
    <x v="7"/>
    <x v="1"/>
    <x v="21"/>
    <n v="899"/>
    <n v="899"/>
    <x v="0"/>
    <d v="2025-08-03T00:00:00"/>
    <x v="0"/>
    <s v="No"/>
    <s v="No"/>
    <x v="0"/>
    <x v="1"/>
    <s v="No"/>
  </r>
  <r>
    <s v="C1032"/>
    <s v="Tanvi Mishra"/>
    <s v="Female"/>
    <n v="27"/>
    <x v="12"/>
    <x v="0"/>
    <x v="22"/>
    <n v="699"/>
    <n v="1398"/>
    <x v="1"/>
    <d v="2025-07-19T00:00:00"/>
    <x v="0"/>
    <s v="No"/>
    <s v="No"/>
    <x v="0"/>
    <x v="0"/>
    <s v="No"/>
  </r>
  <r>
    <s v="C1033"/>
    <s v="Riya Agarwal"/>
    <s v="Female"/>
    <n v="27"/>
    <x v="0"/>
    <x v="2"/>
    <x v="23"/>
    <n v="399"/>
    <n v="9177"/>
    <x v="2"/>
    <d v="2023-10-29T00:00:00"/>
    <x v="0"/>
    <s v="No"/>
    <s v="No"/>
    <x v="0"/>
    <x v="0"/>
    <s v="No"/>
  </r>
  <r>
    <s v="C1034"/>
    <s v="Ritu Malhotra"/>
    <s v="Female"/>
    <n v="28"/>
    <x v="13"/>
    <x v="1"/>
    <x v="24"/>
    <n v="1099"/>
    <n v="3297"/>
    <x v="0"/>
    <d v="2025-06-01T00:00:00"/>
    <x v="1"/>
    <s v="No"/>
    <s v="No"/>
    <x v="0"/>
    <x v="0"/>
    <s v="No"/>
  </r>
  <r>
    <s v="C1035"/>
    <s v="Isha Iyer"/>
    <s v="Female"/>
    <n v="70"/>
    <x v="13"/>
    <x v="2"/>
    <x v="3"/>
    <n v="749"/>
    <n v="18725"/>
    <x v="1"/>
    <d v="2023-08-16T00:00:00"/>
    <x v="0"/>
    <s v="No"/>
    <s v="No"/>
    <x v="0"/>
    <x v="0"/>
    <s v="No"/>
  </r>
  <r>
    <s v="C1036"/>
    <s v="Isha Chopra"/>
    <s v="Female"/>
    <n v="50"/>
    <x v="12"/>
    <x v="1"/>
    <x v="0"/>
    <n v="449"/>
    <n v="9878"/>
    <x v="2"/>
    <d v="2023-11-30T00:00:00"/>
    <x v="0"/>
    <s v="No"/>
    <s v="No"/>
    <x v="0"/>
    <x v="0"/>
    <s v="No"/>
  </r>
  <r>
    <s v="C1037"/>
    <s v="Karan Yadav"/>
    <s v="Male"/>
    <n v="45"/>
    <x v="2"/>
    <x v="1"/>
    <x v="25"/>
    <n v="799"/>
    <n v="31161"/>
    <x v="1"/>
    <d v="2022-07-10T00:00:00"/>
    <x v="0"/>
    <s v="No"/>
    <s v="No"/>
    <x v="0"/>
    <x v="0"/>
    <s v="No"/>
  </r>
  <r>
    <s v="C1038"/>
    <s v="Sneha Pandey"/>
    <s v="Female"/>
    <n v="45"/>
    <x v="3"/>
    <x v="0"/>
    <x v="0"/>
    <n v="399"/>
    <n v="8778"/>
    <x v="2"/>
    <d v="2023-12-06T00:00:00"/>
    <x v="1"/>
    <s v="No"/>
    <s v="No"/>
    <x v="1"/>
    <x v="0"/>
    <s v="No"/>
  </r>
  <r>
    <s v="C1039"/>
    <s v="Riya Joshi"/>
    <s v="Female"/>
    <n v="60"/>
    <x v="6"/>
    <x v="0"/>
    <x v="10"/>
    <n v="499"/>
    <n v="8483"/>
    <x v="2"/>
    <d v="2024-04-14T00:00:00"/>
    <x v="1"/>
    <s v="No"/>
    <s v="Yes"/>
    <x v="0"/>
    <x v="0"/>
    <s v="No"/>
  </r>
  <r>
    <s v="C1040"/>
    <s v="Sonal Singh"/>
    <s v="Female"/>
    <n v="30"/>
    <x v="12"/>
    <x v="1"/>
    <x v="16"/>
    <n v="1149"/>
    <n v="13788"/>
    <x v="0"/>
    <d v="2024-09-07T00:00:00"/>
    <x v="0"/>
    <s v="No"/>
    <s v="Yes"/>
    <x v="0"/>
    <x v="0"/>
    <s v="No"/>
  </r>
  <r>
    <s v="C1041"/>
    <s v="Harsh Iyer"/>
    <s v="Male"/>
    <n v="31"/>
    <x v="12"/>
    <x v="1"/>
    <x v="26"/>
    <n v="1099"/>
    <n v="23079"/>
    <x v="0"/>
    <d v="2023-12-22T00:00:00"/>
    <x v="0"/>
    <s v="No"/>
    <s v="No"/>
    <x v="0"/>
    <x v="0"/>
    <s v="No"/>
  </r>
  <r>
    <s v="C1042"/>
    <s v="Meera Saxena"/>
    <s v="Female"/>
    <n v="23"/>
    <x v="5"/>
    <x v="0"/>
    <x v="2"/>
    <n v="1299"/>
    <n v="14289"/>
    <x v="0"/>
    <d v="2024-10-26T00:00:00"/>
    <x v="0"/>
    <s v="No"/>
    <s v="No"/>
    <x v="0"/>
    <x v="0"/>
    <s v="No"/>
  </r>
  <r>
    <s v="C1043"/>
    <s v="Rohit Sharma"/>
    <s v="Male"/>
    <n v="20"/>
    <x v="0"/>
    <x v="2"/>
    <x v="4"/>
    <n v="1099"/>
    <n v="10990"/>
    <x v="0"/>
    <d v="2024-11-10T00:00:00"/>
    <x v="0"/>
    <s v="No"/>
    <s v="No"/>
    <x v="0"/>
    <x v="0"/>
    <s v="No"/>
  </r>
  <r>
    <s v="C1044"/>
    <s v="Komal Rao"/>
    <s v="Female"/>
    <n v="33"/>
    <x v="8"/>
    <x v="1"/>
    <x v="27"/>
    <n v="899"/>
    <n v="6293"/>
    <x v="1"/>
    <d v="2025-02-08T00:00:00"/>
    <x v="0"/>
    <s v="No"/>
    <s v="No"/>
    <x v="0"/>
    <x v="0"/>
    <s v="No"/>
  </r>
  <r>
    <s v="C1045"/>
    <s v="Sneha Mishra"/>
    <s v="Female"/>
    <n v="33"/>
    <x v="6"/>
    <x v="0"/>
    <x v="8"/>
    <n v="849"/>
    <n v="12735"/>
    <x v="1"/>
    <d v="2024-06-11T00:00:00"/>
    <x v="0"/>
    <s v="No"/>
    <s v="No"/>
    <x v="0"/>
    <x v="0"/>
    <s v="No"/>
  </r>
  <r>
    <s v="C1046"/>
    <s v="Riya Agarwal"/>
    <s v="Female"/>
    <n v="75"/>
    <x v="1"/>
    <x v="0"/>
    <x v="8"/>
    <n v="499"/>
    <n v="7485"/>
    <x v="2"/>
    <d v="2024-06-11T00:00:00"/>
    <x v="0"/>
    <s v="No"/>
    <s v="No"/>
    <x v="0"/>
    <x v="0"/>
    <s v="No"/>
  </r>
  <r>
    <s v="C1047"/>
    <s v="Suresh Jain"/>
    <s v="Male"/>
    <n v="49"/>
    <x v="9"/>
    <x v="0"/>
    <x v="23"/>
    <n v="999"/>
    <n v="22977"/>
    <x v="0"/>
    <d v="2023-10-11T00:00:00"/>
    <x v="1"/>
    <s v="No"/>
    <s v="Yes"/>
    <x v="0"/>
    <x v="0"/>
    <s v="No"/>
  </r>
  <r>
    <s v="C1048"/>
    <s v="Rohit Singh"/>
    <s v="Male"/>
    <n v="32"/>
    <x v="12"/>
    <x v="1"/>
    <x v="13"/>
    <n v="1099"/>
    <n v="5495"/>
    <x v="0"/>
    <d v="2025-04-18T00:00:00"/>
    <x v="0"/>
    <s v="No"/>
    <s v="No"/>
    <x v="0"/>
    <x v="0"/>
    <s v="No"/>
  </r>
  <r>
    <s v="C1049"/>
    <s v="Sanjay Tiwari"/>
    <s v="Male"/>
    <n v="42"/>
    <x v="13"/>
    <x v="1"/>
    <x v="14"/>
    <n v="1099"/>
    <n v="40663"/>
    <x v="0"/>
    <d v="2022-09-05T00:00:00"/>
    <x v="0"/>
    <s v="No"/>
    <s v="No"/>
    <x v="0"/>
    <x v="0"/>
    <s v="No"/>
  </r>
  <r>
    <s v="C1050"/>
    <s v="Nisha Mishra"/>
    <s v="Female"/>
    <n v="65"/>
    <x v="14"/>
    <x v="0"/>
    <x v="28"/>
    <n v="999"/>
    <n v="7992"/>
    <x v="0"/>
    <d v="2025-01-31T00:00:00"/>
    <x v="1"/>
    <s v="No"/>
    <s v="No"/>
    <x v="0"/>
    <x v="0"/>
    <s v="No"/>
  </r>
  <r>
    <s v="C1051"/>
    <s v="Swati Saxena"/>
    <s v="Female"/>
    <n v="61"/>
    <x v="13"/>
    <x v="0"/>
    <x v="12"/>
    <m/>
    <n v="9735"/>
    <x v="1"/>
    <d v="2024-06-23T00:00:00"/>
    <x v="1"/>
    <s v="No"/>
    <s v="No"/>
    <x v="0"/>
    <x v="0"/>
    <s v="Monthly missing; Tenure missing"/>
  </r>
  <r>
    <s v="C1052"/>
    <s v="Vikram Chopra"/>
    <s v="Male"/>
    <n v="45"/>
    <x v="8"/>
    <x v="2"/>
    <x v="29"/>
    <n v="749"/>
    <n v="25466"/>
    <x v="1"/>
    <d v="2022-12-03T00:00:00"/>
    <x v="0"/>
    <s v="No"/>
    <s v="No"/>
    <x v="0"/>
    <x v="0"/>
    <s v="No"/>
  </r>
  <r>
    <s v="C1053"/>
    <s v="Kavita Tiwari"/>
    <s v="Female"/>
    <n v="34"/>
    <x v="6"/>
    <x v="0"/>
    <x v="30"/>
    <n v="599"/>
    <n v="10782"/>
    <x v="1"/>
    <d v="2024-03-13T00:00:00"/>
    <x v="0"/>
    <s v="No"/>
    <s v="No"/>
    <x v="0"/>
    <x v="0"/>
    <s v="No"/>
  </r>
  <r>
    <s v="C1054"/>
    <s v="Rahul Nair"/>
    <s v="Male"/>
    <n v="30"/>
    <x v="6"/>
    <x v="0"/>
    <x v="13"/>
    <n v="749"/>
    <n v="3745"/>
    <x v="1"/>
    <d v="2025-04-25T00:00:00"/>
    <x v="1"/>
    <s v="No"/>
    <s v="No"/>
    <x v="0"/>
    <x v="0"/>
    <s v="No"/>
  </r>
  <r>
    <s v="C1055"/>
    <s v="Kavita Patel"/>
    <s v="Unknown"/>
    <n v="28"/>
    <x v="11"/>
    <x v="1"/>
    <x v="28"/>
    <n v="1299"/>
    <n v="10392"/>
    <x v="0"/>
    <d v="2025-01-28T00:00:00"/>
    <x v="2"/>
    <s v="No"/>
    <s v="No"/>
    <x v="0"/>
    <x v="0"/>
    <s v="Churn unknown"/>
  </r>
  <r>
    <s v="C1056"/>
    <s v="Harsh Bose"/>
    <s v="Male"/>
    <n v="61"/>
    <x v="12"/>
    <x v="0"/>
    <x v="24"/>
    <n v="1199"/>
    <n v="3597"/>
    <x v="0"/>
    <d v="2025-06-06T00:00:00"/>
    <x v="1"/>
    <s v="No"/>
    <s v="No"/>
    <x v="0"/>
    <x v="1"/>
    <s v="No"/>
  </r>
  <r>
    <s v="C1057"/>
    <s v="Riya Reddy"/>
    <s v="Female"/>
    <n v="68"/>
    <x v="11"/>
    <x v="1"/>
    <x v="20"/>
    <n v="849"/>
    <n v="23772"/>
    <x v="1"/>
    <d v="2023-06-01T00:00:00"/>
    <x v="0"/>
    <s v="No"/>
    <s v="No"/>
    <x v="0"/>
    <x v="0"/>
    <s v="No"/>
  </r>
  <r>
    <s v="C1058"/>
    <s v="Vivek Desai"/>
    <s v="Male"/>
    <n v="24"/>
    <x v="12"/>
    <x v="2"/>
    <x v="31"/>
    <n v="999"/>
    <n v="58941"/>
    <x v="0"/>
    <d v="2020-11-07T00:00:00"/>
    <x v="0"/>
    <s v="No"/>
    <s v="No"/>
    <x v="0"/>
    <x v="0"/>
    <s v="No"/>
  </r>
  <r>
    <s v="C1059"/>
    <s v="Riya Mishra"/>
    <s v="Female"/>
    <n v="67"/>
    <x v="7"/>
    <x v="0"/>
    <x v="6"/>
    <n v="399"/>
    <n v="7581"/>
    <x v="2"/>
    <d v="2024-03-05T00:00:00"/>
    <x v="0"/>
    <s v="No"/>
    <s v="No"/>
    <x v="0"/>
    <x v="0"/>
    <s v="No"/>
  </r>
  <r>
    <s v="C1060"/>
    <s v="Shreya Nair"/>
    <s v="Female"/>
    <n v="66"/>
    <x v="7"/>
    <x v="1"/>
    <x v="0"/>
    <n v="1099"/>
    <n v="24178"/>
    <x v="0"/>
    <d v="2023-12-02T00:00:00"/>
    <x v="1"/>
    <s v="No"/>
    <s v="No"/>
    <x v="1"/>
    <x v="0"/>
    <s v="No"/>
  </r>
  <r>
    <s v="C1061"/>
    <s v="Unknown"/>
    <s v="Unknown"/>
    <n v="35"/>
    <x v="11"/>
    <x v="1"/>
    <x v="21"/>
    <n v="799"/>
    <n v="799"/>
    <x v="1"/>
    <d v="2025-08-16T00:00:00"/>
    <x v="1"/>
    <s v="No"/>
    <s v="No"/>
    <x v="0"/>
    <x v="0"/>
    <s v="No"/>
  </r>
  <r>
    <s v="C1062"/>
    <s v="Sonal Nair"/>
    <s v="Female"/>
    <n v="62"/>
    <x v="7"/>
    <x v="1"/>
    <x v="22"/>
    <n v="1049"/>
    <n v="2098"/>
    <x v="0"/>
    <d v="2025-07-23T00:00:00"/>
    <x v="0"/>
    <s v="No"/>
    <s v="No"/>
    <x v="0"/>
    <x v="0"/>
    <s v="No"/>
  </r>
  <r>
    <s v="C1063"/>
    <s v="Tanvi Patel"/>
    <s v="Female"/>
    <n v="48"/>
    <x v="1"/>
    <x v="0"/>
    <x v="9"/>
    <n v="1049"/>
    <n v="25176"/>
    <x v="0"/>
    <d v="2023-10-01T00:00:00"/>
    <x v="0"/>
    <s v="No"/>
    <s v="No"/>
    <x v="0"/>
    <x v="0"/>
    <s v="No"/>
  </r>
  <r>
    <s v="C1064"/>
    <s v="Kavita Nair"/>
    <s v="Female"/>
    <n v="25"/>
    <x v="14"/>
    <x v="0"/>
    <x v="30"/>
    <n v="899"/>
    <n v="16182"/>
    <x v="1"/>
    <d v="2024-03-14T00:00:00"/>
    <x v="1"/>
    <s v="No"/>
    <s v="No"/>
    <x v="0"/>
    <x v="0"/>
    <s v="No"/>
  </r>
  <r>
    <s v="C1065"/>
    <s v="Kavita Agarwal"/>
    <s v="Female"/>
    <n v="47"/>
    <x v="13"/>
    <x v="0"/>
    <x v="32"/>
    <n v="899"/>
    <n v="3596"/>
    <x v="1"/>
    <d v="2025-05-26T00:00:00"/>
    <x v="1"/>
    <s v="Yes"/>
    <s v="No"/>
    <x v="0"/>
    <x v="0"/>
    <s v="No"/>
  </r>
  <r>
    <s v="C1066"/>
    <s v="Priya Pandey"/>
    <s v="Female"/>
    <n v="52"/>
    <x v="8"/>
    <x v="3"/>
    <x v="30"/>
    <n v="399"/>
    <n v="7182"/>
    <x v="2"/>
    <d v="2024-03-13T00:00:00"/>
    <x v="0"/>
    <s v="No"/>
    <s v="No"/>
    <x v="0"/>
    <x v="0"/>
    <s v="No"/>
  </r>
  <r>
    <s v="C1067"/>
    <s v="Anjali Sharma"/>
    <s v="Female"/>
    <n v="54"/>
    <x v="5"/>
    <x v="0"/>
    <x v="15"/>
    <n v="1049"/>
    <n v="6294"/>
    <x v="0"/>
    <d v="2025-03-30T00:00:00"/>
    <x v="1"/>
    <s v="No"/>
    <s v="No"/>
    <x v="0"/>
    <x v="0"/>
    <s v="No"/>
  </r>
  <r>
    <s v="C1068"/>
    <s v="Komal Kumar"/>
    <s v="Female"/>
    <n v="54"/>
    <x v="9"/>
    <x v="1"/>
    <x v="14"/>
    <n v="699"/>
    <n v="25863"/>
    <x v="1"/>
    <d v="2022-08-21T00:00:00"/>
    <x v="1"/>
    <s v="No"/>
    <s v="No"/>
    <x v="0"/>
    <x v="0"/>
    <s v="No"/>
  </r>
  <r>
    <s v="C1069"/>
    <s v="Riya Yadav"/>
    <s v="Female"/>
    <n v="68"/>
    <x v="11"/>
    <x v="0"/>
    <x v="8"/>
    <n v="1049"/>
    <n v="15735"/>
    <x v="0"/>
    <d v="2024-06-26T00:00:00"/>
    <x v="0"/>
    <s v="No"/>
    <s v="No"/>
    <x v="0"/>
    <x v="0"/>
    <s v="No"/>
  </r>
  <r>
    <s v="C1070"/>
    <s v="Pankaj Agarwal"/>
    <s v="Male"/>
    <n v="24"/>
    <x v="13"/>
    <x v="0"/>
    <x v="0"/>
    <n v="599"/>
    <n v="13178"/>
    <x v="1"/>
    <m/>
    <x v="1"/>
    <s v="No"/>
    <s v="No"/>
    <x v="0"/>
    <x v="1"/>
    <s v="Date missing"/>
  </r>
  <r>
    <s v="C1071"/>
    <s v="Rahul Tiwari"/>
    <s v="Male"/>
    <n v="46"/>
    <x v="14"/>
    <x v="1"/>
    <x v="8"/>
    <n v="699"/>
    <n v="10485"/>
    <x v="1"/>
    <d v="2024-06-21T00:00:00"/>
    <x v="0"/>
    <s v="No"/>
    <s v="No"/>
    <x v="0"/>
    <x v="0"/>
    <s v="No"/>
  </r>
  <r>
    <s v="C1072"/>
    <s v="Manish Malhotra"/>
    <s v="Male"/>
    <n v="68"/>
    <x v="13"/>
    <x v="1"/>
    <x v="17"/>
    <n v="899"/>
    <n v="11687"/>
    <x v="0"/>
    <d v="2024-08-30T00:00:00"/>
    <x v="0"/>
    <s v="No"/>
    <s v="No"/>
    <x v="0"/>
    <x v="0"/>
    <s v="No"/>
  </r>
  <r>
    <s v="C1073"/>
    <s v="Pooja Kumar"/>
    <s v="Female"/>
    <n v="21"/>
    <x v="10"/>
    <x v="1"/>
    <x v="14"/>
    <n v="1099"/>
    <n v="40663"/>
    <x v="0"/>
    <d v="2022-09-05T00:00:00"/>
    <x v="0"/>
    <s v="No"/>
    <s v="No"/>
    <x v="0"/>
    <x v="0"/>
    <s v="No"/>
  </r>
  <r>
    <s v="C1074"/>
    <s v="Kavita Jain"/>
    <s v="Female"/>
    <n v="52"/>
    <x v="7"/>
    <x v="0"/>
    <x v="33"/>
    <n v="1049"/>
    <n v="14686"/>
    <x v="0"/>
    <m/>
    <x v="1"/>
    <s v="No"/>
    <s v="No"/>
    <x v="0"/>
    <x v="0"/>
    <s v="Date missing"/>
  </r>
  <r>
    <s v="C1075"/>
    <s v="Rajesh Bose"/>
    <s v="Male"/>
    <n v="19"/>
    <x v="13"/>
    <x v="1"/>
    <x v="24"/>
    <n v="899"/>
    <n v="2697"/>
    <x v="1"/>
    <d v="2025-06-10T00:00:00"/>
    <x v="0"/>
    <s v="No"/>
    <s v="No"/>
    <x v="0"/>
    <x v="0"/>
    <s v="No"/>
  </r>
  <r>
    <s v="C1076"/>
    <s v="Kavita Gupta"/>
    <s v="Female"/>
    <n v="55"/>
    <x v="12"/>
    <x v="1"/>
    <x v="15"/>
    <n v="1049"/>
    <n v="6294"/>
    <x v="0"/>
    <d v="2025-03-11T00:00:00"/>
    <x v="0"/>
    <s v="No"/>
    <s v="No"/>
    <x v="0"/>
    <x v="0"/>
    <s v="No"/>
  </r>
  <r>
    <s v="C1077"/>
    <s v="Arjun Joshi"/>
    <s v="Male"/>
    <n v="44"/>
    <x v="14"/>
    <x v="0"/>
    <x v="17"/>
    <n v="1299"/>
    <n v="16887"/>
    <x v="0"/>
    <d v="2024-09-01T00:00:00"/>
    <x v="1"/>
    <s v="No"/>
    <s v="No"/>
    <x v="0"/>
    <x v="0"/>
    <s v="No"/>
  </r>
  <r>
    <s v="C1078"/>
    <s v="Kavita Joshi"/>
    <s v="Female"/>
    <n v="25"/>
    <x v="13"/>
    <x v="0"/>
    <x v="21"/>
    <n v="1299"/>
    <n v="1299"/>
    <x v="0"/>
    <d v="2025-08-28T00:00:00"/>
    <x v="1"/>
    <s v="No"/>
    <s v="No"/>
    <x v="0"/>
    <x v="0"/>
    <s v="No"/>
  </r>
  <r>
    <s v="C1079"/>
    <s v="Mohit Patel"/>
    <s v="Unknown"/>
    <n v="57"/>
    <x v="13"/>
    <x v="0"/>
    <x v="22"/>
    <n v="1049"/>
    <n v="2098"/>
    <x v="0"/>
    <d v="2025-07-21T00:00:00"/>
    <x v="1"/>
    <s v="No"/>
    <s v="No"/>
    <x v="0"/>
    <x v="0"/>
    <s v="No"/>
  </r>
  <r>
    <s v="C1080"/>
    <s v="Komal Reddy"/>
    <s v="Female"/>
    <n v="47"/>
    <x v="9"/>
    <x v="1"/>
    <x v="2"/>
    <n v="699"/>
    <n v="7689"/>
    <x v="1"/>
    <d v="2024-10-31T00:00:00"/>
    <x v="0"/>
    <s v="Yes"/>
    <s v="No"/>
    <x v="1"/>
    <x v="0"/>
    <s v="No"/>
  </r>
  <r>
    <s v="C1081"/>
    <s v="Karan Kapoor"/>
    <s v="Male"/>
    <n v="25"/>
    <x v="9"/>
    <x v="2"/>
    <x v="7"/>
    <n v="1199"/>
    <n v="45562"/>
    <x v="0"/>
    <d v="2022-07-31T00:00:00"/>
    <x v="0"/>
    <s v="No"/>
    <s v="No"/>
    <x v="0"/>
    <x v="0"/>
    <s v="No"/>
  </r>
  <r>
    <s v="C1082"/>
    <s v="Ritu Kapoor"/>
    <s v="Unknown"/>
    <n v="53"/>
    <x v="8"/>
    <x v="0"/>
    <x v="10"/>
    <n v="349"/>
    <n v="5933"/>
    <x v="2"/>
    <d v="2024-04-11T00:00:00"/>
    <x v="1"/>
    <s v="No"/>
    <s v="No"/>
    <x v="0"/>
    <x v="0"/>
    <s v="No"/>
  </r>
  <r>
    <s v="C1083"/>
    <s v="Swati Jain"/>
    <s v="Female"/>
    <n v="35"/>
    <x v="6"/>
    <x v="0"/>
    <x v="6"/>
    <n v="1199"/>
    <n v="22781"/>
    <x v="0"/>
    <d v="2024-02-22T00:00:00"/>
    <x v="0"/>
    <s v="No"/>
    <s v="No"/>
    <x v="0"/>
    <x v="0"/>
    <s v="No"/>
  </r>
  <r>
    <s v="C1084"/>
    <s v="Isha Joshi"/>
    <s v="Female"/>
    <n v="53"/>
    <x v="13"/>
    <x v="0"/>
    <x v="2"/>
    <n v="999"/>
    <n v="10989"/>
    <x v="0"/>
    <d v="2024-10-26T00:00:00"/>
    <x v="0"/>
    <s v="No"/>
    <s v="No"/>
    <x v="0"/>
    <x v="0"/>
    <s v="No"/>
  </r>
  <r>
    <s v="C1085"/>
    <s v="Sneha Joshi"/>
    <s v="Female"/>
    <n v="65"/>
    <x v="7"/>
    <x v="1"/>
    <x v="3"/>
    <n v="399"/>
    <n v="9975"/>
    <x v="2"/>
    <d v="2023-09-08T00:00:00"/>
    <x v="0"/>
    <s v="No"/>
    <s v="No"/>
    <x v="0"/>
    <x v="0"/>
    <s v="No"/>
  </r>
  <r>
    <s v="C1086"/>
    <s v="Mohit Bose"/>
    <s v="Male"/>
    <n v="39"/>
    <x v="6"/>
    <x v="0"/>
    <x v="32"/>
    <n v="349"/>
    <n v="1396"/>
    <x v="2"/>
    <d v="2025-05-18T00:00:00"/>
    <x v="0"/>
    <s v="No"/>
    <s v="No"/>
    <x v="0"/>
    <x v="0"/>
    <s v="No"/>
  </r>
  <r>
    <s v="C1087"/>
    <s v="Unknown"/>
    <s v="Male"/>
    <n v="68"/>
    <x v="5"/>
    <x v="0"/>
    <x v="12"/>
    <n v="1299"/>
    <m/>
    <x v="0"/>
    <d v="2023-12-11T00:00:00"/>
    <x v="0"/>
    <s v="No"/>
    <s v="No"/>
    <x v="0"/>
    <x v="0"/>
    <s v="Total missing; Tenure missing"/>
  </r>
  <r>
    <s v="C1088"/>
    <s v="Swati Chopra"/>
    <s v="Female"/>
    <n v="63"/>
    <x v="13"/>
    <x v="0"/>
    <x v="11"/>
    <n v="999"/>
    <n v="19980"/>
    <x v="0"/>
    <d v="2024-01-14T00:00:00"/>
    <x v="0"/>
    <s v="No"/>
    <s v="No"/>
    <x v="0"/>
    <x v="0"/>
    <s v="No"/>
  </r>
  <r>
    <s v="C1089"/>
    <s v="Vivek Reddy"/>
    <s v="Male"/>
    <n v="66"/>
    <x v="9"/>
    <x v="1"/>
    <x v="2"/>
    <n v="849"/>
    <n v="9339"/>
    <x v="1"/>
    <d v="2024-10-08T00:00:00"/>
    <x v="1"/>
    <s v="No"/>
    <s v="No"/>
    <x v="0"/>
    <x v="0"/>
    <s v="No"/>
  </r>
  <r>
    <s v="C1090"/>
    <s v="Harsh Patel"/>
    <s v="Male"/>
    <n v="47"/>
    <x v="12"/>
    <x v="0"/>
    <x v="6"/>
    <n v="1299"/>
    <n v="24681"/>
    <x v="0"/>
    <d v="2024-03-05T00:00:00"/>
    <x v="1"/>
    <s v="Yes"/>
    <s v="No"/>
    <x v="0"/>
    <x v="0"/>
    <s v="No"/>
  </r>
  <r>
    <s v="C1091"/>
    <s v="Unknown"/>
    <s v="Female"/>
    <n v="33"/>
    <x v="7"/>
    <x v="2"/>
    <x v="34"/>
    <n v="849"/>
    <n v="50940"/>
    <x v="1"/>
    <d v="2020-10-24T00:00:00"/>
    <x v="0"/>
    <s v="No"/>
    <s v="No"/>
    <x v="0"/>
    <x v="0"/>
    <s v="No"/>
  </r>
  <r>
    <s v="C1092"/>
    <s v="Aditi Saxena"/>
    <s v="Female"/>
    <n v="47"/>
    <x v="8"/>
    <x v="0"/>
    <x v="6"/>
    <n v="499"/>
    <n v="9481"/>
    <x v="2"/>
    <d v="2024-02-22T00:00:00"/>
    <x v="0"/>
    <s v="Yes"/>
    <s v="No"/>
    <x v="0"/>
    <x v="0"/>
    <s v="No"/>
  </r>
  <r>
    <s v="C1093"/>
    <s v="Unknown"/>
    <s v="Female"/>
    <n v="72"/>
    <x v="7"/>
    <x v="0"/>
    <x v="16"/>
    <n v="1049"/>
    <n v="12588"/>
    <x v="0"/>
    <d v="2024-09-07T00:00:00"/>
    <x v="1"/>
    <s v="No"/>
    <s v="Yes"/>
    <x v="0"/>
    <x v="0"/>
    <s v="No"/>
  </r>
  <r>
    <s v="C1094"/>
    <s v="Kavita Sharma"/>
    <s v="Female"/>
    <n v="54"/>
    <x v="6"/>
    <x v="1"/>
    <x v="32"/>
    <n v="1199"/>
    <n v="4796"/>
    <x v="0"/>
    <d v="2025-05-03T00:00:00"/>
    <x v="0"/>
    <s v="No"/>
    <s v="No"/>
    <x v="0"/>
    <x v="0"/>
    <s v="No"/>
  </r>
  <r>
    <s v="C1095"/>
    <s v="Ritu Yadav"/>
    <s v="Unknown"/>
    <n v="69"/>
    <x v="2"/>
    <x v="0"/>
    <x v="35"/>
    <n v="849"/>
    <n v="7641"/>
    <x v="1"/>
    <d v="2024-12-04T00:00:00"/>
    <x v="0"/>
    <s v="No"/>
    <s v="No"/>
    <x v="0"/>
    <x v="0"/>
    <s v="No"/>
  </r>
  <r>
    <s v="C1096"/>
    <s v="Harsh Kapoor"/>
    <s v="Male"/>
    <n v="20"/>
    <x v="11"/>
    <x v="0"/>
    <x v="4"/>
    <n v="699"/>
    <n v="6990"/>
    <x v="1"/>
    <d v="2024-11-28T00:00:00"/>
    <x v="1"/>
    <s v="No"/>
    <s v="No"/>
    <x v="0"/>
    <x v="0"/>
    <s v="No"/>
  </r>
  <r>
    <s v="C1097"/>
    <s v="Payal Jain"/>
    <s v="Female"/>
    <n v="35"/>
    <x v="6"/>
    <x v="0"/>
    <x v="36"/>
    <n v="449"/>
    <n v="7184"/>
    <x v="2"/>
    <d v="2024-05-22T00:00:00"/>
    <x v="0"/>
    <s v="No"/>
    <s v="No"/>
    <x v="0"/>
    <x v="0"/>
    <s v="No"/>
  </r>
  <r>
    <s v="C1098"/>
    <s v="Rohit Nair"/>
    <s v="Male"/>
    <n v="73"/>
    <x v="9"/>
    <x v="1"/>
    <x v="37"/>
    <n v="499"/>
    <n v="17964"/>
    <x v="2"/>
    <m/>
    <x v="1"/>
    <s v="No"/>
    <s v="No"/>
    <x v="0"/>
    <x v="0"/>
    <s v="Date missing"/>
  </r>
  <r>
    <s v="C1099"/>
    <s v="Ankit Patel"/>
    <s v="Male"/>
    <n v="61"/>
    <x v="14"/>
    <x v="1"/>
    <x v="9"/>
    <n v="1199"/>
    <n v="28776"/>
    <x v="0"/>
    <d v="2023-09-20T00:00:00"/>
    <x v="0"/>
    <s v="No"/>
    <s v="No"/>
    <x v="0"/>
    <x v="0"/>
    <s v="No"/>
  </r>
  <r>
    <s v="C1100"/>
    <s v="Riya Nair"/>
    <s v="Female"/>
    <n v="59"/>
    <x v="4"/>
    <x v="1"/>
    <x v="11"/>
    <n v="1099"/>
    <n v="21980"/>
    <x v="0"/>
    <d v="2024-02-05T00:00:00"/>
    <x v="1"/>
    <s v="No"/>
    <s v="No"/>
    <x v="0"/>
    <x v="1"/>
    <s v="No"/>
  </r>
  <r>
    <s v="C1101"/>
    <s v="Komal Reddy"/>
    <s v="Female"/>
    <n v="24"/>
    <x v="0"/>
    <x v="2"/>
    <x v="31"/>
    <n v="699"/>
    <n v="41241"/>
    <x v="1"/>
    <d v="2020-10-31T00:00:00"/>
    <x v="0"/>
    <s v="No"/>
    <s v="No"/>
    <x v="0"/>
    <x v="0"/>
    <s v="No"/>
  </r>
  <r>
    <s v="C1102"/>
    <s v="Vivek Chopra"/>
    <s v="Male"/>
    <n v="24"/>
    <x v="6"/>
    <x v="0"/>
    <x v="35"/>
    <n v="1199"/>
    <n v="10791"/>
    <x v="0"/>
    <d v="2024-12-18T00:00:00"/>
    <x v="1"/>
    <s v="No"/>
    <s v="No"/>
    <x v="0"/>
    <x v="0"/>
    <s v="No"/>
  </r>
  <r>
    <s v="C1103"/>
    <s v="Aman Reddy"/>
    <s v="Male"/>
    <n v="61"/>
    <x v="10"/>
    <x v="0"/>
    <x v="16"/>
    <n v="449"/>
    <n v="5388"/>
    <x v="2"/>
    <d v="2024-09-30T00:00:00"/>
    <x v="1"/>
    <s v="No"/>
    <s v="No"/>
    <x v="0"/>
    <x v="0"/>
    <s v="No"/>
  </r>
  <r>
    <s v="C1104"/>
    <s v="Neha Saxena"/>
    <s v="Female"/>
    <n v="31"/>
    <x v="9"/>
    <x v="1"/>
    <x v="32"/>
    <n v="399"/>
    <n v="1596"/>
    <x v="2"/>
    <d v="2025-05-06T00:00:00"/>
    <x v="0"/>
    <s v="No"/>
    <s v="No"/>
    <x v="0"/>
    <x v="0"/>
    <s v="No"/>
  </r>
  <r>
    <s v="C1105"/>
    <s v="Vikram Mishra"/>
    <s v="Male"/>
    <n v="47"/>
    <x v="11"/>
    <x v="0"/>
    <x v="2"/>
    <n v="549"/>
    <n v="6039"/>
    <x v="3"/>
    <d v="2024-10-06T00:00:00"/>
    <x v="1"/>
    <s v="Yes"/>
    <s v="No"/>
    <x v="0"/>
    <x v="0"/>
    <s v="No"/>
  </r>
  <r>
    <s v="C1106"/>
    <s v="Rohit Mishra"/>
    <s v="Male"/>
    <n v="34"/>
    <x v="13"/>
    <x v="0"/>
    <x v="21"/>
    <n v="899"/>
    <n v="899"/>
    <x v="0"/>
    <d v="2025-08-22T00:00:00"/>
    <x v="0"/>
    <s v="No"/>
    <s v="No"/>
    <x v="0"/>
    <x v="0"/>
    <s v="No"/>
  </r>
  <r>
    <s v="C1107"/>
    <s v="Priya Gupta"/>
    <s v="Female"/>
    <n v="34"/>
    <x v="3"/>
    <x v="0"/>
    <x v="32"/>
    <n v="899"/>
    <n v="3596"/>
    <x v="0"/>
    <d v="2025-05-20T00:00:00"/>
    <x v="1"/>
    <s v="No"/>
    <s v="No"/>
    <x v="0"/>
    <x v="0"/>
    <s v="No"/>
  </r>
  <r>
    <s v="C1108"/>
    <s v="Ankit Jain"/>
    <s v="Male"/>
    <n v="32"/>
    <x v="11"/>
    <x v="0"/>
    <x v="0"/>
    <n v="1049"/>
    <n v="23078"/>
    <x v="0"/>
    <d v="2023-12-08T00:00:00"/>
    <x v="0"/>
    <s v="No"/>
    <s v="No"/>
    <x v="0"/>
    <x v="0"/>
    <s v="No"/>
  </r>
  <r>
    <s v="C1109"/>
    <s v="Gaurav Rao"/>
    <s v="Male"/>
    <n v="45"/>
    <x v="9"/>
    <x v="0"/>
    <x v="8"/>
    <n v="899"/>
    <n v="13485"/>
    <x v="0"/>
    <d v="2024-07-03T00:00:00"/>
    <x v="0"/>
    <s v="No"/>
    <s v="No"/>
    <x v="0"/>
    <x v="0"/>
    <s v="No"/>
  </r>
  <r>
    <s v="C1110"/>
    <s v="Suresh Yadav"/>
    <s v="Male"/>
    <n v="58"/>
    <x v="11"/>
    <x v="0"/>
    <x v="11"/>
    <n v="799"/>
    <n v="15980"/>
    <x v="1"/>
    <d v="2024-01-24T00:00:00"/>
    <x v="0"/>
    <s v="No"/>
    <s v="No"/>
    <x v="0"/>
    <x v="0"/>
    <s v="No"/>
  </r>
  <r>
    <s v="C1111"/>
    <s v="Karan Chopra"/>
    <s v="Male"/>
    <n v="59"/>
    <x v="13"/>
    <x v="1"/>
    <x v="20"/>
    <n v="499"/>
    <n v="13972"/>
    <x v="2"/>
    <d v="2023-05-28T00:00:00"/>
    <x v="0"/>
    <s v="No"/>
    <s v="No"/>
    <x v="0"/>
    <x v="0"/>
    <s v="No"/>
  </r>
  <r>
    <s v="C1112"/>
    <s v="Nisha Agarwal"/>
    <s v="Female"/>
    <n v="24"/>
    <x v="2"/>
    <x v="0"/>
    <x v="16"/>
    <n v="1199"/>
    <n v="14388"/>
    <x v="0"/>
    <d v="2024-09-07T00:00:00"/>
    <x v="1"/>
    <s v="No"/>
    <s v="No"/>
    <x v="0"/>
    <x v="0"/>
    <s v="No"/>
  </r>
  <r>
    <s v="C1113"/>
    <s v="Vikram Tiwari"/>
    <s v="Male"/>
    <n v="24"/>
    <x v="14"/>
    <x v="1"/>
    <x v="37"/>
    <n v="549"/>
    <n v="19764"/>
    <x v="3"/>
    <d v="2022-09-23T00:00:00"/>
    <x v="0"/>
    <s v="No"/>
    <s v="No"/>
    <x v="0"/>
    <x v="0"/>
    <s v="No"/>
  </r>
  <r>
    <s v="C1114"/>
    <s v="Vivek Patel"/>
    <s v="Male"/>
    <n v="73"/>
    <x v="9"/>
    <x v="2"/>
    <x v="27"/>
    <n v="1149"/>
    <n v="8043"/>
    <x v="0"/>
    <d v="2025-02-12T00:00:00"/>
    <x v="0"/>
    <s v="No"/>
    <s v="No"/>
    <x v="0"/>
    <x v="0"/>
    <s v="No"/>
  </r>
  <r>
    <s v="C1115"/>
    <s v="Rohit Saxena"/>
    <s v="Male"/>
    <n v="48"/>
    <x v="0"/>
    <x v="2"/>
    <x v="5"/>
    <n v="899"/>
    <n v="64728"/>
    <x v="0"/>
    <d v="2019-10-05T00:00:00"/>
    <x v="0"/>
    <s v="No"/>
    <s v="No"/>
    <x v="0"/>
    <x v="0"/>
    <s v="No"/>
  </r>
  <r>
    <s v="C1116"/>
    <s v="Sonal Yadav"/>
    <s v="Female"/>
    <n v="57"/>
    <x v="9"/>
    <x v="1"/>
    <x v="30"/>
    <n v="599"/>
    <n v="10782"/>
    <x v="1"/>
    <d v="2024-03-28T00:00:00"/>
    <x v="0"/>
    <s v="No"/>
    <s v="No"/>
    <x v="0"/>
    <x v="0"/>
    <s v="No"/>
  </r>
  <r>
    <s v="C1117"/>
    <s v="Isha Sharma"/>
    <s v="Female"/>
    <n v="29"/>
    <x v="6"/>
    <x v="0"/>
    <x v="24"/>
    <n v="1199"/>
    <n v="3597"/>
    <x v="0"/>
    <d v="2025-06-14T00:00:00"/>
    <x v="1"/>
    <s v="No"/>
    <s v="No"/>
    <x v="0"/>
    <x v="0"/>
    <s v="No"/>
  </r>
  <r>
    <s v="C1118"/>
    <s v="Deepak Tiwari"/>
    <s v="Male"/>
    <n v="47"/>
    <x v="2"/>
    <x v="0"/>
    <x v="2"/>
    <n v="899"/>
    <n v="9889"/>
    <x v="1"/>
    <d v="2024-11-01T00:00:00"/>
    <x v="1"/>
    <s v="No"/>
    <s v="No"/>
    <x v="0"/>
    <x v="0"/>
    <s v="No"/>
  </r>
  <r>
    <s v="C1119"/>
    <s v="Arjun Yadav"/>
    <s v="Male"/>
    <n v="21"/>
    <x v="9"/>
    <x v="0"/>
    <x v="33"/>
    <n v="1149"/>
    <n v="16086"/>
    <x v="0"/>
    <d v="2024-07-29T00:00:00"/>
    <x v="1"/>
    <s v="No"/>
    <s v="No"/>
    <x v="0"/>
    <x v="0"/>
    <s v="No"/>
  </r>
  <r>
    <s v="C1120"/>
    <s v="Aman Tiwari"/>
    <s v="Male"/>
    <n v="25"/>
    <x v="5"/>
    <x v="1"/>
    <x v="29"/>
    <n v="1049"/>
    <n v="35666"/>
    <x v="0"/>
    <d v="2022-11-24T00:00:00"/>
    <x v="0"/>
    <s v="No"/>
    <s v="No"/>
    <x v="0"/>
    <x v="0"/>
    <s v="No"/>
  </r>
  <r>
    <s v="C1121"/>
    <s v="Rahul Mehta"/>
    <s v="Male"/>
    <n v="47"/>
    <x v="0"/>
    <x v="1"/>
    <x v="6"/>
    <n v="899"/>
    <n v="17081"/>
    <x v="0"/>
    <d v="2024-02-23T00:00:00"/>
    <x v="0"/>
    <s v="Yes"/>
    <s v="No"/>
    <x v="0"/>
    <x v="0"/>
    <s v="No"/>
  </r>
  <r>
    <s v="C1122"/>
    <s v="Rohit Rao"/>
    <s v="Male"/>
    <n v="52"/>
    <x v="14"/>
    <x v="0"/>
    <x v="0"/>
    <n v="1049"/>
    <n v="23078"/>
    <x v="0"/>
    <d v="2023-11-15T00:00:00"/>
    <x v="1"/>
    <s v="No"/>
    <s v="No"/>
    <x v="0"/>
    <x v="0"/>
    <s v="No"/>
  </r>
  <r>
    <s v="C1123"/>
    <s v="Vivek Sharma"/>
    <s v="Male"/>
    <n v="47"/>
    <x v="4"/>
    <x v="2"/>
    <x v="38"/>
    <n v="1199"/>
    <n v="62348"/>
    <x v="0"/>
    <d v="2021-06-09T00:00:00"/>
    <x v="0"/>
    <s v="No"/>
    <s v="No"/>
    <x v="0"/>
    <x v="0"/>
    <s v="No"/>
  </r>
  <r>
    <s v="C1124"/>
    <s v="Nikhil Gupta"/>
    <s v="Male"/>
    <n v="69"/>
    <x v="11"/>
    <x v="0"/>
    <x v="16"/>
    <n v="1099"/>
    <n v="13188"/>
    <x v="0"/>
    <d v="2024-09-15T00:00:00"/>
    <x v="1"/>
    <s v="No"/>
    <s v="No"/>
    <x v="0"/>
    <x v="0"/>
    <s v="No"/>
  </r>
  <r>
    <s v="C1125"/>
    <s v="Payal Kumar"/>
    <s v="Female"/>
    <n v="43"/>
    <x v="6"/>
    <x v="0"/>
    <x v="2"/>
    <n v="899"/>
    <n v="9889"/>
    <x v="1"/>
    <d v="2024-10-30T00:00:00"/>
    <x v="0"/>
    <s v="No"/>
    <s v="No"/>
    <x v="0"/>
    <x v="0"/>
    <s v="No"/>
  </r>
  <r>
    <s v="C1126"/>
    <s v="Aman Patel"/>
    <s v="Male"/>
    <n v="64"/>
    <x v="6"/>
    <x v="1"/>
    <x v="27"/>
    <n v="649"/>
    <n v="4543"/>
    <x v="1"/>
    <d v="2025-02-26T00:00:00"/>
    <x v="0"/>
    <s v="No"/>
    <s v="No"/>
    <x v="0"/>
    <x v="0"/>
    <s v="No"/>
  </r>
  <r>
    <s v="C1127"/>
    <s v="Arjun Chopra"/>
    <s v="Male"/>
    <n v="49"/>
    <x v="7"/>
    <x v="3"/>
    <x v="39"/>
    <n v="1149"/>
    <n v="33321"/>
    <x v="0"/>
    <d v="2023-04-22T00:00:00"/>
    <x v="0"/>
    <s v="No"/>
    <s v="No"/>
    <x v="0"/>
    <x v="0"/>
    <s v="No"/>
  </r>
  <r>
    <s v="C1128"/>
    <s v="Pooja Kapoor"/>
    <s v="Female"/>
    <n v="22"/>
    <x v="7"/>
    <x v="0"/>
    <x v="35"/>
    <n v="799"/>
    <n v="7191"/>
    <x v="1"/>
    <d v="2024-12-23T00:00:00"/>
    <x v="0"/>
    <s v="No"/>
    <s v="No"/>
    <x v="0"/>
    <x v="0"/>
    <s v="No"/>
  </r>
  <r>
    <s v="C1129"/>
    <s v="Shreya Verma"/>
    <s v="Female"/>
    <n v="21"/>
    <x v="2"/>
    <x v="2"/>
    <x v="16"/>
    <n v="799"/>
    <n v="9588"/>
    <x v="1"/>
    <d v="2024-09-15T00:00:00"/>
    <x v="0"/>
    <s v="No"/>
    <s v="No"/>
    <x v="0"/>
    <x v="0"/>
    <s v="No"/>
  </r>
  <r>
    <s v="C1130"/>
    <s v="Ankit Bose"/>
    <s v="Male"/>
    <n v="59"/>
    <x v="0"/>
    <x v="0"/>
    <x v="13"/>
    <n v="1099"/>
    <n v="5495"/>
    <x v="0"/>
    <d v="2025-04-05T00:00:00"/>
    <x v="0"/>
    <s v="No"/>
    <s v="No"/>
    <x v="0"/>
    <x v="1"/>
    <s v="No"/>
  </r>
  <r>
    <s v="C1131"/>
    <s v="Neha Jain"/>
    <s v="Female"/>
    <n v="59"/>
    <x v="8"/>
    <x v="0"/>
    <x v="8"/>
    <n v="1149"/>
    <n v="17235"/>
    <x v="0"/>
    <d v="2024-06-24T00:00:00"/>
    <x v="1"/>
    <s v="No"/>
    <s v="No"/>
    <x v="0"/>
    <x v="0"/>
    <s v="No"/>
  </r>
  <r>
    <s v="C1132"/>
    <s v="Divya Tiwari"/>
    <s v="Female"/>
    <n v="67"/>
    <x v="2"/>
    <x v="1"/>
    <x v="0"/>
    <n v="599"/>
    <n v="13178"/>
    <x v="1"/>
    <d v="2023-11-26T00:00:00"/>
    <x v="0"/>
    <s v="No"/>
    <s v="No"/>
    <x v="0"/>
    <x v="0"/>
    <s v="No"/>
  </r>
  <r>
    <s v="C1133"/>
    <s v="Kavita Agarwal"/>
    <s v="Female"/>
    <n v="72"/>
    <x v="9"/>
    <x v="2"/>
    <x v="11"/>
    <n v="899"/>
    <n v="17980"/>
    <x v="0"/>
    <d v="2024-01-08T00:00:00"/>
    <x v="0"/>
    <s v="No"/>
    <s v="No"/>
    <x v="0"/>
    <x v="0"/>
    <s v="No"/>
  </r>
  <r>
    <s v="C1134"/>
    <s v="Aditi Chopra"/>
    <s v="Female"/>
    <n v="62"/>
    <x v="9"/>
    <x v="0"/>
    <x v="24"/>
    <n v="1149"/>
    <n v="3447"/>
    <x v="0"/>
    <d v="2025-06-20T00:00:00"/>
    <x v="0"/>
    <s v="No"/>
    <s v="No"/>
    <x v="0"/>
    <x v="0"/>
    <s v="No"/>
  </r>
  <r>
    <s v="C1135"/>
    <s v="Mohit Kumar"/>
    <s v="Male"/>
    <n v="59"/>
    <x v="9"/>
    <x v="0"/>
    <x v="16"/>
    <n v="999"/>
    <n v="11988"/>
    <x v="0"/>
    <d v="2024-09-09T00:00:00"/>
    <x v="1"/>
    <s v="No"/>
    <s v="No"/>
    <x v="0"/>
    <x v="0"/>
    <s v="No"/>
  </r>
  <r>
    <s v="C1136"/>
    <s v="Deepika Nair"/>
    <s v="Female"/>
    <n v="26"/>
    <x v="8"/>
    <x v="0"/>
    <x v="32"/>
    <n v="549"/>
    <n v="2196"/>
    <x v="2"/>
    <d v="2025-05-03T00:00:00"/>
    <x v="0"/>
    <s v="No"/>
    <s v="No"/>
    <x v="0"/>
    <x v="0"/>
    <s v="No"/>
  </r>
  <r>
    <s v="C1137"/>
    <s v="Nikhil Yadav"/>
    <s v="Male"/>
    <n v="26"/>
    <x v="11"/>
    <x v="0"/>
    <x v="23"/>
    <n v="899"/>
    <n v="20677"/>
    <x v="1"/>
    <d v="2023-11-07T00:00:00"/>
    <x v="0"/>
    <s v="No"/>
    <s v="No"/>
    <x v="0"/>
    <x v="0"/>
    <s v="No"/>
  </r>
  <r>
    <s v="C1138"/>
    <s v="Isha Saxena"/>
    <s v="Female"/>
    <n v="64"/>
    <x v="0"/>
    <x v="2"/>
    <x v="40"/>
    <n v="1149"/>
    <n v="66642"/>
    <x v="0"/>
    <d v="2020-11-28T00:00:00"/>
    <x v="0"/>
    <s v="No"/>
    <s v="No"/>
    <x v="0"/>
    <x v="0"/>
    <s v="No"/>
  </r>
  <r>
    <s v="C1139"/>
    <s v="Deepika Patel"/>
    <s v="Female"/>
    <n v="61"/>
    <x v="11"/>
    <x v="2"/>
    <x v="14"/>
    <n v="1099"/>
    <n v="40663"/>
    <x v="0"/>
    <d v="2022-09-09T00:00:00"/>
    <x v="0"/>
    <s v="No"/>
    <s v="No"/>
    <x v="0"/>
    <x v="0"/>
    <s v="No"/>
  </r>
  <r>
    <s v="C1140"/>
    <s v="Pankaj Singh"/>
    <s v="Male"/>
    <n v="73"/>
    <x v="5"/>
    <x v="0"/>
    <x v="16"/>
    <n v="899"/>
    <n v="10788"/>
    <x v="0"/>
    <d v="2024-09-24T00:00:00"/>
    <x v="0"/>
    <s v="No"/>
    <s v="No"/>
    <x v="0"/>
    <x v="0"/>
    <s v="No"/>
  </r>
  <r>
    <s v="C1141"/>
    <s v="Arjun Malhotra"/>
    <s v="Male"/>
    <n v="46"/>
    <x v="1"/>
    <x v="0"/>
    <x v="28"/>
    <n v="1099"/>
    <n v="8792"/>
    <x v="0"/>
    <d v="2025-01-18T00:00:00"/>
    <x v="0"/>
    <s v="No"/>
    <s v="No"/>
    <x v="0"/>
    <x v="0"/>
    <s v="No"/>
  </r>
  <r>
    <s v="C1142"/>
    <s v="Deepak Jain"/>
    <s v="Male"/>
    <n v="41"/>
    <x v="0"/>
    <x v="0"/>
    <x v="28"/>
    <n v="599"/>
    <n v="4792"/>
    <x v="1"/>
    <d v="2025-01-11T00:00:00"/>
    <x v="0"/>
    <s v="No"/>
    <s v="No"/>
    <x v="0"/>
    <x v="0"/>
    <s v="No"/>
  </r>
  <r>
    <s v="C1143"/>
    <s v="Pooja Singh"/>
    <s v="Female"/>
    <n v="20"/>
    <x v="5"/>
    <x v="2"/>
    <x v="30"/>
    <n v="1199"/>
    <n v="21582"/>
    <x v="0"/>
    <d v="2024-04-06T00:00:00"/>
    <x v="0"/>
    <s v="No"/>
    <s v="No"/>
    <x v="0"/>
    <x v="0"/>
    <s v="No"/>
  </r>
  <r>
    <s v="C1144"/>
    <s v="Rahul Malhotra"/>
    <s v="Male"/>
    <n v="31"/>
    <x v="6"/>
    <x v="0"/>
    <x v="11"/>
    <n v="349"/>
    <n v="6980"/>
    <x v="2"/>
    <d v="2024-01-30T00:00:00"/>
    <x v="0"/>
    <s v="No"/>
    <s v="No"/>
    <x v="0"/>
    <x v="0"/>
    <s v="No"/>
  </r>
  <r>
    <s v="C1145"/>
    <s v="Anjali Verma"/>
    <s v="Female"/>
    <n v="33"/>
    <x v="12"/>
    <x v="1"/>
    <x v="13"/>
    <n v="1299"/>
    <n v="6495"/>
    <x v="0"/>
    <d v="2025-05-01T00:00:00"/>
    <x v="0"/>
    <s v="No"/>
    <s v="No"/>
    <x v="0"/>
    <x v="0"/>
    <s v="No"/>
  </r>
  <r>
    <s v="C1146"/>
    <s v="Rohit Iyer"/>
    <s v="Male"/>
    <n v="45"/>
    <x v="3"/>
    <x v="1"/>
    <x v="19"/>
    <n v="649"/>
    <n v="17523"/>
    <x v="1"/>
    <d v="2023-06-30T00:00:00"/>
    <x v="0"/>
    <s v="No"/>
    <s v="No"/>
    <x v="0"/>
    <x v="0"/>
    <s v="No"/>
  </r>
  <r>
    <s v="C1147"/>
    <s v="Mohit Mishra"/>
    <s v="Male"/>
    <n v="50"/>
    <x v="13"/>
    <x v="2"/>
    <x v="41"/>
    <n v="1099"/>
    <n v="54950"/>
    <x v="0"/>
    <d v="2021-08-09T00:00:00"/>
    <x v="0"/>
    <s v="No"/>
    <s v="No"/>
    <x v="0"/>
    <x v="0"/>
    <s v="No"/>
  </r>
  <r>
    <s v="C1148"/>
    <s v="Priya Patel"/>
    <s v="Female"/>
    <n v="68"/>
    <x v="4"/>
    <x v="0"/>
    <x v="26"/>
    <n v="1299"/>
    <n v="27279"/>
    <x v="0"/>
    <d v="2023-12-28T00:00:00"/>
    <x v="0"/>
    <s v="No"/>
    <s v="No"/>
    <x v="0"/>
    <x v="0"/>
    <s v="No"/>
  </r>
  <r>
    <s v="C1149"/>
    <s v="Amit Patel"/>
    <s v="Male"/>
    <n v="52"/>
    <x v="2"/>
    <x v="2"/>
    <x v="34"/>
    <n v="849"/>
    <n v="50940"/>
    <x v="1"/>
    <d v="2020-10-22T00:00:00"/>
    <x v="0"/>
    <s v="No"/>
    <s v="No"/>
    <x v="0"/>
    <x v="0"/>
    <s v="No"/>
  </r>
  <r>
    <s v="C1150"/>
    <s v="Sneha Iyer"/>
    <s v="Female"/>
    <n v="30"/>
    <x v="3"/>
    <x v="1"/>
    <x v="26"/>
    <n v="499"/>
    <n v="10479"/>
    <x v="2"/>
    <d v="2023-12-21T00:00:00"/>
    <x v="0"/>
    <s v="No"/>
    <s v="No"/>
    <x v="0"/>
    <x v="0"/>
    <s v="No"/>
  </r>
  <r>
    <s v="C1151"/>
    <s v="Kavita Verma"/>
    <s v="Female"/>
    <n v="66"/>
    <x v="9"/>
    <x v="3"/>
    <x v="22"/>
    <n v="1199"/>
    <n v="2398"/>
    <x v="0"/>
    <d v="2025-07-05T00:00:00"/>
    <x v="1"/>
    <s v="No"/>
    <s v="No"/>
    <x v="0"/>
    <x v="0"/>
    <s v="No"/>
  </r>
  <r>
    <s v="C1152"/>
    <s v="Nisha Rao"/>
    <s v="Female"/>
    <n v="65"/>
    <x v="7"/>
    <x v="2"/>
    <x v="9"/>
    <n v="1199"/>
    <n v="28776"/>
    <x v="0"/>
    <m/>
    <x v="0"/>
    <s v="No"/>
    <s v="Yes"/>
    <x v="0"/>
    <x v="0"/>
    <s v="Date missing"/>
  </r>
  <r>
    <s v="C1153"/>
    <s v="Neha Agarwal"/>
    <s v="Female"/>
    <n v="45"/>
    <x v="4"/>
    <x v="0"/>
    <x v="15"/>
    <n v="449"/>
    <n v="2694"/>
    <x v="2"/>
    <d v="2025-03-22T00:00:00"/>
    <x v="1"/>
    <s v="No"/>
    <s v="No"/>
    <x v="0"/>
    <x v="0"/>
    <s v="No"/>
  </r>
  <r>
    <s v="C1154"/>
    <s v="Aditi Kapoor"/>
    <s v="Female"/>
    <n v="56"/>
    <x v="14"/>
    <x v="0"/>
    <x v="16"/>
    <n v="899"/>
    <n v="10788"/>
    <x v="0"/>
    <d v="2024-09-20T00:00:00"/>
    <x v="0"/>
    <s v="No"/>
    <s v="No"/>
    <x v="1"/>
    <x v="0"/>
    <s v="No"/>
  </r>
  <r>
    <s v="C1155"/>
    <s v="Sneha Kumar"/>
    <s v="Female"/>
    <n v="60"/>
    <x v="9"/>
    <x v="0"/>
    <x v="9"/>
    <n v="999"/>
    <n v="23976"/>
    <x v="0"/>
    <d v="2023-09-20T00:00:00"/>
    <x v="1"/>
    <s v="No"/>
    <s v="No"/>
    <x v="0"/>
    <x v="0"/>
    <s v="No"/>
  </r>
  <r>
    <s v="C1156"/>
    <s v="Sneha Singh"/>
    <s v="Female"/>
    <n v="22"/>
    <x v="0"/>
    <x v="1"/>
    <x v="3"/>
    <n v="899"/>
    <n v="22475"/>
    <x v="0"/>
    <d v="2023-08-26T00:00:00"/>
    <x v="1"/>
    <s v="No"/>
    <s v="No"/>
    <x v="0"/>
    <x v="0"/>
    <s v="No"/>
  </r>
  <r>
    <s v="C1157"/>
    <s v="Isha Kapoor"/>
    <s v="Female"/>
    <n v="47"/>
    <x v="4"/>
    <x v="1"/>
    <x v="42"/>
    <n v="1199"/>
    <n v="31174"/>
    <x v="0"/>
    <d v="2023-08-07T00:00:00"/>
    <x v="0"/>
    <s v="Yes"/>
    <s v="No"/>
    <x v="0"/>
    <x v="0"/>
    <s v="No"/>
  </r>
  <r>
    <s v="C1158"/>
    <s v="Arjun Desai"/>
    <s v="Male"/>
    <n v="51"/>
    <x v="12"/>
    <x v="2"/>
    <x v="29"/>
    <n v="849"/>
    <n v="28866"/>
    <x v="1"/>
    <d v="2022-12-04T00:00:00"/>
    <x v="0"/>
    <s v="No"/>
    <s v="No"/>
    <x v="0"/>
    <x v="0"/>
    <s v="No"/>
  </r>
  <r>
    <s v="C1159"/>
    <s v="Deepika Reddy"/>
    <s v="Female"/>
    <n v="26"/>
    <x v="6"/>
    <x v="0"/>
    <x v="23"/>
    <n v="749"/>
    <n v="17227"/>
    <x v="1"/>
    <d v="2023-10-17T00:00:00"/>
    <x v="0"/>
    <s v="No"/>
    <s v="No"/>
    <x v="1"/>
    <x v="0"/>
    <s v="No"/>
  </r>
  <r>
    <s v="C1160"/>
    <s v="Sachin Mishra"/>
    <s v="Male"/>
    <n v="36"/>
    <x v="5"/>
    <x v="2"/>
    <x v="23"/>
    <n v="1049"/>
    <n v="24127"/>
    <x v="0"/>
    <d v="2023-11-02T00:00:00"/>
    <x v="0"/>
    <s v="No"/>
    <s v="No"/>
    <x v="0"/>
    <x v="0"/>
    <s v="No"/>
  </r>
  <r>
    <s v="C1161"/>
    <s v="Manish Desai"/>
    <s v="Male"/>
    <n v="19"/>
    <x v="2"/>
    <x v="1"/>
    <x v="37"/>
    <n v="1149"/>
    <n v="41364"/>
    <x v="0"/>
    <d v="2022-10-02T00:00:00"/>
    <x v="1"/>
    <s v="No"/>
    <s v="No"/>
    <x v="0"/>
    <x v="0"/>
    <s v="No"/>
  </r>
  <r>
    <s v="C1162"/>
    <s v="Payal Tiwari"/>
    <s v="Unknown"/>
    <n v="67"/>
    <x v="12"/>
    <x v="2"/>
    <x v="43"/>
    <n v="849"/>
    <n v="34809"/>
    <x v="1"/>
    <d v="2022-05-01T00:00:00"/>
    <x v="0"/>
    <s v="No"/>
    <s v="No"/>
    <x v="0"/>
    <x v="0"/>
    <s v="No"/>
  </r>
  <r>
    <s v="C1163"/>
    <s v="Pooja Mishra"/>
    <s v="Female"/>
    <n v="58"/>
    <x v="11"/>
    <x v="0"/>
    <x v="33"/>
    <n v="349"/>
    <n v="4886"/>
    <x v="2"/>
    <d v="2024-07-19T00:00:00"/>
    <x v="0"/>
    <s v="No"/>
    <s v="No"/>
    <x v="0"/>
    <x v="0"/>
    <s v="No"/>
  </r>
  <r>
    <s v="C1164"/>
    <s v="Harsh Gupta"/>
    <s v="Male"/>
    <n v="28"/>
    <x v="2"/>
    <x v="2"/>
    <x v="44"/>
    <n v="699"/>
    <n v="46833"/>
    <x v="1"/>
    <d v="2020-03-08T00:00:00"/>
    <x v="0"/>
    <s v="No"/>
    <s v="No"/>
    <x v="0"/>
    <x v="0"/>
    <s v="No"/>
  </r>
  <r>
    <s v="C1165"/>
    <s v="Pooja Chopra"/>
    <s v="Female"/>
    <n v="37"/>
    <x v="11"/>
    <x v="0"/>
    <x v="15"/>
    <n v="1149"/>
    <n v="6894"/>
    <x v="0"/>
    <d v="2025-03-13T00:00:00"/>
    <x v="1"/>
    <s v="No"/>
    <s v="No"/>
    <x v="0"/>
    <x v="0"/>
    <s v="No"/>
  </r>
  <r>
    <s v="C1166"/>
    <s v="Tanvi Verma"/>
    <s v="Female"/>
    <n v="70"/>
    <x v="6"/>
    <x v="0"/>
    <x v="26"/>
    <n v="899"/>
    <n v="18879"/>
    <x v="1"/>
    <d v="2023-12-14T00:00:00"/>
    <x v="0"/>
    <s v="No"/>
    <s v="No"/>
    <x v="0"/>
    <x v="0"/>
    <s v="No"/>
  </r>
  <r>
    <s v="C1167"/>
    <s v="Riya Chopra"/>
    <s v="Female"/>
    <n v="19"/>
    <x v="7"/>
    <x v="2"/>
    <x v="25"/>
    <n v="999"/>
    <n v="38961"/>
    <x v="0"/>
    <d v="2022-07-14T00:00:00"/>
    <x v="0"/>
    <s v="No"/>
    <s v="No"/>
    <x v="0"/>
    <x v="1"/>
    <s v="No"/>
  </r>
  <r>
    <s v="C1168"/>
    <s v="Arjun Kapoor"/>
    <s v="Male"/>
    <n v="44"/>
    <x v="7"/>
    <x v="0"/>
    <x v="13"/>
    <n v="699"/>
    <n v="3495"/>
    <x v="1"/>
    <d v="2025-04-04T00:00:00"/>
    <x v="0"/>
    <s v="No"/>
    <s v="No"/>
    <x v="0"/>
    <x v="1"/>
    <s v="No"/>
  </r>
  <r>
    <s v="C1169"/>
    <s v="Divya Singh"/>
    <s v="Female"/>
    <n v="66"/>
    <x v="2"/>
    <x v="0"/>
    <x v="28"/>
    <n v="749"/>
    <n v="5992"/>
    <x v="1"/>
    <d v="2025-01-27T00:00:00"/>
    <x v="0"/>
    <s v="No"/>
    <s v="No"/>
    <x v="0"/>
    <x v="0"/>
    <s v="No"/>
  </r>
  <r>
    <s v="C1170"/>
    <s v="Amit Iyer"/>
    <s v="Male"/>
    <n v="42"/>
    <x v="6"/>
    <x v="1"/>
    <x v="2"/>
    <n v="899"/>
    <n v="9889"/>
    <x v="1"/>
    <d v="2024-10-27T00:00:00"/>
    <x v="0"/>
    <s v="No"/>
    <s v="No"/>
    <x v="1"/>
    <x v="0"/>
    <s v="No"/>
  </r>
  <r>
    <s v="C1171"/>
    <s v="Gaurav Jain"/>
    <s v="Male"/>
    <n v="47"/>
    <x v="7"/>
    <x v="2"/>
    <x v="16"/>
    <n v="1149"/>
    <n v="13788"/>
    <x v="0"/>
    <m/>
    <x v="0"/>
    <s v="No"/>
    <s v="No"/>
    <x v="0"/>
    <x v="0"/>
    <s v="Date missing"/>
  </r>
  <r>
    <s v="C1172"/>
    <s v="Sneha Verma"/>
    <s v="Female"/>
    <n v="36"/>
    <x v="7"/>
    <x v="1"/>
    <x v="45"/>
    <n v="349"/>
    <n v="10819"/>
    <x v="2"/>
    <d v="2023-02-28T00:00:00"/>
    <x v="0"/>
    <s v="No"/>
    <s v="No"/>
    <x v="0"/>
    <x v="0"/>
    <s v="No"/>
  </r>
  <r>
    <s v="C1173"/>
    <s v="Suresh Agarwal"/>
    <s v="Male"/>
    <n v="41"/>
    <x v="13"/>
    <x v="0"/>
    <x v="22"/>
    <n v="799"/>
    <n v="1598"/>
    <x v="1"/>
    <d v="2025-07-21T00:00:00"/>
    <x v="1"/>
    <s v="No"/>
    <s v="No"/>
    <x v="0"/>
    <x v="0"/>
    <s v="No"/>
  </r>
  <r>
    <s v="C1174"/>
    <s v="Deepak Jain"/>
    <s v="Male"/>
    <n v="46"/>
    <x v="13"/>
    <x v="0"/>
    <x v="11"/>
    <n v="349"/>
    <n v="6980"/>
    <x v="2"/>
    <d v="2024-02-03T00:00:00"/>
    <x v="1"/>
    <s v="No"/>
    <s v="No"/>
    <x v="0"/>
    <x v="0"/>
    <s v="No"/>
  </r>
  <r>
    <s v="C1175"/>
    <s v="Isha Joshi"/>
    <s v="Female"/>
    <n v="53"/>
    <x v="2"/>
    <x v="1"/>
    <x v="46"/>
    <n v="749"/>
    <n v="24717"/>
    <x v="1"/>
    <d v="2023-01-08T00:00:00"/>
    <x v="1"/>
    <s v="No"/>
    <s v="No"/>
    <x v="0"/>
    <x v="1"/>
    <s v="No"/>
  </r>
  <r>
    <s v="C1176"/>
    <s v="Komal Jain"/>
    <s v="Female"/>
    <n v="47"/>
    <x v="8"/>
    <x v="3"/>
    <x v="26"/>
    <n v="1049"/>
    <n v="22029"/>
    <x v="0"/>
    <d v="2023-12-19T00:00:00"/>
    <x v="0"/>
    <s v="No"/>
    <s v="No"/>
    <x v="1"/>
    <x v="0"/>
    <s v="No"/>
  </r>
  <r>
    <s v="C1177"/>
    <s v="Tanvi Joshi"/>
    <s v="Female"/>
    <n v="50"/>
    <x v="6"/>
    <x v="0"/>
    <x v="6"/>
    <n v="1099"/>
    <n v="20881"/>
    <x v="0"/>
    <d v="2024-02-15T00:00:00"/>
    <x v="1"/>
    <s v="No"/>
    <s v="No"/>
    <x v="0"/>
    <x v="0"/>
    <s v="No"/>
  </r>
  <r>
    <s v="C1178"/>
    <s v="Vivek Bose"/>
    <s v="Male"/>
    <n v="37"/>
    <x v="13"/>
    <x v="3"/>
    <x v="32"/>
    <n v="449"/>
    <n v="1796"/>
    <x v="2"/>
    <d v="2025-05-06T00:00:00"/>
    <x v="0"/>
    <s v="No"/>
    <s v="No"/>
    <x v="0"/>
    <x v="0"/>
    <s v="No"/>
  </r>
  <r>
    <s v="C1179"/>
    <s v="Amit Bose"/>
    <s v="Male"/>
    <n v="48"/>
    <x v="8"/>
    <x v="0"/>
    <x v="17"/>
    <n v="1299"/>
    <n v="16887"/>
    <x v="0"/>
    <d v="2024-08-12T00:00:00"/>
    <x v="1"/>
    <s v="No"/>
    <s v="No"/>
    <x v="0"/>
    <x v="0"/>
    <s v="No"/>
  </r>
  <r>
    <s v="C1180"/>
    <s v="Sanjay Sharma"/>
    <s v="Male"/>
    <n v="46"/>
    <x v="2"/>
    <x v="0"/>
    <x v="27"/>
    <n v="1149"/>
    <n v="8043"/>
    <x v="0"/>
    <d v="2025-02-03T00:00:00"/>
    <x v="0"/>
    <s v="No"/>
    <s v="No"/>
    <x v="0"/>
    <x v="0"/>
    <s v="No"/>
  </r>
  <r>
    <s v="C1181"/>
    <s v="Rohit Jain"/>
    <s v="Male"/>
    <n v="31"/>
    <x v="1"/>
    <x v="0"/>
    <x v="10"/>
    <n v="1049"/>
    <n v="17833"/>
    <x v="0"/>
    <d v="2024-04-19T00:00:00"/>
    <x v="1"/>
    <s v="No"/>
    <s v="No"/>
    <x v="0"/>
    <x v="0"/>
    <s v="No"/>
  </r>
  <r>
    <s v="C1182"/>
    <s v="Sonal Patel"/>
    <s v="Female"/>
    <n v="61"/>
    <x v="13"/>
    <x v="2"/>
    <x v="29"/>
    <n v="1099"/>
    <n v="37366"/>
    <x v="0"/>
    <d v="2022-12-05T00:00:00"/>
    <x v="0"/>
    <s v="No"/>
    <s v="No"/>
    <x v="0"/>
    <x v="0"/>
    <s v="No"/>
  </r>
  <r>
    <s v="C1183"/>
    <s v="Ritu Iyer"/>
    <s v="Female"/>
    <n v="67"/>
    <x v="5"/>
    <x v="1"/>
    <x v="47"/>
    <n v="1099"/>
    <n v="35168"/>
    <x v="0"/>
    <d v="2023-01-13T00:00:00"/>
    <x v="0"/>
    <s v="No"/>
    <s v="No"/>
    <x v="0"/>
    <x v="1"/>
    <s v="No"/>
  </r>
  <r>
    <s v="C1184"/>
    <s v="Aditi Reddy"/>
    <s v="Female"/>
    <n v="54"/>
    <x v="9"/>
    <x v="0"/>
    <x v="17"/>
    <n v="399"/>
    <n v="5187"/>
    <x v="2"/>
    <d v="2024-08-25T00:00:00"/>
    <x v="1"/>
    <s v="No"/>
    <s v="No"/>
    <x v="0"/>
    <x v="0"/>
    <s v="No"/>
  </r>
  <r>
    <s v="C1185"/>
    <s v="Aman Kapoor"/>
    <s v="Male"/>
    <n v="59"/>
    <x v="5"/>
    <x v="1"/>
    <x v="1"/>
    <n v="699"/>
    <n v="24465"/>
    <x v="1"/>
    <d v="2022-10-25T00:00:00"/>
    <x v="2"/>
    <s v="No"/>
    <s v="No"/>
    <x v="0"/>
    <x v="0"/>
    <s v="Churn unknown"/>
  </r>
  <r>
    <s v="C1186"/>
    <s v="Manish Verma"/>
    <s v="Male"/>
    <n v="60"/>
    <x v="1"/>
    <x v="0"/>
    <x v="32"/>
    <n v="749"/>
    <n v="2996"/>
    <x v="1"/>
    <d v="2025-05-07T00:00:00"/>
    <x v="2"/>
    <s v="No"/>
    <s v="No"/>
    <x v="0"/>
    <x v="0"/>
    <s v="Churn unknown"/>
  </r>
  <r>
    <s v="C1187"/>
    <s v="Rahul Mishra"/>
    <s v="Male"/>
    <n v="28"/>
    <x v="12"/>
    <x v="1"/>
    <x v="45"/>
    <n v="399"/>
    <n v="12369"/>
    <x v="2"/>
    <d v="2023-03-04T00:00:00"/>
    <x v="0"/>
    <s v="No"/>
    <s v="No"/>
    <x v="0"/>
    <x v="0"/>
    <s v="No"/>
  </r>
  <r>
    <s v="C1188"/>
    <s v="Aditi Chopra"/>
    <s v="Female"/>
    <n v="21"/>
    <x v="13"/>
    <x v="0"/>
    <x v="30"/>
    <n v="1199"/>
    <n v="21582"/>
    <x v="0"/>
    <d v="2024-04-01T00:00:00"/>
    <x v="0"/>
    <s v="No"/>
    <s v="No"/>
    <x v="0"/>
    <x v="0"/>
    <s v="No"/>
  </r>
  <r>
    <s v="C1189"/>
    <s v="Meera Verma"/>
    <s v="Female"/>
    <n v="71"/>
    <x v="12"/>
    <x v="1"/>
    <x v="6"/>
    <n v="599"/>
    <n v="11381"/>
    <x v="1"/>
    <d v="2024-03-04T00:00:00"/>
    <x v="0"/>
    <s v="No"/>
    <s v="No"/>
    <x v="0"/>
    <x v="0"/>
    <s v="No"/>
  </r>
  <r>
    <s v="C1190"/>
    <s v="Aditi Kapoor"/>
    <s v="Female"/>
    <n v="59"/>
    <x v="1"/>
    <x v="0"/>
    <x v="13"/>
    <n v="499"/>
    <n v="2495"/>
    <x v="2"/>
    <d v="2025-04-06T00:00:00"/>
    <x v="1"/>
    <s v="No"/>
    <s v="No"/>
    <x v="0"/>
    <x v="0"/>
    <s v="No"/>
  </r>
  <r>
    <s v="C1191"/>
    <s v="Nikhil Gupta"/>
    <s v="Male"/>
    <n v="64"/>
    <x v="7"/>
    <x v="1"/>
    <x v="21"/>
    <n v="1049"/>
    <n v="1049"/>
    <x v="0"/>
    <d v="2025-08-05T00:00:00"/>
    <x v="0"/>
    <s v="No"/>
    <s v="No"/>
    <x v="0"/>
    <x v="0"/>
    <s v="No"/>
  </r>
  <r>
    <s v="C1192"/>
    <s v="Arjun Yadav"/>
    <s v="Male"/>
    <n v="72"/>
    <x v="9"/>
    <x v="2"/>
    <x v="48"/>
    <n v="499"/>
    <n v="32934"/>
    <x v="2"/>
    <d v="2020-04-22T00:00:00"/>
    <x v="0"/>
    <s v="No"/>
    <s v="No"/>
    <x v="0"/>
    <x v="0"/>
    <s v="No"/>
  </r>
  <r>
    <s v="C1193"/>
    <s v="Gaurav Joshi"/>
    <s v="Male"/>
    <n v="33"/>
    <x v="3"/>
    <x v="0"/>
    <x v="35"/>
    <n v="699"/>
    <n v="6291"/>
    <x v="1"/>
    <d v="2025-01-01T00:00:00"/>
    <x v="0"/>
    <s v="No"/>
    <s v="No"/>
    <x v="0"/>
    <x v="0"/>
    <s v="No"/>
  </r>
  <r>
    <s v="C1194"/>
    <s v="Isha Pandey"/>
    <s v="Female"/>
    <n v="33"/>
    <x v="3"/>
    <x v="1"/>
    <x v="2"/>
    <n v="1199"/>
    <n v="13189"/>
    <x v="0"/>
    <d v="2024-10-05T00:00:00"/>
    <x v="0"/>
    <s v="No"/>
    <s v="No"/>
    <x v="0"/>
    <x v="0"/>
    <s v="No"/>
  </r>
  <r>
    <s v="C1195"/>
    <s v="Anjali Chopra"/>
    <s v="Female"/>
    <n v="36"/>
    <x v="2"/>
    <x v="1"/>
    <x v="35"/>
    <n v="749"/>
    <n v="6741"/>
    <x v="1"/>
    <d v="2024-12-13T00:00:00"/>
    <x v="0"/>
    <s v="No"/>
    <s v="No"/>
    <x v="0"/>
    <x v="0"/>
    <s v="No"/>
  </r>
  <r>
    <s v="C1196"/>
    <s v="Nisha Pandey"/>
    <s v="Female"/>
    <n v="53"/>
    <x v="7"/>
    <x v="1"/>
    <x v="33"/>
    <n v="549"/>
    <n v="7686"/>
    <x v="2"/>
    <d v="2024-08-02T00:00:00"/>
    <x v="0"/>
    <s v="No"/>
    <s v="No"/>
    <x v="0"/>
    <x v="0"/>
    <s v="No"/>
  </r>
  <r>
    <s v="C1197"/>
    <s v="Payal Pandey"/>
    <s v="Female"/>
    <n v="41"/>
    <x v="4"/>
    <x v="2"/>
    <x v="49"/>
    <n v="799"/>
    <n v="56729"/>
    <x v="1"/>
    <d v="2019-11-24T00:00:00"/>
    <x v="0"/>
    <s v="No"/>
    <s v="No"/>
    <x v="0"/>
    <x v="1"/>
    <s v="No"/>
  </r>
  <r>
    <s v="C1198"/>
    <s v="Payal Kapoor"/>
    <s v="Female"/>
    <n v="25"/>
    <x v="9"/>
    <x v="0"/>
    <x v="24"/>
    <n v="1099"/>
    <n v="3297"/>
    <x v="0"/>
    <d v="2025-06-14T00:00:00"/>
    <x v="1"/>
    <s v="No"/>
    <s v="No"/>
    <x v="0"/>
    <x v="0"/>
    <s v="No"/>
  </r>
  <r>
    <s v="C1199"/>
    <s v="Shreya Bose"/>
    <s v="Female"/>
    <n v="21"/>
    <x v="10"/>
    <x v="0"/>
    <x v="9"/>
    <n v="449"/>
    <n v="10776"/>
    <x v="2"/>
    <d v="2023-09-16T00:00:00"/>
    <x v="0"/>
    <s v="No"/>
    <s v="No"/>
    <x v="0"/>
    <x v="0"/>
    <s v="No"/>
  </r>
  <r>
    <s v="C1200"/>
    <s v="Rajesh Kumar"/>
    <s v="Male"/>
    <n v="20"/>
    <x v="12"/>
    <x v="0"/>
    <x v="22"/>
    <n v="599"/>
    <n v="1198"/>
    <x v="1"/>
    <d v="2025-07-25T00:00:00"/>
    <x v="1"/>
    <s v="No"/>
    <s v="No"/>
    <x v="0"/>
    <x v="0"/>
    <s v="No"/>
  </r>
  <r>
    <s v="C1201"/>
    <s v="Vivek Patel"/>
    <s v="Male"/>
    <n v="75"/>
    <x v="12"/>
    <x v="0"/>
    <x v="17"/>
    <n v="549"/>
    <n v="7137"/>
    <x v="2"/>
    <d v="2024-08-07T00:00:00"/>
    <x v="1"/>
    <s v="No"/>
    <s v="No"/>
    <x v="0"/>
    <x v="0"/>
    <s v="No"/>
  </r>
  <r>
    <s v="C1202"/>
    <s v="Anjali Gupta"/>
    <s v="Female"/>
    <n v="52"/>
    <x v="12"/>
    <x v="0"/>
    <x v="28"/>
    <n v="899"/>
    <n v="7192"/>
    <x v="0"/>
    <d v="2025-01-17T00:00:00"/>
    <x v="0"/>
    <s v="No"/>
    <s v="No"/>
    <x v="0"/>
    <x v="0"/>
    <s v="No"/>
  </r>
  <r>
    <s v="C1203"/>
    <s v="Sonal Rao"/>
    <s v="Female"/>
    <n v="70"/>
    <x v="0"/>
    <x v="0"/>
    <x v="35"/>
    <n v="649"/>
    <n v="5841"/>
    <x v="1"/>
    <d v="2024-12-11T00:00:00"/>
    <x v="1"/>
    <s v="No"/>
    <s v="No"/>
    <x v="1"/>
    <x v="0"/>
    <s v="No"/>
  </r>
  <r>
    <s v="C1204"/>
    <s v="Riya Sharma"/>
    <s v="Female"/>
    <n v="33"/>
    <x v="0"/>
    <x v="0"/>
    <x v="8"/>
    <n v="1199"/>
    <n v="17985"/>
    <x v="0"/>
    <d v="2024-07-04T00:00:00"/>
    <x v="1"/>
    <s v="No"/>
    <s v="No"/>
    <x v="0"/>
    <x v="0"/>
    <s v="No"/>
  </r>
  <r>
    <s v="C1205"/>
    <s v="Shreya Nair"/>
    <s v="Female"/>
    <n v="52"/>
    <x v="0"/>
    <x v="1"/>
    <x v="35"/>
    <n v="1049"/>
    <n v="9441"/>
    <x v="0"/>
    <d v="2024-12-09T00:00:00"/>
    <x v="0"/>
    <s v="No"/>
    <s v="No"/>
    <x v="1"/>
    <x v="0"/>
    <s v="No"/>
  </r>
  <r>
    <s v="C1206"/>
    <s v="Tanvi Yadav"/>
    <s v="Female"/>
    <n v="67"/>
    <x v="9"/>
    <x v="2"/>
    <x v="6"/>
    <n v="849"/>
    <n v="16131"/>
    <x v="1"/>
    <d v="2024-02-28T00:00:00"/>
    <x v="0"/>
    <s v="No"/>
    <s v="No"/>
    <x v="0"/>
    <x v="0"/>
    <s v="No"/>
  </r>
  <r>
    <s v="C1207"/>
    <s v="Sachin Bose"/>
    <s v="Unknown"/>
    <n v="47"/>
    <x v="14"/>
    <x v="2"/>
    <x v="50"/>
    <n v="1099"/>
    <n v="60445"/>
    <x v="0"/>
    <d v="2021-03-03T00:00:00"/>
    <x v="0"/>
    <s v="Yes"/>
    <s v="No"/>
    <x v="0"/>
    <x v="0"/>
    <s v="No"/>
  </r>
  <r>
    <s v="C1208"/>
    <s v="Payal Joshi"/>
    <s v="Female"/>
    <n v="62"/>
    <x v="12"/>
    <x v="0"/>
    <x v="15"/>
    <n v="899"/>
    <n v="5394"/>
    <x v="1"/>
    <d v="2025-03-25T00:00:00"/>
    <x v="1"/>
    <s v="No"/>
    <s v="No"/>
    <x v="0"/>
    <x v="0"/>
    <s v="No"/>
  </r>
  <r>
    <s v="C1209"/>
    <s v="Pooja Kapoor"/>
    <s v="Female"/>
    <n v="21"/>
    <x v="1"/>
    <x v="0"/>
    <x v="10"/>
    <n v="1099"/>
    <n v="18683"/>
    <x v="3"/>
    <d v="2024-04-26T00:00:00"/>
    <x v="1"/>
    <s v="No"/>
    <s v="Yes"/>
    <x v="0"/>
    <x v="0"/>
    <s v="No"/>
  </r>
  <r>
    <s v="C1210"/>
    <s v="Ankit Patel"/>
    <s v="Male"/>
    <n v="23"/>
    <x v="1"/>
    <x v="1"/>
    <x v="30"/>
    <n v="749"/>
    <n v="13482"/>
    <x v="1"/>
    <d v="2024-03-10T00:00:00"/>
    <x v="0"/>
    <s v="No"/>
    <s v="No"/>
    <x v="0"/>
    <x v="0"/>
    <s v="No"/>
  </r>
  <r>
    <s v="C1211"/>
    <s v="Sanjay Bose"/>
    <s v="Unknown"/>
    <n v="64"/>
    <x v="9"/>
    <x v="1"/>
    <x v="0"/>
    <n v="899"/>
    <n v="19778"/>
    <x v="0"/>
    <d v="2023-11-15T00:00:00"/>
    <x v="0"/>
    <s v="No"/>
    <s v="No"/>
    <x v="0"/>
    <x v="0"/>
    <s v="No"/>
  </r>
  <r>
    <s v="C1212"/>
    <s v="Gaurav Nair"/>
    <s v="Male"/>
    <n v="62"/>
    <x v="11"/>
    <x v="1"/>
    <x v="36"/>
    <n v="1049"/>
    <n v="16784"/>
    <x v="0"/>
    <d v="2024-05-19T00:00:00"/>
    <x v="0"/>
    <s v="No"/>
    <s v="No"/>
    <x v="0"/>
    <x v="0"/>
    <s v="No"/>
  </r>
  <r>
    <s v="C1213"/>
    <s v="Aditi Malhotra"/>
    <s v="Female"/>
    <n v="41"/>
    <x v="1"/>
    <x v="2"/>
    <x v="51"/>
    <n v="1299"/>
    <n v="79239"/>
    <x v="0"/>
    <d v="2020-09-13T00:00:00"/>
    <x v="0"/>
    <s v="No"/>
    <s v="No"/>
    <x v="0"/>
    <x v="0"/>
    <s v="No"/>
  </r>
  <r>
    <s v="C1214"/>
    <s v="Nisha Verma"/>
    <s v="Female"/>
    <n v="54"/>
    <x v="6"/>
    <x v="0"/>
    <x v="35"/>
    <n v="799"/>
    <n v="7191"/>
    <x v="1"/>
    <d v="2024-12-23T00:00:00"/>
    <x v="0"/>
    <s v="No"/>
    <s v="No"/>
    <x v="0"/>
    <x v="0"/>
    <s v="No"/>
  </r>
  <r>
    <s v="C1215"/>
    <s v="Sanjay Joshi"/>
    <s v="Male"/>
    <n v="32"/>
    <x v="12"/>
    <x v="1"/>
    <x v="37"/>
    <n v="849"/>
    <n v="30564"/>
    <x v="1"/>
    <d v="2022-09-18T00:00:00"/>
    <x v="0"/>
    <s v="No"/>
    <s v="No"/>
    <x v="0"/>
    <x v="0"/>
    <s v="No"/>
  </r>
  <r>
    <s v="C1216"/>
    <s v="Komal Kapoor"/>
    <s v="Unknown"/>
    <n v="28"/>
    <x v="14"/>
    <x v="1"/>
    <x v="1"/>
    <n v="749"/>
    <n v="26215"/>
    <x v="1"/>
    <d v="2022-11-12T00:00:00"/>
    <x v="0"/>
    <s v="No"/>
    <s v="No"/>
    <x v="0"/>
    <x v="1"/>
    <s v="No"/>
  </r>
  <r>
    <s v="C1217"/>
    <s v="Vikram Saxena"/>
    <s v="Male"/>
    <n v="21"/>
    <x v="13"/>
    <x v="0"/>
    <x v="26"/>
    <n v="649"/>
    <n v="13629"/>
    <x v="1"/>
    <d v="2023-12-22T00:00:00"/>
    <x v="1"/>
    <s v="No"/>
    <s v="No"/>
    <x v="0"/>
    <x v="0"/>
    <s v="No"/>
  </r>
  <r>
    <s v="C1218"/>
    <s v="Isha Verma"/>
    <s v="Female"/>
    <n v="57"/>
    <x v="9"/>
    <x v="1"/>
    <x v="45"/>
    <n v="1099"/>
    <n v="34069"/>
    <x v="0"/>
    <d v="2023-02-24T00:00:00"/>
    <x v="1"/>
    <s v="No"/>
    <s v="No"/>
    <x v="0"/>
    <x v="0"/>
    <s v="No"/>
  </r>
  <r>
    <s v="C1219"/>
    <s v="Priya Sharma"/>
    <s v="Female"/>
    <n v="51"/>
    <x v="14"/>
    <x v="0"/>
    <x v="21"/>
    <n v="499"/>
    <n v="499"/>
    <x v="2"/>
    <d v="2025-07-31T00:00:00"/>
    <x v="0"/>
    <s v="No"/>
    <s v="No"/>
    <x v="0"/>
    <x v="0"/>
    <s v="No"/>
  </r>
  <r>
    <s v="C1220"/>
    <s v="Karan Reddy"/>
    <s v="Male"/>
    <n v="51"/>
    <x v="8"/>
    <x v="0"/>
    <x v="35"/>
    <n v="1049"/>
    <n v="9441"/>
    <x v="0"/>
    <d v="2024-12-30T00:00:00"/>
    <x v="0"/>
    <s v="No"/>
    <s v="No"/>
    <x v="0"/>
    <x v="0"/>
    <s v="No"/>
  </r>
  <r>
    <s v="C1221"/>
    <s v="Divya Kapoor"/>
    <s v="Female"/>
    <n v="54"/>
    <x v="0"/>
    <x v="2"/>
    <x v="2"/>
    <n v="849"/>
    <n v="9339"/>
    <x v="1"/>
    <d v="2024-10-21T00:00:00"/>
    <x v="0"/>
    <s v="No"/>
    <s v="No"/>
    <x v="0"/>
    <x v="0"/>
    <s v="No"/>
  </r>
  <r>
    <s v="C1222"/>
    <s v="Sonal Desai"/>
    <s v="Female"/>
    <n v="47"/>
    <x v="9"/>
    <x v="0"/>
    <x v="36"/>
    <n v="899"/>
    <n v="14384"/>
    <x v="1"/>
    <d v="2024-05-09T00:00:00"/>
    <x v="0"/>
    <s v="Yes"/>
    <s v="No"/>
    <x v="0"/>
    <x v="0"/>
    <s v="No"/>
  </r>
  <r>
    <s v="C1223"/>
    <s v="Mohit Verma"/>
    <s v="Male"/>
    <n v="32"/>
    <x v="0"/>
    <x v="2"/>
    <x v="51"/>
    <n v="899"/>
    <n v="54839"/>
    <x v="0"/>
    <d v="2020-09-16T00:00:00"/>
    <x v="0"/>
    <s v="No"/>
    <s v="No"/>
    <x v="0"/>
    <x v="1"/>
    <s v="No"/>
  </r>
  <r>
    <s v="C1224"/>
    <s v="Unknown"/>
    <s v="Male"/>
    <n v="19"/>
    <x v="0"/>
    <x v="1"/>
    <x v="42"/>
    <n v="1049"/>
    <n v="27274"/>
    <x v="0"/>
    <d v="2023-07-23T00:00:00"/>
    <x v="0"/>
    <s v="No"/>
    <s v="No"/>
    <x v="0"/>
    <x v="0"/>
    <s v="No"/>
  </r>
  <r>
    <s v="C1225"/>
    <s v="Sonal Joshi"/>
    <s v="Female"/>
    <n v="42"/>
    <x v="13"/>
    <x v="1"/>
    <x v="15"/>
    <n v="1199"/>
    <n v="7194"/>
    <x v="0"/>
    <d v="2025-03-19T00:00:00"/>
    <x v="1"/>
    <s v="No"/>
    <s v="No"/>
    <x v="0"/>
    <x v="0"/>
    <s v="No"/>
  </r>
  <r>
    <s v="C1226"/>
    <s v="Vikram Joshi"/>
    <s v="Male"/>
    <n v="56"/>
    <x v="13"/>
    <x v="1"/>
    <x v="26"/>
    <n v="1199"/>
    <n v="25179"/>
    <x v="0"/>
    <d v="2023-12-24T00:00:00"/>
    <x v="0"/>
    <s v="No"/>
    <s v="No"/>
    <x v="0"/>
    <x v="0"/>
    <s v="No"/>
  </r>
  <r>
    <s v="C1227"/>
    <s v="Ritu Patel"/>
    <s v="Female"/>
    <n v="53"/>
    <x v="12"/>
    <x v="0"/>
    <x v="0"/>
    <n v="899"/>
    <n v="19778"/>
    <x v="0"/>
    <d v="2023-12-01T00:00:00"/>
    <x v="1"/>
    <s v="No"/>
    <s v="No"/>
    <x v="0"/>
    <x v="0"/>
    <s v="No"/>
  </r>
  <r>
    <s v="C1228"/>
    <s v="Vikram Malhotra"/>
    <s v="Male"/>
    <n v="27"/>
    <x v="12"/>
    <x v="1"/>
    <x v="3"/>
    <n v="1049"/>
    <n v="26225"/>
    <x v="0"/>
    <d v="2023-08-31T00:00:00"/>
    <x v="1"/>
    <s v="No"/>
    <s v="Yes"/>
    <x v="0"/>
    <x v="0"/>
    <s v="No"/>
  </r>
  <r>
    <s v="C1229"/>
    <s v="Isha Malhotra"/>
    <s v="Female"/>
    <n v="24"/>
    <x v="8"/>
    <x v="0"/>
    <x v="30"/>
    <n v="1149"/>
    <n v="20682"/>
    <x v="0"/>
    <d v="2024-04-04T00:00:00"/>
    <x v="1"/>
    <s v="No"/>
    <s v="No"/>
    <x v="0"/>
    <x v="0"/>
    <s v="No"/>
  </r>
  <r>
    <s v="C1230"/>
    <s v="Sonal Kumar"/>
    <s v="Female"/>
    <n v="56"/>
    <x v="11"/>
    <x v="1"/>
    <x v="21"/>
    <n v="499"/>
    <n v="499"/>
    <x v="2"/>
    <d v="2025-08-06T00:00:00"/>
    <x v="0"/>
    <s v="No"/>
    <s v="No"/>
    <x v="0"/>
    <x v="0"/>
    <s v="No"/>
  </r>
  <r>
    <s v="C1231"/>
    <s v="Rajesh Jain"/>
    <s v="Male"/>
    <n v="28"/>
    <x v="9"/>
    <x v="0"/>
    <x v="4"/>
    <n v="699"/>
    <n v="6990"/>
    <x v="1"/>
    <d v="2024-11-19T00:00:00"/>
    <x v="1"/>
    <s v="No"/>
    <s v="No"/>
    <x v="0"/>
    <x v="0"/>
    <s v="No"/>
  </r>
  <r>
    <s v="C1232"/>
    <s v="Nisha Iyer"/>
    <s v="Unknown"/>
    <n v="48"/>
    <x v="13"/>
    <x v="0"/>
    <x v="28"/>
    <n v="849"/>
    <n v="6792"/>
    <x v="1"/>
    <d v="2025-01-25T00:00:00"/>
    <x v="0"/>
    <s v="No"/>
    <s v="No"/>
    <x v="0"/>
    <x v="0"/>
    <s v="No"/>
  </r>
  <r>
    <s v="C1233"/>
    <s v="Anjali Singh"/>
    <s v="Female"/>
    <n v="37"/>
    <x v="3"/>
    <x v="2"/>
    <x v="52"/>
    <n v="899"/>
    <n v="44051"/>
    <x v="1"/>
    <d v="2021-09-06T00:00:00"/>
    <x v="0"/>
    <s v="No"/>
    <s v="No"/>
    <x v="0"/>
    <x v="0"/>
    <s v="No"/>
  </r>
  <r>
    <s v="C1234"/>
    <s v="Harsh Joshi"/>
    <s v="Male"/>
    <n v="56"/>
    <x v="14"/>
    <x v="0"/>
    <x v="17"/>
    <n v="699"/>
    <n v="9087"/>
    <x v="1"/>
    <d v="2024-08-09T00:00:00"/>
    <x v="0"/>
    <s v="No"/>
    <s v="No"/>
    <x v="0"/>
    <x v="0"/>
    <s v="No"/>
  </r>
  <r>
    <s v="C1235"/>
    <s v="Nikhil Rao"/>
    <s v="Male"/>
    <n v="35"/>
    <x v="6"/>
    <x v="1"/>
    <x v="14"/>
    <n v="1149"/>
    <n v="42513"/>
    <x v="0"/>
    <d v="2022-08-21T00:00:00"/>
    <x v="1"/>
    <s v="No"/>
    <s v="No"/>
    <x v="0"/>
    <x v="0"/>
    <s v="No"/>
  </r>
  <r>
    <s v="C1236"/>
    <s v="Ankit Pandey"/>
    <s v="Male"/>
    <n v="31"/>
    <x v="7"/>
    <x v="1"/>
    <x v="13"/>
    <n v="499"/>
    <n v="2495"/>
    <x v="2"/>
    <d v="2025-04-27T00:00:00"/>
    <x v="0"/>
    <s v="No"/>
    <s v="No"/>
    <x v="0"/>
    <x v="0"/>
    <s v="No"/>
  </r>
  <r>
    <s v="C1237"/>
    <s v="Ritu Malhotra"/>
    <s v="Female"/>
    <n v="60"/>
    <x v="8"/>
    <x v="1"/>
    <x v="13"/>
    <n v="1149"/>
    <n v="5745"/>
    <x v="0"/>
    <d v="2025-04-14T00:00:00"/>
    <x v="0"/>
    <s v="No"/>
    <s v="No"/>
    <x v="0"/>
    <x v="0"/>
    <s v="No"/>
  </r>
  <r>
    <s v="C1238"/>
    <s v="Sonal Verma"/>
    <s v="Female"/>
    <n v="68"/>
    <x v="2"/>
    <x v="1"/>
    <x v="25"/>
    <n v="349"/>
    <n v="13611"/>
    <x v="2"/>
    <d v="2022-06-25T00:00:00"/>
    <x v="0"/>
    <s v="No"/>
    <s v="No"/>
    <x v="0"/>
    <x v="0"/>
    <s v="No"/>
  </r>
  <r>
    <s v="C1239"/>
    <s v="Meera Chopra"/>
    <s v="Female"/>
    <n v="57"/>
    <x v="3"/>
    <x v="1"/>
    <x v="42"/>
    <n v="1049"/>
    <n v="27274"/>
    <x v="0"/>
    <d v="2023-08-07T00:00:00"/>
    <x v="1"/>
    <s v="No"/>
    <s v="No"/>
    <x v="0"/>
    <x v="0"/>
    <s v="No"/>
  </r>
  <r>
    <s v="C1240"/>
    <s v="Ritu Jain"/>
    <s v="Female"/>
    <n v="65"/>
    <x v="1"/>
    <x v="1"/>
    <x v="8"/>
    <n v="1049"/>
    <n v="15735"/>
    <x v="0"/>
    <d v="2024-06-14T00:00:00"/>
    <x v="0"/>
    <s v="No"/>
    <s v="No"/>
    <x v="0"/>
    <x v="0"/>
    <s v="No"/>
  </r>
  <r>
    <s v="C1241"/>
    <s v="Aman Sharma"/>
    <s v="Male"/>
    <n v="48"/>
    <x v="4"/>
    <x v="0"/>
    <x v="24"/>
    <n v="399"/>
    <n v="1197"/>
    <x v="2"/>
    <d v="2025-06-20T00:00:00"/>
    <x v="1"/>
    <s v="No"/>
    <s v="No"/>
    <x v="1"/>
    <x v="0"/>
    <s v="No"/>
  </r>
  <r>
    <s v="C1242"/>
    <s v="Deepika Jain"/>
    <s v="Female"/>
    <n v="48"/>
    <x v="2"/>
    <x v="0"/>
    <x v="23"/>
    <n v="1049"/>
    <n v="24127"/>
    <x v="0"/>
    <d v="2023-10-14T00:00:00"/>
    <x v="1"/>
    <s v="No"/>
    <s v="No"/>
    <x v="0"/>
    <x v="1"/>
    <s v="No"/>
  </r>
  <r>
    <s v="C1243"/>
    <s v="Rahul Joshi"/>
    <s v="Unknown"/>
    <n v="59"/>
    <x v="4"/>
    <x v="1"/>
    <x v="36"/>
    <n v="799"/>
    <n v="12784"/>
    <x v="3"/>
    <d v="2024-05-19T00:00:00"/>
    <x v="0"/>
    <s v="No"/>
    <s v="No"/>
    <x v="0"/>
    <x v="0"/>
    <s v="No"/>
  </r>
  <r>
    <s v="C1244"/>
    <s v="Shreya Nair"/>
    <s v="Female"/>
    <n v="69"/>
    <x v="12"/>
    <x v="1"/>
    <x v="20"/>
    <n v="749"/>
    <n v="20972"/>
    <x v="1"/>
    <d v="2023-05-28T00:00:00"/>
    <x v="0"/>
    <s v="No"/>
    <s v="No"/>
    <x v="0"/>
    <x v="0"/>
    <s v="No"/>
  </r>
  <r>
    <s v="C1245"/>
    <s v="Divya Sharma"/>
    <s v="Female"/>
    <n v="63"/>
    <x v="0"/>
    <x v="0"/>
    <x v="24"/>
    <n v="899"/>
    <n v="2697"/>
    <x v="0"/>
    <d v="2025-06-20T00:00:00"/>
    <x v="1"/>
    <s v="No"/>
    <s v="No"/>
    <x v="0"/>
    <x v="0"/>
    <s v="No"/>
  </r>
  <r>
    <s v="C1246"/>
    <s v="Unknown"/>
    <s v="Male"/>
    <n v="34"/>
    <x v="9"/>
    <x v="2"/>
    <x v="43"/>
    <n v="1099"/>
    <n v="45059"/>
    <x v="0"/>
    <d v="2022-05-14T00:00:00"/>
    <x v="0"/>
    <s v="No"/>
    <s v="No"/>
    <x v="0"/>
    <x v="0"/>
    <s v="No"/>
  </r>
  <r>
    <s v="C1247"/>
    <s v="Isha Kapoor"/>
    <s v="Female"/>
    <n v="57"/>
    <x v="8"/>
    <x v="2"/>
    <x v="25"/>
    <n v="1149"/>
    <n v="44811"/>
    <x v="0"/>
    <d v="2022-07-06T00:00:00"/>
    <x v="0"/>
    <s v="No"/>
    <s v="No"/>
    <x v="0"/>
    <x v="0"/>
    <s v="No"/>
  </r>
  <r>
    <s v="C1248"/>
    <s v="Manish Iyer"/>
    <s v="Male"/>
    <n v="25"/>
    <x v="8"/>
    <x v="0"/>
    <x v="17"/>
    <n v="749"/>
    <n v="9737"/>
    <x v="1"/>
    <d v="2024-08-21T00:00:00"/>
    <x v="0"/>
    <s v="No"/>
    <s v="No"/>
    <x v="0"/>
    <x v="0"/>
    <s v="No"/>
  </r>
  <r>
    <s v="C1249"/>
    <s v="Gaurav Chopra"/>
    <s v="Male"/>
    <n v="52"/>
    <x v="14"/>
    <x v="2"/>
    <x v="23"/>
    <n v="499"/>
    <n v="11477"/>
    <x v="2"/>
    <d v="2023-11-03T00:00:00"/>
    <x v="0"/>
    <s v="No"/>
    <s v="No"/>
    <x v="0"/>
    <x v="0"/>
    <s v="No"/>
  </r>
  <r>
    <s v="C1250"/>
    <s v="Shreya Yadav"/>
    <s v="Female"/>
    <n v="21"/>
    <x v="6"/>
    <x v="0"/>
    <x v="13"/>
    <n v="649"/>
    <n v="3245"/>
    <x v="1"/>
    <d v="2025-04-15T00:00:00"/>
    <x v="0"/>
    <s v="No"/>
    <s v="No"/>
    <x v="0"/>
    <x v="0"/>
    <s v="No"/>
  </r>
  <r>
    <s v="C1251"/>
    <s v="Nisha Saxena"/>
    <s v="Female"/>
    <n v="49"/>
    <x v="12"/>
    <x v="1"/>
    <x v="2"/>
    <n v="1149"/>
    <n v="12639"/>
    <x v="0"/>
    <d v="2024-10-26T00:00:00"/>
    <x v="0"/>
    <s v="No"/>
    <s v="No"/>
    <x v="0"/>
    <x v="0"/>
    <s v="No"/>
  </r>
  <r>
    <s v="C1252"/>
    <s v="Sneha Malhotra"/>
    <s v="Female"/>
    <n v="32"/>
    <x v="1"/>
    <x v="0"/>
    <x v="6"/>
    <n v="1299"/>
    <n v="24681"/>
    <x v="0"/>
    <d v="2024-03-04T00:00:00"/>
    <x v="0"/>
    <s v="No"/>
    <s v="Yes"/>
    <x v="0"/>
    <x v="0"/>
    <s v="No"/>
  </r>
  <r>
    <s v="C1253"/>
    <s v="Suresh Mishra"/>
    <s v="Male"/>
    <n v="70"/>
    <x v="2"/>
    <x v="0"/>
    <x v="9"/>
    <n v="1149"/>
    <n v="27576"/>
    <x v="0"/>
    <d v="2023-10-06T00:00:00"/>
    <x v="0"/>
    <s v="No"/>
    <s v="No"/>
    <x v="0"/>
    <x v="0"/>
    <s v="No"/>
  </r>
  <r>
    <s v="C1254"/>
    <s v="Harsh Verma"/>
    <s v="Male"/>
    <n v="46"/>
    <x v="5"/>
    <x v="0"/>
    <x v="8"/>
    <n v="399"/>
    <n v="5985"/>
    <x v="2"/>
    <d v="2024-06-12T00:00:00"/>
    <x v="1"/>
    <s v="No"/>
    <s v="No"/>
    <x v="0"/>
    <x v="1"/>
    <s v="No"/>
  </r>
  <r>
    <s v="C1255"/>
    <s v="Riya Chopra"/>
    <s v="Female"/>
    <n v="45"/>
    <x v="8"/>
    <x v="1"/>
    <x v="33"/>
    <n v="899"/>
    <n v="12586"/>
    <x v="0"/>
    <d v="2024-07-27T00:00:00"/>
    <x v="0"/>
    <s v="No"/>
    <s v="No"/>
    <x v="0"/>
    <x v="0"/>
    <s v="No"/>
  </r>
  <r>
    <s v="C1256"/>
    <s v="Nikhil Pandey"/>
    <s v="Male"/>
    <n v="36"/>
    <x v="5"/>
    <x v="1"/>
    <x v="46"/>
    <n v="349"/>
    <n v="11517"/>
    <x v="2"/>
    <d v="2022-12-19T00:00:00"/>
    <x v="1"/>
    <s v="No"/>
    <s v="No"/>
    <x v="0"/>
    <x v="0"/>
    <s v="No"/>
  </r>
  <r>
    <s v="C1257"/>
    <s v="Sneha Malhotra"/>
    <s v="Female"/>
    <n v="73"/>
    <x v="9"/>
    <x v="0"/>
    <x v="28"/>
    <n v="449"/>
    <n v="3592"/>
    <x v="2"/>
    <d v="2025-01-07T00:00:00"/>
    <x v="0"/>
    <s v="No"/>
    <s v="No"/>
    <x v="0"/>
    <x v="0"/>
    <s v="No"/>
  </r>
  <r>
    <s v="C1258"/>
    <s v="Komal Singh"/>
    <s v="Female"/>
    <n v="54"/>
    <x v="9"/>
    <x v="0"/>
    <x v="8"/>
    <n v="1199"/>
    <n v="17985"/>
    <x v="0"/>
    <d v="2024-06-12T00:00:00"/>
    <x v="1"/>
    <s v="No"/>
    <s v="No"/>
    <x v="0"/>
    <x v="0"/>
    <s v="No"/>
  </r>
  <r>
    <s v="C1259"/>
    <s v="Isha Kapoor"/>
    <s v="Female"/>
    <n v="49"/>
    <x v="2"/>
    <x v="1"/>
    <x v="15"/>
    <n v="449"/>
    <n v="2694"/>
    <x v="2"/>
    <d v="2025-03-07T00:00:00"/>
    <x v="0"/>
    <s v="No"/>
    <s v="No"/>
    <x v="0"/>
    <x v="0"/>
    <s v="No"/>
  </r>
  <r>
    <s v="C1260"/>
    <s v="Deepika Tiwari"/>
    <s v="Female"/>
    <n v="70"/>
    <x v="0"/>
    <x v="0"/>
    <x v="4"/>
    <n v="699"/>
    <n v="6990"/>
    <x v="1"/>
    <d v="2024-11-05T00:00:00"/>
    <x v="1"/>
    <s v="No"/>
    <s v="No"/>
    <x v="0"/>
    <x v="0"/>
    <s v="No"/>
  </r>
  <r>
    <s v="C1261"/>
    <s v="Swati Saxena"/>
    <s v="Female"/>
    <n v="66"/>
    <x v="3"/>
    <x v="0"/>
    <x v="8"/>
    <n v="899"/>
    <n v="13485"/>
    <x v="0"/>
    <d v="2024-07-05T00:00:00"/>
    <x v="1"/>
    <s v="No"/>
    <s v="No"/>
    <x v="0"/>
    <x v="0"/>
    <s v="No"/>
  </r>
  <r>
    <s v="C1262"/>
    <s v="Deepika Pandey"/>
    <s v="Female"/>
    <n v="26"/>
    <x v="9"/>
    <x v="0"/>
    <x v="35"/>
    <n v="449"/>
    <n v="4041"/>
    <x v="2"/>
    <d v="2024-12-21T00:00:00"/>
    <x v="1"/>
    <s v="No"/>
    <s v="No"/>
    <x v="0"/>
    <x v="0"/>
    <s v="No"/>
  </r>
  <r>
    <s v="C1263"/>
    <s v="Amit Rao"/>
    <s v="Male"/>
    <n v="58"/>
    <x v="5"/>
    <x v="1"/>
    <x v="20"/>
    <n v="899"/>
    <n v="25172"/>
    <x v="0"/>
    <d v="2023-05-27T00:00:00"/>
    <x v="1"/>
    <s v="No"/>
    <s v="No"/>
    <x v="0"/>
    <x v="0"/>
    <s v="No"/>
  </r>
  <r>
    <s v="C1264"/>
    <s v="Rohit Bose"/>
    <s v="Male"/>
    <n v="32"/>
    <x v="1"/>
    <x v="1"/>
    <x v="0"/>
    <n v="899"/>
    <n v="19778"/>
    <x v="1"/>
    <d v="2023-11-23T00:00:00"/>
    <x v="0"/>
    <s v="No"/>
    <s v="No"/>
    <x v="0"/>
    <x v="0"/>
    <s v="No"/>
  </r>
  <r>
    <s v="C1265"/>
    <s v="Manish Rao"/>
    <s v="Male"/>
    <n v="23"/>
    <x v="14"/>
    <x v="2"/>
    <x v="53"/>
    <n v="699"/>
    <n v="33552"/>
    <x v="1"/>
    <d v="2021-09-25T00:00:00"/>
    <x v="0"/>
    <s v="No"/>
    <s v="No"/>
    <x v="0"/>
    <x v="0"/>
    <s v="No"/>
  </r>
  <r>
    <s v="C1266"/>
    <s v="Rohit Kumar"/>
    <s v="Male"/>
    <n v="51"/>
    <x v="11"/>
    <x v="0"/>
    <x v="8"/>
    <n v="1199"/>
    <n v="17985"/>
    <x v="0"/>
    <d v="2024-07-01T00:00:00"/>
    <x v="0"/>
    <s v="No"/>
    <s v="No"/>
    <x v="0"/>
    <x v="0"/>
    <s v="No"/>
  </r>
  <r>
    <s v="C1267"/>
    <s v="Riya Saxena"/>
    <s v="Female"/>
    <n v="46"/>
    <x v="6"/>
    <x v="0"/>
    <x v="13"/>
    <n v="549"/>
    <n v="2745"/>
    <x v="2"/>
    <d v="2025-04-20T00:00:00"/>
    <x v="0"/>
    <s v="No"/>
    <s v="No"/>
    <x v="0"/>
    <x v="0"/>
    <s v="No"/>
  </r>
  <r>
    <s v="C1268"/>
    <s v="Swati Singh"/>
    <s v="Female"/>
    <n v="33"/>
    <x v="5"/>
    <x v="1"/>
    <x v="25"/>
    <n v="799"/>
    <n v="31161"/>
    <x v="1"/>
    <d v="2022-06-24T00:00:00"/>
    <x v="0"/>
    <s v="No"/>
    <s v="No"/>
    <x v="0"/>
    <x v="0"/>
    <s v="No"/>
  </r>
  <r>
    <s v="C1269"/>
    <s v="Harsh Mehta"/>
    <s v="Male"/>
    <n v="51"/>
    <x v="11"/>
    <x v="0"/>
    <x v="4"/>
    <n v="899"/>
    <n v="8990"/>
    <x v="0"/>
    <d v="2024-11-29T00:00:00"/>
    <x v="0"/>
    <s v="No"/>
    <s v="No"/>
    <x v="0"/>
    <x v="0"/>
    <s v="No"/>
  </r>
  <r>
    <s v="C1270"/>
    <s v="Gaurav Chopra"/>
    <s v="Male"/>
    <n v="56"/>
    <x v="4"/>
    <x v="0"/>
    <x v="16"/>
    <n v="499"/>
    <n v="5988"/>
    <x v="2"/>
    <d v="2024-09-15T00:00:00"/>
    <x v="0"/>
    <s v="No"/>
    <s v="No"/>
    <x v="0"/>
    <x v="0"/>
    <s v="No"/>
  </r>
  <r>
    <s v="C1271"/>
    <s v="Unknown"/>
    <s v="Female"/>
    <n v="61"/>
    <x v="8"/>
    <x v="1"/>
    <x v="13"/>
    <m/>
    <m/>
    <x v="2"/>
    <d v="2025-04-25T00:00:00"/>
    <x v="1"/>
    <s v="No"/>
    <s v="No"/>
    <x v="0"/>
    <x v="0"/>
    <s v="Monthly missing; Total missing"/>
  </r>
  <r>
    <s v="C1272"/>
    <s v="Amit Rao"/>
    <s v="Male"/>
    <n v="50"/>
    <x v="5"/>
    <x v="1"/>
    <x v="19"/>
    <n v="1199"/>
    <n v="32373"/>
    <x v="0"/>
    <d v="2023-06-24T00:00:00"/>
    <x v="1"/>
    <s v="No"/>
    <s v="No"/>
    <x v="0"/>
    <x v="0"/>
    <s v="No"/>
  </r>
  <r>
    <s v="C1273"/>
    <s v="Suresh Kumar"/>
    <s v="Male"/>
    <n v="37"/>
    <x v="4"/>
    <x v="0"/>
    <x v="13"/>
    <n v="799"/>
    <n v="3995"/>
    <x v="1"/>
    <d v="2025-04-07T00:00:00"/>
    <x v="0"/>
    <s v="No"/>
    <s v="No"/>
    <x v="0"/>
    <x v="0"/>
    <s v="No"/>
  </r>
  <r>
    <s v="C1274"/>
    <s v="Harsh Pandey"/>
    <s v="Male"/>
    <n v="45"/>
    <x v="14"/>
    <x v="2"/>
    <x v="47"/>
    <n v="599"/>
    <n v="19168"/>
    <x v="1"/>
    <d v="2023-01-23T00:00:00"/>
    <x v="0"/>
    <s v="No"/>
    <s v="No"/>
    <x v="0"/>
    <x v="0"/>
    <s v="No"/>
  </r>
  <r>
    <s v="C1275"/>
    <s v="Harsh Saxena"/>
    <s v="Male"/>
    <n v="65"/>
    <x v="10"/>
    <x v="1"/>
    <x v="35"/>
    <n v="849"/>
    <n v="7641"/>
    <x v="1"/>
    <d v="2024-12-21T00:00:00"/>
    <x v="0"/>
    <s v="No"/>
    <s v="No"/>
    <x v="0"/>
    <x v="0"/>
    <s v="No"/>
  </r>
  <r>
    <s v="C1276"/>
    <s v="Meera Patel"/>
    <s v="Female"/>
    <n v="26"/>
    <x v="14"/>
    <x v="1"/>
    <x v="28"/>
    <n v="899"/>
    <n v="7192"/>
    <x v="1"/>
    <d v="2025-01-23T00:00:00"/>
    <x v="0"/>
    <s v="No"/>
    <s v="No"/>
    <x v="0"/>
    <x v="0"/>
    <s v="No"/>
  </r>
  <r>
    <s v="C1277"/>
    <s v="Suresh Pandey"/>
    <s v="Male"/>
    <n v="54"/>
    <x v="10"/>
    <x v="0"/>
    <x v="16"/>
    <n v="1099"/>
    <n v="13188"/>
    <x v="0"/>
    <d v="2024-09-28T00:00:00"/>
    <x v="1"/>
    <s v="No"/>
    <s v="No"/>
    <x v="0"/>
    <x v="0"/>
    <s v="No"/>
  </r>
  <r>
    <s v="C1278"/>
    <s v="Anjali Bose"/>
    <s v="Female"/>
    <n v="61"/>
    <x v="10"/>
    <x v="0"/>
    <x v="21"/>
    <n v="1299"/>
    <n v="1299"/>
    <x v="0"/>
    <d v="2025-08-14T00:00:00"/>
    <x v="1"/>
    <s v="No"/>
    <s v="No"/>
    <x v="0"/>
    <x v="0"/>
    <s v="No"/>
  </r>
  <r>
    <s v="C1279"/>
    <s v="Divya Singh"/>
    <s v="Female"/>
    <n v="29"/>
    <x v="6"/>
    <x v="0"/>
    <x v="23"/>
    <n v="499"/>
    <n v="11477"/>
    <x v="2"/>
    <d v="2023-11-01T00:00:00"/>
    <x v="1"/>
    <s v="No"/>
    <s v="No"/>
    <x v="0"/>
    <x v="0"/>
    <s v="No"/>
  </r>
  <r>
    <s v="C1280"/>
    <s v="Swati Malhotra"/>
    <s v="Female"/>
    <n v="70"/>
    <x v="4"/>
    <x v="1"/>
    <x v="32"/>
    <n v="649"/>
    <n v="2596"/>
    <x v="3"/>
    <d v="2025-05-19T00:00:00"/>
    <x v="0"/>
    <s v="No"/>
    <s v="No"/>
    <x v="0"/>
    <x v="0"/>
    <s v="No"/>
  </r>
  <r>
    <s v="C1281"/>
    <s v="Ankit Iyer"/>
    <s v="Male"/>
    <n v="67"/>
    <x v="6"/>
    <x v="0"/>
    <x v="8"/>
    <n v="599"/>
    <n v="8985"/>
    <x v="1"/>
    <d v="2024-06-10T00:00:00"/>
    <x v="1"/>
    <s v="No"/>
    <s v="No"/>
    <x v="0"/>
    <x v="0"/>
    <s v="No"/>
  </r>
  <r>
    <s v="C1282"/>
    <s v="Riya Nair"/>
    <s v="Female"/>
    <n v="47"/>
    <x v="2"/>
    <x v="1"/>
    <x v="17"/>
    <n v="1149"/>
    <n v="14937"/>
    <x v="0"/>
    <d v="2024-08-05T00:00:00"/>
    <x v="1"/>
    <s v="No"/>
    <s v="No"/>
    <x v="0"/>
    <x v="1"/>
    <s v="No"/>
  </r>
  <r>
    <s v="C1283"/>
    <s v="Priya Nair"/>
    <s v="Female"/>
    <n v="52"/>
    <x v="2"/>
    <x v="1"/>
    <x v="21"/>
    <n v="899"/>
    <n v="899"/>
    <x v="0"/>
    <d v="2025-08-06T00:00:00"/>
    <x v="0"/>
    <s v="No"/>
    <s v="No"/>
    <x v="0"/>
    <x v="0"/>
    <s v="No"/>
  </r>
  <r>
    <s v="C1284"/>
    <s v="Unknown"/>
    <s v="Unknown"/>
    <n v="51"/>
    <x v="0"/>
    <x v="0"/>
    <x v="13"/>
    <n v="349"/>
    <n v="1745"/>
    <x v="2"/>
    <d v="2025-04-24T00:00:00"/>
    <x v="1"/>
    <s v="No"/>
    <s v="No"/>
    <x v="0"/>
    <x v="0"/>
    <s v="No"/>
  </r>
  <r>
    <s v="C1285"/>
    <s v="Isha Kapoor"/>
    <s v="Female"/>
    <n v="65"/>
    <x v="4"/>
    <x v="1"/>
    <x v="42"/>
    <n v="1149"/>
    <n v="29874"/>
    <x v="0"/>
    <d v="2023-07-20T00:00:00"/>
    <x v="1"/>
    <s v="No"/>
    <s v="No"/>
    <x v="0"/>
    <x v="0"/>
    <s v="No"/>
  </r>
  <r>
    <s v="C1286"/>
    <s v="Manish Iyer"/>
    <s v="Male"/>
    <n v="34"/>
    <x v="6"/>
    <x v="0"/>
    <x v="23"/>
    <n v="449"/>
    <n v="10327"/>
    <x v="2"/>
    <d v="2023-10-31T00:00:00"/>
    <x v="1"/>
    <s v="No"/>
    <s v="No"/>
    <x v="0"/>
    <x v="0"/>
    <s v="No"/>
  </r>
  <r>
    <s v="C1287"/>
    <s v="Vikram Mehta"/>
    <s v="Male"/>
    <n v="26"/>
    <x v="13"/>
    <x v="1"/>
    <x v="27"/>
    <n v="649"/>
    <n v="4543"/>
    <x v="1"/>
    <d v="2025-02-27T00:00:00"/>
    <x v="0"/>
    <s v="No"/>
    <s v="No"/>
    <x v="0"/>
    <x v="0"/>
    <s v="No"/>
  </r>
  <r>
    <s v="C1288"/>
    <s v="Deepika Kapoor"/>
    <s v="Female"/>
    <n v="37"/>
    <x v="7"/>
    <x v="0"/>
    <x v="15"/>
    <n v="899"/>
    <n v="5394"/>
    <x v="1"/>
    <d v="2025-03-10T00:00:00"/>
    <x v="0"/>
    <s v="No"/>
    <s v="No"/>
    <x v="0"/>
    <x v="0"/>
    <s v="No"/>
  </r>
  <r>
    <s v="C1289"/>
    <s v="Sanjay Joshi"/>
    <s v="Male"/>
    <n v="27"/>
    <x v="4"/>
    <x v="1"/>
    <x v="42"/>
    <n v="449"/>
    <n v="11674"/>
    <x v="2"/>
    <d v="2023-08-05T00:00:00"/>
    <x v="0"/>
    <s v="No"/>
    <s v="No"/>
    <x v="0"/>
    <x v="0"/>
    <s v="No"/>
  </r>
  <r>
    <s v="C1290"/>
    <s v="Deepak Kapoor"/>
    <s v="Male"/>
    <n v="53"/>
    <x v="14"/>
    <x v="1"/>
    <x v="27"/>
    <n v="899"/>
    <n v="6293"/>
    <x v="1"/>
    <d v="2025-03-01T00:00:00"/>
    <x v="1"/>
    <s v="No"/>
    <s v="No"/>
    <x v="0"/>
    <x v="0"/>
    <s v="No"/>
  </r>
  <r>
    <s v="C1291"/>
    <s v="Rohit Mehta"/>
    <s v="Male"/>
    <n v="70"/>
    <x v="12"/>
    <x v="0"/>
    <x v="26"/>
    <n v="1149"/>
    <n v="24129"/>
    <x v="0"/>
    <d v="2023-12-12T00:00:00"/>
    <x v="1"/>
    <s v="No"/>
    <s v="No"/>
    <x v="0"/>
    <x v="0"/>
    <s v="No"/>
  </r>
  <r>
    <s v="C1292"/>
    <s v="Rahul Kumar"/>
    <s v="Male"/>
    <n v="30"/>
    <x v="9"/>
    <x v="0"/>
    <x v="2"/>
    <n v="599"/>
    <n v="6589"/>
    <x v="1"/>
    <d v="2024-10-04T00:00:00"/>
    <x v="1"/>
    <s v="No"/>
    <s v="No"/>
    <x v="0"/>
    <x v="0"/>
    <s v="No"/>
  </r>
  <r>
    <s v="C1293"/>
    <s v="Divya Desai"/>
    <s v="Female"/>
    <n v="19"/>
    <x v="12"/>
    <x v="1"/>
    <x v="33"/>
    <n v="649"/>
    <n v="9086"/>
    <x v="1"/>
    <d v="2024-07-31T00:00:00"/>
    <x v="0"/>
    <s v="No"/>
    <s v="No"/>
    <x v="0"/>
    <x v="0"/>
    <s v="No"/>
  </r>
  <r>
    <s v="C1294"/>
    <s v="Pankaj Yadav"/>
    <s v="Male"/>
    <n v="57"/>
    <x v="0"/>
    <x v="1"/>
    <x v="37"/>
    <n v="899"/>
    <n v="32364"/>
    <x v="0"/>
    <d v="2022-10-10T00:00:00"/>
    <x v="0"/>
    <s v="No"/>
    <s v="No"/>
    <x v="0"/>
    <x v="1"/>
    <s v="No"/>
  </r>
  <r>
    <s v="C1295"/>
    <s v="Deepika Chopra"/>
    <s v="Unknown"/>
    <n v="74"/>
    <x v="13"/>
    <x v="0"/>
    <x v="30"/>
    <n v="899"/>
    <n v="16182"/>
    <x v="0"/>
    <d v="2024-03-26T00:00:00"/>
    <x v="0"/>
    <s v="No"/>
    <s v="No"/>
    <x v="0"/>
    <x v="0"/>
    <s v="No"/>
  </r>
  <r>
    <s v="C1296"/>
    <s v="Sonal Desai"/>
    <s v="Female"/>
    <n v="40"/>
    <x v="11"/>
    <x v="0"/>
    <x v="15"/>
    <n v="1049"/>
    <n v="6294"/>
    <x v="0"/>
    <d v="2025-03-04T00:00:00"/>
    <x v="1"/>
    <s v="No"/>
    <s v="No"/>
    <x v="0"/>
    <x v="0"/>
    <s v="No"/>
  </r>
  <r>
    <s v="C1297"/>
    <s v="Sneha Desai"/>
    <s v="Female"/>
    <n v="51"/>
    <x v="2"/>
    <x v="1"/>
    <x v="2"/>
    <n v="399"/>
    <n v="4389"/>
    <x v="2"/>
    <d v="2024-10-07T00:00:00"/>
    <x v="0"/>
    <s v="No"/>
    <s v="No"/>
    <x v="1"/>
    <x v="0"/>
    <s v="No"/>
  </r>
  <r>
    <s v="C1298"/>
    <s v="Manish Bose"/>
    <s v="Male"/>
    <n v="72"/>
    <x v="13"/>
    <x v="0"/>
    <x v="15"/>
    <n v="549"/>
    <n v="3294"/>
    <x v="2"/>
    <d v="2025-03-09T00:00:00"/>
    <x v="1"/>
    <s v="No"/>
    <s v="No"/>
    <x v="0"/>
    <x v="0"/>
    <s v="No"/>
  </r>
  <r>
    <s v="C1299"/>
    <s v="Tanvi Sharma"/>
    <s v="Female"/>
    <n v="63"/>
    <x v="14"/>
    <x v="0"/>
    <x v="13"/>
    <n v="999"/>
    <n v="4995"/>
    <x v="0"/>
    <d v="2025-04-26T00:00:00"/>
    <x v="1"/>
    <s v="No"/>
    <s v="No"/>
    <x v="0"/>
    <x v="0"/>
    <s v="No"/>
  </r>
  <r>
    <s v="C1300"/>
    <s v="Sneha Kumar"/>
    <s v="Female"/>
    <n v="21"/>
    <x v="0"/>
    <x v="1"/>
    <x v="45"/>
    <n v="599"/>
    <n v="18569"/>
    <x v="1"/>
    <d v="2023-03-09T00:00:00"/>
    <x v="0"/>
    <s v="No"/>
    <s v="No"/>
    <x v="0"/>
    <x v="0"/>
    <s v="No"/>
  </r>
  <r>
    <s v="C1301"/>
    <s v="Meera Joshi"/>
    <s v="Female"/>
    <n v="21"/>
    <x v="3"/>
    <x v="0"/>
    <x v="13"/>
    <n v="899"/>
    <n v="4495"/>
    <x v="0"/>
    <d v="2025-04-29T00:00:00"/>
    <x v="0"/>
    <s v="No"/>
    <s v="No"/>
    <x v="0"/>
    <x v="0"/>
    <s v="No"/>
  </r>
  <r>
    <s v="C1302"/>
    <s v="Divya Bose"/>
    <s v="Female"/>
    <n v="24"/>
    <x v="2"/>
    <x v="0"/>
    <x v="15"/>
    <n v="849"/>
    <n v="5094"/>
    <x v="1"/>
    <d v="2025-03-27T00:00:00"/>
    <x v="0"/>
    <s v="No"/>
    <s v="No"/>
    <x v="0"/>
    <x v="1"/>
    <s v="No"/>
  </r>
  <r>
    <s v="C1303"/>
    <s v="Ritu Saxena"/>
    <s v="Female"/>
    <n v="55"/>
    <x v="6"/>
    <x v="0"/>
    <x v="23"/>
    <n v="699"/>
    <n v="16077"/>
    <x v="1"/>
    <d v="2023-10-17T00:00:00"/>
    <x v="0"/>
    <s v="No"/>
    <s v="No"/>
    <x v="0"/>
    <x v="0"/>
    <s v="No"/>
  </r>
  <r>
    <s v="C1304"/>
    <s v="Tanvi Verma"/>
    <s v="Female"/>
    <n v="29"/>
    <x v="11"/>
    <x v="0"/>
    <x v="11"/>
    <m/>
    <m/>
    <x v="2"/>
    <m/>
    <x v="1"/>
    <s v="No"/>
    <s v="No"/>
    <x v="0"/>
    <x v="0"/>
    <s v="Monthly missing; Total missing; Date missing"/>
  </r>
  <r>
    <s v="C1305"/>
    <s v="Nikhil Agarwal"/>
    <s v="Male"/>
    <n v="22"/>
    <x v="10"/>
    <x v="0"/>
    <x v="26"/>
    <n v="599"/>
    <n v="12579"/>
    <x v="1"/>
    <d v="2023-12-30T00:00:00"/>
    <x v="0"/>
    <s v="No"/>
    <s v="No"/>
    <x v="0"/>
    <x v="0"/>
    <s v="No"/>
  </r>
  <r>
    <s v="C1306"/>
    <s v="Manish Pandey"/>
    <s v="Male"/>
    <n v="22"/>
    <x v="10"/>
    <x v="0"/>
    <x v="21"/>
    <n v="599"/>
    <n v="599"/>
    <x v="1"/>
    <d v="2025-08-24T00:00:00"/>
    <x v="0"/>
    <s v="No"/>
    <s v="No"/>
    <x v="0"/>
    <x v="0"/>
    <s v="No"/>
  </r>
  <r>
    <s v="C1307"/>
    <s v="Komal Rao"/>
    <s v="Female"/>
    <n v="40"/>
    <x v="1"/>
    <x v="0"/>
    <x v="6"/>
    <n v="399"/>
    <n v="7581"/>
    <x v="2"/>
    <d v="2024-03-05T00:00:00"/>
    <x v="1"/>
    <s v="No"/>
    <s v="No"/>
    <x v="0"/>
    <x v="0"/>
    <s v="No"/>
  </r>
  <r>
    <s v="C1308"/>
    <s v="Harsh Sharma"/>
    <s v="Male"/>
    <n v="47"/>
    <x v="5"/>
    <x v="2"/>
    <x v="0"/>
    <n v="749"/>
    <n v="16478"/>
    <x v="1"/>
    <d v="2023-11-10T00:00:00"/>
    <x v="0"/>
    <s v="Yes"/>
    <s v="No"/>
    <x v="0"/>
    <x v="1"/>
    <s v="No"/>
  </r>
  <r>
    <s v="C1309"/>
    <s v="Nikhil Yadav"/>
    <s v="Male"/>
    <n v="57"/>
    <x v="7"/>
    <x v="1"/>
    <x v="2"/>
    <n v="1099"/>
    <n v="12089"/>
    <x v="0"/>
    <d v="2024-10-23T00:00:00"/>
    <x v="1"/>
    <s v="No"/>
    <s v="No"/>
    <x v="0"/>
    <x v="0"/>
    <s v="No"/>
  </r>
  <r>
    <s v="C1310"/>
    <s v="Sanjay Tiwari"/>
    <s v="Male"/>
    <n v="62"/>
    <x v="1"/>
    <x v="1"/>
    <x v="10"/>
    <m/>
    <m/>
    <x v="0"/>
    <d v="2024-05-05T00:00:00"/>
    <x v="0"/>
    <s v="No"/>
    <s v="No"/>
    <x v="0"/>
    <x v="0"/>
    <s v="Monthly missing; Total missing"/>
  </r>
  <r>
    <s v="C1311"/>
    <s v="Tanvi Mishra"/>
    <s v="Female"/>
    <n v="71"/>
    <x v="7"/>
    <x v="0"/>
    <x v="33"/>
    <n v="1049"/>
    <n v="14686"/>
    <x v="0"/>
    <d v="2024-08-01T00:00:00"/>
    <x v="0"/>
    <s v="No"/>
    <s v="No"/>
    <x v="0"/>
    <x v="0"/>
    <s v="No"/>
  </r>
  <r>
    <s v="C1312"/>
    <s v="Sanjay Gupta"/>
    <s v="Male"/>
    <n v="58"/>
    <x v="5"/>
    <x v="2"/>
    <x v="8"/>
    <n v="1299"/>
    <n v="19485"/>
    <x v="0"/>
    <d v="2024-06-07T00:00:00"/>
    <x v="0"/>
    <s v="No"/>
    <s v="No"/>
    <x v="0"/>
    <x v="0"/>
    <s v="No"/>
  </r>
  <r>
    <s v="C1313"/>
    <s v="Neha Chopra"/>
    <s v="Female"/>
    <n v="52"/>
    <x v="12"/>
    <x v="0"/>
    <x v="16"/>
    <n v="349"/>
    <n v="4188"/>
    <x v="2"/>
    <d v="2024-09-19T00:00:00"/>
    <x v="1"/>
    <s v="No"/>
    <s v="No"/>
    <x v="0"/>
    <x v="0"/>
    <s v="No"/>
  </r>
  <r>
    <s v="C1314"/>
    <s v="Ritu Malhotra"/>
    <s v="Female"/>
    <n v="54"/>
    <x v="3"/>
    <x v="0"/>
    <x v="32"/>
    <n v="1199"/>
    <n v="4796"/>
    <x v="0"/>
    <d v="2025-05-18T00:00:00"/>
    <x v="0"/>
    <s v="No"/>
    <s v="No"/>
    <x v="0"/>
    <x v="0"/>
    <s v="No"/>
  </r>
  <r>
    <s v="C1315"/>
    <s v="Sachin Verma"/>
    <s v="Male"/>
    <n v="71"/>
    <x v="12"/>
    <x v="2"/>
    <x v="54"/>
    <n v="1299"/>
    <n v="89631"/>
    <x v="0"/>
    <d v="2020-01-21T00:00:00"/>
    <x v="0"/>
    <s v="No"/>
    <s v="No"/>
    <x v="0"/>
    <x v="0"/>
    <s v="No"/>
  </r>
  <r>
    <s v="C1316"/>
    <s v="Aditi Kumar"/>
    <s v="Unknown"/>
    <n v="43"/>
    <x v="6"/>
    <x v="1"/>
    <x v="29"/>
    <n v="1149"/>
    <n v="39066"/>
    <x v="0"/>
    <d v="2022-11-19T00:00:00"/>
    <x v="1"/>
    <s v="No"/>
    <s v="No"/>
    <x v="0"/>
    <x v="0"/>
    <s v="No"/>
  </r>
  <r>
    <s v="C1317"/>
    <s v="Meera Gupta"/>
    <s v="Female"/>
    <n v="31"/>
    <x v="13"/>
    <x v="0"/>
    <x v="24"/>
    <n v="849"/>
    <n v="2547"/>
    <x v="1"/>
    <d v="2025-06-10T00:00:00"/>
    <x v="0"/>
    <s v="No"/>
    <s v="No"/>
    <x v="0"/>
    <x v="0"/>
    <s v="No"/>
  </r>
  <r>
    <s v="C1318"/>
    <s v="Pankaj Malhotra"/>
    <s v="Male"/>
    <n v="38"/>
    <x v="14"/>
    <x v="2"/>
    <x v="41"/>
    <n v="799"/>
    <n v="39950"/>
    <x v="1"/>
    <d v="2021-08-12T00:00:00"/>
    <x v="0"/>
    <s v="No"/>
    <s v="No"/>
    <x v="0"/>
    <x v="0"/>
    <s v="No"/>
  </r>
  <r>
    <s v="C1319"/>
    <s v="Priya Pandey"/>
    <s v="Female"/>
    <n v="57"/>
    <x v="11"/>
    <x v="0"/>
    <x v="33"/>
    <n v="999"/>
    <n v="13986"/>
    <x v="0"/>
    <d v="2024-07-11T00:00:00"/>
    <x v="0"/>
    <s v="No"/>
    <s v="No"/>
    <x v="0"/>
    <x v="0"/>
    <s v="No"/>
  </r>
  <r>
    <s v="C1320"/>
    <s v="Karan Bose"/>
    <s v="Male"/>
    <n v="67"/>
    <x v="4"/>
    <x v="1"/>
    <x v="23"/>
    <n v="499"/>
    <n v="11477"/>
    <x v="2"/>
    <d v="2023-10-21T00:00:00"/>
    <x v="0"/>
    <s v="No"/>
    <s v="No"/>
    <x v="0"/>
    <x v="0"/>
    <s v="No"/>
  </r>
  <r>
    <s v="C1321"/>
    <s v="Sneha Gupta"/>
    <s v="Female"/>
    <n v="35"/>
    <x v="12"/>
    <x v="0"/>
    <x v="23"/>
    <n v="899"/>
    <n v="20677"/>
    <x v="0"/>
    <d v="2023-10-29T00:00:00"/>
    <x v="0"/>
    <s v="No"/>
    <s v="No"/>
    <x v="0"/>
    <x v="0"/>
    <s v="No"/>
  </r>
  <r>
    <s v="C1322"/>
    <s v="Amit Agarwal"/>
    <s v="Male"/>
    <n v="48"/>
    <x v="5"/>
    <x v="2"/>
    <x v="25"/>
    <n v="699"/>
    <n v="27261"/>
    <x v="1"/>
    <d v="2022-06-25T00:00:00"/>
    <x v="0"/>
    <s v="No"/>
    <s v="No"/>
    <x v="0"/>
    <x v="0"/>
    <s v="No"/>
  </r>
  <r>
    <s v="C1323"/>
    <s v="Manish Singh"/>
    <s v="Male"/>
    <n v="37"/>
    <x v="14"/>
    <x v="0"/>
    <x v="35"/>
    <n v="549"/>
    <n v="4941"/>
    <x v="3"/>
    <d v="2024-12-26T00:00:00"/>
    <x v="0"/>
    <s v="No"/>
    <s v="No"/>
    <x v="0"/>
    <x v="1"/>
    <s v="No"/>
  </r>
  <r>
    <s v="C1324"/>
    <s v="Deepika Tiwari"/>
    <s v="Female"/>
    <n v="65"/>
    <x v="7"/>
    <x v="3"/>
    <x v="32"/>
    <n v="399"/>
    <n v="1596"/>
    <x v="2"/>
    <d v="2025-05-09T00:00:00"/>
    <x v="1"/>
    <s v="No"/>
    <s v="No"/>
    <x v="0"/>
    <x v="0"/>
    <s v="No"/>
  </r>
  <r>
    <s v="C1325"/>
    <s v="Unknown"/>
    <s v="Female"/>
    <n v="74"/>
    <x v="11"/>
    <x v="0"/>
    <x v="27"/>
    <n v="899"/>
    <n v="6293"/>
    <x v="1"/>
    <d v="2025-03-01T00:00:00"/>
    <x v="1"/>
    <s v="No"/>
    <s v="No"/>
    <x v="0"/>
    <x v="1"/>
    <s v="No"/>
  </r>
  <r>
    <s v="C1326"/>
    <s v="Deepika Malhotra"/>
    <s v="Female"/>
    <n v="41"/>
    <x v="6"/>
    <x v="0"/>
    <x v="32"/>
    <n v="899"/>
    <n v="3596"/>
    <x v="0"/>
    <d v="2025-05-12T00:00:00"/>
    <x v="1"/>
    <s v="No"/>
    <s v="No"/>
    <x v="0"/>
    <x v="1"/>
    <s v="No"/>
  </r>
  <r>
    <s v="C1327"/>
    <s v="Meera Desai"/>
    <s v="Female"/>
    <n v="55"/>
    <x v="1"/>
    <x v="0"/>
    <x v="35"/>
    <n v="849"/>
    <n v="7641"/>
    <x v="1"/>
    <d v="2024-12-20T00:00:00"/>
    <x v="1"/>
    <s v="No"/>
    <s v="No"/>
    <x v="0"/>
    <x v="0"/>
    <s v="No"/>
  </r>
  <r>
    <s v="C1328"/>
    <s v="Arjun Bose"/>
    <s v="Male"/>
    <n v="67"/>
    <x v="0"/>
    <x v="2"/>
    <x v="19"/>
    <n v="1199"/>
    <n v="32373"/>
    <x v="0"/>
    <d v="2023-06-14T00:00:00"/>
    <x v="0"/>
    <s v="No"/>
    <s v="No"/>
    <x v="0"/>
    <x v="0"/>
    <s v="No"/>
  </r>
  <r>
    <s v="C1329"/>
    <s v="Gaurav Singh"/>
    <s v="Male"/>
    <n v="59"/>
    <x v="8"/>
    <x v="1"/>
    <x v="10"/>
    <n v="799"/>
    <n v="13583"/>
    <x v="1"/>
    <d v="2024-04-14T00:00:00"/>
    <x v="0"/>
    <s v="No"/>
    <s v="No"/>
    <x v="0"/>
    <x v="0"/>
    <s v="No"/>
  </r>
  <r>
    <s v="C1330"/>
    <s v="Nisha Rao"/>
    <s v="Female"/>
    <n v="72"/>
    <x v="2"/>
    <x v="0"/>
    <x v="4"/>
    <n v="849"/>
    <n v="8490"/>
    <x v="1"/>
    <d v="2024-11-29T00:00:00"/>
    <x v="2"/>
    <s v="No"/>
    <s v="No"/>
    <x v="0"/>
    <x v="0"/>
    <s v="Churn unknown"/>
  </r>
  <r>
    <s v="C1331"/>
    <s v="Mohit Saxena"/>
    <s v="Male"/>
    <n v="71"/>
    <x v="6"/>
    <x v="0"/>
    <x v="11"/>
    <n v="1049"/>
    <n v="20980"/>
    <x v="0"/>
    <d v="2024-01-27T00:00:00"/>
    <x v="0"/>
    <s v="No"/>
    <s v="No"/>
    <x v="0"/>
    <x v="0"/>
    <s v="No"/>
  </r>
  <r>
    <s v="C1332"/>
    <s v="Swati Malhotra"/>
    <s v="Female"/>
    <n v="34"/>
    <x v="9"/>
    <x v="1"/>
    <x v="11"/>
    <n v="549"/>
    <n v="10980"/>
    <x v="2"/>
    <m/>
    <x v="0"/>
    <s v="No"/>
    <s v="No"/>
    <x v="0"/>
    <x v="0"/>
    <s v="Date missing"/>
  </r>
  <r>
    <s v="C1333"/>
    <s v="Pankaj Rao"/>
    <s v="Male"/>
    <n v="60"/>
    <x v="2"/>
    <x v="1"/>
    <x v="47"/>
    <n v="1049"/>
    <n v="33568"/>
    <x v="0"/>
    <d v="2023-01-19T00:00:00"/>
    <x v="0"/>
    <s v="No"/>
    <s v="No"/>
    <x v="0"/>
    <x v="0"/>
    <s v="No"/>
  </r>
  <r>
    <s v="C1334"/>
    <s v="Rajesh Pandey"/>
    <s v="Male"/>
    <n v="54"/>
    <x v="6"/>
    <x v="0"/>
    <x v="28"/>
    <n v="1149"/>
    <n v="9192"/>
    <x v="0"/>
    <d v="2025-01-10T00:00:00"/>
    <x v="0"/>
    <s v="No"/>
    <s v="No"/>
    <x v="1"/>
    <x v="0"/>
    <s v="No"/>
  </r>
  <r>
    <s v="C1335"/>
    <s v="Unknown"/>
    <s v="Female"/>
    <n v="72"/>
    <x v="8"/>
    <x v="2"/>
    <x v="9"/>
    <n v="499"/>
    <n v="11976"/>
    <x v="2"/>
    <d v="2023-10-01T00:00:00"/>
    <x v="0"/>
    <s v="No"/>
    <s v="No"/>
    <x v="0"/>
    <x v="0"/>
    <s v="No"/>
  </r>
  <r>
    <s v="C1336"/>
    <s v="Nikhil Chopra"/>
    <s v="Male"/>
    <n v="23"/>
    <x v="0"/>
    <x v="0"/>
    <x v="4"/>
    <n v="1299"/>
    <n v="12990"/>
    <x v="0"/>
    <d v="2024-11-14T00:00:00"/>
    <x v="1"/>
    <s v="No"/>
    <s v="No"/>
    <x v="0"/>
    <x v="0"/>
    <s v="No"/>
  </r>
  <r>
    <s v="C1337"/>
    <s v="Shreya Reddy"/>
    <s v="Female"/>
    <n v="48"/>
    <x v="3"/>
    <x v="2"/>
    <x v="4"/>
    <n v="999"/>
    <n v="9990"/>
    <x v="0"/>
    <m/>
    <x v="1"/>
    <s v="No"/>
    <s v="No"/>
    <x v="0"/>
    <x v="0"/>
    <s v="Date missing"/>
  </r>
  <r>
    <s v="C1338"/>
    <s v="Payal Iyer"/>
    <s v="Female"/>
    <n v="44"/>
    <x v="3"/>
    <x v="2"/>
    <x v="42"/>
    <n v="699"/>
    <n v="18174"/>
    <x v="1"/>
    <d v="2023-07-27T00:00:00"/>
    <x v="0"/>
    <s v="No"/>
    <s v="No"/>
    <x v="0"/>
    <x v="0"/>
    <s v="No"/>
  </r>
  <r>
    <s v="C1339"/>
    <s v="Nikhil Pandey"/>
    <s v="Male"/>
    <n v="29"/>
    <x v="13"/>
    <x v="0"/>
    <x v="15"/>
    <n v="699"/>
    <n v="4194"/>
    <x v="1"/>
    <d v="2025-03-24T00:00:00"/>
    <x v="1"/>
    <s v="No"/>
    <s v="Yes"/>
    <x v="0"/>
    <x v="0"/>
    <s v="No"/>
  </r>
  <r>
    <s v="C1340"/>
    <s v="Arjun Bose"/>
    <s v="Male"/>
    <n v="66"/>
    <x v="8"/>
    <x v="0"/>
    <x v="24"/>
    <n v="1149"/>
    <n v="3447"/>
    <x v="0"/>
    <d v="2025-06-18T00:00:00"/>
    <x v="0"/>
    <s v="No"/>
    <s v="No"/>
    <x v="0"/>
    <x v="0"/>
    <s v="No"/>
  </r>
  <r>
    <s v="C1341"/>
    <s v="Komal Rao"/>
    <s v="Female"/>
    <n v="18"/>
    <x v="3"/>
    <x v="0"/>
    <x v="21"/>
    <n v="1299"/>
    <n v="1299"/>
    <x v="0"/>
    <d v="2025-08-08T00:00:00"/>
    <x v="1"/>
    <s v="No"/>
    <s v="No"/>
    <x v="0"/>
    <x v="0"/>
    <s v="No"/>
  </r>
  <r>
    <s v="C1342"/>
    <s v="Manish Nair"/>
    <s v="Male"/>
    <n v="62"/>
    <x v="2"/>
    <x v="0"/>
    <x v="10"/>
    <n v="799"/>
    <n v="13583"/>
    <x v="1"/>
    <d v="2024-05-05T00:00:00"/>
    <x v="1"/>
    <s v="No"/>
    <s v="No"/>
    <x v="0"/>
    <x v="0"/>
    <s v="No"/>
  </r>
  <r>
    <s v="C1343"/>
    <s v="Aditi Kapoor"/>
    <s v="Female"/>
    <n v="64"/>
    <x v="1"/>
    <x v="1"/>
    <x v="35"/>
    <n v="699"/>
    <n v="6291"/>
    <x v="1"/>
    <d v="2024-12-27T00:00:00"/>
    <x v="0"/>
    <s v="No"/>
    <s v="No"/>
    <x v="0"/>
    <x v="0"/>
    <s v="No"/>
  </r>
  <r>
    <s v="C1344"/>
    <s v="Priya Nair"/>
    <s v="Female"/>
    <n v="32"/>
    <x v="14"/>
    <x v="2"/>
    <x v="24"/>
    <n v="799"/>
    <n v="2397"/>
    <x v="1"/>
    <d v="2025-06-08T00:00:00"/>
    <x v="1"/>
    <s v="No"/>
    <s v="No"/>
    <x v="0"/>
    <x v="0"/>
    <s v="No"/>
  </r>
  <r>
    <s v="C1345"/>
    <s v="Deepak Chopra"/>
    <s v="Male"/>
    <n v="34"/>
    <x v="13"/>
    <x v="0"/>
    <x v="22"/>
    <n v="849"/>
    <n v="1698"/>
    <x v="1"/>
    <d v="2025-07-27T00:00:00"/>
    <x v="1"/>
    <s v="No"/>
    <s v="No"/>
    <x v="0"/>
    <x v="0"/>
    <s v="No"/>
  </r>
  <r>
    <s v="C1346"/>
    <s v="Shreya Rao"/>
    <s v="Female"/>
    <n v="25"/>
    <x v="10"/>
    <x v="0"/>
    <x v="27"/>
    <n v="1199"/>
    <n v="8393"/>
    <x v="0"/>
    <d v="2025-02-09T00:00:00"/>
    <x v="1"/>
    <s v="No"/>
    <s v="No"/>
    <x v="0"/>
    <x v="0"/>
    <s v="No"/>
  </r>
  <r>
    <s v="C1347"/>
    <s v="Mohit Malhotra"/>
    <s v="Male"/>
    <n v="57"/>
    <x v="11"/>
    <x v="1"/>
    <x v="27"/>
    <n v="1199"/>
    <n v="8393"/>
    <x v="0"/>
    <d v="2025-02-27T00:00:00"/>
    <x v="1"/>
    <s v="No"/>
    <s v="No"/>
    <x v="0"/>
    <x v="0"/>
    <s v="No"/>
  </r>
  <r>
    <s v="C1348"/>
    <s v="Gaurav Mehta"/>
    <s v="Male"/>
    <n v="56"/>
    <x v="0"/>
    <x v="1"/>
    <x v="17"/>
    <n v="499"/>
    <n v="6487"/>
    <x v="2"/>
    <d v="2024-09-02T00:00:00"/>
    <x v="0"/>
    <s v="No"/>
    <s v="No"/>
    <x v="0"/>
    <x v="0"/>
    <s v="No"/>
  </r>
  <r>
    <s v="C1349"/>
    <s v="Deepika Pandey"/>
    <s v="Female"/>
    <n v="48"/>
    <x v="2"/>
    <x v="0"/>
    <x v="24"/>
    <n v="599"/>
    <n v="1797"/>
    <x v="1"/>
    <d v="2025-06-26T00:00:00"/>
    <x v="0"/>
    <s v="No"/>
    <s v="No"/>
    <x v="0"/>
    <x v="0"/>
    <s v="No"/>
  </r>
  <r>
    <s v="C1350"/>
    <s v="Mohit Kumar"/>
    <s v="Male"/>
    <n v="64"/>
    <x v="14"/>
    <x v="0"/>
    <x v="28"/>
    <n v="749"/>
    <n v="5992"/>
    <x v="1"/>
    <d v="2025-01-28T00:00:00"/>
    <x v="0"/>
    <s v="No"/>
    <s v="No"/>
    <x v="0"/>
    <x v="0"/>
    <s v="No"/>
  </r>
  <r>
    <s v="C1351"/>
    <s v="Amit Iyer"/>
    <s v="Male"/>
    <n v="41"/>
    <x v="10"/>
    <x v="1"/>
    <x v="28"/>
    <n v="1299"/>
    <n v="10392"/>
    <x v="0"/>
    <d v="2025-01-27T00:00:00"/>
    <x v="1"/>
    <s v="No"/>
    <s v="No"/>
    <x v="0"/>
    <x v="0"/>
    <s v="No"/>
  </r>
  <r>
    <s v="C1352"/>
    <s v="Nikhil Patel"/>
    <s v="Male"/>
    <n v="75"/>
    <x v="7"/>
    <x v="2"/>
    <x v="16"/>
    <n v="699"/>
    <n v="8388"/>
    <x v="1"/>
    <d v="2024-09-21T00:00:00"/>
    <x v="0"/>
    <s v="No"/>
    <s v="No"/>
    <x v="0"/>
    <x v="0"/>
    <s v="No"/>
  </r>
  <r>
    <s v="C1353"/>
    <s v="Shreya Malhotra"/>
    <s v="Female"/>
    <n v="71"/>
    <x v="12"/>
    <x v="1"/>
    <x v="19"/>
    <n v="1299"/>
    <n v="35073"/>
    <x v="0"/>
    <d v="2023-06-19T00:00:00"/>
    <x v="1"/>
    <s v="No"/>
    <s v="No"/>
    <x v="0"/>
    <x v="0"/>
    <s v="No"/>
  </r>
  <r>
    <s v="C1354"/>
    <s v="Arjun Reddy"/>
    <s v="Male"/>
    <n v="44"/>
    <x v="11"/>
    <x v="0"/>
    <x v="8"/>
    <n v="1149"/>
    <n v="17235"/>
    <x v="0"/>
    <d v="2024-06-16T00:00:00"/>
    <x v="0"/>
    <s v="No"/>
    <s v="No"/>
    <x v="0"/>
    <x v="0"/>
    <s v="No"/>
  </r>
  <r>
    <s v="C1355"/>
    <s v="Rohit Desai"/>
    <s v="Male"/>
    <n v="49"/>
    <x v="4"/>
    <x v="2"/>
    <x v="35"/>
    <n v="1199"/>
    <n v="10791"/>
    <x v="0"/>
    <m/>
    <x v="1"/>
    <s v="No"/>
    <s v="No"/>
    <x v="0"/>
    <x v="1"/>
    <s v="Date missing"/>
  </r>
  <r>
    <s v="C1356"/>
    <s v="Nikhil Jain"/>
    <s v="Male"/>
    <n v="51"/>
    <x v="10"/>
    <x v="1"/>
    <x v="36"/>
    <n v="749"/>
    <n v="11984"/>
    <x v="1"/>
    <d v="2024-05-10T00:00:00"/>
    <x v="1"/>
    <s v="No"/>
    <s v="No"/>
    <x v="0"/>
    <x v="0"/>
    <s v="No"/>
  </r>
  <r>
    <s v="C1357"/>
    <s v="Rahul Chopra"/>
    <s v="Male"/>
    <n v="28"/>
    <x v="1"/>
    <x v="2"/>
    <x v="0"/>
    <n v="499"/>
    <n v="10978"/>
    <x v="2"/>
    <d v="2023-11-28T00:00:00"/>
    <x v="0"/>
    <s v="No"/>
    <s v="No"/>
    <x v="0"/>
    <x v="0"/>
    <s v="No"/>
  </r>
  <r>
    <s v="C1358"/>
    <s v="Sneha Jain"/>
    <s v="Female"/>
    <n v="32"/>
    <x v="1"/>
    <x v="1"/>
    <x v="36"/>
    <n v="1099"/>
    <n v="17584"/>
    <x v="0"/>
    <d v="2024-05-22T00:00:00"/>
    <x v="0"/>
    <s v="No"/>
    <s v="No"/>
    <x v="0"/>
    <x v="0"/>
    <s v="No"/>
  </r>
  <r>
    <s v="C1359"/>
    <s v="Gaurav Kapoor"/>
    <s v="Male"/>
    <n v="38"/>
    <x v="4"/>
    <x v="2"/>
    <x v="24"/>
    <n v="1099"/>
    <n v="3297"/>
    <x v="0"/>
    <d v="2025-06-13T00:00:00"/>
    <x v="1"/>
    <s v="No"/>
    <s v="No"/>
    <x v="0"/>
    <x v="0"/>
    <s v="No"/>
  </r>
  <r>
    <s v="C1360"/>
    <s v="Vikram Yadav"/>
    <s v="Male"/>
    <n v="57"/>
    <x v="9"/>
    <x v="0"/>
    <x v="27"/>
    <n v="1199"/>
    <n v="8393"/>
    <x v="0"/>
    <d v="2025-02-19T00:00:00"/>
    <x v="0"/>
    <s v="No"/>
    <s v="No"/>
    <x v="0"/>
    <x v="0"/>
    <s v="No"/>
  </r>
  <r>
    <s v="C1361"/>
    <s v="Manish Kapoor"/>
    <s v="Male"/>
    <n v="39"/>
    <x v="1"/>
    <x v="1"/>
    <x v="9"/>
    <n v="1099"/>
    <n v="26376"/>
    <x v="0"/>
    <d v="2023-09-18T00:00:00"/>
    <x v="1"/>
    <s v="No"/>
    <s v="No"/>
    <x v="0"/>
    <x v="0"/>
    <s v="No"/>
  </r>
  <r>
    <s v="C1362"/>
    <s v="Rahul Joshi"/>
    <s v="Male"/>
    <n v="40"/>
    <x v="6"/>
    <x v="1"/>
    <x v="37"/>
    <n v="1049"/>
    <n v="37764"/>
    <x v="0"/>
    <d v="2022-10-09T00:00:00"/>
    <x v="1"/>
    <s v="No"/>
    <s v="No"/>
    <x v="0"/>
    <x v="0"/>
    <s v="No"/>
  </r>
  <r>
    <s v="C1363"/>
    <s v="Pooja Pandey"/>
    <s v="Female"/>
    <n v="65"/>
    <x v="14"/>
    <x v="0"/>
    <x v="27"/>
    <n v="649"/>
    <n v="4543"/>
    <x v="1"/>
    <d v="2025-02-04T00:00:00"/>
    <x v="1"/>
    <s v="No"/>
    <s v="No"/>
    <x v="0"/>
    <x v="0"/>
    <s v="No"/>
  </r>
  <r>
    <s v="C1364"/>
    <s v="Nikhil Reddy"/>
    <s v="Male"/>
    <n v="66"/>
    <x v="12"/>
    <x v="0"/>
    <x v="0"/>
    <n v="899"/>
    <n v="19778"/>
    <x v="0"/>
    <d v="2023-11-20T00:00:00"/>
    <x v="1"/>
    <s v="No"/>
    <s v="No"/>
    <x v="0"/>
    <x v="0"/>
    <s v="No"/>
  </r>
  <r>
    <s v="C1365"/>
    <s v="Gaurav Sharma"/>
    <s v="Male"/>
    <n v="51"/>
    <x v="14"/>
    <x v="0"/>
    <x v="6"/>
    <n v="399"/>
    <n v="7581"/>
    <x v="2"/>
    <d v="2024-03-02T00:00:00"/>
    <x v="0"/>
    <s v="No"/>
    <s v="No"/>
    <x v="0"/>
    <x v="0"/>
    <s v="No"/>
  </r>
  <r>
    <s v="C1366"/>
    <s v="Karan Rao"/>
    <s v="Male"/>
    <n v="60"/>
    <x v="11"/>
    <x v="1"/>
    <x v="3"/>
    <n v="749"/>
    <n v="18725"/>
    <x v="1"/>
    <d v="2023-08-30T00:00:00"/>
    <x v="0"/>
    <s v="No"/>
    <s v="No"/>
    <x v="0"/>
    <x v="0"/>
    <s v="No"/>
  </r>
  <r>
    <s v="C1367"/>
    <s v="Shreya Singh"/>
    <s v="Female"/>
    <n v="26"/>
    <x v="12"/>
    <x v="1"/>
    <x v="46"/>
    <n v="549"/>
    <n v="18117"/>
    <x v="2"/>
    <d v="2022-12-21T00:00:00"/>
    <x v="0"/>
    <s v="No"/>
    <s v="No"/>
    <x v="0"/>
    <x v="1"/>
    <s v="No"/>
  </r>
  <r>
    <s v="C1368"/>
    <s v="Sanjay Mehta"/>
    <s v="Male"/>
    <n v="57"/>
    <x v="14"/>
    <x v="0"/>
    <x v="0"/>
    <n v="649"/>
    <n v="14278"/>
    <x v="3"/>
    <d v="2023-11-16T00:00:00"/>
    <x v="0"/>
    <s v="No"/>
    <s v="No"/>
    <x v="0"/>
    <x v="1"/>
    <s v="No"/>
  </r>
  <r>
    <s v="C1369"/>
    <s v="Anjali Patel"/>
    <s v="Female"/>
    <n v="53"/>
    <x v="7"/>
    <x v="1"/>
    <x v="19"/>
    <n v="549"/>
    <n v="14823"/>
    <x v="2"/>
    <d v="2023-06-14T00:00:00"/>
    <x v="0"/>
    <s v="No"/>
    <s v="No"/>
    <x v="0"/>
    <x v="0"/>
    <s v="No"/>
  </r>
  <r>
    <s v="C1370"/>
    <s v="Priya Jain"/>
    <s v="Female"/>
    <n v="24"/>
    <x v="3"/>
    <x v="0"/>
    <x v="22"/>
    <n v="649"/>
    <n v="1298"/>
    <x v="1"/>
    <d v="2025-07-09T00:00:00"/>
    <x v="0"/>
    <s v="No"/>
    <s v="No"/>
    <x v="0"/>
    <x v="0"/>
    <s v="No"/>
  </r>
  <r>
    <s v="C1371"/>
    <s v="Pooja Verma"/>
    <s v="Female"/>
    <n v="62"/>
    <x v="13"/>
    <x v="0"/>
    <x v="22"/>
    <n v="1299"/>
    <n v="2598"/>
    <x v="0"/>
    <d v="2025-07-03T00:00:00"/>
    <x v="1"/>
    <s v="No"/>
    <s v="No"/>
    <x v="0"/>
    <x v="0"/>
    <s v="No"/>
  </r>
  <r>
    <s v="C1372"/>
    <s v="Sachin Rao"/>
    <s v="Male"/>
    <n v="33"/>
    <x v="1"/>
    <x v="1"/>
    <x v="6"/>
    <n v="1199"/>
    <n v="22781"/>
    <x v="0"/>
    <d v="2024-02-24T00:00:00"/>
    <x v="0"/>
    <s v="No"/>
    <s v="No"/>
    <x v="0"/>
    <x v="0"/>
    <s v="No"/>
  </r>
  <r>
    <s v="C1373"/>
    <s v="Swati Mishra"/>
    <s v="Unknown"/>
    <n v="21"/>
    <x v="3"/>
    <x v="3"/>
    <x v="39"/>
    <n v="899"/>
    <n v="26071"/>
    <x v="1"/>
    <d v="2023-04-25T00:00:00"/>
    <x v="0"/>
    <s v="No"/>
    <s v="No"/>
    <x v="0"/>
    <x v="0"/>
    <s v="No"/>
  </r>
  <r>
    <s v="C1374"/>
    <s v="Sanjay Iyer"/>
    <s v="Male"/>
    <n v="46"/>
    <x v="8"/>
    <x v="2"/>
    <x v="23"/>
    <n v="849"/>
    <n v="19527"/>
    <x v="1"/>
    <m/>
    <x v="0"/>
    <s v="No"/>
    <s v="No"/>
    <x v="0"/>
    <x v="0"/>
    <s v="Date missing"/>
  </r>
  <r>
    <s v="C1375"/>
    <s v="Sonal Malhotra"/>
    <s v="Female"/>
    <n v="26"/>
    <x v="8"/>
    <x v="1"/>
    <x v="0"/>
    <n v="749"/>
    <n v="16478"/>
    <x v="1"/>
    <d v="2023-11-09T00:00:00"/>
    <x v="1"/>
    <s v="No"/>
    <s v="No"/>
    <x v="0"/>
    <x v="0"/>
    <s v="No"/>
  </r>
  <r>
    <s v="C1376"/>
    <s v="Riya Verma"/>
    <s v="Female"/>
    <n v="67"/>
    <x v="9"/>
    <x v="1"/>
    <x v="47"/>
    <n v="1149"/>
    <n v="36768"/>
    <x v="0"/>
    <d v="2023-01-17T00:00:00"/>
    <x v="0"/>
    <s v="No"/>
    <s v="No"/>
    <x v="0"/>
    <x v="0"/>
    <s v="No"/>
  </r>
  <r>
    <s v="C1377"/>
    <s v="Payal Nair"/>
    <s v="Female"/>
    <n v="29"/>
    <x v="1"/>
    <x v="0"/>
    <x v="33"/>
    <n v="1149"/>
    <n v="16086"/>
    <x v="0"/>
    <d v="2024-07-28T00:00:00"/>
    <x v="1"/>
    <s v="No"/>
    <s v="No"/>
    <x v="0"/>
    <x v="0"/>
    <s v="No"/>
  </r>
  <r>
    <s v="C1378"/>
    <s v="Nikhil Joshi"/>
    <s v="Male"/>
    <n v="41"/>
    <x v="5"/>
    <x v="0"/>
    <x v="10"/>
    <n v="1149"/>
    <n v="19533"/>
    <x v="0"/>
    <d v="2024-04-25T00:00:00"/>
    <x v="1"/>
    <s v="No"/>
    <s v="No"/>
    <x v="0"/>
    <x v="0"/>
    <s v="No"/>
  </r>
  <r>
    <s v="C1379"/>
    <s v="Ritu Chopra"/>
    <s v="Female"/>
    <n v="57"/>
    <x v="11"/>
    <x v="0"/>
    <x v="2"/>
    <n v="749"/>
    <n v="8239"/>
    <x v="1"/>
    <d v="2024-10-16T00:00:00"/>
    <x v="1"/>
    <s v="No"/>
    <s v="No"/>
    <x v="0"/>
    <x v="0"/>
    <s v="No"/>
  </r>
  <r>
    <s v="C1380"/>
    <s v="Priya Jain"/>
    <s v="Female"/>
    <n v="70"/>
    <x v="13"/>
    <x v="0"/>
    <x v="8"/>
    <n v="449"/>
    <n v="6735"/>
    <x v="2"/>
    <d v="2024-06-29T00:00:00"/>
    <x v="0"/>
    <s v="No"/>
    <s v="No"/>
    <x v="0"/>
    <x v="0"/>
    <s v="No"/>
  </r>
  <r>
    <s v="C1381"/>
    <s v="Payal Kumar"/>
    <s v="Female"/>
    <n v="47"/>
    <x v="10"/>
    <x v="2"/>
    <x v="54"/>
    <n v="1199"/>
    <n v="82731"/>
    <x v="0"/>
    <d v="2020-01-08T00:00:00"/>
    <x v="0"/>
    <s v="Yes"/>
    <s v="No"/>
    <x v="0"/>
    <x v="0"/>
    <s v="No"/>
  </r>
  <r>
    <s v="C1382"/>
    <s v="Vivek Reddy"/>
    <s v="Male"/>
    <n v="31"/>
    <x v="1"/>
    <x v="2"/>
    <x v="55"/>
    <n v="349"/>
    <n v="19544"/>
    <x v="2"/>
    <d v="2021-02-17T00:00:00"/>
    <x v="0"/>
    <s v="No"/>
    <s v="No"/>
    <x v="0"/>
    <x v="0"/>
    <s v="No"/>
  </r>
  <r>
    <s v="C1383"/>
    <s v="Ankit Pandey"/>
    <s v="Male"/>
    <n v="39"/>
    <x v="3"/>
    <x v="0"/>
    <x v="35"/>
    <n v="799"/>
    <n v="7191"/>
    <x v="1"/>
    <m/>
    <x v="0"/>
    <s v="No"/>
    <s v="No"/>
    <x v="0"/>
    <x v="0"/>
    <s v="Date missing"/>
  </r>
  <r>
    <s v="C1384"/>
    <s v="Nisha Rao"/>
    <s v="Female"/>
    <n v="46"/>
    <x v="9"/>
    <x v="0"/>
    <x v="17"/>
    <n v="849"/>
    <n v="11037"/>
    <x v="1"/>
    <d v="2024-08-11T00:00:00"/>
    <x v="1"/>
    <s v="No"/>
    <s v="No"/>
    <x v="0"/>
    <x v="0"/>
    <s v="No"/>
  </r>
  <r>
    <s v="C1385"/>
    <s v="Rajesh Verma"/>
    <s v="Male"/>
    <n v="62"/>
    <x v="6"/>
    <x v="0"/>
    <x v="32"/>
    <n v="449"/>
    <n v="1796"/>
    <x v="2"/>
    <d v="2025-05-22T00:00:00"/>
    <x v="0"/>
    <s v="No"/>
    <s v="No"/>
    <x v="0"/>
    <x v="0"/>
    <s v="No"/>
  </r>
  <r>
    <s v="C1386"/>
    <s v="Divya Rao"/>
    <s v="Female"/>
    <n v="47"/>
    <x v="9"/>
    <x v="0"/>
    <x v="28"/>
    <n v="649"/>
    <n v="5192"/>
    <x v="1"/>
    <d v="2025-01-04T00:00:00"/>
    <x v="0"/>
    <s v="Yes"/>
    <s v="No"/>
    <x v="0"/>
    <x v="0"/>
    <s v="No"/>
  </r>
  <r>
    <s v="C1387"/>
    <s v="Unknown"/>
    <s v="Female"/>
    <n v="61"/>
    <x v="13"/>
    <x v="2"/>
    <x v="22"/>
    <n v="1299"/>
    <n v="2598"/>
    <x v="0"/>
    <d v="2025-07-29T00:00:00"/>
    <x v="1"/>
    <s v="No"/>
    <s v="No"/>
    <x v="0"/>
    <x v="0"/>
    <s v="No"/>
  </r>
  <r>
    <s v="C1388"/>
    <s v="Rajesh Yadav"/>
    <s v="Male"/>
    <n v="43"/>
    <x v="1"/>
    <x v="0"/>
    <x v="27"/>
    <n v="849"/>
    <n v="5943"/>
    <x v="1"/>
    <d v="2025-02-02T00:00:00"/>
    <x v="1"/>
    <s v="No"/>
    <s v="No"/>
    <x v="0"/>
    <x v="0"/>
    <s v="No"/>
  </r>
  <r>
    <s v="C1389"/>
    <s v="Arjun Gupta"/>
    <s v="Male"/>
    <n v="32"/>
    <x v="11"/>
    <x v="2"/>
    <x v="9"/>
    <n v="849"/>
    <n v="20376"/>
    <x v="1"/>
    <d v="2023-09-12T00:00:00"/>
    <x v="0"/>
    <s v="No"/>
    <s v="No"/>
    <x v="0"/>
    <x v="0"/>
    <s v="No"/>
  </r>
  <r>
    <s v="C1390"/>
    <s v="Sonal Kumar"/>
    <s v="Female"/>
    <n v="36"/>
    <x v="9"/>
    <x v="0"/>
    <x v="9"/>
    <n v="799"/>
    <n v="19176"/>
    <x v="1"/>
    <d v="2023-09-18T00:00:00"/>
    <x v="1"/>
    <s v="No"/>
    <s v="No"/>
    <x v="0"/>
    <x v="0"/>
    <s v="No"/>
  </r>
  <r>
    <s v="C1391"/>
    <s v="Karan Iyer"/>
    <s v="Male"/>
    <n v="57"/>
    <x v="4"/>
    <x v="2"/>
    <x v="40"/>
    <n v="699"/>
    <n v="40542"/>
    <x v="1"/>
    <d v="2020-12-19T00:00:00"/>
    <x v="0"/>
    <s v="No"/>
    <s v="No"/>
    <x v="0"/>
    <x v="0"/>
    <s v="No"/>
  </r>
  <r>
    <s v="C1392"/>
    <s v="Swati Tiwari"/>
    <s v="Female"/>
    <n v="28"/>
    <x v="3"/>
    <x v="0"/>
    <x v="23"/>
    <n v="1199"/>
    <n v="27577"/>
    <x v="0"/>
    <d v="2023-10-28T00:00:00"/>
    <x v="1"/>
    <s v="No"/>
    <s v="No"/>
    <x v="0"/>
    <x v="0"/>
    <s v="No"/>
  </r>
  <r>
    <s v="C1393"/>
    <s v="Nikhil Desai"/>
    <s v="Male"/>
    <n v="47"/>
    <x v="7"/>
    <x v="0"/>
    <x v="30"/>
    <n v="599"/>
    <n v="10782"/>
    <x v="1"/>
    <d v="2024-03-29T00:00:00"/>
    <x v="1"/>
    <s v="No"/>
    <s v="No"/>
    <x v="0"/>
    <x v="0"/>
    <s v="No"/>
  </r>
  <r>
    <s v="C1394"/>
    <s v="Sachin Mehta"/>
    <s v="Unknown"/>
    <n v="34"/>
    <x v="14"/>
    <x v="2"/>
    <x v="4"/>
    <n v="599"/>
    <n v="5990"/>
    <x v="1"/>
    <d v="2024-11-06T00:00:00"/>
    <x v="0"/>
    <s v="No"/>
    <s v="No"/>
    <x v="0"/>
    <x v="0"/>
    <s v="No"/>
  </r>
  <r>
    <s v="C1395"/>
    <s v="Tanvi Mehta"/>
    <s v="Female"/>
    <n v="20"/>
    <x v="1"/>
    <x v="0"/>
    <x v="30"/>
    <n v="399"/>
    <n v="7182"/>
    <x v="2"/>
    <d v="2024-03-30T00:00:00"/>
    <x v="1"/>
    <s v="No"/>
    <s v="No"/>
    <x v="0"/>
    <x v="0"/>
    <s v="No"/>
  </r>
  <r>
    <s v="C1396"/>
    <s v="Pooja Kapoor"/>
    <s v="Female"/>
    <n v="50"/>
    <x v="1"/>
    <x v="0"/>
    <x v="21"/>
    <n v="999"/>
    <n v="999"/>
    <x v="0"/>
    <d v="2025-08-05T00:00:00"/>
    <x v="0"/>
    <s v="No"/>
    <s v="No"/>
    <x v="0"/>
    <x v="0"/>
    <s v="No"/>
  </r>
  <r>
    <s v="C1397"/>
    <s v="Ankit Gupta"/>
    <s v="Male"/>
    <n v="29"/>
    <x v="11"/>
    <x v="2"/>
    <x v="6"/>
    <n v="1199"/>
    <n v="22781"/>
    <x v="0"/>
    <d v="2024-03-06T00:00:00"/>
    <x v="0"/>
    <s v="No"/>
    <s v="No"/>
    <x v="0"/>
    <x v="0"/>
    <s v="No"/>
  </r>
  <r>
    <s v="C1398"/>
    <s v="Gaurav Nair"/>
    <s v="Male"/>
    <n v="22"/>
    <x v="5"/>
    <x v="0"/>
    <x v="27"/>
    <n v="799"/>
    <n v="5593"/>
    <x v="1"/>
    <d v="2025-02-01T00:00:00"/>
    <x v="1"/>
    <s v="No"/>
    <s v="No"/>
    <x v="0"/>
    <x v="1"/>
    <s v="No"/>
  </r>
  <r>
    <s v="C1399"/>
    <s v="Sneha Verma"/>
    <s v="Female"/>
    <n v="59"/>
    <x v="2"/>
    <x v="0"/>
    <x v="26"/>
    <n v="449"/>
    <n v="9429"/>
    <x v="2"/>
    <d v="2023-12-20T00:00:00"/>
    <x v="0"/>
    <s v="No"/>
    <s v="No"/>
    <x v="0"/>
    <x v="0"/>
    <s v="No"/>
  </r>
  <r>
    <s v="C1400"/>
    <s v="Deepak Chopra"/>
    <s v="Male"/>
    <n v="42"/>
    <x v="2"/>
    <x v="1"/>
    <x v="13"/>
    <n v="499"/>
    <n v="2495"/>
    <x v="2"/>
    <d v="2025-04-24T00:00:00"/>
    <x v="0"/>
    <s v="No"/>
    <s v="No"/>
    <x v="0"/>
    <x v="0"/>
    <s v="No"/>
  </r>
  <r>
    <s v="C1401"/>
    <s v="Isha Patel"/>
    <s v="Female"/>
    <n v="49"/>
    <x v="13"/>
    <x v="0"/>
    <x v="10"/>
    <n v="1099"/>
    <n v="18683"/>
    <x v="0"/>
    <d v="2024-04-20T00:00:00"/>
    <x v="1"/>
    <s v="No"/>
    <s v="No"/>
    <x v="0"/>
    <x v="1"/>
    <s v="No"/>
  </r>
  <r>
    <s v="C1402"/>
    <s v="Deepika Singh"/>
    <s v="Female"/>
    <n v="29"/>
    <x v="8"/>
    <x v="0"/>
    <x v="32"/>
    <n v="999"/>
    <n v="3996"/>
    <x v="0"/>
    <d v="2025-05-08T00:00:00"/>
    <x v="0"/>
    <s v="No"/>
    <s v="No"/>
    <x v="0"/>
    <x v="0"/>
    <s v="No"/>
  </r>
  <r>
    <s v="C1403"/>
    <s v="Gaurav Saxena"/>
    <s v="Male"/>
    <n v="48"/>
    <x v="7"/>
    <x v="0"/>
    <x v="33"/>
    <n v="599"/>
    <n v="8386"/>
    <x v="1"/>
    <d v="2024-07-17T00:00:00"/>
    <x v="1"/>
    <s v="No"/>
    <s v="Yes"/>
    <x v="0"/>
    <x v="0"/>
    <s v="No"/>
  </r>
  <r>
    <s v="C1404"/>
    <s v="Rohit Chopra"/>
    <s v="Male"/>
    <n v="50"/>
    <x v="3"/>
    <x v="3"/>
    <x v="0"/>
    <n v="699"/>
    <n v="15378"/>
    <x v="1"/>
    <d v="2023-11-19T00:00:00"/>
    <x v="2"/>
    <s v="No"/>
    <s v="No"/>
    <x v="0"/>
    <x v="0"/>
    <s v="Churn unknown"/>
  </r>
  <r>
    <s v="C1405"/>
    <s v="Harsh Kumar"/>
    <s v="Male"/>
    <n v="31"/>
    <x v="7"/>
    <x v="1"/>
    <x v="45"/>
    <n v="999"/>
    <n v="30969"/>
    <x v="0"/>
    <d v="2023-02-16T00:00:00"/>
    <x v="0"/>
    <s v="No"/>
    <s v="No"/>
    <x v="0"/>
    <x v="0"/>
    <s v="No"/>
  </r>
  <r>
    <s v="C1406"/>
    <s v="Pankaj Saxena"/>
    <s v="Male"/>
    <n v="50"/>
    <x v="5"/>
    <x v="0"/>
    <x v="8"/>
    <n v="1149"/>
    <n v="17235"/>
    <x v="0"/>
    <d v="2024-06-23T00:00:00"/>
    <x v="1"/>
    <s v="No"/>
    <s v="No"/>
    <x v="0"/>
    <x v="0"/>
    <s v="No"/>
  </r>
  <r>
    <s v="C1407"/>
    <s v="Karan Sharma"/>
    <s v="Male"/>
    <n v="30"/>
    <x v="1"/>
    <x v="2"/>
    <x v="56"/>
    <n v="999"/>
    <n v="53946"/>
    <x v="0"/>
    <d v="2021-04-07T00:00:00"/>
    <x v="1"/>
    <s v="No"/>
    <s v="No"/>
    <x v="0"/>
    <x v="0"/>
    <s v="No"/>
  </r>
  <r>
    <s v="C1408"/>
    <s v="Sachin Jain"/>
    <s v="Male"/>
    <n v="66"/>
    <x v="4"/>
    <x v="0"/>
    <x v="11"/>
    <n v="1299"/>
    <n v="25980"/>
    <x v="0"/>
    <d v="2024-01-13T00:00:00"/>
    <x v="0"/>
    <s v="No"/>
    <s v="No"/>
    <x v="0"/>
    <x v="0"/>
    <s v="No"/>
  </r>
  <r>
    <s v="C1409"/>
    <s v="Payal Tiwari"/>
    <s v="Female"/>
    <n v="41"/>
    <x v="6"/>
    <x v="0"/>
    <x v="28"/>
    <n v="1099"/>
    <n v="8792"/>
    <x v="0"/>
    <d v="2025-01-06T00:00:00"/>
    <x v="1"/>
    <s v="No"/>
    <s v="No"/>
    <x v="0"/>
    <x v="0"/>
    <s v="No"/>
  </r>
  <r>
    <s v="C1410"/>
    <s v="Vivek Singh"/>
    <s v="Male"/>
    <n v="34"/>
    <x v="7"/>
    <x v="1"/>
    <x v="15"/>
    <n v="549"/>
    <n v="3294"/>
    <x v="2"/>
    <d v="2025-03-26T00:00:00"/>
    <x v="0"/>
    <s v="No"/>
    <s v="No"/>
    <x v="0"/>
    <x v="0"/>
    <s v="No"/>
  </r>
  <r>
    <s v="C1411"/>
    <s v="Rahul Bose"/>
    <s v="Male"/>
    <n v="51"/>
    <x v="4"/>
    <x v="0"/>
    <x v="27"/>
    <n v="1299"/>
    <n v="9093"/>
    <x v="0"/>
    <d v="2025-02-27T00:00:00"/>
    <x v="1"/>
    <s v="No"/>
    <s v="Yes"/>
    <x v="0"/>
    <x v="0"/>
    <s v="No"/>
  </r>
  <r>
    <s v="C1412"/>
    <s v="Vivek Chopra"/>
    <s v="Male"/>
    <n v="55"/>
    <x v="5"/>
    <x v="0"/>
    <x v="6"/>
    <n v="1149"/>
    <n v="21831"/>
    <x v="0"/>
    <d v="2024-02-24T00:00:00"/>
    <x v="0"/>
    <s v="No"/>
    <s v="No"/>
    <x v="0"/>
    <x v="0"/>
    <s v="No"/>
  </r>
  <r>
    <s v="C1413"/>
    <s v="Vivek Mishra"/>
    <s v="Male"/>
    <n v="68"/>
    <x v="1"/>
    <x v="0"/>
    <x v="30"/>
    <n v="1049"/>
    <n v="18882"/>
    <x v="0"/>
    <d v="2024-03-13T00:00:00"/>
    <x v="0"/>
    <s v="No"/>
    <s v="No"/>
    <x v="0"/>
    <x v="0"/>
    <s v="No"/>
  </r>
  <r>
    <s v="C1414"/>
    <s v="Pooja Saxena"/>
    <s v="Female"/>
    <n v="25"/>
    <x v="14"/>
    <x v="0"/>
    <x v="15"/>
    <n v="999"/>
    <n v="5994"/>
    <x v="0"/>
    <d v="2025-03-22T00:00:00"/>
    <x v="1"/>
    <s v="No"/>
    <s v="No"/>
    <x v="0"/>
    <x v="1"/>
    <s v="No"/>
  </r>
  <r>
    <s v="C1415"/>
    <s v="Arjun Rao"/>
    <s v="Male"/>
    <n v="58"/>
    <x v="3"/>
    <x v="2"/>
    <x v="51"/>
    <n v="349"/>
    <n v="21289"/>
    <x v="2"/>
    <d v="2020-09-17T00:00:00"/>
    <x v="1"/>
    <s v="No"/>
    <s v="No"/>
    <x v="0"/>
    <x v="0"/>
    <s v="No"/>
  </r>
  <r>
    <s v="C1416"/>
    <s v="Neha Yadav"/>
    <s v="Female"/>
    <n v="20"/>
    <x v="14"/>
    <x v="0"/>
    <x v="11"/>
    <n v="449"/>
    <n v="8980"/>
    <x v="2"/>
    <d v="2024-01-18T00:00:00"/>
    <x v="0"/>
    <s v="No"/>
    <s v="No"/>
    <x v="0"/>
    <x v="0"/>
    <s v="No"/>
  </r>
  <r>
    <s v="C1417"/>
    <s v="Arjun Chopra"/>
    <s v="Male"/>
    <n v="49"/>
    <x v="7"/>
    <x v="0"/>
    <x v="12"/>
    <n v="349"/>
    <m/>
    <x v="2"/>
    <m/>
    <x v="0"/>
    <s v="No"/>
    <s v="No"/>
    <x v="0"/>
    <x v="0"/>
    <s v="Total missing; Tenure missing; Date missing"/>
  </r>
  <r>
    <s v="C1418"/>
    <s v="Pankaj Gupta"/>
    <s v="Male"/>
    <n v="61"/>
    <x v="3"/>
    <x v="0"/>
    <x v="15"/>
    <n v="1049"/>
    <n v="6294"/>
    <x v="0"/>
    <d v="2025-03-20T00:00:00"/>
    <x v="1"/>
    <s v="No"/>
    <s v="No"/>
    <x v="0"/>
    <x v="0"/>
    <s v="No"/>
  </r>
  <r>
    <s v="C1419"/>
    <s v="Tanvi Mehta"/>
    <s v="Female"/>
    <n v="51"/>
    <x v="3"/>
    <x v="1"/>
    <x v="15"/>
    <n v="799"/>
    <n v="4794"/>
    <x v="1"/>
    <d v="2025-03-21T00:00:00"/>
    <x v="0"/>
    <s v="No"/>
    <s v="No"/>
    <x v="0"/>
    <x v="0"/>
    <s v="No"/>
  </r>
  <r>
    <s v="C1420"/>
    <s v="Kavita Nair"/>
    <s v="Female"/>
    <n v="56"/>
    <x v="0"/>
    <x v="0"/>
    <x v="21"/>
    <n v="999"/>
    <n v="999"/>
    <x v="0"/>
    <d v="2025-08-12T00:00:00"/>
    <x v="1"/>
    <s v="No"/>
    <s v="No"/>
    <x v="0"/>
    <x v="0"/>
    <s v="No"/>
  </r>
  <r>
    <s v="C1421"/>
    <s v="Unknown"/>
    <s v="Male"/>
    <n v="39"/>
    <x v="4"/>
    <x v="2"/>
    <x v="54"/>
    <n v="549"/>
    <n v="37881"/>
    <x v="2"/>
    <d v="2020-01-14T00:00:00"/>
    <x v="0"/>
    <s v="No"/>
    <s v="No"/>
    <x v="0"/>
    <x v="0"/>
    <s v="No"/>
  </r>
  <r>
    <s v="C1422"/>
    <s v="Tanvi Desai"/>
    <s v="Female"/>
    <n v="67"/>
    <x v="0"/>
    <x v="1"/>
    <x v="57"/>
    <n v="549"/>
    <n v="16470"/>
    <x v="2"/>
    <d v="2023-03-28T00:00:00"/>
    <x v="0"/>
    <s v="No"/>
    <s v="No"/>
    <x v="0"/>
    <x v="0"/>
    <s v="No"/>
  </r>
  <r>
    <s v="C1423"/>
    <s v="Suresh Kumar"/>
    <s v="Male"/>
    <n v="42"/>
    <x v="9"/>
    <x v="1"/>
    <x v="8"/>
    <n v="899"/>
    <n v="13485"/>
    <x v="1"/>
    <d v="2024-06-19T00:00:00"/>
    <x v="0"/>
    <s v="No"/>
    <s v="No"/>
    <x v="0"/>
    <x v="0"/>
    <s v="No"/>
  </r>
  <r>
    <s v="C1424"/>
    <s v="Suresh Nair"/>
    <s v="Male"/>
    <n v="36"/>
    <x v="4"/>
    <x v="0"/>
    <x v="2"/>
    <n v="1149"/>
    <n v="12639"/>
    <x v="0"/>
    <d v="2024-10-22T00:00:00"/>
    <x v="0"/>
    <s v="No"/>
    <s v="No"/>
    <x v="0"/>
    <x v="0"/>
    <s v="No"/>
  </r>
  <r>
    <s v="C1425"/>
    <s v="Rajesh Malhotra"/>
    <s v="Male"/>
    <n v="29"/>
    <x v="14"/>
    <x v="1"/>
    <x v="47"/>
    <n v="399"/>
    <n v="12768"/>
    <x v="2"/>
    <d v="2023-01-15T00:00:00"/>
    <x v="0"/>
    <s v="No"/>
    <s v="No"/>
    <x v="0"/>
    <x v="0"/>
    <s v="No"/>
  </r>
  <r>
    <s v="C1426"/>
    <s v="Deepika Nair"/>
    <s v="Unknown"/>
    <n v="30"/>
    <x v="6"/>
    <x v="0"/>
    <x v="13"/>
    <n v="899"/>
    <n v="4495"/>
    <x v="0"/>
    <d v="2025-04-10T00:00:00"/>
    <x v="0"/>
    <s v="No"/>
    <s v="No"/>
    <x v="0"/>
    <x v="0"/>
    <s v="No"/>
  </r>
  <r>
    <s v="C1427"/>
    <s v="Riya Sharma"/>
    <s v="Female"/>
    <n v="66"/>
    <x v="6"/>
    <x v="0"/>
    <x v="36"/>
    <n v="699"/>
    <n v="11184"/>
    <x v="1"/>
    <d v="2024-05-08T00:00:00"/>
    <x v="0"/>
    <s v="No"/>
    <s v="No"/>
    <x v="0"/>
    <x v="0"/>
    <s v="No"/>
  </r>
  <r>
    <s v="C1428"/>
    <s v="Komal Gupta"/>
    <s v="Female"/>
    <n v="66"/>
    <x v="1"/>
    <x v="0"/>
    <x v="6"/>
    <n v="649"/>
    <n v="12331"/>
    <x v="1"/>
    <d v="2024-02-21T00:00:00"/>
    <x v="0"/>
    <s v="No"/>
    <s v="No"/>
    <x v="0"/>
    <x v="0"/>
    <s v="No"/>
  </r>
  <r>
    <s v="C1429"/>
    <s v="Mohit Patel"/>
    <s v="Male"/>
    <n v="43"/>
    <x v="6"/>
    <x v="1"/>
    <x v="28"/>
    <n v="849"/>
    <n v="6792"/>
    <x v="1"/>
    <d v="2025-01-31T00:00:00"/>
    <x v="0"/>
    <s v="No"/>
    <s v="No"/>
    <x v="0"/>
    <x v="0"/>
    <s v="No"/>
  </r>
  <r>
    <s v="C1430"/>
    <s v="Sanjay Rao"/>
    <s v="Male"/>
    <n v="55"/>
    <x v="4"/>
    <x v="0"/>
    <x v="35"/>
    <n v="1149"/>
    <n v="10341"/>
    <x v="0"/>
    <d v="2024-12-17T00:00:00"/>
    <x v="1"/>
    <s v="No"/>
    <s v="No"/>
    <x v="0"/>
    <x v="0"/>
    <s v="No"/>
  </r>
  <r>
    <s v="C1431"/>
    <s v="Isha Gupta"/>
    <s v="Female"/>
    <n v="49"/>
    <x v="12"/>
    <x v="0"/>
    <x v="16"/>
    <n v="1299"/>
    <n v="15588"/>
    <x v="0"/>
    <d v="2024-09-28T00:00:00"/>
    <x v="1"/>
    <s v="No"/>
    <s v="No"/>
    <x v="0"/>
    <x v="0"/>
    <s v="No"/>
  </r>
  <r>
    <s v="C1432"/>
    <s v="Rajesh Saxena"/>
    <s v="Male"/>
    <n v="32"/>
    <x v="6"/>
    <x v="0"/>
    <x v="28"/>
    <n v="799"/>
    <n v="6392"/>
    <x v="1"/>
    <d v="2025-01-06T00:00:00"/>
    <x v="1"/>
    <s v="No"/>
    <s v="No"/>
    <x v="0"/>
    <x v="0"/>
    <s v="No"/>
  </r>
  <r>
    <s v="C1433"/>
    <s v="Gaurav Sharma"/>
    <s v="Male"/>
    <n v="29"/>
    <x v="12"/>
    <x v="0"/>
    <x v="26"/>
    <n v="449"/>
    <n v="9429"/>
    <x v="2"/>
    <d v="2023-12-29T00:00:00"/>
    <x v="0"/>
    <s v="No"/>
    <s v="No"/>
    <x v="0"/>
    <x v="0"/>
    <s v="No"/>
  </r>
  <r>
    <s v="C1434"/>
    <s v="Sonal Bose"/>
    <s v="Female"/>
    <n v="21"/>
    <x v="12"/>
    <x v="0"/>
    <x v="27"/>
    <n v="899"/>
    <n v="6293"/>
    <x v="1"/>
    <d v="2025-02-27T00:00:00"/>
    <x v="0"/>
    <s v="No"/>
    <s v="No"/>
    <x v="0"/>
    <x v="1"/>
    <s v="No"/>
  </r>
  <r>
    <s v="C1435"/>
    <s v="Swati Malhotra"/>
    <s v="Female"/>
    <n v="41"/>
    <x v="2"/>
    <x v="1"/>
    <x v="10"/>
    <n v="499"/>
    <n v="8483"/>
    <x v="2"/>
    <d v="2024-04-09T00:00:00"/>
    <x v="1"/>
    <s v="No"/>
    <s v="No"/>
    <x v="0"/>
    <x v="1"/>
    <s v="No"/>
  </r>
  <r>
    <s v="C1436"/>
    <s v="Rajesh Bose"/>
    <s v="Male"/>
    <n v="59"/>
    <x v="9"/>
    <x v="0"/>
    <x v="4"/>
    <n v="549"/>
    <n v="5490"/>
    <x v="2"/>
    <d v="2024-11-09T00:00:00"/>
    <x v="0"/>
    <s v="No"/>
    <s v="No"/>
    <x v="0"/>
    <x v="0"/>
    <s v="No"/>
  </r>
  <r>
    <s v="C1437"/>
    <s v="Neha Rao"/>
    <s v="Female"/>
    <n v="57"/>
    <x v="5"/>
    <x v="0"/>
    <x v="15"/>
    <n v="449"/>
    <n v="2694"/>
    <x v="2"/>
    <d v="2025-03-13T00:00:00"/>
    <x v="0"/>
    <s v="No"/>
    <s v="No"/>
    <x v="0"/>
    <x v="0"/>
    <s v="No"/>
  </r>
  <r>
    <s v="C1438"/>
    <s v="Neha Kumar"/>
    <s v="Unknown"/>
    <n v="28"/>
    <x v="2"/>
    <x v="0"/>
    <x v="4"/>
    <n v="849"/>
    <n v="8490"/>
    <x v="1"/>
    <d v="2024-11-24T00:00:00"/>
    <x v="0"/>
    <s v="No"/>
    <s v="No"/>
    <x v="0"/>
    <x v="1"/>
    <s v="No"/>
  </r>
  <r>
    <s v="C1439"/>
    <s v="Isha Agarwal"/>
    <s v="Female"/>
    <n v="55"/>
    <x v="1"/>
    <x v="2"/>
    <x v="9"/>
    <n v="899"/>
    <n v="21576"/>
    <x v="0"/>
    <d v="2023-09-18T00:00:00"/>
    <x v="0"/>
    <s v="No"/>
    <s v="No"/>
    <x v="0"/>
    <x v="0"/>
    <s v="No"/>
  </r>
  <r>
    <s v="C1440"/>
    <s v="Neha Mehta"/>
    <s v="Female"/>
    <n v="28"/>
    <x v="12"/>
    <x v="0"/>
    <x v="36"/>
    <n v="799"/>
    <n v="12784"/>
    <x v="1"/>
    <d v="2024-05-20T00:00:00"/>
    <x v="0"/>
    <s v="No"/>
    <s v="No"/>
    <x v="0"/>
    <x v="0"/>
    <s v="No"/>
  </r>
  <r>
    <s v="C1441"/>
    <s v="Karan Malhotra"/>
    <s v="Male"/>
    <n v="57"/>
    <x v="8"/>
    <x v="0"/>
    <x v="17"/>
    <n v="399"/>
    <n v="5187"/>
    <x v="2"/>
    <d v="2024-08-20T00:00:00"/>
    <x v="0"/>
    <s v="No"/>
    <s v="No"/>
    <x v="0"/>
    <x v="1"/>
    <s v="No"/>
  </r>
  <r>
    <s v="C1442"/>
    <s v="Rohit Jain"/>
    <s v="Male"/>
    <n v="71"/>
    <x v="8"/>
    <x v="0"/>
    <x v="2"/>
    <n v="1099"/>
    <n v="12089"/>
    <x v="0"/>
    <d v="2024-10-16T00:00:00"/>
    <x v="0"/>
    <s v="No"/>
    <s v="No"/>
    <x v="0"/>
    <x v="0"/>
    <s v="No"/>
  </r>
  <r>
    <s v="C1443"/>
    <s v="Sonal Kapoor"/>
    <s v="Female"/>
    <n v="26"/>
    <x v="14"/>
    <x v="0"/>
    <x v="8"/>
    <n v="1199"/>
    <n v="17985"/>
    <x v="0"/>
    <d v="2024-06-15T00:00:00"/>
    <x v="1"/>
    <s v="No"/>
    <s v="No"/>
    <x v="0"/>
    <x v="0"/>
    <s v="No"/>
  </r>
  <r>
    <s v="C1444"/>
    <s v="Isha Desai"/>
    <s v="Female"/>
    <n v="52"/>
    <x v="0"/>
    <x v="2"/>
    <x v="12"/>
    <n v="1049"/>
    <m/>
    <x v="0"/>
    <d v="2021-11-18T00:00:00"/>
    <x v="0"/>
    <s v="No"/>
    <s v="No"/>
    <x v="0"/>
    <x v="0"/>
    <s v="Total missing; Tenure missing"/>
  </r>
  <r>
    <s v="C1445"/>
    <s v="Aman Iyer"/>
    <s v="Male"/>
    <n v="48"/>
    <x v="1"/>
    <x v="0"/>
    <x v="36"/>
    <n v="499"/>
    <n v="7984"/>
    <x v="2"/>
    <d v="2024-05-17T00:00:00"/>
    <x v="0"/>
    <s v="No"/>
    <s v="No"/>
    <x v="0"/>
    <x v="0"/>
    <s v="No"/>
  </r>
  <r>
    <s v="C1446"/>
    <s v="Rahul Mishra"/>
    <s v="Unknown"/>
    <n v="47"/>
    <x v="0"/>
    <x v="0"/>
    <x v="17"/>
    <n v="999"/>
    <n v="12987"/>
    <x v="0"/>
    <d v="2024-08-27T00:00:00"/>
    <x v="0"/>
    <s v="Yes"/>
    <s v="No"/>
    <x v="0"/>
    <x v="0"/>
    <s v="No"/>
  </r>
  <r>
    <s v="C1447"/>
    <s v="Neha Tiwari"/>
    <s v="Female"/>
    <n v="58"/>
    <x v="10"/>
    <x v="0"/>
    <x v="11"/>
    <n v="1199"/>
    <n v="23980"/>
    <x v="0"/>
    <d v="2024-01-14T00:00:00"/>
    <x v="1"/>
    <s v="No"/>
    <s v="No"/>
    <x v="0"/>
    <x v="1"/>
    <s v="No"/>
  </r>
  <r>
    <s v="C1448"/>
    <s v="Nisha Mehta"/>
    <s v="Female"/>
    <n v="72"/>
    <x v="4"/>
    <x v="0"/>
    <x v="26"/>
    <n v="749"/>
    <n v="15729"/>
    <x v="1"/>
    <d v="2023-12-19T00:00:00"/>
    <x v="1"/>
    <s v="No"/>
    <s v="No"/>
    <x v="0"/>
    <x v="0"/>
    <s v="No"/>
  </r>
  <r>
    <s v="C1449"/>
    <s v="Deepika Joshi"/>
    <s v="Female"/>
    <n v="19"/>
    <x v="8"/>
    <x v="0"/>
    <x v="15"/>
    <n v="1049"/>
    <n v="6294"/>
    <x v="0"/>
    <d v="2025-03-18T00:00:00"/>
    <x v="1"/>
    <s v="No"/>
    <s v="No"/>
    <x v="0"/>
    <x v="0"/>
    <s v="No"/>
  </r>
  <r>
    <s v="C1450"/>
    <s v="Manish Kumar"/>
    <s v="Male"/>
    <n v="27"/>
    <x v="3"/>
    <x v="0"/>
    <x v="4"/>
    <n v="899"/>
    <n v="8990"/>
    <x v="1"/>
    <d v="2024-11-18T00:00:00"/>
    <x v="0"/>
    <s v="No"/>
    <s v="No"/>
    <x v="0"/>
    <x v="0"/>
    <s v="No"/>
  </r>
  <r>
    <s v="C1451"/>
    <s v="Nikhil Kumar"/>
    <s v="Male"/>
    <n v="71"/>
    <x v="13"/>
    <x v="2"/>
    <x v="58"/>
    <n v="599"/>
    <n v="30549"/>
    <x v="1"/>
    <d v="2021-06-23T00:00:00"/>
    <x v="0"/>
    <s v="No"/>
    <s v="No"/>
    <x v="0"/>
    <x v="0"/>
    <s v="No"/>
  </r>
  <r>
    <s v="C1452"/>
    <s v="Divya Sharma"/>
    <s v="Unknown"/>
    <n v="25"/>
    <x v="13"/>
    <x v="1"/>
    <x v="39"/>
    <n v="1199"/>
    <n v="34771"/>
    <x v="3"/>
    <d v="2023-04-19T00:00:00"/>
    <x v="1"/>
    <s v="No"/>
    <s v="No"/>
    <x v="0"/>
    <x v="0"/>
    <s v="No"/>
  </r>
  <r>
    <s v="C1453"/>
    <s v="Mohit Saxena"/>
    <s v="Male"/>
    <n v="31"/>
    <x v="7"/>
    <x v="0"/>
    <x v="2"/>
    <n v="349"/>
    <n v="3839"/>
    <x v="2"/>
    <m/>
    <x v="0"/>
    <s v="No"/>
    <s v="Yes"/>
    <x v="0"/>
    <x v="0"/>
    <s v="Date missing"/>
  </r>
  <r>
    <s v="C1454"/>
    <s v="Suresh Desai"/>
    <s v="Male"/>
    <n v="58"/>
    <x v="5"/>
    <x v="0"/>
    <x v="0"/>
    <n v="399"/>
    <n v="8778"/>
    <x v="2"/>
    <d v="2023-11-28T00:00:00"/>
    <x v="0"/>
    <s v="No"/>
    <s v="No"/>
    <x v="0"/>
    <x v="0"/>
    <s v="No"/>
  </r>
  <r>
    <s v="C1455"/>
    <s v="Arjun Malhotra"/>
    <s v="Male"/>
    <n v="55"/>
    <x v="4"/>
    <x v="0"/>
    <x v="22"/>
    <n v="799"/>
    <n v="1598"/>
    <x v="1"/>
    <d v="2025-07-26T00:00:00"/>
    <x v="0"/>
    <s v="No"/>
    <s v="No"/>
    <x v="0"/>
    <x v="0"/>
    <s v="No"/>
  </r>
  <r>
    <s v="C1456"/>
    <s v="Neha Nair"/>
    <s v="Female"/>
    <n v="28"/>
    <x v="7"/>
    <x v="0"/>
    <x v="26"/>
    <n v="899"/>
    <n v="18879"/>
    <x v="0"/>
    <d v="2023-12-16T00:00:00"/>
    <x v="0"/>
    <s v="No"/>
    <s v="No"/>
    <x v="0"/>
    <x v="0"/>
    <s v="No"/>
  </r>
  <r>
    <s v="C1457"/>
    <s v="Rohit Desai"/>
    <s v="Male"/>
    <n v="32"/>
    <x v="2"/>
    <x v="2"/>
    <x v="59"/>
    <n v="1099"/>
    <n v="49455"/>
    <x v="0"/>
    <d v="2022-01-05T00:00:00"/>
    <x v="1"/>
    <s v="No"/>
    <s v="No"/>
    <x v="0"/>
    <x v="0"/>
    <s v="No"/>
  </r>
  <r>
    <s v="C1458"/>
    <s v="Pooja Malhotra"/>
    <s v="Female"/>
    <n v="75"/>
    <x v="3"/>
    <x v="0"/>
    <x v="4"/>
    <n v="1199"/>
    <n v="11990"/>
    <x v="0"/>
    <d v="2024-11-27T00:00:00"/>
    <x v="1"/>
    <s v="No"/>
    <s v="No"/>
    <x v="0"/>
    <x v="1"/>
    <s v="No"/>
  </r>
  <r>
    <s v="C1459"/>
    <s v="Swati Agarwal"/>
    <s v="Female"/>
    <n v="47"/>
    <x v="5"/>
    <x v="2"/>
    <x v="49"/>
    <n v="899"/>
    <n v="63829"/>
    <x v="0"/>
    <d v="2019-11-20T00:00:00"/>
    <x v="0"/>
    <s v="No"/>
    <s v="Yes"/>
    <x v="0"/>
    <x v="0"/>
    <s v="No"/>
  </r>
  <r>
    <s v="C1460"/>
    <s v="Sonal Patel"/>
    <s v="Female"/>
    <n v="47"/>
    <x v="3"/>
    <x v="1"/>
    <x v="16"/>
    <n v="1149"/>
    <n v="13788"/>
    <x v="0"/>
    <m/>
    <x v="0"/>
    <s v="No"/>
    <s v="No"/>
    <x v="0"/>
    <x v="0"/>
    <s v="Date missing"/>
  </r>
  <r>
    <s v="C1461"/>
    <s v="Neha Saxena"/>
    <s v="Female"/>
    <n v="52"/>
    <x v="6"/>
    <x v="0"/>
    <x v="36"/>
    <n v="1149"/>
    <n v="18384"/>
    <x v="0"/>
    <d v="2024-05-26T00:00:00"/>
    <x v="0"/>
    <s v="No"/>
    <s v="No"/>
    <x v="0"/>
    <x v="0"/>
    <s v="No"/>
  </r>
  <r>
    <s v="C1462"/>
    <s v="Swati Reddy"/>
    <s v="Female"/>
    <n v="24"/>
    <x v="1"/>
    <x v="1"/>
    <x v="35"/>
    <n v="649"/>
    <n v="5841"/>
    <x v="1"/>
    <d v="2024-12-17T00:00:00"/>
    <x v="0"/>
    <s v="No"/>
    <s v="No"/>
    <x v="0"/>
    <x v="1"/>
    <s v="No"/>
  </r>
  <r>
    <s v="C1463"/>
    <s v="Karan Verma"/>
    <s v="Male"/>
    <n v="54"/>
    <x v="9"/>
    <x v="2"/>
    <x v="60"/>
    <n v="1199"/>
    <n v="81532"/>
    <x v="0"/>
    <m/>
    <x v="0"/>
    <s v="No"/>
    <s v="No"/>
    <x v="0"/>
    <x v="1"/>
    <s v="Date missing"/>
  </r>
  <r>
    <s v="C1464"/>
    <s v="Pankaj Pandey"/>
    <s v="Male"/>
    <n v="22"/>
    <x v="3"/>
    <x v="2"/>
    <x v="61"/>
    <n v="899"/>
    <n v="56637"/>
    <x v="1"/>
    <d v="2020-07-25T00:00:00"/>
    <x v="0"/>
    <s v="No"/>
    <s v="No"/>
    <x v="0"/>
    <x v="0"/>
    <s v="No"/>
  </r>
  <r>
    <s v="C1465"/>
    <s v="Sonal Agarwal"/>
    <s v="Female"/>
    <n v="74"/>
    <x v="12"/>
    <x v="2"/>
    <x v="28"/>
    <n v="1149"/>
    <n v="9192"/>
    <x v="3"/>
    <d v="2025-01-08T00:00:00"/>
    <x v="0"/>
    <s v="No"/>
    <s v="No"/>
    <x v="0"/>
    <x v="0"/>
    <s v="No"/>
  </r>
  <r>
    <s v="C1466"/>
    <s v="Harsh Kumar"/>
    <s v="Male"/>
    <n v="31"/>
    <x v="1"/>
    <x v="0"/>
    <x v="30"/>
    <n v="999"/>
    <n v="17982"/>
    <x v="0"/>
    <d v="2024-03-30T00:00:00"/>
    <x v="0"/>
    <s v="No"/>
    <s v="No"/>
    <x v="0"/>
    <x v="0"/>
    <s v="No"/>
  </r>
  <r>
    <s v="C1467"/>
    <s v="Sachin Agarwal"/>
    <s v="Male"/>
    <n v="53"/>
    <x v="12"/>
    <x v="1"/>
    <x v="14"/>
    <n v="1199"/>
    <n v="44363"/>
    <x v="0"/>
    <d v="2022-09-01T00:00:00"/>
    <x v="0"/>
    <s v="No"/>
    <s v="No"/>
    <x v="0"/>
    <x v="1"/>
    <s v="No"/>
  </r>
  <r>
    <s v="C1468"/>
    <s v="Arjun Gupta"/>
    <s v="Male"/>
    <n v="53"/>
    <x v="12"/>
    <x v="0"/>
    <x v="30"/>
    <n v="1099"/>
    <n v="19782"/>
    <x v="0"/>
    <d v="2024-03-20T00:00:00"/>
    <x v="0"/>
    <s v="No"/>
    <s v="No"/>
    <x v="0"/>
    <x v="0"/>
    <s v="No"/>
  </r>
  <r>
    <s v="C1469"/>
    <s v="Isha Tiwari"/>
    <s v="Female"/>
    <n v="66"/>
    <x v="9"/>
    <x v="0"/>
    <x v="11"/>
    <n v="1149"/>
    <n v="22980"/>
    <x v="0"/>
    <d v="2024-01-13T00:00:00"/>
    <x v="1"/>
    <s v="No"/>
    <s v="No"/>
    <x v="0"/>
    <x v="0"/>
    <s v="No"/>
  </r>
  <r>
    <s v="C1470"/>
    <s v="Isha Kapoor"/>
    <s v="Female"/>
    <n v="46"/>
    <x v="12"/>
    <x v="0"/>
    <x v="4"/>
    <n v="799"/>
    <n v="7990"/>
    <x v="1"/>
    <d v="2024-11-04T00:00:00"/>
    <x v="1"/>
    <s v="No"/>
    <s v="No"/>
    <x v="0"/>
    <x v="0"/>
    <s v="No"/>
  </r>
  <r>
    <s v="C1471"/>
    <s v="Priya Iyer"/>
    <s v="Female"/>
    <n v="47"/>
    <x v="0"/>
    <x v="2"/>
    <x v="37"/>
    <n v="799"/>
    <n v="28764"/>
    <x v="1"/>
    <d v="2022-09-26T00:00:00"/>
    <x v="0"/>
    <s v="Yes"/>
    <s v="No"/>
    <x v="0"/>
    <x v="0"/>
    <s v="No"/>
  </r>
  <r>
    <s v="C1472"/>
    <s v="Karan Verma"/>
    <s v="Male"/>
    <n v="47"/>
    <x v="2"/>
    <x v="0"/>
    <x v="6"/>
    <n v="649"/>
    <n v="12331"/>
    <x v="1"/>
    <d v="2024-03-05T00:00:00"/>
    <x v="0"/>
    <s v="No"/>
    <s v="No"/>
    <x v="0"/>
    <x v="0"/>
    <s v="No"/>
  </r>
  <r>
    <s v="C1473"/>
    <s v="Tanvi Mehta"/>
    <s v="Female"/>
    <n v="64"/>
    <x v="4"/>
    <x v="1"/>
    <x v="16"/>
    <n v="1299"/>
    <n v="15588"/>
    <x v="0"/>
    <d v="2024-09-30T00:00:00"/>
    <x v="0"/>
    <s v="No"/>
    <s v="No"/>
    <x v="0"/>
    <x v="0"/>
    <s v="No"/>
  </r>
  <r>
    <s v="C1474"/>
    <s v="Sneha Agarwal"/>
    <s v="Female"/>
    <n v="69"/>
    <x v="11"/>
    <x v="0"/>
    <x v="2"/>
    <n v="1299"/>
    <n v="14289"/>
    <x v="0"/>
    <d v="2024-10-06T00:00:00"/>
    <x v="1"/>
    <s v="No"/>
    <s v="No"/>
    <x v="1"/>
    <x v="0"/>
    <s v="No"/>
  </r>
  <r>
    <s v="C1475"/>
    <s v="Manish Agarwal"/>
    <s v="Male"/>
    <n v="59"/>
    <x v="6"/>
    <x v="1"/>
    <x v="3"/>
    <n v="599"/>
    <n v="14975"/>
    <x v="1"/>
    <d v="2023-08-23T00:00:00"/>
    <x v="1"/>
    <s v="No"/>
    <s v="No"/>
    <x v="0"/>
    <x v="0"/>
    <s v="No"/>
  </r>
  <r>
    <s v="C1476"/>
    <s v="Nikhil Jain"/>
    <s v="Male"/>
    <n v="62"/>
    <x v="0"/>
    <x v="0"/>
    <x v="17"/>
    <n v="1299"/>
    <n v="16887"/>
    <x v="0"/>
    <d v="2024-09-01T00:00:00"/>
    <x v="0"/>
    <s v="No"/>
    <s v="No"/>
    <x v="0"/>
    <x v="0"/>
    <s v="No"/>
  </r>
  <r>
    <s v="C1477"/>
    <s v="Vivek Iyer"/>
    <s v="Male"/>
    <n v="68"/>
    <x v="12"/>
    <x v="0"/>
    <x v="36"/>
    <n v="799"/>
    <n v="12784"/>
    <x v="1"/>
    <d v="2024-05-28T00:00:00"/>
    <x v="0"/>
    <s v="No"/>
    <s v="No"/>
    <x v="0"/>
    <x v="0"/>
    <s v="No"/>
  </r>
  <r>
    <s v="C1478"/>
    <s v="Deepak Jain"/>
    <s v="Male"/>
    <n v="45"/>
    <x v="13"/>
    <x v="1"/>
    <x v="45"/>
    <n v="999"/>
    <n v="30969"/>
    <x v="0"/>
    <d v="2023-02-23T00:00:00"/>
    <x v="0"/>
    <s v="No"/>
    <s v="No"/>
    <x v="0"/>
    <x v="0"/>
    <s v="No"/>
  </r>
  <r>
    <s v="C1479"/>
    <s v="Sachin Yadav"/>
    <s v="Male"/>
    <n v="65"/>
    <x v="1"/>
    <x v="0"/>
    <x v="33"/>
    <n v="699"/>
    <n v="9786"/>
    <x v="1"/>
    <d v="2024-07-14T00:00:00"/>
    <x v="1"/>
    <s v="No"/>
    <s v="No"/>
    <x v="0"/>
    <x v="0"/>
    <s v="No"/>
  </r>
  <r>
    <s v="C1480"/>
    <s v="Nisha Patel"/>
    <s v="Female"/>
    <n v="40"/>
    <x v="0"/>
    <x v="0"/>
    <x v="21"/>
    <n v="1049"/>
    <n v="1049"/>
    <x v="0"/>
    <d v="2025-08-10T00:00:00"/>
    <x v="0"/>
    <s v="No"/>
    <s v="No"/>
    <x v="0"/>
    <x v="0"/>
    <s v="No"/>
  </r>
  <r>
    <s v="C1481"/>
    <s v="Riya Singh"/>
    <s v="Female"/>
    <n v="46"/>
    <x v="3"/>
    <x v="2"/>
    <x v="53"/>
    <n v="649"/>
    <n v="31152"/>
    <x v="1"/>
    <d v="2021-10-18T00:00:00"/>
    <x v="0"/>
    <s v="No"/>
    <s v="No"/>
    <x v="0"/>
    <x v="0"/>
    <s v="No"/>
  </r>
  <r>
    <s v="C1482"/>
    <s v="Pankaj Singh"/>
    <s v="Male"/>
    <n v="73"/>
    <x v="6"/>
    <x v="2"/>
    <x v="8"/>
    <n v="699"/>
    <n v="10485"/>
    <x v="1"/>
    <d v="2024-06-29T00:00:00"/>
    <x v="1"/>
    <s v="No"/>
    <s v="Yes"/>
    <x v="0"/>
    <x v="0"/>
    <s v="No"/>
  </r>
  <r>
    <s v="C1483"/>
    <s v="Sanjay Mishra"/>
    <s v="Male"/>
    <n v="51"/>
    <x v="13"/>
    <x v="0"/>
    <x v="9"/>
    <n v="1199"/>
    <n v="28776"/>
    <x v="0"/>
    <d v="2023-09-11T00:00:00"/>
    <x v="1"/>
    <s v="No"/>
    <s v="No"/>
    <x v="0"/>
    <x v="0"/>
    <s v="No"/>
  </r>
  <r>
    <s v="C1484"/>
    <s v="Suresh Gupta"/>
    <s v="Male"/>
    <n v="21"/>
    <x v="5"/>
    <x v="0"/>
    <x v="35"/>
    <n v="1099"/>
    <n v="9891"/>
    <x v="0"/>
    <d v="2024-12-11T00:00:00"/>
    <x v="1"/>
    <s v="No"/>
    <s v="No"/>
    <x v="0"/>
    <x v="0"/>
    <s v="No"/>
  </r>
  <r>
    <s v="C1485"/>
    <s v="Isha Reddy"/>
    <s v="Female"/>
    <n v="19"/>
    <x v="5"/>
    <x v="2"/>
    <x v="57"/>
    <m/>
    <m/>
    <x v="0"/>
    <d v="2023-03-28T00:00:00"/>
    <x v="0"/>
    <s v="No"/>
    <s v="No"/>
    <x v="0"/>
    <x v="0"/>
    <s v="Monthly missing; Total missing"/>
  </r>
  <r>
    <s v="C1486"/>
    <s v="Arjun Mehta"/>
    <s v="Male"/>
    <n v="50"/>
    <x v="7"/>
    <x v="1"/>
    <x v="24"/>
    <n v="1149"/>
    <n v="3447"/>
    <x v="0"/>
    <d v="2025-06-18T00:00:00"/>
    <x v="1"/>
    <s v="No"/>
    <s v="No"/>
    <x v="0"/>
    <x v="0"/>
    <s v="No"/>
  </r>
  <r>
    <s v="C1487"/>
    <s v="Rahul Patel"/>
    <s v="Male"/>
    <n v="61"/>
    <x v="2"/>
    <x v="0"/>
    <x v="10"/>
    <n v="699"/>
    <n v="11883"/>
    <x v="1"/>
    <d v="2024-04-08T00:00:00"/>
    <x v="0"/>
    <s v="No"/>
    <s v="No"/>
    <x v="0"/>
    <x v="0"/>
    <s v="No"/>
  </r>
  <r>
    <s v="C1488"/>
    <s v="Priya Mishra"/>
    <s v="Female"/>
    <n v="35"/>
    <x v="0"/>
    <x v="0"/>
    <x v="0"/>
    <n v="499"/>
    <n v="10978"/>
    <x v="2"/>
    <d v="2023-11-17T00:00:00"/>
    <x v="0"/>
    <s v="No"/>
    <s v="No"/>
    <x v="0"/>
    <x v="1"/>
    <s v="No"/>
  </r>
  <r>
    <s v="C1489"/>
    <s v="Vivek Nair"/>
    <s v="Male"/>
    <n v="54"/>
    <x v="8"/>
    <x v="0"/>
    <x v="11"/>
    <n v="699"/>
    <n v="13980"/>
    <x v="1"/>
    <d v="2024-01-17T00:00:00"/>
    <x v="1"/>
    <s v="No"/>
    <s v="No"/>
    <x v="0"/>
    <x v="1"/>
    <s v="No"/>
  </r>
  <r>
    <s v="C1490"/>
    <s v="Rajesh Mishra"/>
    <s v="Male"/>
    <n v="47"/>
    <x v="13"/>
    <x v="0"/>
    <x v="23"/>
    <n v="849"/>
    <n v="19527"/>
    <x v="1"/>
    <d v="2023-10-10T00:00:00"/>
    <x v="0"/>
    <s v="Yes"/>
    <s v="No"/>
    <x v="0"/>
    <x v="0"/>
    <s v="No"/>
  </r>
  <r>
    <s v="C1491"/>
    <s v="Rajesh Gupta"/>
    <s v="Male"/>
    <n v="38"/>
    <x v="4"/>
    <x v="1"/>
    <x v="28"/>
    <n v="399"/>
    <n v="3192"/>
    <x v="2"/>
    <d v="2025-01-07T00:00:00"/>
    <x v="0"/>
    <s v="No"/>
    <s v="No"/>
    <x v="0"/>
    <x v="0"/>
    <s v="No"/>
  </r>
  <r>
    <s v="C1492"/>
    <s v="Nisha Tiwari"/>
    <s v="Female"/>
    <n v="37"/>
    <x v="7"/>
    <x v="1"/>
    <x v="30"/>
    <n v="399"/>
    <n v="7182"/>
    <x v="2"/>
    <d v="2024-04-01T00:00:00"/>
    <x v="1"/>
    <s v="No"/>
    <s v="No"/>
    <x v="0"/>
    <x v="0"/>
    <s v="No"/>
  </r>
  <r>
    <s v="C1493"/>
    <s v="Pankaj Yadav"/>
    <s v="Male"/>
    <n v="35"/>
    <x v="11"/>
    <x v="1"/>
    <x v="8"/>
    <n v="649"/>
    <n v="9735"/>
    <x v="1"/>
    <d v="2024-06-13T00:00:00"/>
    <x v="0"/>
    <s v="No"/>
    <s v="No"/>
    <x v="0"/>
    <x v="0"/>
    <s v="No"/>
  </r>
  <r>
    <s v="C1494"/>
    <s v="Pooja Jain"/>
    <s v="Female"/>
    <n v="72"/>
    <x v="11"/>
    <x v="0"/>
    <x v="15"/>
    <n v="1099"/>
    <n v="6594"/>
    <x v="3"/>
    <d v="2025-03-27T00:00:00"/>
    <x v="0"/>
    <s v="No"/>
    <s v="No"/>
    <x v="0"/>
    <x v="0"/>
    <s v="No"/>
  </r>
  <r>
    <s v="C1495"/>
    <s v="Manish Verma"/>
    <s v="Male"/>
    <n v="44"/>
    <x v="13"/>
    <x v="2"/>
    <x v="62"/>
    <n v="399"/>
    <n v="21147"/>
    <x v="2"/>
    <d v="2021-05-20T00:00:00"/>
    <x v="0"/>
    <s v="No"/>
    <s v="No"/>
    <x v="0"/>
    <x v="0"/>
    <s v="No"/>
  </r>
  <r>
    <s v="C1496"/>
    <s v="Ankit Yadav"/>
    <s v="Male"/>
    <n v="49"/>
    <x v="14"/>
    <x v="0"/>
    <x v="28"/>
    <n v="1099"/>
    <n v="8792"/>
    <x v="0"/>
    <d v="2025-01-05T00:00:00"/>
    <x v="0"/>
    <s v="No"/>
    <s v="No"/>
    <x v="0"/>
    <x v="0"/>
    <s v="No"/>
  </r>
  <r>
    <s v="C1497"/>
    <s v="Swati Rao"/>
    <s v="Female"/>
    <n v="57"/>
    <x v="14"/>
    <x v="1"/>
    <x v="24"/>
    <n v="899"/>
    <n v="2697"/>
    <x v="0"/>
    <d v="2025-06-02T00:00:00"/>
    <x v="0"/>
    <s v="No"/>
    <s v="No"/>
    <x v="0"/>
    <x v="0"/>
    <s v="No"/>
  </r>
  <r>
    <s v="C1498"/>
    <s v="Manish Jain"/>
    <s v="Male"/>
    <n v="52"/>
    <x v="12"/>
    <x v="2"/>
    <x v="41"/>
    <n v="799"/>
    <n v="39950"/>
    <x v="1"/>
    <d v="2021-08-06T00:00:00"/>
    <x v="0"/>
    <s v="No"/>
    <s v="No"/>
    <x v="0"/>
    <x v="0"/>
    <s v="No"/>
  </r>
  <r>
    <s v="C1499"/>
    <s v="Aditi Iyer"/>
    <s v="Female"/>
    <n v="47"/>
    <x v="8"/>
    <x v="0"/>
    <x v="22"/>
    <n v="1149"/>
    <n v="2298"/>
    <x v="0"/>
    <d v="2025-07-10T00:00:00"/>
    <x v="1"/>
    <s v="No"/>
    <s v="No"/>
    <x v="0"/>
    <x v="0"/>
    <s v="No"/>
  </r>
  <r>
    <s v="C1500"/>
    <s v="Neha Agarwal"/>
    <s v="Female"/>
    <n v="50"/>
    <x v="4"/>
    <x v="0"/>
    <x v="23"/>
    <n v="999"/>
    <n v="22977"/>
    <x v="0"/>
    <d v="2023-10-25T00:00:00"/>
    <x v="1"/>
    <s v="No"/>
    <s v="No"/>
    <x v="0"/>
    <x v="0"/>
    <s v="No"/>
  </r>
  <r>
    <s v="C1501"/>
    <s v="Arjun Kapoor"/>
    <s v="Male"/>
    <n v="55"/>
    <x v="14"/>
    <x v="2"/>
    <x v="16"/>
    <n v="399"/>
    <n v="4788"/>
    <x v="2"/>
    <d v="2024-09-30T00:00:00"/>
    <x v="0"/>
    <s v="No"/>
    <s v="No"/>
    <x v="0"/>
    <x v="0"/>
    <s v="No"/>
  </r>
  <r>
    <s v="C1502"/>
    <s v="Karan Pandey"/>
    <s v="Male"/>
    <n v="46"/>
    <x v="9"/>
    <x v="0"/>
    <x v="17"/>
    <n v="1299"/>
    <n v="16887"/>
    <x v="0"/>
    <d v="2024-08-29T00:00:00"/>
    <x v="0"/>
    <s v="No"/>
    <s v="No"/>
    <x v="0"/>
    <x v="0"/>
    <s v="No"/>
  </r>
  <r>
    <s v="C1503"/>
    <s v="Sonal Rao"/>
    <s v="Female"/>
    <n v="20"/>
    <x v="13"/>
    <x v="0"/>
    <x v="0"/>
    <n v="899"/>
    <n v="19778"/>
    <x v="1"/>
    <d v="2023-12-03T00:00:00"/>
    <x v="0"/>
    <s v="No"/>
    <s v="No"/>
    <x v="0"/>
    <x v="0"/>
    <s v="No"/>
  </r>
  <r>
    <s v="C1504"/>
    <s v="Vivek Iyer"/>
    <s v="Male"/>
    <n v="37"/>
    <x v="14"/>
    <x v="1"/>
    <x v="16"/>
    <n v="999"/>
    <n v="11988"/>
    <x v="0"/>
    <d v="2024-09-09T00:00:00"/>
    <x v="1"/>
    <s v="No"/>
    <s v="No"/>
    <x v="0"/>
    <x v="0"/>
    <s v="No"/>
  </r>
  <r>
    <s v="C1505"/>
    <s v="Priya Kapoor"/>
    <s v="Female"/>
    <n v="49"/>
    <x v="6"/>
    <x v="0"/>
    <x v="11"/>
    <n v="399"/>
    <n v="7980"/>
    <x v="2"/>
    <d v="2024-01-22T00:00:00"/>
    <x v="0"/>
    <s v="No"/>
    <s v="No"/>
    <x v="0"/>
    <x v="0"/>
    <s v="No"/>
  </r>
  <r>
    <s v="C1506"/>
    <s v="Nisha Kapoor"/>
    <s v="Female"/>
    <n v="23"/>
    <x v="11"/>
    <x v="1"/>
    <x v="37"/>
    <n v="699"/>
    <n v="25164"/>
    <x v="1"/>
    <d v="2022-10-08T00:00:00"/>
    <x v="0"/>
    <s v="No"/>
    <s v="No"/>
    <x v="0"/>
    <x v="0"/>
    <s v="No"/>
  </r>
  <r>
    <s v="C1507"/>
    <s v="Arjun Singh"/>
    <s v="Male"/>
    <n v="21"/>
    <x v="9"/>
    <x v="0"/>
    <x v="22"/>
    <n v="849"/>
    <n v="1698"/>
    <x v="1"/>
    <d v="2025-07-01T00:00:00"/>
    <x v="1"/>
    <s v="No"/>
    <s v="No"/>
    <x v="1"/>
    <x v="0"/>
    <s v="No"/>
  </r>
  <r>
    <s v="C1508"/>
    <s v="Amit Reddy"/>
    <s v="Male"/>
    <n v="44"/>
    <x v="8"/>
    <x v="0"/>
    <x v="0"/>
    <n v="849"/>
    <n v="18678"/>
    <x v="1"/>
    <d v="2023-11-21T00:00:00"/>
    <x v="0"/>
    <s v="No"/>
    <s v="No"/>
    <x v="0"/>
    <x v="0"/>
    <s v="No"/>
  </r>
  <r>
    <s v="C1509"/>
    <s v="Ankit Agarwal"/>
    <s v="Male"/>
    <n v="55"/>
    <x v="2"/>
    <x v="2"/>
    <x v="25"/>
    <n v="699"/>
    <n v="27261"/>
    <x v="1"/>
    <d v="2022-06-22T00:00:00"/>
    <x v="0"/>
    <s v="No"/>
    <s v="No"/>
    <x v="0"/>
    <x v="0"/>
    <s v="No"/>
  </r>
  <r>
    <s v="C1510"/>
    <s v="Sonal Kumar"/>
    <s v="Female"/>
    <n v="36"/>
    <x v="7"/>
    <x v="0"/>
    <x v="35"/>
    <n v="1149"/>
    <n v="10341"/>
    <x v="0"/>
    <d v="2024-12-10T00:00:00"/>
    <x v="0"/>
    <s v="No"/>
    <s v="No"/>
    <x v="0"/>
    <x v="0"/>
    <s v="No"/>
  </r>
  <r>
    <s v="C1511"/>
    <s v="Pankaj Verma"/>
    <s v="Male"/>
    <n v="24"/>
    <x v="11"/>
    <x v="1"/>
    <x v="15"/>
    <n v="1199"/>
    <n v="7194"/>
    <x v="0"/>
    <d v="2025-03-10T00:00:00"/>
    <x v="0"/>
    <s v="No"/>
    <s v="No"/>
    <x v="0"/>
    <x v="0"/>
    <s v="No"/>
  </r>
  <r>
    <s v="C1512"/>
    <s v="Nisha Yadav"/>
    <s v="Female"/>
    <n v="72"/>
    <x v="2"/>
    <x v="0"/>
    <x v="11"/>
    <n v="999"/>
    <n v="19980"/>
    <x v="0"/>
    <d v="2024-01-21T00:00:00"/>
    <x v="0"/>
    <s v="No"/>
    <s v="No"/>
    <x v="1"/>
    <x v="0"/>
    <s v="No"/>
  </r>
  <r>
    <s v="C1513"/>
    <s v="Komal Gupta"/>
    <s v="Female"/>
    <n v="74"/>
    <x v="11"/>
    <x v="0"/>
    <x v="27"/>
    <n v="599"/>
    <n v="4193"/>
    <x v="1"/>
    <d v="2025-02-05T00:00:00"/>
    <x v="0"/>
    <s v="No"/>
    <s v="No"/>
    <x v="0"/>
    <x v="0"/>
    <s v="No"/>
  </r>
  <r>
    <s v="C1514"/>
    <s v="Sanjay Yadav"/>
    <s v="Male"/>
    <n v="47"/>
    <x v="12"/>
    <x v="0"/>
    <x v="26"/>
    <n v="649"/>
    <n v="13629"/>
    <x v="1"/>
    <d v="2023-12-30T00:00:00"/>
    <x v="0"/>
    <s v="Yes"/>
    <s v="No"/>
    <x v="0"/>
    <x v="0"/>
    <s v="No"/>
  </r>
  <r>
    <s v="C1515"/>
    <s v="Harsh Iyer"/>
    <s v="Male"/>
    <n v="50"/>
    <x v="1"/>
    <x v="0"/>
    <x v="0"/>
    <n v="699"/>
    <n v="15378"/>
    <x v="1"/>
    <d v="2023-11-19T00:00:00"/>
    <x v="0"/>
    <s v="No"/>
    <s v="No"/>
    <x v="0"/>
    <x v="0"/>
    <s v="No"/>
  </r>
  <r>
    <s v="C1516"/>
    <s v="Arjun Mehta"/>
    <s v="Male"/>
    <n v="39"/>
    <x v="6"/>
    <x v="0"/>
    <x v="36"/>
    <n v="899"/>
    <n v="14384"/>
    <x v="0"/>
    <d v="2024-05-16T00:00:00"/>
    <x v="0"/>
    <s v="No"/>
    <s v="No"/>
    <x v="1"/>
    <x v="0"/>
    <s v="No"/>
  </r>
  <r>
    <s v="C1517"/>
    <s v="Sonal Joshi"/>
    <s v="Female"/>
    <n v="47"/>
    <x v="13"/>
    <x v="2"/>
    <x v="28"/>
    <n v="449"/>
    <n v="3592"/>
    <x v="2"/>
    <d v="2025-01-10T00:00:00"/>
    <x v="0"/>
    <s v="No"/>
    <s v="No"/>
    <x v="0"/>
    <x v="0"/>
    <s v="No"/>
  </r>
  <r>
    <s v="C1518"/>
    <s v="Sonal Mishra"/>
    <s v="Female"/>
    <n v="19"/>
    <x v="0"/>
    <x v="1"/>
    <x v="23"/>
    <n v="599"/>
    <n v="13777"/>
    <x v="1"/>
    <d v="2023-10-29T00:00:00"/>
    <x v="0"/>
    <s v="No"/>
    <s v="No"/>
    <x v="0"/>
    <x v="0"/>
    <s v="No"/>
  </r>
  <r>
    <s v="C1519"/>
    <s v="Sonal Gupta"/>
    <s v="Female"/>
    <n v="54"/>
    <x v="11"/>
    <x v="0"/>
    <x v="4"/>
    <n v="1299"/>
    <n v="12990"/>
    <x v="0"/>
    <d v="2024-11-24T00:00:00"/>
    <x v="0"/>
    <s v="No"/>
    <s v="No"/>
    <x v="0"/>
    <x v="0"/>
    <s v="No"/>
  </r>
  <r>
    <s v="C1520"/>
    <s v="Neha Desai"/>
    <s v="Female"/>
    <n v="74"/>
    <x v="0"/>
    <x v="0"/>
    <x v="12"/>
    <m/>
    <n v="4490"/>
    <x v="2"/>
    <d v="2024-11-21T00:00:00"/>
    <x v="1"/>
    <s v="No"/>
    <s v="No"/>
    <x v="0"/>
    <x v="0"/>
    <s v="Monthly missing; Tenure missing"/>
  </r>
  <r>
    <s v="C1521"/>
    <s v="Sanjay Kumar"/>
    <s v="Male"/>
    <n v="46"/>
    <x v="1"/>
    <x v="0"/>
    <x v="10"/>
    <n v="999"/>
    <n v="16983"/>
    <x v="0"/>
    <m/>
    <x v="0"/>
    <s v="No"/>
    <s v="No"/>
    <x v="0"/>
    <x v="0"/>
    <s v="Date missing"/>
  </r>
  <r>
    <s v="C1522"/>
    <s v="Swati Singh"/>
    <s v="Female"/>
    <n v="67"/>
    <x v="6"/>
    <x v="0"/>
    <x v="10"/>
    <n v="399"/>
    <n v="6783"/>
    <x v="2"/>
    <d v="2024-04-22T00:00:00"/>
    <x v="0"/>
    <s v="No"/>
    <s v="No"/>
    <x v="0"/>
    <x v="0"/>
    <s v="No"/>
  </r>
  <r>
    <s v="C1523"/>
    <s v="Payal Reddy"/>
    <s v="Female"/>
    <n v="18"/>
    <x v="5"/>
    <x v="2"/>
    <x v="16"/>
    <n v="1099"/>
    <n v="13188"/>
    <x v="0"/>
    <d v="2024-09-09T00:00:00"/>
    <x v="1"/>
    <s v="No"/>
    <s v="No"/>
    <x v="0"/>
    <x v="0"/>
    <s v="No"/>
  </r>
  <r>
    <s v="C1524"/>
    <s v="Priya Bose"/>
    <s v="Female"/>
    <n v="66"/>
    <x v="5"/>
    <x v="1"/>
    <x v="17"/>
    <n v="649"/>
    <n v="8437"/>
    <x v="1"/>
    <d v="2024-08-10T00:00:00"/>
    <x v="0"/>
    <s v="No"/>
    <s v="No"/>
    <x v="0"/>
    <x v="0"/>
    <s v="No"/>
  </r>
  <r>
    <s v="C1525"/>
    <s v="Anjali Malhotra"/>
    <s v="Female"/>
    <n v="47"/>
    <x v="8"/>
    <x v="0"/>
    <x v="11"/>
    <n v="799"/>
    <n v="15980"/>
    <x v="1"/>
    <d v="2024-01-26T00:00:00"/>
    <x v="1"/>
    <s v="Yes"/>
    <s v="No"/>
    <x v="0"/>
    <x v="0"/>
    <s v="No"/>
  </r>
  <r>
    <s v="C1526"/>
    <s v="Kavita Singh"/>
    <s v="Female"/>
    <n v="63"/>
    <x v="13"/>
    <x v="0"/>
    <x v="24"/>
    <n v="699"/>
    <n v="2097"/>
    <x v="1"/>
    <d v="2025-06-29T00:00:00"/>
    <x v="1"/>
    <s v="No"/>
    <s v="No"/>
    <x v="0"/>
    <x v="0"/>
    <s v="No"/>
  </r>
  <r>
    <s v="C1527"/>
    <s v="Rahul Desai"/>
    <s v="Male"/>
    <n v="75"/>
    <x v="9"/>
    <x v="0"/>
    <x v="24"/>
    <n v="1099"/>
    <n v="3297"/>
    <x v="0"/>
    <d v="2025-06-02T00:00:00"/>
    <x v="0"/>
    <s v="No"/>
    <s v="No"/>
    <x v="0"/>
    <x v="0"/>
    <s v="No"/>
  </r>
  <r>
    <s v="C1528"/>
    <s v="Riya Patel"/>
    <s v="Female"/>
    <n v="37"/>
    <x v="2"/>
    <x v="2"/>
    <x v="54"/>
    <n v="1299"/>
    <n v="89631"/>
    <x v="0"/>
    <d v="2020-01-26T00:00:00"/>
    <x v="0"/>
    <s v="No"/>
    <s v="No"/>
    <x v="0"/>
    <x v="0"/>
    <s v="No"/>
  </r>
  <r>
    <s v="C1529"/>
    <s v="Anjali Kapoor"/>
    <s v="Female"/>
    <n v="37"/>
    <x v="9"/>
    <x v="1"/>
    <x v="45"/>
    <n v="999"/>
    <n v="30969"/>
    <x v="0"/>
    <d v="2023-02-22T00:00:00"/>
    <x v="0"/>
    <s v="No"/>
    <s v="No"/>
    <x v="0"/>
    <x v="0"/>
    <s v="No"/>
  </r>
  <r>
    <s v="C1530"/>
    <s v="Isha Rao"/>
    <s v="Female"/>
    <n v="29"/>
    <x v="14"/>
    <x v="2"/>
    <x v="63"/>
    <n v="749"/>
    <n v="31458"/>
    <x v="1"/>
    <d v="2022-04-14T00:00:00"/>
    <x v="1"/>
    <s v="No"/>
    <s v="No"/>
    <x v="1"/>
    <x v="0"/>
    <s v="No"/>
  </r>
  <r>
    <s v="C1531"/>
    <s v="Komal Kapoor"/>
    <s v="Female"/>
    <n v="72"/>
    <x v="8"/>
    <x v="0"/>
    <x v="6"/>
    <n v="649"/>
    <n v="12331"/>
    <x v="1"/>
    <d v="2024-02-14T00:00:00"/>
    <x v="1"/>
    <s v="No"/>
    <s v="No"/>
    <x v="0"/>
    <x v="0"/>
    <s v="No"/>
  </r>
  <r>
    <s v="C1532"/>
    <s v="Nikhil Mishra"/>
    <s v="Male"/>
    <n v="59"/>
    <x v="4"/>
    <x v="1"/>
    <x v="42"/>
    <n v="1099"/>
    <n v="28574"/>
    <x v="0"/>
    <d v="2023-07-24T00:00:00"/>
    <x v="0"/>
    <s v="No"/>
    <s v="No"/>
    <x v="0"/>
    <x v="0"/>
    <s v="No"/>
  </r>
  <r>
    <s v="C1533"/>
    <s v="Gaurav Rao"/>
    <s v="Male"/>
    <n v="22"/>
    <x v="2"/>
    <x v="0"/>
    <x v="33"/>
    <n v="1099"/>
    <n v="15386"/>
    <x v="0"/>
    <d v="2024-07-18T00:00:00"/>
    <x v="0"/>
    <s v="No"/>
    <s v="No"/>
    <x v="0"/>
    <x v="0"/>
    <s v="No"/>
  </r>
  <r>
    <s v="C1534"/>
    <s v="Arjun Saxena"/>
    <s v="Male"/>
    <n v="60"/>
    <x v="4"/>
    <x v="1"/>
    <x v="47"/>
    <n v="1149"/>
    <n v="36768"/>
    <x v="0"/>
    <d v="2023-01-25T00:00:00"/>
    <x v="0"/>
    <s v="No"/>
    <s v="No"/>
    <x v="0"/>
    <x v="0"/>
    <s v="No"/>
  </r>
  <r>
    <s v="C1535"/>
    <s v="Ankit Gupta"/>
    <s v="Male"/>
    <n v="37"/>
    <x v="12"/>
    <x v="0"/>
    <x v="11"/>
    <n v="899"/>
    <n v="17980"/>
    <x v="3"/>
    <d v="2024-01-17T00:00:00"/>
    <x v="1"/>
    <s v="No"/>
    <s v="No"/>
    <x v="0"/>
    <x v="0"/>
    <s v="No"/>
  </r>
  <r>
    <s v="C1536"/>
    <s v="Vikram Mehta"/>
    <s v="Male"/>
    <n v="70"/>
    <x v="8"/>
    <x v="2"/>
    <x v="21"/>
    <n v="399"/>
    <n v="399"/>
    <x v="2"/>
    <d v="2025-08-20T00:00:00"/>
    <x v="0"/>
    <s v="No"/>
    <s v="No"/>
    <x v="0"/>
    <x v="0"/>
    <s v="No"/>
  </r>
  <r>
    <s v="C1537"/>
    <s v="Riya Bose"/>
    <s v="Female"/>
    <n v="46"/>
    <x v="0"/>
    <x v="0"/>
    <x v="4"/>
    <n v="449"/>
    <n v="4490"/>
    <x v="2"/>
    <d v="2024-11-03T00:00:00"/>
    <x v="0"/>
    <s v="No"/>
    <s v="No"/>
    <x v="0"/>
    <x v="0"/>
    <s v="No"/>
  </r>
  <r>
    <s v="C1538"/>
    <s v="Isha Kumar"/>
    <s v="Female"/>
    <n v="55"/>
    <x v="3"/>
    <x v="1"/>
    <x v="35"/>
    <n v="1049"/>
    <n v="9441"/>
    <x v="0"/>
    <d v="2024-12-15T00:00:00"/>
    <x v="0"/>
    <s v="No"/>
    <s v="No"/>
    <x v="0"/>
    <x v="0"/>
    <s v="No"/>
  </r>
  <r>
    <s v="C1539"/>
    <s v="Rahul Pandey"/>
    <s v="Male"/>
    <n v="53"/>
    <x v="6"/>
    <x v="2"/>
    <x v="14"/>
    <n v="899"/>
    <n v="33263"/>
    <x v="1"/>
    <d v="2022-08-27T00:00:00"/>
    <x v="0"/>
    <s v="No"/>
    <s v="No"/>
    <x v="0"/>
    <x v="0"/>
    <s v="No"/>
  </r>
  <r>
    <s v="C1540"/>
    <s v="Swati Pandey"/>
    <s v="Female"/>
    <n v="42"/>
    <x v="12"/>
    <x v="0"/>
    <x v="0"/>
    <n v="1099"/>
    <n v="24178"/>
    <x v="0"/>
    <d v="2023-11-26T00:00:00"/>
    <x v="1"/>
    <s v="No"/>
    <s v="No"/>
    <x v="0"/>
    <x v="0"/>
    <s v="No"/>
  </r>
  <r>
    <s v="C1541"/>
    <s v="Nisha Singh"/>
    <s v="Female"/>
    <n v="36"/>
    <x v="6"/>
    <x v="1"/>
    <x v="13"/>
    <n v="849"/>
    <n v="4245"/>
    <x v="1"/>
    <d v="2025-04-16T00:00:00"/>
    <x v="0"/>
    <s v="No"/>
    <s v="No"/>
    <x v="0"/>
    <x v="0"/>
    <s v="No"/>
  </r>
  <r>
    <s v="C1542"/>
    <s v="Pooja Kumar"/>
    <s v="Female"/>
    <n v="26"/>
    <x v="9"/>
    <x v="2"/>
    <x v="50"/>
    <n v="499"/>
    <n v="27445"/>
    <x v="2"/>
    <d v="2021-03-06T00:00:00"/>
    <x v="0"/>
    <s v="No"/>
    <s v="No"/>
    <x v="0"/>
    <x v="0"/>
    <s v="No"/>
  </r>
  <r>
    <s v="C1543"/>
    <s v="Divya Patel"/>
    <s v="Female"/>
    <n v="32"/>
    <x v="8"/>
    <x v="0"/>
    <x v="36"/>
    <n v="899"/>
    <n v="14384"/>
    <x v="1"/>
    <d v="2024-05-28T00:00:00"/>
    <x v="0"/>
    <s v="No"/>
    <s v="No"/>
    <x v="0"/>
    <x v="0"/>
    <s v="No"/>
  </r>
  <r>
    <s v="C1544"/>
    <s v="Sonal Bose"/>
    <s v="Female"/>
    <n v="41"/>
    <x v="3"/>
    <x v="2"/>
    <x v="53"/>
    <n v="1149"/>
    <n v="55152"/>
    <x v="0"/>
    <d v="2021-10-17T00:00:00"/>
    <x v="0"/>
    <s v="No"/>
    <s v="No"/>
    <x v="0"/>
    <x v="0"/>
    <s v="No"/>
  </r>
  <r>
    <s v="C1545"/>
    <s v="Mohit Malhotra"/>
    <s v="Male"/>
    <n v="47"/>
    <x v="1"/>
    <x v="0"/>
    <x v="24"/>
    <n v="349"/>
    <n v="1047"/>
    <x v="2"/>
    <d v="2025-06-13T00:00:00"/>
    <x v="0"/>
    <s v="No"/>
    <s v="No"/>
    <x v="0"/>
    <x v="0"/>
    <s v="No"/>
  </r>
  <r>
    <s v="C1546"/>
    <s v="Riya Verma"/>
    <s v="Female"/>
    <n v="75"/>
    <x v="2"/>
    <x v="0"/>
    <x v="8"/>
    <n v="799"/>
    <n v="11985"/>
    <x v="1"/>
    <d v="2024-06-22T00:00:00"/>
    <x v="0"/>
    <s v="No"/>
    <s v="No"/>
    <x v="0"/>
    <x v="0"/>
    <s v="No"/>
  </r>
  <r>
    <s v="C1547"/>
    <s v="Aditi Iyer"/>
    <s v="Female"/>
    <n v="28"/>
    <x v="3"/>
    <x v="1"/>
    <x v="11"/>
    <n v="1299"/>
    <n v="25980"/>
    <x v="0"/>
    <d v="2024-01-17T00:00:00"/>
    <x v="0"/>
    <s v="No"/>
    <s v="No"/>
    <x v="0"/>
    <x v="0"/>
    <s v="No"/>
  </r>
  <r>
    <s v="C1548"/>
    <s v="Tanvi Gupta"/>
    <s v="Female"/>
    <n v="54"/>
    <x v="3"/>
    <x v="1"/>
    <x v="64"/>
    <n v="599"/>
    <n v="23960"/>
    <x v="1"/>
    <d v="2022-05-31T00:00:00"/>
    <x v="1"/>
    <s v="No"/>
    <s v="No"/>
    <x v="0"/>
    <x v="0"/>
    <s v="No"/>
  </r>
  <r>
    <s v="C1549"/>
    <s v="Suresh Malhotra"/>
    <s v="Male"/>
    <n v="26"/>
    <x v="11"/>
    <x v="0"/>
    <x v="21"/>
    <n v="549"/>
    <n v="549"/>
    <x v="2"/>
    <d v="2025-08-11T00:00:00"/>
    <x v="1"/>
    <s v="No"/>
    <s v="No"/>
    <x v="0"/>
    <x v="0"/>
    <s v="No"/>
  </r>
  <r>
    <s v="C1550"/>
    <s v="Ankit Patel"/>
    <s v="Male"/>
    <n v="69"/>
    <x v="8"/>
    <x v="0"/>
    <x v="36"/>
    <n v="1299"/>
    <n v="20784"/>
    <x v="0"/>
    <d v="2024-05-26T00:00:00"/>
    <x v="0"/>
    <s v="No"/>
    <s v="No"/>
    <x v="0"/>
    <x v="0"/>
    <s v="No"/>
  </r>
  <r>
    <s v="C1551"/>
    <s v="Rohit Yadav"/>
    <s v="Male"/>
    <n v="70"/>
    <x v="8"/>
    <x v="2"/>
    <x v="62"/>
    <n v="1099"/>
    <n v="58247"/>
    <x v="0"/>
    <d v="2021-04-29T00:00:00"/>
    <x v="0"/>
    <s v="No"/>
    <s v="No"/>
    <x v="0"/>
    <x v="0"/>
    <s v="No"/>
  </r>
  <r>
    <s v="C1552"/>
    <s v="Sanjay Bose"/>
    <s v="Male"/>
    <n v="64"/>
    <x v="6"/>
    <x v="0"/>
    <x v="32"/>
    <n v="999"/>
    <n v="3996"/>
    <x v="0"/>
    <d v="2025-05-22T00:00:00"/>
    <x v="1"/>
    <s v="No"/>
    <s v="No"/>
    <x v="0"/>
    <x v="0"/>
    <s v="No"/>
  </r>
  <r>
    <s v="C1553"/>
    <s v="Sonal Nair"/>
    <s v="Female"/>
    <n v="42"/>
    <x v="9"/>
    <x v="1"/>
    <x v="4"/>
    <n v="1299"/>
    <n v="12990"/>
    <x v="0"/>
    <d v="2024-11-03T00:00:00"/>
    <x v="1"/>
    <s v="No"/>
    <s v="No"/>
    <x v="0"/>
    <x v="0"/>
    <s v="No"/>
  </r>
  <r>
    <s v="C1554"/>
    <s v="Divya Saxena"/>
    <s v="Female"/>
    <n v="38"/>
    <x v="1"/>
    <x v="1"/>
    <x v="1"/>
    <n v="849"/>
    <n v="29715"/>
    <x v="1"/>
    <d v="2022-10-24T00:00:00"/>
    <x v="0"/>
    <s v="No"/>
    <s v="No"/>
    <x v="0"/>
    <x v="0"/>
    <s v="No"/>
  </r>
  <r>
    <s v="C1555"/>
    <s v="Swati Malhotra"/>
    <s v="Female"/>
    <n v="35"/>
    <x v="13"/>
    <x v="0"/>
    <x v="17"/>
    <n v="1299"/>
    <n v="16887"/>
    <x v="0"/>
    <d v="2024-08-16T00:00:00"/>
    <x v="0"/>
    <s v="No"/>
    <s v="No"/>
    <x v="1"/>
    <x v="0"/>
    <s v="No"/>
  </r>
  <r>
    <s v="C1556"/>
    <s v="Mohit Joshi"/>
    <s v="Male"/>
    <n v="61"/>
    <x v="14"/>
    <x v="2"/>
    <x v="22"/>
    <n v="849"/>
    <n v="1698"/>
    <x v="1"/>
    <d v="2025-07-27T00:00:00"/>
    <x v="1"/>
    <s v="No"/>
    <s v="No"/>
    <x v="0"/>
    <x v="0"/>
    <s v="No"/>
  </r>
  <r>
    <s v="C1557"/>
    <s v="Ankit Patel"/>
    <s v="Male"/>
    <n v="32"/>
    <x v="14"/>
    <x v="0"/>
    <x v="21"/>
    <m/>
    <m/>
    <x v="1"/>
    <d v="2025-08-08T00:00:00"/>
    <x v="0"/>
    <s v="No"/>
    <s v="No"/>
    <x v="0"/>
    <x v="0"/>
    <s v="Monthly missing; Total missing"/>
  </r>
  <r>
    <s v="C1558"/>
    <s v="Pankaj Chopra"/>
    <s v="Male"/>
    <n v="25"/>
    <x v="14"/>
    <x v="2"/>
    <x v="10"/>
    <n v="749"/>
    <n v="12733"/>
    <x v="1"/>
    <d v="2024-05-01T00:00:00"/>
    <x v="0"/>
    <s v="No"/>
    <s v="No"/>
    <x v="0"/>
    <x v="0"/>
    <s v="No"/>
  </r>
  <r>
    <s v="C1559"/>
    <s v="Arjun Malhotra"/>
    <s v="Male"/>
    <n v="47"/>
    <x v="7"/>
    <x v="1"/>
    <x v="57"/>
    <n v="699"/>
    <n v="20970"/>
    <x v="1"/>
    <d v="2023-03-22T00:00:00"/>
    <x v="0"/>
    <s v="Yes"/>
    <s v="No"/>
    <x v="0"/>
    <x v="0"/>
    <s v="No"/>
  </r>
  <r>
    <s v="C1560"/>
    <s v="Kavita Gupta"/>
    <s v="Female"/>
    <n v="67"/>
    <x v="4"/>
    <x v="0"/>
    <x v="17"/>
    <n v="699"/>
    <n v="9087"/>
    <x v="1"/>
    <d v="2024-08-26T00:00:00"/>
    <x v="0"/>
    <s v="No"/>
    <s v="No"/>
    <x v="0"/>
    <x v="0"/>
    <s v="No"/>
  </r>
  <r>
    <s v="C1561"/>
    <s v="Ankit Kumar"/>
    <s v="Male"/>
    <n v="49"/>
    <x v="0"/>
    <x v="1"/>
    <x v="47"/>
    <n v="599"/>
    <n v="19168"/>
    <x v="1"/>
    <d v="2023-02-05T00:00:00"/>
    <x v="0"/>
    <s v="No"/>
    <s v="No"/>
    <x v="0"/>
    <x v="0"/>
    <s v="No"/>
  </r>
  <r>
    <s v="C1562"/>
    <s v="Ankit Pandey"/>
    <s v="Male"/>
    <n v="34"/>
    <x v="4"/>
    <x v="0"/>
    <x v="9"/>
    <n v="699"/>
    <n v="16776"/>
    <x v="1"/>
    <d v="2023-09-24T00:00:00"/>
    <x v="1"/>
    <s v="No"/>
    <s v="No"/>
    <x v="0"/>
    <x v="0"/>
    <s v="No"/>
  </r>
  <r>
    <s v="C1563"/>
    <s v="Rahul Verma"/>
    <s v="Male"/>
    <n v="60"/>
    <x v="12"/>
    <x v="0"/>
    <x v="17"/>
    <n v="899"/>
    <n v="11687"/>
    <x v="0"/>
    <d v="2024-08-10T00:00:00"/>
    <x v="0"/>
    <s v="No"/>
    <s v="No"/>
    <x v="0"/>
    <x v="0"/>
    <s v="No"/>
  </r>
  <r>
    <s v="C1564"/>
    <s v="Komal Tiwari"/>
    <s v="Female"/>
    <n v="43"/>
    <x v="6"/>
    <x v="1"/>
    <x v="13"/>
    <n v="349"/>
    <n v="1745"/>
    <x v="3"/>
    <d v="2025-04-09T00:00:00"/>
    <x v="0"/>
    <s v="No"/>
    <s v="No"/>
    <x v="0"/>
    <x v="0"/>
    <s v="No"/>
  </r>
  <r>
    <s v="C1565"/>
    <s v="Anjali Bose"/>
    <s v="Female"/>
    <n v="47"/>
    <x v="10"/>
    <x v="0"/>
    <x v="22"/>
    <n v="849"/>
    <n v="1698"/>
    <x v="1"/>
    <d v="2025-07-03T00:00:00"/>
    <x v="1"/>
    <s v="Yes"/>
    <s v="Yes"/>
    <x v="0"/>
    <x v="0"/>
    <s v="No"/>
  </r>
  <r>
    <s v="C1566"/>
    <s v="Neha Kapoor"/>
    <s v="Female"/>
    <n v="66"/>
    <x v="13"/>
    <x v="0"/>
    <x v="30"/>
    <n v="599"/>
    <n v="10782"/>
    <x v="1"/>
    <d v="2024-03-25T00:00:00"/>
    <x v="1"/>
    <s v="No"/>
    <s v="No"/>
    <x v="0"/>
    <x v="0"/>
    <s v="No"/>
  </r>
  <r>
    <s v="C1567"/>
    <s v="Aman Desai"/>
    <s v="Male"/>
    <n v="23"/>
    <x v="9"/>
    <x v="0"/>
    <x v="22"/>
    <n v="649"/>
    <n v="1298"/>
    <x v="1"/>
    <d v="2025-07-18T00:00:00"/>
    <x v="1"/>
    <s v="No"/>
    <s v="No"/>
    <x v="0"/>
    <x v="0"/>
    <s v="No"/>
  </r>
  <r>
    <s v="C1568"/>
    <s v="Sachin Chopra"/>
    <s v="Male"/>
    <n v="37"/>
    <x v="7"/>
    <x v="0"/>
    <x v="8"/>
    <n v="449"/>
    <n v="6735"/>
    <x v="3"/>
    <d v="2024-06-10T00:00:00"/>
    <x v="1"/>
    <s v="No"/>
    <s v="No"/>
    <x v="0"/>
    <x v="1"/>
    <s v="No"/>
  </r>
  <r>
    <s v="C1569"/>
    <s v="Deepak Reddy"/>
    <s v="Male"/>
    <n v="31"/>
    <x v="13"/>
    <x v="1"/>
    <x v="1"/>
    <n v="1199"/>
    <n v="41965"/>
    <x v="0"/>
    <d v="2022-11-11T00:00:00"/>
    <x v="0"/>
    <s v="No"/>
    <s v="No"/>
    <x v="0"/>
    <x v="1"/>
    <s v="No"/>
  </r>
  <r>
    <s v="C1570"/>
    <s v="Rohit Desai"/>
    <s v="Male"/>
    <n v="59"/>
    <x v="3"/>
    <x v="0"/>
    <x v="22"/>
    <n v="399"/>
    <n v="798"/>
    <x v="2"/>
    <d v="2025-07-10T00:00:00"/>
    <x v="1"/>
    <s v="No"/>
    <s v="No"/>
    <x v="0"/>
    <x v="0"/>
    <s v="No"/>
  </r>
  <r>
    <s v="C1571"/>
    <s v="Harsh Reddy"/>
    <s v="Male"/>
    <n v="47"/>
    <x v="11"/>
    <x v="0"/>
    <x v="32"/>
    <n v="1099"/>
    <n v="4396"/>
    <x v="0"/>
    <d v="2025-05-24T00:00:00"/>
    <x v="0"/>
    <s v="No"/>
    <s v="No"/>
    <x v="0"/>
    <x v="0"/>
    <s v="No"/>
  </r>
  <r>
    <s v="C1572"/>
    <s v="Sanjay Tiwari"/>
    <s v="Male"/>
    <n v="39"/>
    <x v="13"/>
    <x v="2"/>
    <x v="38"/>
    <n v="899"/>
    <n v="46748"/>
    <x v="0"/>
    <d v="2021-06-11T00:00:00"/>
    <x v="0"/>
    <s v="No"/>
    <s v="No"/>
    <x v="0"/>
    <x v="0"/>
    <s v="No"/>
  </r>
  <r>
    <s v="C1573"/>
    <s v="Amit Bose"/>
    <s v="Male"/>
    <n v="29"/>
    <x v="2"/>
    <x v="0"/>
    <x v="33"/>
    <n v="649"/>
    <n v="9086"/>
    <x v="1"/>
    <d v="2024-07-21T00:00:00"/>
    <x v="0"/>
    <s v="No"/>
    <s v="No"/>
    <x v="0"/>
    <x v="1"/>
    <s v="No"/>
  </r>
  <r>
    <s v="C1574"/>
    <s v="Rajesh Verma"/>
    <s v="Male"/>
    <n v="26"/>
    <x v="4"/>
    <x v="1"/>
    <x v="3"/>
    <n v="999"/>
    <n v="24975"/>
    <x v="0"/>
    <d v="2023-09-07T00:00:00"/>
    <x v="0"/>
    <s v="No"/>
    <s v="No"/>
    <x v="0"/>
    <x v="0"/>
    <s v="No"/>
  </r>
  <r>
    <s v="C1575"/>
    <s v="Rahul Gupta"/>
    <s v="Male"/>
    <n v="23"/>
    <x v="14"/>
    <x v="1"/>
    <x v="19"/>
    <n v="499"/>
    <n v="13473"/>
    <x v="2"/>
    <d v="2023-07-05T00:00:00"/>
    <x v="0"/>
    <s v="No"/>
    <s v="No"/>
    <x v="0"/>
    <x v="0"/>
    <s v="No"/>
  </r>
  <r>
    <s v="C1576"/>
    <s v="Suresh Jain"/>
    <s v="Male"/>
    <n v="46"/>
    <x v="12"/>
    <x v="0"/>
    <x v="23"/>
    <n v="599"/>
    <n v="13777"/>
    <x v="1"/>
    <d v="2023-10-20T00:00:00"/>
    <x v="0"/>
    <s v="No"/>
    <s v="No"/>
    <x v="0"/>
    <x v="0"/>
    <s v="No"/>
  </r>
  <r>
    <s v="C1577"/>
    <s v="Harsh Patel"/>
    <s v="Male"/>
    <n v="44"/>
    <x v="3"/>
    <x v="1"/>
    <x v="29"/>
    <n v="599"/>
    <n v="20366"/>
    <x v="1"/>
    <d v="2022-11-26T00:00:00"/>
    <x v="0"/>
    <s v="No"/>
    <s v="No"/>
    <x v="0"/>
    <x v="0"/>
    <s v="No"/>
  </r>
  <r>
    <s v="C1578"/>
    <s v="Ankit Chopra"/>
    <s v="Male"/>
    <n v="60"/>
    <x v="0"/>
    <x v="0"/>
    <x v="13"/>
    <n v="849"/>
    <n v="4245"/>
    <x v="1"/>
    <d v="2025-04-26T00:00:00"/>
    <x v="1"/>
    <s v="No"/>
    <s v="No"/>
    <x v="0"/>
    <x v="0"/>
    <s v="No"/>
  </r>
  <r>
    <s v="C1579"/>
    <s v="Amit Chopra"/>
    <s v="Male"/>
    <n v="41"/>
    <x v="5"/>
    <x v="0"/>
    <x v="11"/>
    <n v="899"/>
    <n v="17980"/>
    <x v="1"/>
    <d v="2024-01-14T00:00:00"/>
    <x v="1"/>
    <s v="No"/>
    <s v="No"/>
    <x v="0"/>
    <x v="0"/>
    <s v="No"/>
  </r>
  <r>
    <s v="C1580"/>
    <s v="Sachin Gupta"/>
    <s v="Male"/>
    <n v="28"/>
    <x v="13"/>
    <x v="0"/>
    <x v="24"/>
    <n v="1199"/>
    <n v="3597"/>
    <x v="0"/>
    <d v="2025-06-20T00:00:00"/>
    <x v="1"/>
    <s v="No"/>
    <s v="No"/>
    <x v="0"/>
    <x v="0"/>
    <s v="No"/>
  </r>
  <r>
    <s v="C1581"/>
    <s v="Deepika Agarwal"/>
    <s v="Female"/>
    <n v="61"/>
    <x v="2"/>
    <x v="0"/>
    <x v="28"/>
    <n v="599"/>
    <n v="4792"/>
    <x v="1"/>
    <d v="2025-01-19T00:00:00"/>
    <x v="0"/>
    <s v="No"/>
    <s v="No"/>
    <x v="0"/>
    <x v="0"/>
    <s v="No"/>
  </r>
  <r>
    <s v="C1582"/>
    <s v="Vikram Desai"/>
    <s v="Male"/>
    <n v="55"/>
    <x v="7"/>
    <x v="0"/>
    <x v="27"/>
    <n v="1099"/>
    <n v="7693"/>
    <x v="0"/>
    <d v="2025-02-26T00:00:00"/>
    <x v="1"/>
    <s v="No"/>
    <s v="No"/>
    <x v="0"/>
    <x v="1"/>
    <s v="No"/>
  </r>
  <r>
    <s v="C1583"/>
    <s v="Deepika Chopra"/>
    <s v="Female"/>
    <n v="40"/>
    <x v="5"/>
    <x v="0"/>
    <x v="23"/>
    <n v="799"/>
    <n v="18377"/>
    <x v="1"/>
    <d v="2023-10-12T00:00:00"/>
    <x v="1"/>
    <s v="No"/>
    <s v="No"/>
    <x v="0"/>
    <x v="0"/>
    <s v="No"/>
  </r>
  <r>
    <s v="C1584"/>
    <s v="Shreya Tiwari"/>
    <s v="Female"/>
    <n v="28"/>
    <x v="13"/>
    <x v="0"/>
    <x v="11"/>
    <n v="549"/>
    <n v="10980"/>
    <x v="2"/>
    <d v="2024-01-19T00:00:00"/>
    <x v="0"/>
    <s v="No"/>
    <s v="No"/>
    <x v="0"/>
    <x v="0"/>
    <s v="No"/>
  </r>
  <r>
    <s v="C1585"/>
    <s v="Vikram Tiwari"/>
    <s v="Male"/>
    <n v="72"/>
    <x v="1"/>
    <x v="0"/>
    <x v="6"/>
    <n v="499"/>
    <n v="9481"/>
    <x v="2"/>
    <d v="2024-02-13T00:00:00"/>
    <x v="1"/>
    <s v="No"/>
    <s v="No"/>
    <x v="0"/>
    <x v="0"/>
    <s v="No"/>
  </r>
  <r>
    <s v="C1586"/>
    <s v="Ritu Nair"/>
    <s v="Female"/>
    <n v="38"/>
    <x v="12"/>
    <x v="1"/>
    <x v="7"/>
    <n v="349"/>
    <n v="13262"/>
    <x v="2"/>
    <d v="2022-08-14T00:00:00"/>
    <x v="0"/>
    <s v="No"/>
    <s v="No"/>
    <x v="0"/>
    <x v="0"/>
    <s v="No"/>
  </r>
  <r>
    <s v="C1587"/>
    <s v="Gaurav Agarwal"/>
    <s v="Unknown"/>
    <n v="67"/>
    <x v="1"/>
    <x v="0"/>
    <x v="36"/>
    <n v="1299"/>
    <n v="20784"/>
    <x v="0"/>
    <d v="2024-05-29T00:00:00"/>
    <x v="1"/>
    <s v="No"/>
    <s v="No"/>
    <x v="0"/>
    <x v="0"/>
    <s v="No"/>
  </r>
  <r>
    <s v="C1588"/>
    <s v="Sachin Sharma"/>
    <s v="Male"/>
    <n v="62"/>
    <x v="14"/>
    <x v="0"/>
    <x v="16"/>
    <n v="699"/>
    <n v="8388"/>
    <x v="1"/>
    <d v="2024-09-12T00:00:00"/>
    <x v="1"/>
    <s v="No"/>
    <s v="No"/>
    <x v="1"/>
    <x v="0"/>
    <s v="No"/>
  </r>
  <r>
    <s v="C1589"/>
    <s v="Meera Pandey"/>
    <s v="Female"/>
    <n v="47"/>
    <x v="6"/>
    <x v="1"/>
    <x v="57"/>
    <n v="1299"/>
    <n v="38970"/>
    <x v="0"/>
    <d v="2023-03-31T00:00:00"/>
    <x v="0"/>
    <s v="No"/>
    <s v="No"/>
    <x v="0"/>
    <x v="0"/>
    <s v="No"/>
  </r>
  <r>
    <s v="C1590"/>
    <s v="Aman Chopra"/>
    <s v="Male"/>
    <n v="47"/>
    <x v="10"/>
    <x v="1"/>
    <x v="13"/>
    <n v="449"/>
    <n v="2245"/>
    <x v="2"/>
    <d v="2025-04-22T00:00:00"/>
    <x v="0"/>
    <s v="No"/>
    <s v="No"/>
    <x v="0"/>
    <x v="0"/>
    <s v="No"/>
  </r>
  <r>
    <s v="C1591"/>
    <s v="Kavita Pandey"/>
    <s v="Female"/>
    <n v="57"/>
    <x v="1"/>
    <x v="1"/>
    <x v="15"/>
    <n v="799"/>
    <n v="4794"/>
    <x v="1"/>
    <d v="2025-03-03T00:00:00"/>
    <x v="0"/>
    <s v="No"/>
    <s v="No"/>
    <x v="0"/>
    <x v="0"/>
    <s v="No"/>
  </r>
  <r>
    <s v="C1592"/>
    <s v="Sneha Reddy"/>
    <s v="Female"/>
    <n v="42"/>
    <x v="2"/>
    <x v="0"/>
    <x v="16"/>
    <n v="649"/>
    <n v="7788"/>
    <x v="1"/>
    <d v="2024-09-16T00:00:00"/>
    <x v="0"/>
    <s v="No"/>
    <s v="No"/>
    <x v="0"/>
    <x v="0"/>
    <s v="No"/>
  </r>
  <r>
    <s v="C1593"/>
    <s v="Rohit Joshi"/>
    <s v="Male"/>
    <n v="33"/>
    <x v="1"/>
    <x v="3"/>
    <x v="6"/>
    <n v="1199"/>
    <n v="22781"/>
    <x v="0"/>
    <d v="2024-02-12T00:00:00"/>
    <x v="0"/>
    <s v="No"/>
    <s v="No"/>
    <x v="0"/>
    <x v="0"/>
    <s v="No"/>
  </r>
  <r>
    <s v="C1594"/>
    <s v="Nikhil Patel"/>
    <s v="Male"/>
    <n v="75"/>
    <x v="5"/>
    <x v="0"/>
    <x v="22"/>
    <n v="1049"/>
    <n v="2098"/>
    <x v="0"/>
    <d v="2025-07-14T00:00:00"/>
    <x v="1"/>
    <s v="No"/>
    <s v="No"/>
    <x v="0"/>
    <x v="0"/>
    <s v="No"/>
  </r>
  <r>
    <s v="C1595"/>
    <s v="Gaurav Pandey"/>
    <s v="Male"/>
    <n v="52"/>
    <x v="9"/>
    <x v="2"/>
    <x v="40"/>
    <n v="349"/>
    <n v="20242"/>
    <x v="2"/>
    <d v="2020-11-25T00:00:00"/>
    <x v="0"/>
    <s v="No"/>
    <s v="No"/>
    <x v="0"/>
    <x v="0"/>
    <s v="No"/>
  </r>
  <r>
    <s v="C1596"/>
    <s v="Neha Kumar"/>
    <s v="Female"/>
    <n v="43"/>
    <x v="8"/>
    <x v="0"/>
    <x v="32"/>
    <n v="349"/>
    <n v="1396"/>
    <x v="2"/>
    <d v="2025-05-16T00:00:00"/>
    <x v="0"/>
    <s v="No"/>
    <s v="No"/>
    <x v="0"/>
    <x v="0"/>
    <s v="No"/>
  </r>
  <r>
    <s v="C1597"/>
    <s v="Sanjay Jain"/>
    <s v="Male"/>
    <n v="58"/>
    <x v="3"/>
    <x v="0"/>
    <x v="30"/>
    <m/>
    <m/>
    <x v="2"/>
    <d v="2024-03-14T00:00:00"/>
    <x v="0"/>
    <s v="No"/>
    <s v="No"/>
    <x v="0"/>
    <x v="0"/>
    <s v="Monthly missing; Total missing"/>
  </r>
  <r>
    <s v="C1598"/>
    <s v="Harsh Mehta"/>
    <s v="Male"/>
    <n v="22"/>
    <x v="10"/>
    <x v="2"/>
    <x v="44"/>
    <n v="849"/>
    <n v="56883"/>
    <x v="1"/>
    <d v="2020-03-08T00:00:00"/>
    <x v="0"/>
    <s v="No"/>
    <s v="No"/>
    <x v="0"/>
    <x v="0"/>
    <s v="No"/>
  </r>
  <r>
    <s v="C1599"/>
    <s v="Komal Bose"/>
    <s v="Female"/>
    <n v="60"/>
    <x v="14"/>
    <x v="0"/>
    <x v="8"/>
    <n v="1149"/>
    <n v="17235"/>
    <x v="0"/>
    <d v="2024-06-26T00:00:00"/>
    <x v="0"/>
    <s v="No"/>
    <s v="No"/>
    <x v="0"/>
    <x v="0"/>
    <s v="No"/>
  </r>
  <r>
    <s v="C1600"/>
    <s v="Suresh Nair"/>
    <s v="Male"/>
    <n v="48"/>
    <x v="2"/>
    <x v="2"/>
    <x v="27"/>
    <n v="1049"/>
    <n v="7343"/>
    <x v="0"/>
    <d v="2025-02-25T00:00:00"/>
    <x v="0"/>
    <s v="No"/>
    <s v="No"/>
    <x v="0"/>
    <x v="0"/>
    <s v="No"/>
  </r>
  <r>
    <s v="C1601"/>
    <s v="Sachin Iyer"/>
    <s v="Male"/>
    <n v="29"/>
    <x v="8"/>
    <x v="2"/>
    <x v="11"/>
    <n v="999"/>
    <n v="19980"/>
    <x v="0"/>
    <d v="2024-01-27T00:00:00"/>
    <x v="1"/>
    <s v="No"/>
    <s v="No"/>
    <x v="0"/>
    <x v="0"/>
    <s v="No"/>
  </r>
  <r>
    <s v="C1602"/>
    <s v="Ankit Malhotra"/>
    <s v="Male"/>
    <n v="41"/>
    <x v="8"/>
    <x v="0"/>
    <x v="0"/>
    <n v="1049"/>
    <n v="23078"/>
    <x v="0"/>
    <d v="2023-11-21T00:00:00"/>
    <x v="1"/>
    <s v="No"/>
    <s v="No"/>
    <x v="1"/>
    <x v="0"/>
    <s v="No"/>
  </r>
  <r>
    <s v="C1603"/>
    <s v="Sachin Iyer"/>
    <s v="Male"/>
    <n v="25"/>
    <x v="3"/>
    <x v="0"/>
    <x v="13"/>
    <n v="1049"/>
    <n v="5245"/>
    <x v="0"/>
    <d v="2025-04-08T00:00:00"/>
    <x v="1"/>
    <s v="No"/>
    <s v="No"/>
    <x v="0"/>
    <x v="0"/>
    <s v="No"/>
  </r>
  <r>
    <s v="C1604"/>
    <s v="Aditi Desai"/>
    <s v="Female"/>
    <n v="75"/>
    <x v="5"/>
    <x v="2"/>
    <x v="6"/>
    <n v="1149"/>
    <n v="21831"/>
    <x v="0"/>
    <d v="2024-03-04T00:00:00"/>
    <x v="0"/>
    <s v="No"/>
    <s v="No"/>
    <x v="0"/>
    <x v="0"/>
    <s v="No"/>
  </r>
  <r>
    <s v="C1605"/>
    <s v="Sneha Singh"/>
    <s v="Female"/>
    <n v="61"/>
    <x v="1"/>
    <x v="0"/>
    <x v="11"/>
    <n v="899"/>
    <n v="17980"/>
    <x v="1"/>
    <m/>
    <x v="1"/>
    <s v="No"/>
    <s v="No"/>
    <x v="0"/>
    <x v="0"/>
    <s v="Date missing"/>
  </r>
  <r>
    <s v="C1606"/>
    <s v="Pankaj Chopra"/>
    <s v="Male"/>
    <n v="30"/>
    <x v="11"/>
    <x v="0"/>
    <x v="35"/>
    <n v="899"/>
    <n v="8091"/>
    <x v="0"/>
    <d v="2024-12-18T00:00:00"/>
    <x v="0"/>
    <s v="No"/>
    <s v="No"/>
    <x v="0"/>
    <x v="0"/>
    <s v="No"/>
  </r>
  <r>
    <s v="C1607"/>
    <s v="Mohit Rao"/>
    <s v="Male"/>
    <n v="30"/>
    <x v="7"/>
    <x v="0"/>
    <x v="22"/>
    <n v="1049"/>
    <n v="2098"/>
    <x v="0"/>
    <d v="2025-07-03T00:00:00"/>
    <x v="1"/>
    <s v="No"/>
    <s v="No"/>
    <x v="0"/>
    <x v="0"/>
    <s v="No"/>
  </r>
  <r>
    <s v="C1608"/>
    <s v="Isha Rao"/>
    <s v="Female"/>
    <n v="41"/>
    <x v="3"/>
    <x v="0"/>
    <x v="8"/>
    <n v="1149"/>
    <n v="17235"/>
    <x v="0"/>
    <d v="2024-06-07T00:00:00"/>
    <x v="1"/>
    <s v="No"/>
    <s v="No"/>
    <x v="0"/>
    <x v="0"/>
    <s v="No"/>
  </r>
  <r>
    <s v="C1609"/>
    <s v="Nisha Kapoor"/>
    <s v="Female"/>
    <n v="36"/>
    <x v="8"/>
    <x v="2"/>
    <x v="50"/>
    <n v="399"/>
    <n v="21945"/>
    <x v="2"/>
    <d v="2021-03-04T00:00:00"/>
    <x v="0"/>
    <s v="No"/>
    <s v="No"/>
    <x v="0"/>
    <x v="0"/>
    <s v="No"/>
  </r>
  <r>
    <s v="C1610"/>
    <s v="Rohit Mehta"/>
    <s v="Male"/>
    <n v="37"/>
    <x v="7"/>
    <x v="2"/>
    <x v="65"/>
    <n v="1149"/>
    <n v="49407"/>
    <x v="0"/>
    <d v="2022-03-05T00:00:00"/>
    <x v="1"/>
    <s v="No"/>
    <s v="No"/>
    <x v="0"/>
    <x v="0"/>
    <s v="No"/>
  </r>
  <r>
    <s v="C1611"/>
    <s v="Nisha Gupta"/>
    <s v="Female"/>
    <n v="53"/>
    <x v="7"/>
    <x v="1"/>
    <x v="35"/>
    <n v="999"/>
    <n v="8991"/>
    <x v="0"/>
    <d v="2024-12-17T00:00:00"/>
    <x v="0"/>
    <s v="No"/>
    <s v="No"/>
    <x v="0"/>
    <x v="0"/>
    <s v="No"/>
  </r>
  <r>
    <s v="C1612"/>
    <s v="Harsh Bose"/>
    <s v="Male"/>
    <n v="37"/>
    <x v="7"/>
    <x v="1"/>
    <x v="22"/>
    <n v="899"/>
    <n v="1798"/>
    <x v="0"/>
    <d v="2025-07-10T00:00:00"/>
    <x v="1"/>
    <s v="No"/>
    <s v="No"/>
    <x v="0"/>
    <x v="1"/>
    <s v="No"/>
  </r>
  <r>
    <s v="C1613"/>
    <s v="Anjali Chopra"/>
    <s v="Female"/>
    <n v="60"/>
    <x v="5"/>
    <x v="0"/>
    <x v="23"/>
    <n v="999"/>
    <n v="22977"/>
    <x v="0"/>
    <d v="2023-10-31T00:00:00"/>
    <x v="1"/>
    <s v="No"/>
    <s v="No"/>
    <x v="0"/>
    <x v="1"/>
    <s v="No"/>
  </r>
  <r>
    <s v="C1614"/>
    <s v="Neha Yadav"/>
    <s v="Female"/>
    <n v="65"/>
    <x v="2"/>
    <x v="1"/>
    <x v="10"/>
    <n v="1199"/>
    <n v="20383"/>
    <x v="0"/>
    <d v="2024-04-10T00:00:00"/>
    <x v="0"/>
    <s v="No"/>
    <s v="No"/>
    <x v="0"/>
    <x v="0"/>
    <s v="No"/>
  </r>
  <r>
    <s v="C1615"/>
    <s v="Aman Jain"/>
    <s v="Male"/>
    <n v="47"/>
    <x v="11"/>
    <x v="0"/>
    <x v="6"/>
    <n v="599"/>
    <n v="11381"/>
    <x v="1"/>
    <d v="2024-02-14T00:00:00"/>
    <x v="0"/>
    <s v="Yes"/>
    <s v="No"/>
    <x v="0"/>
    <x v="0"/>
    <s v="No"/>
  </r>
  <r>
    <s v="C1616"/>
    <s v="Aman Gupta"/>
    <s v="Male"/>
    <n v="21"/>
    <x v="5"/>
    <x v="0"/>
    <x v="16"/>
    <n v="1049"/>
    <n v="12588"/>
    <x v="0"/>
    <d v="2024-09-04T00:00:00"/>
    <x v="0"/>
    <s v="No"/>
    <s v="No"/>
    <x v="0"/>
    <x v="0"/>
    <s v="No"/>
  </r>
  <r>
    <s v="C1617"/>
    <s v="Mohit Mehta"/>
    <s v="Male"/>
    <n v="67"/>
    <x v="9"/>
    <x v="0"/>
    <x v="15"/>
    <n v="799"/>
    <n v="4794"/>
    <x v="1"/>
    <d v="2025-03-11T00:00:00"/>
    <x v="0"/>
    <s v="No"/>
    <s v="No"/>
    <x v="1"/>
    <x v="0"/>
    <s v="No"/>
  </r>
  <r>
    <s v="C1618"/>
    <s v="Kavita Saxena"/>
    <s v="Female"/>
    <n v="62"/>
    <x v="14"/>
    <x v="0"/>
    <x v="16"/>
    <n v="999"/>
    <n v="11988"/>
    <x v="0"/>
    <d v="2024-09-24T00:00:00"/>
    <x v="1"/>
    <s v="No"/>
    <s v="No"/>
    <x v="0"/>
    <x v="0"/>
    <s v="No"/>
  </r>
  <r>
    <s v="C1619"/>
    <s v="Komal Tiwari"/>
    <s v="Female"/>
    <n v="39"/>
    <x v="8"/>
    <x v="0"/>
    <x v="28"/>
    <n v="899"/>
    <n v="7192"/>
    <x v="1"/>
    <d v="2025-01-05T00:00:00"/>
    <x v="0"/>
    <s v="No"/>
    <s v="No"/>
    <x v="1"/>
    <x v="0"/>
    <s v="No"/>
  </r>
  <r>
    <s v="C1620"/>
    <s v="Vivek Kapoor"/>
    <s v="Male"/>
    <n v="22"/>
    <x v="4"/>
    <x v="2"/>
    <x v="66"/>
    <n v="449"/>
    <n v="27838"/>
    <x v="2"/>
    <d v="2020-08-11T00:00:00"/>
    <x v="0"/>
    <s v="No"/>
    <s v="No"/>
    <x v="0"/>
    <x v="0"/>
    <s v="No"/>
  </r>
  <r>
    <s v="C1621"/>
    <s v="Meera Pandey"/>
    <s v="Female"/>
    <n v="37"/>
    <x v="3"/>
    <x v="1"/>
    <x v="35"/>
    <n v="899"/>
    <n v="8091"/>
    <x v="1"/>
    <d v="2024-12-23T00:00:00"/>
    <x v="0"/>
    <s v="No"/>
    <s v="No"/>
    <x v="0"/>
    <x v="0"/>
    <s v="No"/>
  </r>
  <r>
    <s v="C1622"/>
    <s v="Sanjay Singh"/>
    <s v="Male"/>
    <n v="23"/>
    <x v="12"/>
    <x v="1"/>
    <x v="13"/>
    <n v="1299"/>
    <n v="6495"/>
    <x v="3"/>
    <d v="2025-04-30T00:00:00"/>
    <x v="0"/>
    <s v="No"/>
    <s v="No"/>
    <x v="0"/>
    <x v="0"/>
    <s v="No"/>
  </r>
  <r>
    <s v="C1623"/>
    <s v="Karan Verma"/>
    <s v="Male"/>
    <n v="68"/>
    <x v="9"/>
    <x v="0"/>
    <x v="32"/>
    <n v="699"/>
    <n v="2796"/>
    <x v="1"/>
    <d v="2025-05-31T00:00:00"/>
    <x v="1"/>
    <s v="No"/>
    <s v="No"/>
    <x v="0"/>
    <x v="0"/>
    <s v="No"/>
  </r>
  <r>
    <s v="C1624"/>
    <s v="Karan Yadav"/>
    <s v="Male"/>
    <n v="31"/>
    <x v="11"/>
    <x v="2"/>
    <x v="59"/>
    <n v="599"/>
    <n v="26955"/>
    <x v="1"/>
    <d v="2022-01-09T00:00:00"/>
    <x v="0"/>
    <s v="No"/>
    <s v="No"/>
    <x v="0"/>
    <x v="0"/>
    <s v="No"/>
  </r>
  <r>
    <s v="C1625"/>
    <s v="Isha Gupta"/>
    <s v="Female"/>
    <n v="72"/>
    <x v="1"/>
    <x v="1"/>
    <x v="46"/>
    <n v="899"/>
    <n v="29667"/>
    <x v="0"/>
    <d v="2022-12-19T00:00:00"/>
    <x v="0"/>
    <s v="No"/>
    <s v="No"/>
    <x v="0"/>
    <x v="1"/>
    <s v="No"/>
  </r>
  <r>
    <s v="C1626"/>
    <s v="Mohit Mehta"/>
    <s v="Male"/>
    <n v="63"/>
    <x v="0"/>
    <x v="2"/>
    <x v="54"/>
    <n v="599"/>
    <n v="41331"/>
    <x v="1"/>
    <d v="2019-12-30T00:00:00"/>
    <x v="0"/>
    <s v="No"/>
    <s v="No"/>
    <x v="0"/>
    <x v="0"/>
    <s v="No"/>
  </r>
  <r>
    <s v="C1627"/>
    <s v="Isha Pandey"/>
    <s v="Female"/>
    <n v="55"/>
    <x v="8"/>
    <x v="0"/>
    <x v="15"/>
    <n v="499"/>
    <n v="2994"/>
    <x v="2"/>
    <d v="2025-03-16T00:00:00"/>
    <x v="0"/>
    <s v="No"/>
    <s v="No"/>
    <x v="0"/>
    <x v="0"/>
    <s v="No"/>
  </r>
  <r>
    <s v="C1628"/>
    <s v="Vivek Reddy"/>
    <s v="Male"/>
    <n v="66"/>
    <x v="2"/>
    <x v="0"/>
    <x v="13"/>
    <n v="749"/>
    <n v="3745"/>
    <x v="1"/>
    <d v="2025-04-14T00:00:00"/>
    <x v="0"/>
    <s v="No"/>
    <s v="No"/>
    <x v="0"/>
    <x v="0"/>
    <s v="No"/>
  </r>
  <r>
    <s v="C1629"/>
    <s v="Vikram Joshi"/>
    <s v="Male"/>
    <n v="49"/>
    <x v="4"/>
    <x v="0"/>
    <x v="9"/>
    <n v="1199"/>
    <n v="28776"/>
    <x v="0"/>
    <d v="2023-09-26T00:00:00"/>
    <x v="1"/>
    <s v="No"/>
    <s v="No"/>
    <x v="0"/>
    <x v="0"/>
    <s v="No"/>
  </r>
  <r>
    <s v="C1630"/>
    <s v="Nisha Mehta"/>
    <s v="Female"/>
    <n v="72"/>
    <x v="4"/>
    <x v="2"/>
    <x v="53"/>
    <n v="499"/>
    <n v="23952"/>
    <x v="2"/>
    <d v="2021-10-07T00:00:00"/>
    <x v="0"/>
    <s v="No"/>
    <s v="No"/>
    <x v="0"/>
    <x v="0"/>
    <s v="No"/>
  </r>
  <r>
    <s v="C1631"/>
    <s v="Payal Saxena"/>
    <s v="Female"/>
    <n v="61"/>
    <x v="4"/>
    <x v="0"/>
    <x v="23"/>
    <n v="899"/>
    <n v="20677"/>
    <x v="0"/>
    <d v="2023-11-02T00:00:00"/>
    <x v="1"/>
    <s v="No"/>
    <s v="No"/>
    <x v="1"/>
    <x v="0"/>
    <s v="No"/>
  </r>
  <r>
    <s v="C1632"/>
    <s v="Deepika Yadav"/>
    <s v="Female"/>
    <n v="72"/>
    <x v="12"/>
    <x v="0"/>
    <x v="9"/>
    <n v="549"/>
    <n v="13176"/>
    <x v="2"/>
    <d v="2023-09-15T00:00:00"/>
    <x v="0"/>
    <s v="No"/>
    <s v="No"/>
    <x v="0"/>
    <x v="0"/>
    <s v="No"/>
  </r>
  <r>
    <s v="C1633"/>
    <s v="Isha Desai"/>
    <s v="Female"/>
    <n v="60"/>
    <x v="11"/>
    <x v="2"/>
    <x v="48"/>
    <n v="499"/>
    <n v="32934"/>
    <x v="2"/>
    <d v="2020-04-19T00:00:00"/>
    <x v="0"/>
    <s v="No"/>
    <s v="Yes"/>
    <x v="0"/>
    <x v="0"/>
    <s v="No"/>
  </r>
  <r>
    <s v="C1634"/>
    <s v="Komal Nair"/>
    <s v="Female"/>
    <n v="47"/>
    <x v="10"/>
    <x v="0"/>
    <x v="24"/>
    <n v="1199"/>
    <n v="3597"/>
    <x v="0"/>
    <d v="2025-06-18T00:00:00"/>
    <x v="0"/>
    <s v="Yes"/>
    <s v="No"/>
    <x v="0"/>
    <x v="0"/>
    <s v="No"/>
  </r>
  <r>
    <s v="C1635"/>
    <s v="Pooja Iyer"/>
    <s v="Female"/>
    <n v="57"/>
    <x v="11"/>
    <x v="0"/>
    <x v="10"/>
    <n v="899"/>
    <n v="15283"/>
    <x v="1"/>
    <d v="2024-04-15T00:00:00"/>
    <x v="1"/>
    <s v="No"/>
    <s v="No"/>
    <x v="0"/>
    <x v="0"/>
    <s v="No"/>
  </r>
  <r>
    <s v="C1636"/>
    <s v="Komal Jain"/>
    <s v="Female"/>
    <n v="34"/>
    <x v="1"/>
    <x v="0"/>
    <x v="30"/>
    <n v="349"/>
    <n v="6282"/>
    <x v="2"/>
    <d v="2024-03-09T00:00:00"/>
    <x v="0"/>
    <s v="No"/>
    <s v="No"/>
    <x v="0"/>
    <x v="0"/>
    <s v="No"/>
  </r>
  <r>
    <s v="C1637"/>
    <s v="Deepak Kapoor"/>
    <s v="Male"/>
    <n v="38"/>
    <x v="6"/>
    <x v="0"/>
    <x v="22"/>
    <n v="1149"/>
    <n v="2298"/>
    <x v="0"/>
    <d v="2025-07-25T00:00:00"/>
    <x v="0"/>
    <s v="No"/>
    <s v="No"/>
    <x v="0"/>
    <x v="0"/>
    <s v="No"/>
  </r>
  <r>
    <s v="C1638"/>
    <s v="Nisha Singh"/>
    <s v="Female"/>
    <n v="37"/>
    <x v="14"/>
    <x v="0"/>
    <x v="6"/>
    <n v="1099"/>
    <n v="20881"/>
    <x v="0"/>
    <d v="2024-02-18T00:00:00"/>
    <x v="0"/>
    <s v="No"/>
    <s v="No"/>
    <x v="0"/>
    <x v="0"/>
    <s v="No"/>
  </r>
  <r>
    <s v="C1639"/>
    <s v="Komal Mishra"/>
    <s v="Female"/>
    <n v="47"/>
    <x v="8"/>
    <x v="0"/>
    <x v="36"/>
    <n v="1099"/>
    <n v="17584"/>
    <x v="0"/>
    <d v="2024-05-12T00:00:00"/>
    <x v="0"/>
    <s v="Yes"/>
    <s v="No"/>
    <x v="0"/>
    <x v="0"/>
    <s v="No"/>
  </r>
  <r>
    <s v="C1640"/>
    <s v="Swati Verma"/>
    <s v="Unknown"/>
    <n v="19"/>
    <x v="11"/>
    <x v="0"/>
    <x v="16"/>
    <n v="549"/>
    <n v="6588"/>
    <x v="2"/>
    <d v="2024-09-05T00:00:00"/>
    <x v="1"/>
    <s v="No"/>
    <s v="No"/>
    <x v="0"/>
    <x v="0"/>
    <s v="No"/>
  </r>
  <r>
    <s v="C1641"/>
    <s v="Divya Reddy"/>
    <s v="Female"/>
    <n v="45"/>
    <x v="2"/>
    <x v="2"/>
    <x v="28"/>
    <n v="999"/>
    <n v="7992"/>
    <x v="0"/>
    <d v="2025-01-22T00:00:00"/>
    <x v="0"/>
    <s v="No"/>
    <s v="No"/>
    <x v="0"/>
    <x v="0"/>
    <s v="No"/>
  </r>
  <r>
    <s v="C1642"/>
    <s v="Vikram Iyer"/>
    <s v="Male"/>
    <n v="25"/>
    <x v="2"/>
    <x v="0"/>
    <x v="22"/>
    <n v="1199"/>
    <n v="2398"/>
    <x v="0"/>
    <d v="2025-07-02T00:00:00"/>
    <x v="1"/>
    <s v="No"/>
    <s v="No"/>
    <x v="0"/>
    <x v="0"/>
    <s v="No"/>
  </r>
  <r>
    <s v="C1643"/>
    <s v="Kavita Sharma"/>
    <s v="Female"/>
    <n v="62"/>
    <x v="7"/>
    <x v="1"/>
    <x v="3"/>
    <n v="449"/>
    <n v="11225"/>
    <x v="2"/>
    <d v="2023-08-15T00:00:00"/>
    <x v="0"/>
    <s v="No"/>
    <s v="No"/>
    <x v="0"/>
    <x v="0"/>
    <s v="No"/>
  </r>
  <r>
    <s v="C1644"/>
    <s v="Anjali Pandey"/>
    <s v="Female"/>
    <n v="61"/>
    <x v="0"/>
    <x v="0"/>
    <x v="0"/>
    <n v="999"/>
    <n v="21978"/>
    <x v="0"/>
    <d v="2023-11-25T00:00:00"/>
    <x v="1"/>
    <s v="No"/>
    <s v="No"/>
    <x v="0"/>
    <x v="0"/>
    <s v="No"/>
  </r>
  <r>
    <s v="C1645"/>
    <s v="Gaurav Chopra"/>
    <s v="Male"/>
    <n v="72"/>
    <x v="13"/>
    <x v="0"/>
    <x v="27"/>
    <n v="349"/>
    <n v="2443"/>
    <x v="2"/>
    <d v="2025-02-12T00:00:00"/>
    <x v="1"/>
    <s v="No"/>
    <s v="No"/>
    <x v="0"/>
    <x v="0"/>
    <s v="No"/>
  </r>
  <r>
    <s v="C1646"/>
    <s v="Ritu Yadav"/>
    <s v="Female"/>
    <n v="65"/>
    <x v="4"/>
    <x v="1"/>
    <x v="7"/>
    <n v="1049"/>
    <n v="39862"/>
    <x v="0"/>
    <d v="2022-07-30T00:00:00"/>
    <x v="0"/>
    <s v="No"/>
    <s v="No"/>
    <x v="0"/>
    <x v="0"/>
    <s v="No"/>
  </r>
  <r>
    <s v="C1647"/>
    <s v="Nisha Mehta"/>
    <s v="Female"/>
    <n v="40"/>
    <x v="13"/>
    <x v="0"/>
    <x v="10"/>
    <n v="499"/>
    <n v="8483"/>
    <x v="2"/>
    <d v="2024-04-26T00:00:00"/>
    <x v="0"/>
    <s v="No"/>
    <s v="No"/>
    <x v="0"/>
    <x v="0"/>
    <s v="No"/>
  </r>
  <r>
    <s v="C1648"/>
    <s v="Vivek Rao"/>
    <s v="Male"/>
    <n v="34"/>
    <x v="11"/>
    <x v="0"/>
    <x v="30"/>
    <n v="899"/>
    <n v="16182"/>
    <x v="0"/>
    <d v="2024-03-19T00:00:00"/>
    <x v="0"/>
    <s v="No"/>
    <s v="No"/>
    <x v="0"/>
    <x v="0"/>
    <s v="No"/>
  </r>
  <r>
    <s v="C1649"/>
    <s v="Deepika Saxena"/>
    <s v="Female"/>
    <n v="70"/>
    <x v="14"/>
    <x v="2"/>
    <x v="54"/>
    <n v="899"/>
    <n v="62031"/>
    <x v="1"/>
    <d v="2020-01-05T00:00:00"/>
    <x v="0"/>
    <s v="No"/>
    <s v="No"/>
    <x v="0"/>
    <x v="0"/>
    <s v="No"/>
  </r>
  <r>
    <s v="C1650"/>
    <s v="Mohit Mehta"/>
    <s v="Male"/>
    <n v="41"/>
    <x v="7"/>
    <x v="0"/>
    <x v="0"/>
    <n v="899"/>
    <n v="19778"/>
    <x v="1"/>
    <d v="2023-11-11T00:00:00"/>
    <x v="1"/>
    <s v="No"/>
    <s v="No"/>
    <x v="0"/>
    <x v="0"/>
    <s v="No"/>
  </r>
  <r>
    <s v="C1651"/>
    <s v="Sanjay Tiwari"/>
    <s v="Male"/>
    <n v="35"/>
    <x v="6"/>
    <x v="0"/>
    <x v="0"/>
    <n v="799"/>
    <n v="17578"/>
    <x v="1"/>
    <d v="2023-12-04T00:00:00"/>
    <x v="1"/>
    <s v="No"/>
    <s v="No"/>
    <x v="0"/>
    <x v="0"/>
    <s v="No"/>
  </r>
  <r>
    <s v="C1652"/>
    <s v="Rahul Nair"/>
    <s v="Male"/>
    <n v="69"/>
    <x v="6"/>
    <x v="0"/>
    <x v="33"/>
    <n v="1199"/>
    <n v="16786"/>
    <x v="0"/>
    <d v="2024-07-27T00:00:00"/>
    <x v="1"/>
    <s v="No"/>
    <s v="No"/>
    <x v="0"/>
    <x v="1"/>
    <s v="No"/>
  </r>
  <r>
    <s v="C1653"/>
    <s v="Rahul Malhotra"/>
    <s v="Unknown"/>
    <n v="68"/>
    <x v="13"/>
    <x v="0"/>
    <x v="26"/>
    <n v="899"/>
    <n v="18879"/>
    <x v="0"/>
    <d v="2024-01-06T00:00:00"/>
    <x v="0"/>
    <s v="No"/>
    <s v="No"/>
    <x v="0"/>
    <x v="0"/>
    <s v="No"/>
  </r>
  <r>
    <s v="C1654"/>
    <s v="Nikhil Yadav"/>
    <s v="Male"/>
    <n v="37"/>
    <x v="6"/>
    <x v="0"/>
    <x v="16"/>
    <n v="349"/>
    <n v="4188"/>
    <x v="2"/>
    <d v="2024-09-07T00:00:00"/>
    <x v="1"/>
    <s v="No"/>
    <s v="No"/>
    <x v="0"/>
    <x v="1"/>
    <s v="No"/>
  </r>
  <r>
    <s v="C1655"/>
    <s v="Manish Reddy"/>
    <s v="Male"/>
    <n v="54"/>
    <x v="14"/>
    <x v="0"/>
    <x v="0"/>
    <n v="899"/>
    <n v="19778"/>
    <x v="1"/>
    <d v="2023-11-10T00:00:00"/>
    <x v="1"/>
    <s v="No"/>
    <s v="No"/>
    <x v="0"/>
    <x v="0"/>
    <s v="No"/>
  </r>
  <r>
    <s v="C1656"/>
    <s v="Manish Yadav"/>
    <s v="Male"/>
    <n v="25"/>
    <x v="13"/>
    <x v="2"/>
    <x v="41"/>
    <n v="899"/>
    <n v="44950"/>
    <x v="1"/>
    <d v="2021-08-14T00:00:00"/>
    <x v="0"/>
    <s v="No"/>
    <s v="No"/>
    <x v="0"/>
    <x v="0"/>
    <s v="No"/>
  </r>
  <r>
    <s v="C1657"/>
    <s v="Unknown"/>
    <s v="Male"/>
    <n v="31"/>
    <x v="5"/>
    <x v="0"/>
    <x v="6"/>
    <n v="599"/>
    <n v="11381"/>
    <x v="1"/>
    <d v="2024-03-04T00:00:00"/>
    <x v="1"/>
    <s v="No"/>
    <s v="No"/>
    <x v="0"/>
    <x v="0"/>
    <s v="No"/>
  </r>
  <r>
    <s v="C1658"/>
    <s v="Sonal Tiwari"/>
    <s v="Female"/>
    <n v="48"/>
    <x v="9"/>
    <x v="0"/>
    <x v="13"/>
    <n v="699"/>
    <n v="3495"/>
    <x v="1"/>
    <d v="2025-05-01T00:00:00"/>
    <x v="0"/>
    <s v="No"/>
    <s v="No"/>
    <x v="0"/>
    <x v="0"/>
    <s v="No"/>
  </r>
  <r>
    <s v="C1659"/>
    <s v="Amit Pandey"/>
    <s v="Male"/>
    <n v="68"/>
    <x v="9"/>
    <x v="0"/>
    <x v="4"/>
    <n v="1199"/>
    <n v="11990"/>
    <x v="0"/>
    <d v="2024-11-11T00:00:00"/>
    <x v="0"/>
    <s v="No"/>
    <s v="No"/>
    <x v="0"/>
    <x v="0"/>
    <s v="No"/>
  </r>
  <r>
    <s v="C1660"/>
    <s v="Sachin Nair"/>
    <s v="Male"/>
    <n v="72"/>
    <x v="7"/>
    <x v="0"/>
    <x v="17"/>
    <n v="349"/>
    <n v="4537"/>
    <x v="2"/>
    <d v="2024-08-10T00:00:00"/>
    <x v="0"/>
    <s v="No"/>
    <s v="No"/>
    <x v="0"/>
    <x v="0"/>
    <s v="No"/>
  </r>
  <r>
    <s v="C1661"/>
    <s v="Harsh Mehta"/>
    <s v="Male"/>
    <n v="73"/>
    <x v="8"/>
    <x v="2"/>
    <x v="62"/>
    <n v="899"/>
    <n v="47647"/>
    <x v="0"/>
    <d v="2021-04-26T00:00:00"/>
    <x v="0"/>
    <s v="No"/>
    <s v="No"/>
    <x v="1"/>
    <x v="0"/>
    <s v="No"/>
  </r>
  <r>
    <s v="C1662"/>
    <s v="Komal Agarwal"/>
    <s v="Female"/>
    <n v="44"/>
    <x v="6"/>
    <x v="0"/>
    <x v="32"/>
    <n v="999"/>
    <n v="3996"/>
    <x v="0"/>
    <d v="2025-05-20T00:00:00"/>
    <x v="1"/>
    <s v="No"/>
    <s v="No"/>
    <x v="0"/>
    <x v="0"/>
    <s v="No"/>
  </r>
  <r>
    <s v="C1663"/>
    <s v="Riya Agarwal"/>
    <s v="Female"/>
    <n v="70"/>
    <x v="1"/>
    <x v="1"/>
    <x v="22"/>
    <n v="899"/>
    <n v="1798"/>
    <x v="0"/>
    <d v="2025-07-05T00:00:00"/>
    <x v="0"/>
    <s v="No"/>
    <s v="Yes"/>
    <x v="0"/>
    <x v="0"/>
    <s v="No"/>
  </r>
  <r>
    <s v="C1664"/>
    <s v="Rahul Rao"/>
    <s v="Male"/>
    <n v="30"/>
    <x v="9"/>
    <x v="0"/>
    <x v="32"/>
    <n v="999"/>
    <n v="3996"/>
    <x v="0"/>
    <d v="2025-05-07T00:00:00"/>
    <x v="0"/>
    <s v="No"/>
    <s v="No"/>
    <x v="0"/>
    <x v="0"/>
    <s v="No"/>
  </r>
  <r>
    <s v="C1665"/>
    <s v="Pankaj Saxena"/>
    <s v="Male"/>
    <n v="44"/>
    <x v="13"/>
    <x v="2"/>
    <x v="30"/>
    <n v="999"/>
    <n v="17982"/>
    <x v="0"/>
    <d v="2024-03-12T00:00:00"/>
    <x v="0"/>
    <s v="No"/>
    <s v="No"/>
    <x v="0"/>
    <x v="0"/>
    <s v="No"/>
  </r>
  <r>
    <s v="C1666"/>
    <s v="Deepika Kumar"/>
    <s v="Female"/>
    <n v="44"/>
    <x v="2"/>
    <x v="0"/>
    <x v="6"/>
    <n v="349"/>
    <n v="6631"/>
    <x v="2"/>
    <d v="2024-02-16T00:00:00"/>
    <x v="0"/>
    <s v="No"/>
    <s v="No"/>
    <x v="0"/>
    <x v="0"/>
    <s v="No"/>
  </r>
  <r>
    <s v="C1667"/>
    <s v="Vikram Kapoor"/>
    <s v="Male"/>
    <n v="30"/>
    <x v="5"/>
    <x v="1"/>
    <x v="42"/>
    <n v="799"/>
    <n v="20774"/>
    <x v="1"/>
    <d v="2023-08-08T00:00:00"/>
    <x v="0"/>
    <s v="No"/>
    <s v="No"/>
    <x v="0"/>
    <x v="0"/>
    <s v="No"/>
  </r>
  <r>
    <s v="C1668"/>
    <s v="Meera Bose"/>
    <s v="Female"/>
    <n v="25"/>
    <x v="3"/>
    <x v="1"/>
    <x v="57"/>
    <n v="1199"/>
    <n v="35970"/>
    <x v="0"/>
    <d v="2023-03-21T00:00:00"/>
    <x v="1"/>
    <s v="No"/>
    <s v="No"/>
    <x v="0"/>
    <x v="0"/>
    <s v="No"/>
  </r>
  <r>
    <s v="C1669"/>
    <s v="Sanjay Malhotra"/>
    <s v="Male"/>
    <n v="36"/>
    <x v="14"/>
    <x v="0"/>
    <x v="27"/>
    <n v="799"/>
    <n v="5593"/>
    <x v="1"/>
    <d v="2025-02-24T00:00:00"/>
    <x v="0"/>
    <s v="No"/>
    <s v="No"/>
    <x v="0"/>
    <x v="0"/>
    <s v="No"/>
  </r>
  <r>
    <s v="C1670"/>
    <s v="Meera Tiwari"/>
    <s v="Female"/>
    <n v="68"/>
    <x v="10"/>
    <x v="0"/>
    <x v="28"/>
    <n v="399"/>
    <n v="3192"/>
    <x v="2"/>
    <d v="2025-01-10T00:00:00"/>
    <x v="1"/>
    <s v="No"/>
    <s v="No"/>
    <x v="0"/>
    <x v="0"/>
    <s v="No"/>
  </r>
  <r>
    <s v="C1671"/>
    <s v="Neha Sharma"/>
    <s v="Female"/>
    <n v="48"/>
    <x v="8"/>
    <x v="2"/>
    <x v="58"/>
    <n v="499"/>
    <n v="25449"/>
    <x v="2"/>
    <d v="2021-06-28T00:00:00"/>
    <x v="0"/>
    <s v="No"/>
    <s v="No"/>
    <x v="0"/>
    <x v="0"/>
    <s v="No"/>
  </r>
  <r>
    <s v="C1672"/>
    <s v="Neha Reddy"/>
    <s v="Female"/>
    <n v="53"/>
    <x v="3"/>
    <x v="0"/>
    <x v="36"/>
    <n v="549"/>
    <n v="8784"/>
    <x v="2"/>
    <d v="2024-05-11T00:00:00"/>
    <x v="0"/>
    <s v="No"/>
    <s v="No"/>
    <x v="1"/>
    <x v="0"/>
    <s v="No"/>
  </r>
  <r>
    <s v="C1673"/>
    <s v="Rahul Malhotra"/>
    <s v="Male"/>
    <n v="50"/>
    <x v="11"/>
    <x v="0"/>
    <x v="0"/>
    <n v="549"/>
    <n v="12078"/>
    <x v="2"/>
    <d v="2023-12-03T00:00:00"/>
    <x v="1"/>
    <s v="No"/>
    <s v="No"/>
    <x v="0"/>
    <x v="0"/>
    <s v="No"/>
  </r>
  <r>
    <s v="C1674"/>
    <s v="Meera Jain"/>
    <s v="Female"/>
    <n v="49"/>
    <x v="2"/>
    <x v="2"/>
    <x v="12"/>
    <n v="849"/>
    <m/>
    <x v="1"/>
    <d v="2022-05-14T00:00:00"/>
    <x v="0"/>
    <s v="No"/>
    <s v="No"/>
    <x v="0"/>
    <x v="0"/>
    <s v="Total missing; Tenure missing"/>
  </r>
  <r>
    <s v="C1675"/>
    <s v="Sneha Singh"/>
    <s v="Female"/>
    <n v="49"/>
    <x v="6"/>
    <x v="2"/>
    <x v="67"/>
    <n v="749"/>
    <n v="35203"/>
    <x v="1"/>
    <d v="2021-10-25T00:00:00"/>
    <x v="2"/>
    <s v="No"/>
    <s v="No"/>
    <x v="0"/>
    <x v="0"/>
    <s v="Churn unknown"/>
  </r>
  <r>
    <s v="C1676"/>
    <s v="Payal Joshi"/>
    <s v="Female"/>
    <n v="45"/>
    <x v="8"/>
    <x v="0"/>
    <x v="13"/>
    <n v="499"/>
    <n v="2495"/>
    <x v="2"/>
    <d v="2025-04-27T00:00:00"/>
    <x v="1"/>
    <s v="No"/>
    <s v="No"/>
    <x v="0"/>
    <x v="0"/>
    <s v="No"/>
  </r>
  <r>
    <s v="C1677"/>
    <s v="Manish Gupta"/>
    <s v="Male"/>
    <n v="20"/>
    <x v="7"/>
    <x v="0"/>
    <x v="33"/>
    <n v="1099"/>
    <n v="15386"/>
    <x v="0"/>
    <d v="2024-07-13T00:00:00"/>
    <x v="1"/>
    <s v="No"/>
    <s v="No"/>
    <x v="0"/>
    <x v="0"/>
    <s v="No"/>
  </r>
  <r>
    <s v="C1678"/>
    <s v="Shreya Desai"/>
    <s v="Female"/>
    <n v="25"/>
    <x v="6"/>
    <x v="1"/>
    <x v="23"/>
    <n v="599"/>
    <n v="13777"/>
    <x v="1"/>
    <d v="2023-11-03T00:00:00"/>
    <x v="0"/>
    <s v="No"/>
    <s v="No"/>
    <x v="0"/>
    <x v="0"/>
    <s v="No"/>
  </r>
  <r>
    <s v="C1679"/>
    <s v="Tanvi Saxena"/>
    <s v="Female"/>
    <n v="55"/>
    <x v="0"/>
    <x v="1"/>
    <x v="29"/>
    <n v="399"/>
    <n v="13566"/>
    <x v="2"/>
    <d v="2022-12-11T00:00:00"/>
    <x v="0"/>
    <s v="No"/>
    <s v="No"/>
    <x v="0"/>
    <x v="0"/>
    <s v="No"/>
  </r>
  <r>
    <s v="C1680"/>
    <s v="Gaurav Saxena"/>
    <s v="Male"/>
    <n v="24"/>
    <x v="2"/>
    <x v="0"/>
    <x v="0"/>
    <n v="1099"/>
    <n v="24178"/>
    <x v="0"/>
    <d v="2023-12-05T00:00:00"/>
    <x v="0"/>
    <s v="No"/>
    <s v="No"/>
    <x v="0"/>
    <x v="0"/>
    <s v="No"/>
  </r>
  <r>
    <s v="C1681"/>
    <s v="Pooja Sharma"/>
    <s v="Female"/>
    <n v="23"/>
    <x v="7"/>
    <x v="2"/>
    <x v="31"/>
    <n v="1049"/>
    <n v="61891"/>
    <x v="0"/>
    <d v="2020-11-13T00:00:00"/>
    <x v="0"/>
    <s v="No"/>
    <s v="No"/>
    <x v="0"/>
    <x v="0"/>
    <s v="No"/>
  </r>
  <r>
    <s v="C1682"/>
    <s v="Pankaj Kapoor"/>
    <s v="Male"/>
    <n v="38"/>
    <x v="14"/>
    <x v="2"/>
    <x v="10"/>
    <n v="349"/>
    <n v="5933"/>
    <x v="2"/>
    <d v="2024-04-27T00:00:00"/>
    <x v="0"/>
    <s v="No"/>
    <s v="No"/>
    <x v="0"/>
    <x v="0"/>
    <s v="No"/>
  </r>
  <r>
    <s v="C1683"/>
    <s v="Sneha Agarwal"/>
    <s v="Female"/>
    <n v="22"/>
    <x v="1"/>
    <x v="2"/>
    <x v="38"/>
    <n v="999"/>
    <n v="51948"/>
    <x v="0"/>
    <d v="2021-05-25T00:00:00"/>
    <x v="0"/>
    <s v="No"/>
    <s v="No"/>
    <x v="0"/>
    <x v="0"/>
    <s v="No"/>
  </r>
  <r>
    <s v="C1684"/>
    <s v="Neha Sharma"/>
    <s v="Unknown"/>
    <n v="72"/>
    <x v="0"/>
    <x v="0"/>
    <x v="4"/>
    <n v="1299"/>
    <n v="12990"/>
    <x v="0"/>
    <d v="2024-11-17T00:00:00"/>
    <x v="1"/>
    <s v="No"/>
    <s v="No"/>
    <x v="0"/>
    <x v="0"/>
    <s v="No"/>
  </r>
  <r>
    <s v="C1685"/>
    <s v="Aditi Saxena"/>
    <s v="Female"/>
    <n v="56"/>
    <x v="8"/>
    <x v="0"/>
    <x v="16"/>
    <n v="799"/>
    <n v="9588"/>
    <x v="1"/>
    <d v="2024-09-21T00:00:00"/>
    <x v="0"/>
    <s v="No"/>
    <s v="No"/>
    <x v="0"/>
    <x v="0"/>
    <s v="No"/>
  </r>
  <r>
    <s v="C1686"/>
    <s v="Kavita Bose"/>
    <s v="Female"/>
    <n v="56"/>
    <x v="12"/>
    <x v="0"/>
    <x v="16"/>
    <n v="999"/>
    <n v="11988"/>
    <x v="0"/>
    <d v="2024-10-01T00:00:00"/>
    <x v="0"/>
    <s v="No"/>
    <s v="No"/>
    <x v="0"/>
    <x v="0"/>
    <s v="No"/>
  </r>
  <r>
    <s v="C1687"/>
    <s v="Mohit Joshi"/>
    <s v="Male"/>
    <n v="47"/>
    <x v="9"/>
    <x v="0"/>
    <x v="13"/>
    <n v="1149"/>
    <n v="5745"/>
    <x v="0"/>
    <d v="2025-04-17T00:00:00"/>
    <x v="1"/>
    <s v="No"/>
    <s v="No"/>
    <x v="1"/>
    <x v="0"/>
    <s v="No"/>
  </r>
  <r>
    <s v="C1688"/>
    <s v="Neha Desai"/>
    <s v="Female"/>
    <n v="37"/>
    <x v="8"/>
    <x v="2"/>
    <x v="25"/>
    <n v="999"/>
    <n v="38961"/>
    <x v="0"/>
    <d v="2022-06-28T00:00:00"/>
    <x v="0"/>
    <s v="No"/>
    <s v="No"/>
    <x v="0"/>
    <x v="0"/>
    <s v="No"/>
  </r>
  <r>
    <s v="C1689"/>
    <s v="Sachin Kumar"/>
    <s v="Male"/>
    <n v="20"/>
    <x v="1"/>
    <x v="0"/>
    <x v="32"/>
    <n v="1199"/>
    <n v="4796"/>
    <x v="0"/>
    <d v="2025-05-20T00:00:00"/>
    <x v="0"/>
    <s v="No"/>
    <s v="No"/>
    <x v="0"/>
    <x v="0"/>
    <s v="No"/>
  </r>
  <r>
    <s v="C1690"/>
    <s v="Tanvi Kumar"/>
    <s v="Unknown"/>
    <n v="67"/>
    <x v="1"/>
    <x v="0"/>
    <x v="8"/>
    <n v="1299"/>
    <n v="19485"/>
    <x v="0"/>
    <d v="2024-07-04T00:00:00"/>
    <x v="0"/>
    <s v="No"/>
    <s v="No"/>
    <x v="0"/>
    <x v="0"/>
    <s v="No"/>
  </r>
  <r>
    <s v="C1691"/>
    <s v="Unknown"/>
    <s v="Male"/>
    <n v="37"/>
    <x v="2"/>
    <x v="1"/>
    <x v="39"/>
    <n v="1299"/>
    <n v="37671"/>
    <x v="0"/>
    <d v="2023-04-13T00:00:00"/>
    <x v="0"/>
    <s v="No"/>
    <s v="No"/>
    <x v="0"/>
    <x v="0"/>
    <s v="No"/>
  </r>
  <r>
    <s v="C1692"/>
    <s v="Sanjay Gupta"/>
    <s v="Male"/>
    <n v="23"/>
    <x v="14"/>
    <x v="2"/>
    <x v="33"/>
    <n v="749"/>
    <n v="10486"/>
    <x v="1"/>
    <d v="2024-08-01T00:00:00"/>
    <x v="1"/>
    <s v="No"/>
    <s v="No"/>
    <x v="0"/>
    <x v="0"/>
    <s v="No"/>
  </r>
  <r>
    <s v="C1693"/>
    <s v="Arjun Chopra"/>
    <s v="Male"/>
    <n v="48"/>
    <x v="7"/>
    <x v="1"/>
    <x v="25"/>
    <n v="449"/>
    <n v="17511"/>
    <x v="2"/>
    <d v="2022-06-27T00:00:00"/>
    <x v="0"/>
    <s v="No"/>
    <s v="No"/>
    <x v="0"/>
    <x v="0"/>
    <s v="No"/>
  </r>
  <r>
    <s v="C1694"/>
    <s v="Divya Iyer"/>
    <s v="Female"/>
    <n v="47"/>
    <x v="8"/>
    <x v="0"/>
    <x v="21"/>
    <n v="849"/>
    <n v="849"/>
    <x v="1"/>
    <d v="2025-08-09T00:00:00"/>
    <x v="1"/>
    <s v="Yes"/>
    <s v="No"/>
    <x v="0"/>
    <x v="0"/>
    <s v="No"/>
  </r>
  <r>
    <s v="C1695"/>
    <s v="Manish Tiwari"/>
    <s v="Male"/>
    <n v="71"/>
    <x v="9"/>
    <x v="2"/>
    <x v="16"/>
    <n v="1299"/>
    <n v="15588"/>
    <x v="0"/>
    <d v="2024-09-20T00:00:00"/>
    <x v="0"/>
    <s v="No"/>
    <s v="No"/>
    <x v="0"/>
    <x v="0"/>
    <s v="No"/>
  </r>
  <r>
    <s v="C1696"/>
    <s v="Karan Gupta"/>
    <s v="Male"/>
    <n v="75"/>
    <x v="8"/>
    <x v="3"/>
    <x v="47"/>
    <n v="899"/>
    <n v="28768"/>
    <x v="3"/>
    <d v="2023-02-05T00:00:00"/>
    <x v="0"/>
    <s v="No"/>
    <s v="No"/>
    <x v="0"/>
    <x v="0"/>
    <s v="No"/>
  </r>
  <r>
    <s v="C1697"/>
    <s v="Tanvi Rao"/>
    <s v="Female"/>
    <n v="21"/>
    <x v="2"/>
    <x v="0"/>
    <x v="23"/>
    <n v="1099"/>
    <n v="25277"/>
    <x v="0"/>
    <d v="2023-10-20T00:00:00"/>
    <x v="0"/>
    <s v="No"/>
    <s v="No"/>
    <x v="0"/>
    <x v="0"/>
    <s v="No"/>
  </r>
  <r>
    <s v="C1698"/>
    <s v="Sneha Desai"/>
    <s v="Female"/>
    <n v="43"/>
    <x v="7"/>
    <x v="0"/>
    <x v="0"/>
    <n v="1299"/>
    <n v="28578"/>
    <x v="0"/>
    <d v="2023-12-07T00:00:00"/>
    <x v="1"/>
    <s v="No"/>
    <s v="No"/>
    <x v="0"/>
    <x v="0"/>
    <s v="No"/>
  </r>
  <r>
    <s v="C1699"/>
    <s v="Vivek Bose"/>
    <s v="Male"/>
    <n v="38"/>
    <x v="1"/>
    <x v="0"/>
    <x v="33"/>
    <n v="499"/>
    <n v="6986"/>
    <x v="2"/>
    <d v="2024-07-15T00:00:00"/>
    <x v="2"/>
    <s v="No"/>
    <s v="No"/>
    <x v="0"/>
    <x v="0"/>
    <s v="Churn unknown"/>
  </r>
  <r>
    <s v="C1700"/>
    <s v="Shreya Pandey"/>
    <s v="Female"/>
    <n v="45"/>
    <x v="3"/>
    <x v="0"/>
    <x v="36"/>
    <n v="1099"/>
    <n v="17584"/>
    <x v="0"/>
    <d v="2024-05-18T00:00:00"/>
    <x v="0"/>
    <s v="No"/>
    <s v="No"/>
    <x v="0"/>
    <x v="0"/>
    <s v="No"/>
  </r>
  <r>
    <s v="C1701"/>
    <s v="Riya Pandey"/>
    <s v="Female"/>
    <n v="60"/>
    <x v="7"/>
    <x v="0"/>
    <x v="23"/>
    <n v="749"/>
    <n v="17227"/>
    <x v="1"/>
    <m/>
    <x v="0"/>
    <s v="No"/>
    <s v="No"/>
    <x v="0"/>
    <x v="0"/>
    <s v="Date missing"/>
  </r>
  <r>
    <s v="C1702"/>
    <s v="Pankaj Mehta"/>
    <s v="Male"/>
    <n v="36"/>
    <x v="14"/>
    <x v="1"/>
    <x v="35"/>
    <n v="999"/>
    <n v="8991"/>
    <x v="0"/>
    <d v="2024-12-29T00:00:00"/>
    <x v="0"/>
    <s v="No"/>
    <s v="No"/>
    <x v="0"/>
    <x v="0"/>
    <s v="No"/>
  </r>
  <r>
    <s v="C1703"/>
    <s v="Komal Iyer"/>
    <s v="Female"/>
    <n v="33"/>
    <x v="0"/>
    <x v="1"/>
    <x v="23"/>
    <n v="399"/>
    <n v="9177"/>
    <x v="2"/>
    <d v="2023-10-12T00:00:00"/>
    <x v="0"/>
    <s v="No"/>
    <s v="No"/>
    <x v="0"/>
    <x v="0"/>
    <s v="No"/>
  </r>
  <r>
    <s v="C1704"/>
    <s v="Vikram Joshi"/>
    <s v="Male"/>
    <n v="45"/>
    <x v="4"/>
    <x v="1"/>
    <x v="8"/>
    <n v="749"/>
    <n v="11235"/>
    <x v="1"/>
    <d v="2024-06-11T00:00:00"/>
    <x v="0"/>
    <s v="No"/>
    <s v="No"/>
    <x v="0"/>
    <x v="0"/>
    <s v="No"/>
  </r>
  <r>
    <s v="C1705"/>
    <s v="Sachin Malhotra"/>
    <s v="Male"/>
    <n v="75"/>
    <x v="8"/>
    <x v="2"/>
    <x v="33"/>
    <n v="499"/>
    <n v="6986"/>
    <x v="2"/>
    <d v="2024-07-09T00:00:00"/>
    <x v="0"/>
    <s v="No"/>
    <s v="No"/>
    <x v="0"/>
    <x v="0"/>
    <s v="No"/>
  </r>
  <r>
    <s v="C1706"/>
    <s v="Karan Yadav"/>
    <s v="Male"/>
    <n v="57"/>
    <x v="13"/>
    <x v="2"/>
    <x v="5"/>
    <n v="599"/>
    <n v="43128"/>
    <x v="1"/>
    <d v="2019-10-27T00:00:00"/>
    <x v="0"/>
    <s v="No"/>
    <s v="No"/>
    <x v="0"/>
    <x v="0"/>
    <s v="No"/>
  </r>
  <r>
    <s v="C1707"/>
    <s v="Aman Gupta"/>
    <s v="Male"/>
    <n v="64"/>
    <x v="5"/>
    <x v="1"/>
    <x v="47"/>
    <n v="1299"/>
    <n v="41568"/>
    <x v="0"/>
    <d v="2023-01-31T00:00:00"/>
    <x v="1"/>
    <s v="No"/>
    <s v="No"/>
    <x v="0"/>
    <x v="0"/>
    <s v="No"/>
  </r>
  <r>
    <s v="C1708"/>
    <s v="Pooja Reddy"/>
    <s v="Female"/>
    <n v="72"/>
    <x v="0"/>
    <x v="0"/>
    <x v="21"/>
    <n v="1299"/>
    <n v="1299"/>
    <x v="0"/>
    <d v="2025-08-13T00:00:00"/>
    <x v="1"/>
    <s v="No"/>
    <s v="No"/>
    <x v="0"/>
    <x v="0"/>
    <s v="No"/>
  </r>
  <r>
    <s v="C1709"/>
    <s v="Vikram Malhotra"/>
    <s v="Male"/>
    <n v="41"/>
    <x v="10"/>
    <x v="1"/>
    <x v="36"/>
    <n v="1299"/>
    <n v="20784"/>
    <x v="0"/>
    <d v="2024-05-29T00:00:00"/>
    <x v="0"/>
    <s v="No"/>
    <s v="No"/>
    <x v="0"/>
    <x v="0"/>
    <s v="No"/>
  </r>
  <r>
    <s v="C1710"/>
    <s v="Vivek Tiwari"/>
    <s v="Male"/>
    <n v="44"/>
    <x v="7"/>
    <x v="2"/>
    <x v="67"/>
    <n v="1099"/>
    <n v="51653"/>
    <x v="0"/>
    <d v="2021-10-27T00:00:00"/>
    <x v="0"/>
    <s v="No"/>
    <s v="No"/>
    <x v="0"/>
    <x v="0"/>
    <s v="No"/>
  </r>
  <r>
    <s v="C1711"/>
    <s v="Unknown"/>
    <s v="Male"/>
    <n v="38"/>
    <x v="12"/>
    <x v="2"/>
    <x v="28"/>
    <n v="749"/>
    <n v="5992"/>
    <x v="1"/>
    <d v="2025-01-11T00:00:00"/>
    <x v="0"/>
    <s v="No"/>
    <s v="No"/>
    <x v="0"/>
    <x v="0"/>
    <s v="No"/>
  </r>
  <r>
    <s v="C1712"/>
    <s v="Rajesh Verma"/>
    <s v="Male"/>
    <n v="58"/>
    <x v="14"/>
    <x v="1"/>
    <x v="6"/>
    <n v="549"/>
    <n v="10431"/>
    <x v="2"/>
    <m/>
    <x v="0"/>
    <s v="No"/>
    <s v="No"/>
    <x v="0"/>
    <x v="0"/>
    <s v="Date missing"/>
  </r>
  <r>
    <s v="C1713"/>
    <s v="Isha Sharma"/>
    <s v="Female"/>
    <n v="47"/>
    <x v="5"/>
    <x v="2"/>
    <x v="6"/>
    <n v="1099"/>
    <n v="20881"/>
    <x v="0"/>
    <d v="2024-02-08T00:00:00"/>
    <x v="0"/>
    <s v="Yes"/>
    <s v="No"/>
    <x v="0"/>
    <x v="0"/>
    <s v="No"/>
  </r>
  <r>
    <s v="C1714"/>
    <s v="Isha Chopra"/>
    <s v="Female"/>
    <n v="43"/>
    <x v="13"/>
    <x v="0"/>
    <x v="22"/>
    <n v="799"/>
    <n v="1598"/>
    <x v="1"/>
    <d v="2025-07-07T00:00:00"/>
    <x v="0"/>
    <s v="No"/>
    <s v="No"/>
    <x v="0"/>
    <x v="0"/>
    <s v="No"/>
  </r>
  <r>
    <s v="C1715"/>
    <s v="Mohit Mishra"/>
    <s v="Male"/>
    <n v="36"/>
    <x v="0"/>
    <x v="0"/>
    <x v="10"/>
    <n v="1299"/>
    <n v="22083"/>
    <x v="3"/>
    <d v="2024-04-08T00:00:00"/>
    <x v="1"/>
    <s v="No"/>
    <s v="No"/>
    <x v="0"/>
    <x v="0"/>
    <s v="No"/>
  </r>
  <r>
    <s v="C1716"/>
    <s v="Ritu Iyer"/>
    <s v="Female"/>
    <n v="64"/>
    <x v="12"/>
    <x v="2"/>
    <x v="28"/>
    <n v="899"/>
    <n v="7192"/>
    <x v="1"/>
    <d v="2025-01-20T00:00:00"/>
    <x v="0"/>
    <s v="No"/>
    <s v="No"/>
    <x v="0"/>
    <x v="0"/>
    <s v="No"/>
  </r>
  <r>
    <s v="C1717"/>
    <s v="Amit Chopra"/>
    <s v="Male"/>
    <n v="25"/>
    <x v="7"/>
    <x v="0"/>
    <x v="8"/>
    <n v="999"/>
    <n v="14985"/>
    <x v="0"/>
    <d v="2024-06-07T00:00:00"/>
    <x v="0"/>
    <s v="No"/>
    <s v="No"/>
    <x v="0"/>
    <x v="0"/>
    <s v="No"/>
  </r>
  <r>
    <s v="C1718"/>
    <s v="Aman Iyer"/>
    <s v="Male"/>
    <n v="36"/>
    <x v="9"/>
    <x v="1"/>
    <x v="35"/>
    <n v="1099"/>
    <n v="9891"/>
    <x v="0"/>
    <d v="2024-12-29T00:00:00"/>
    <x v="0"/>
    <s v="No"/>
    <s v="No"/>
    <x v="0"/>
    <x v="0"/>
    <s v="No"/>
  </r>
  <r>
    <s v="C1719"/>
    <s v="Payal Bose"/>
    <s v="Female"/>
    <n v="30"/>
    <x v="6"/>
    <x v="1"/>
    <x v="4"/>
    <n v="1099"/>
    <n v="10990"/>
    <x v="0"/>
    <d v="2024-12-01T00:00:00"/>
    <x v="1"/>
    <s v="No"/>
    <s v="No"/>
    <x v="0"/>
    <x v="0"/>
    <s v="No"/>
  </r>
  <r>
    <s v="C1720"/>
    <s v="Pooja Desai"/>
    <s v="Unknown"/>
    <n v="31"/>
    <x v="7"/>
    <x v="0"/>
    <x v="17"/>
    <n v="1149"/>
    <n v="14937"/>
    <x v="0"/>
    <d v="2024-08-07T00:00:00"/>
    <x v="0"/>
    <s v="No"/>
    <s v="No"/>
    <x v="0"/>
    <x v="0"/>
    <s v="No"/>
  </r>
  <r>
    <s v="C1721"/>
    <s v="Tanvi Desai"/>
    <s v="Female"/>
    <n v="58"/>
    <x v="12"/>
    <x v="2"/>
    <x v="61"/>
    <n v="1099"/>
    <n v="69237"/>
    <x v="0"/>
    <d v="2020-07-22T00:00:00"/>
    <x v="0"/>
    <s v="No"/>
    <s v="No"/>
    <x v="0"/>
    <x v="0"/>
    <s v="No"/>
  </r>
  <r>
    <s v="C1722"/>
    <s v="Shreya Singh"/>
    <s v="Female"/>
    <n v="63"/>
    <x v="1"/>
    <x v="2"/>
    <x v="20"/>
    <n v="749"/>
    <n v="20972"/>
    <x v="1"/>
    <d v="2023-05-25T00:00:00"/>
    <x v="0"/>
    <s v="No"/>
    <s v="No"/>
    <x v="0"/>
    <x v="0"/>
    <s v="No"/>
  </r>
  <r>
    <s v="C1723"/>
    <s v="Anjali Yadav"/>
    <s v="Female"/>
    <n v="72"/>
    <x v="12"/>
    <x v="0"/>
    <x v="4"/>
    <n v="1149"/>
    <n v="11490"/>
    <x v="0"/>
    <d v="2024-11-23T00:00:00"/>
    <x v="1"/>
    <s v="No"/>
    <s v="No"/>
    <x v="0"/>
    <x v="0"/>
    <s v="No"/>
  </r>
  <r>
    <s v="C1724"/>
    <s v="Aditi Iyer"/>
    <s v="Female"/>
    <n v="49"/>
    <x v="3"/>
    <x v="1"/>
    <x v="7"/>
    <n v="749"/>
    <n v="28462"/>
    <x v="1"/>
    <d v="2022-08-09T00:00:00"/>
    <x v="0"/>
    <s v="No"/>
    <s v="No"/>
    <x v="0"/>
    <x v="0"/>
    <s v="No"/>
  </r>
  <r>
    <s v="C1725"/>
    <s v="Gaurav Sharma"/>
    <s v="Male"/>
    <n v="25"/>
    <x v="1"/>
    <x v="0"/>
    <x v="33"/>
    <n v="449"/>
    <n v="6286"/>
    <x v="2"/>
    <d v="2024-07-07T00:00:00"/>
    <x v="0"/>
    <s v="No"/>
    <s v="No"/>
    <x v="0"/>
    <x v="0"/>
    <s v="No"/>
  </r>
  <r>
    <s v="C1726"/>
    <s v="Divya Desai"/>
    <s v="Female"/>
    <n v="71"/>
    <x v="14"/>
    <x v="2"/>
    <x v="30"/>
    <n v="799"/>
    <n v="14382"/>
    <x v="1"/>
    <d v="2024-03-16T00:00:00"/>
    <x v="0"/>
    <s v="No"/>
    <s v="No"/>
    <x v="0"/>
    <x v="0"/>
    <s v="No"/>
  </r>
  <r>
    <s v="C1727"/>
    <s v="Pooja Agarwal"/>
    <s v="Female"/>
    <n v="38"/>
    <x v="4"/>
    <x v="1"/>
    <x v="19"/>
    <n v="999"/>
    <n v="26973"/>
    <x v="0"/>
    <d v="2023-07-10T00:00:00"/>
    <x v="2"/>
    <s v="No"/>
    <s v="No"/>
    <x v="0"/>
    <x v="0"/>
    <s v="Churn unknown"/>
  </r>
  <r>
    <s v="C1728"/>
    <s v="Kavita Chopra"/>
    <s v="Female"/>
    <n v="23"/>
    <x v="6"/>
    <x v="0"/>
    <x v="26"/>
    <n v="899"/>
    <n v="18879"/>
    <x v="1"/>
    <m/>
    <x v="0"/>
    <s v="No"/>
    <s v="No"/>
    <x v="0"/>
    <x v="0"/>
    <s v="Date missing"/>
  </r>
  <r>
    <s v="C1729"/>
    <s v="Sanjay Yadav"/>
    <s v="Male"/>
    <n v="52"/>
    <x v="11"/>
    <x v="3"/>
    <x v="29"/>
    <n v="499"/>
    <n v="16966"/>
    <x v="2"/>
    <d v="2022-12-13T00:00:00"/>
    <x v="0"/>
    <s v="No"/>
    <s v="No"/>
    <x v="0"/>
    <x v="0"/>
    <s v="No"/>
  </r>
  <r>
    <s v="C1730"/>
    <s v="Sachin Gupta"/>
    <s v="Male"/>
    <n v="19"/>
    <x v="5"/>
    <x v="1"/>
    <x v="7"/>
    <n v="749"/>
    <n v="28462"/>
    <x v="1"/>
    <d v="2022-08-03T00:00:00"/>
    <x v="0"/>
    <s v="No"/>
    <s v="No"/>
    <x v="0"/>
    <x v="0"/>
    <s v="No"/>
  </r>
  <r>
    <s v="C1731"/>
    <s v="Gaurav Sharma"/>
    <s v="Male"/>
    <n v="39"/>
    <x v="12"/>
    <x v="0"/>
    <x v="10"/>
    <n v="699"/>
    <n v="11883"/>
    <x v="1"/>
    <d v="2024-05-03T00:00:00"/>
    <x v="1"/>
    <s v="No"/>
    <s v="No"/>
    <x v="0"/>
    <x v="0"/>
    <s v="No"/>
  </r>
  <r>
    <s v="C1732"/>
    <s v="Harsh Singh"/>
    <s v="Male"/>
    <n v="29"/>
    <x v="5"/>
    <x v="1"/>
    <x v="19"/>
    <n v="849"/>
    <n v="22923"/>
    <x v="1"/>
    <d v="2023-07-01T00:00:00"/>
    <x v="0"/>
    <s v="No"/>
    <s v="Yes"/>
    <x v="0"/>
    <x v="0"/>
    <s v="No"/>
  </r>
  <r>
    <s v="C1733"/>
    <s v="Rahul Pandey"/>
    <s v="Male"/>
    <n v="21"/>
    <x v="5"/>
    <x v="0"/>
    <x v="33"/>
    <n v="699"/>
    <n v="9786"/>
    <x v="1"/>
    <d v="2024-07-07T00:00:00"/>
    <x v="0"/>
    <s v="No"/>
    <s v="No"/>
    <x v="0"/>
    <x v="0"/>
    <s v="No"/>
  </r>
  <r>
    <s v="C1734"/>
    <s v="Amit Mehta"/>
    <s v="Male"/>
    <n v="33"/>
    <x v="13"/>
    <x v="1"/>
    <x v="46"/>
    <n v="899"/>
    <n v="29667"/>
    <x v="1"/>
    <d v="2023-01-04T00:00:00"/>
    <x v="2"/>
    <s v="No"/>
    <s v="No"/>
    <x v="0"/>
    <x v="0"/>
    <s v="Churn unknown"/>
  </r>
  <r>
    <s v="C1735"/>
    <s v="Nikhil Kapoor"/>
    <s v="Male"/>
    <n v="53"/>
    <x v="12"/>
    <x v="0"/>
    <x v="26"/>
    <n v="649"/>
    <n v="13629"/>
    <x v="1"/>
    <d v="2023-12-20T00:00:00"/>
    <x v="0"/>
    <s v="No"/>
    <s v="No"/>
    <x v="0"/>
    <x v="0"/>
    <s v="No"/>
  </r>
  <r>
    <s v="C1736"/>
    <s v="Manish Mishra"/>
    <s v="Male"/>
    <n v="59"/>
    <x v="13"/>
    <x v="0"/>
    <x v="8"/>
    <n v="1299"/>
    <n v="19485"/>
    <x v="0"/>
    <d v="2024-07-01T00:00:00"/>
    <x v="1"/>
    <s v="No"/>
    <s v="No"/>
    <x v="1"/>
    <x v="0"/>
    <s v="No"/>
  </r>
  <r>
    <s v="C1737"/>
    <s v="Sonal Gupta"/>
    <s v="Female"/>
    <n v="68"/>
    <x v="0"/>
    <x v="0"/>
    <x v="30"/>
    <n v="899"/>
    <n v="16182"/>
    <x v="0"/>
    <d v="2024-03-11T00:00:00"/>
    <x v="0"/>
    <s v="No"/>
    <s v="No"/>
    <x v="0"/>
    <x v="0"/>
    <s v="No"/>
  </r>
  <r>
    <s v="C1738"/>
    <s v="Meera Sharma"/>
    <s v="Female"/>
    <n v="21"/>
    <x v="7"/>
    <x v="0"/>
    <x v="0"/>
    <n v="749"/>
    <n v="16478"/>
    <x v="1"/>
    <d v="2023-11-22T00:00:00"/>
    <x v="0"/>
    <s v="No"/>
    <s v="No"/>
    <x v="0"/>
    <x v="0"/>
    <s v="No"/>
  </r>
  <r>
    <s v="C1739"/>
    <s v="Sneha Gupta"/>
    <s v="Female"/>
    <n v="65"/>
    <x v="1"/>
    <x v="1"/>
    <x v="42"/>
    <n v="849"/>
    <n v="22074"/>
    <x v="1"/>
    <d v="2023-08-02T00:00:00"/>
    <x v="0"/>
    <s v="No"/>
    <s v="Yes"/>
    <x v="0"/>
    <x v="0"/>
    <s v="No"/>
  </r>
  <r>
    <s v="C1740"/>
    <s v="Deepika Yadav"/>
    <s v="Female"/>
    <n v="50"/>
    <x v="13"/>
    <x v="0"/>
    <x v="2"/>
    <n v="1049"/>
    <n v="11539"/>
    <x v="0"/>
    <d v="2024-10-12T00:00:00"/>
    <x v="1"/>
    <s v="No"/>
    <s v="No"/>
    <x v="0"/>
    <x v="0"/>
    <s v="No"/>
  </r>
  <r>
    <s v="C1741"/>
    <s v="Swati Mehta"/>
    <s v="Female"/>
    <n v="47"/>
    <x v="11"/>
    <x v="0"/>
    <x v="13"/>
    <n v="549"/>
    <n v="2745"/>
    <x v="2"/>
    <d v="2025-04-03T00:00:00"/>
    <x v="1"/>
    <s v="No"/>
    <s v="No"/>
    <x v="0"/>
    <x v="0"/>
    <s v="No"/>
  </r>
  <r>
    <s v="C1742"/>
    <s v="Arjun Tiwari"/>
    <s v="Male"/>
    <n v="53"/>
    <x v="14"/>
    <x v="1"/>
    <x v="1"/>
    <n v="1299"/>
    <n v="45465"/>
    <x v="0"/>
    <d v="2022-10-16T00:00:00"/>
    <x v="0"/>
    <s v="No"/>
    <s v="No"/>
    <x v="0"/>
    <x v="0"/>
    <s v="No"/>
  </r>
  <r>
    <s v="C1743"/>
    <s v="Anjali Patel"/>
    <s v="Female"/>
    <n v="70"/>
    <x v="12"/>
    <x v="3"/>
    <x v="12"/>
    <m/>
    <n v="29877"/>
    <x v="0"/>
    <d v="2023-10-28T00:00:00"/>
    <x v="0"/>
    <s v="No"/>
    <s v="No"/>
    <x v="0"/>
    <x v="0"/>
    <s v="Monthly missing; Tenure missing"/>
  </r>
  <r>
    <s v="C1744"/>
    <s v="Ankit Sharma"/>
    <s v="Male"/>
    <n v="32"/>
    <x v="10"/>
    <x v="0"/>
    <x v="23"/>
    <n v="699"/>
    <n v="16077"/>
    <x v="1"/>
    <d v="2023-10-19T00:00:00"/>
    <x v="0"/>
    <s v="No"/>
    <s v="No"/>
    <x v="0"/>
    <x v="0"/>
    <s v="No"/>
  </r>
  <r>
    <s v="C1745"/>
    <s v="Ritu Nair"/>
    <s v="Female"/>
    <n v="49"/>
    <x v="2"/>
    <x v="0"/>
    <x v="23"/>
    <n v="1149"/>
    <n v="26427"/>
    <x v="0"/>
    <d v="2023-10-13T00:00:00"/>
    <x v="1"/>
    <s v="No"/>
    <s v="No"/>
    <x v="0"/>
    <x v="1"/>
    <s v="No"/>
  </r>
  <r>
    <s v="C1746"/>
    <s v="Anjali Malhotra"/>
    <s v="Female"/>
    <n v="54"/>
    <x v="1"/>
    <x v="0"/>
    <x v="0"/>
    <n v="1149"/>
    <n v="25278"/>
    <x v="0"/>
    <d v="2023-12-06T00:00:00"/>
    <x v="0"/>
    <s v="No"/>
    <s v="No"/>
    <x v="0"/>
    <x v="0"/>
    <s v="No"/>
  </r>
  <r>
    <s v="C1747"/>
    <s v="Vikram Singh"/>
    <s v="Male"/>
    <n v="34"/>
    <x v="11"/>
    <x v="2"/>
    <x v="37"/>
    <n v="349"/>
    <n v="12564"/>
    <x v="2"/>
    <d v="2022-09-22T00:00:00"/>
    <x v="0"/>
    <s v="No"/>
    <s v="No"/>
    <x v="0"/>
    <x v="0"/>
    <s v="No"/>
  </r>
  <r>
    <s v="C1748"/>
    <s v="Sonal Kapoor"/>
    <s v="Female"/>
    <n v="18"/>
    <x v="12"/>
    <x v="1"/>
    <x v="32"/>
    <n v="499"/>
    <n v="1996"/>
    <x v="2"/>
    <d v="2025-05-18T00:00:00"/>
    <x v="0"/>
    <s v="No"/>
    <s v="No"/>
    <x v="0"/>
    <x v="0"/>
    <s v="No"/>
  </r>
  <r>
    <s v="C1749"/>
    <s v="Anjali Saxena"/>
    <s v="Female"/>
    <n v="51"/>
    <x v="7"/>
    <x v="0"/>
    <x v="22"/>
    <n v="999"/>
    <n v="1998"/>
    <x v="0"/>
    <d v="2025-07-17T00:00:00"/>
    <x v="1"/>
    <s v="No"/>
    <s v="No"/>
    <x v="0"/>
    <x v="0"/>
    <s v="No"/>
  </r>
  <r>
    <s v="C1750"/>
    <s v="Swati Sharma"/>
    <s v="Female"/>
    <n v="43"/>
    <x v="0"/>
    <x v="0"/>
    <x v="21"/>
    <n v="499"/>
    <n v="499"/>
    <x v="2"/>
    <d v="2025-07-31T00:00:00"/>
    <x v="0"/>
    <s v="No"/>
    <s v="No"/>
    <x v="0"/>
    <x v="0"/>
    <s v="No"/>
  </r>
  <r>
    <s v="C1751"/>
    <s v="Sanjay Gupta"/>
    <s v="Male"/>
    <n v="39"/>
    <x v="5"/>
    <x v="0"/>
    <x v="21"/>
    <n v="1099"/>
    <n v="1099"/>
    <x v="0"/>
    <d v="2025-08-09T00:00:00"/>
    <x v="1"/>
    <s v="No"/>
    <s v="No"/>
    <x v="0"/>
    <x v="0"/>
    <s v="No"/>
  </r>
  <r>
    <s v="C1752"/>
    <s v="Kavita Nair"/>
    <s v="Female"/>
    <n v="24"/>
    <x v="7"/>
    <x v="0"/>
    <x v="22"/>
    <n v="899"/>
    <n v="1798"/>
    <x v="1"/>
    <d v="2025-07-28T00:00:00"/>
    <x v="0"/>
    <s v="No"/>
    <s v="No"/>
    <x v="0"/>
    <x v="0"/>
    <s v="No"/>
  </r>
  <r>
    <s v="C1753"/>
    <s v="Anjali Chopra"/>
    <s v="Female"/>
    <n v="46"/>
    <x v="11"/>
    <x v="0"/>
    <x v="22"/>
    <n v="349"/>
    <n v="698"/>
    <x v="2"/>
    <d v="2025-07-29T00:00:00"/>
    <x v="0"/>
    <s v="No"/>
    <s v="No"/>
    <x v="0"/>
    <x v="0"/>
    <s v="No"/>
  </r>
  <r>
    <s v="C1754"/>
    <s v="Sneha Iyer"/>
    <s v="Female"/>
    <n v="57"/>
    <x v="9"/>
    <x v="0"/>
    <x v="22"/>
    <n v="799"/>
    <n v="1598"/>
    <x v="1"/>
    <d v="2025-07-18T00:00:00"/>
    <x v="0"/>
    <s v="No"/>
    <s v="No"/>
    <x v="0"/>
    <x v="1"/>
    <s v="No"/>
  </r>
  <r>
    <s v="C1755"/>
    <s v="Pankaj Tiwari"/>
    <s v="Male"/>
    <n v="32"/>
    <x v="6"/>
    <x v="1"/>
    <x v="21"/>
    <n v="1099"/>
    <n v="1099"/>
    <x v="0"/>
    <d v="2025-08-01T00:00:00"/>
    <x v="0"/>
    <s v="No"/>
    <s v="No"/>
    <x v="0"/>
    <x v="0"/>
    <s v="No"/>
  </r>
  <r>
    <s v="C1756"/>
    <s v="Nikhil Chopra"/>
    <s v="Male"/>
    <n v="61"/>
    <x v="13"/>
    <x v="0"/>
    <x v="6"/>
    <n v="899"/>
    <n v="17081"/>
    <x v="0"/>
    <d v="2024-02-14T00:00:00"/>
    <x v="1"/>
    <s v="No"/>
    <s v="No"/>
    <x v="0"/>
    <x v="0"/>
    <s v="No"/>
  </r>
  <r>
    <s v="C1757"/>
    <s v="Rajesh Mehta"/>
    <s v="Male"/>
    <n v="75"/>
    <x v="11"/>
    <x v="0"/>
    <x v="16"/>
    <n v="1099"/>
    <n v="13188"/>
    <x v="0"/>
    <d v="2024-09-26T00:00:00"/>
    <x v="1"/>
    <s v="No"/>
    <s v="No"/>
    <x v="0"/>
    <x v="0"/>
    <s v="No"/>
  </r>
  <r>
    <s v="C1758"/>
    <s v="Amit Verma"/>
    <s v="Male"/>
    <n v="26"/>
    <x v="5"/>
    <x v="1"/>
    <x v="23"/>
    <n v="1149"/>
    <n v="26427"/>
    <x v="0"/>
    <d v="2023-11-04T00:00:00"/>
    <x v="2"/>
    <s v="No"/>
    <s v="No"/>
    <x v="0"/>
    <x v="0"/>
    <s v="Churn unknown"/>
  </r>
  <r>
    <s v="C1759"/>
    <s v="Aditi Yadav"/>
    <s v="Female"/>
    <n v="39"/>
    <x v="5"/>
    <x v="0"/>
    <x v="6"/>
    <n v="849"/>
    <n v="16131"/>
    <x v="1"/>
    <d v="2024-02-20T00:00:00"/>
    <x v="1"/>
    <s v="No"/>
    <s v="No"/>
    <x v="0"/>
    <x v="0"/>
    <s v="No"/>
  </r>
  <r>
    <s v="C1760"/>
    <s v="Vivek Patel"/>
    <s v="Male"/>
    <n v="30"/>
    <x v="0"/>
    <x v="1"/>
    <x v="13"/>
    <n v="699"/>
    <n v="3495"/>
    <x v="1"/>
    <d v="2025-04-17T00:00:00"/>
    <x v="0"/>
    <s v="No"/>
    <s v="No"/>
    <x v="0"/>
    <x v="0"/>
    <s v="No"/>
  </r>
  <r>
    <s v="C1761"/>
    <s v="Tanvi Bose"/>
    <s v="Female"/>
    <n v="39"/>
    <x v="11"/>
    <x v="0"/>
    <x v="32"/>
    <n v="749"/>
    <n v="2996"/>
    <x v="1"/>
    <d v="2025-05-02T00:00:00"/>
    <x v="1"/>
    <s v="No"/>
    <s v="No"/>
    <x v="0"/>
    <x v="0"/>
    <s v="No"/>
  </r>
  <r>
    <s v="C1762"/>
    <s v="Manish Pandey"/>
    <s v="Male"/>
    <n v="32"/>
    <x v="7"/>
    <x v="1"/>
    <x v="0"/>
    <n v="899"/>
    <n v="19778"/>
    <x v="1"/>
    <d v="2023-12-03T00:00:00"/>
    <x v="0"/>
    <s v="No"/>
    <s v="No"/>
    <x v="0"/>
    <x v="0"/>
    <s v="No"/>
  </r>
  <r>
    <s v="C1763"/>
    <s v="Aman Sharma"/>
    <s v="Male"/>
    <n v="22"/>
    <x v="2"/>
    <x v="0"/>
    <x v="4"/>
    <n v="749"/>
    <n v="7490"/>
    <x v="1"/>
    <d v="2024-11-21T00:00:00"/>
    <x v="0"/>
    <s v="No"/>
    <s v="No"/>
    <x v="0"/>
    <x v="0"/>
    <s v="No"/>
  </r>
  <r>
    <s v="C1764"/>
    <s v="Rahul Mehta"/>
    <s v="Male"/>
    <n v="30"/>
    <x v="5"/>
    <x v="0"/>
    <x v="9"/>
    <n v="549"/>
    <n v="13176"/>
    <x v="2"/>
    <d v="2023-10-03T00:00:00"/>
    <x v="1"/>
    <s v="No"/>
    <s v="No"/>
    <x v="0"/>
    <x v="0"/>
    <s v="No"/>
  </r>
  <r>
    <s v="C1765"/>
    <s v="Arjun Malhotra"/>
    <s v="Male"/>
    <n v="24"/>
    <x v="3"/>
    <x v="2"/>
    <x v="8"/>
    <n v="699"/>
    <n v="10485"/>
    <x v="1"/>
    <d v="2024-06-24T00:00:00"/>
    <x v="0"/>
    <s v="No"/>
    <s v="No"/>
    <x v="0"/>
    <x v="0"/>
    <s v="No"/>
  </r>
  <r>
    <s v="C1766"/>
    <s v="Meera Jain"/>
    <s v="Female"/>
    <n v="69"/>
    <x v="11"/>
    <x v="2"/>
    <x v="35"/>
    <n v="399"/>
    <n v="3591"/>
    <x v="2"/>
    <d v="2024-12-26T00:00:00"/>
    <x v="0"/>
    <s v="No"/>
    <s v="No"/>
    <x v="0"/>
    <x v="0"/>
    <s v="No"/>
  </r>
  <r>
    <s v="C1767"/>
    <s v="Isha Joshi"/>
    <s v="Female"/>
    <n v="56"/>
    <x v="12"/>
    <x v="2"/>
    <x v="15"/>
    <n v="899"/>
    <n v="5394"/>
    <x v="1"/>
    <d v="2025-03-15T00:00:00"/>
    <x v="0"/>
    <s v="No"/>
    <s v="Yes"/>
    <x v="0"/>
    <x v="0"/>
    <s v="No"/>
  </r>
  <r>
    <s v="C1768"/>
    <s v="Pooja Joshi"/>
    <s v="Female"/>
    <n v="33"/>
    <x v="3"/>
    <x v="1"/>
    <x v="35"/>
    <n v="899"/>
    <n v="8091"/>
    <x v="1"/>
    <d v="2024-12-26T00:00:00"/>
    <x v="0"/>
    <s v="No"/>
    <s v="No"/>
    <x v="0"/>
    <x v="0"/>
    <s v="No"/>
  </r>
  <r>
    <s v="C1769"/>
    <s v="Gaurav Saxena"/>
    <s v="Male"/>
    <n v="57"/>
    <x v="4"/>
    <x v="0"/>
    <x v="26"/>
    <n v="1149"/>
    <n v="24129"/>
    <x v="0"/>
    <d v="2023-12-24T00:00:00"/>
    <x v="0"/>
    <s v="No"/>
    <s v="No"/>
    <x v="0"/>
    <x v="0"/>
    <s v="No"/>
  </r>
  <r>
    <s v="C1770"/>
    <s v="Nikhil Pandey"/>
    <s v="Male"/>
    <n v="41"/>
    <x v="1"/>
    <x v="1"/>
    <x v="47"/>
    <n v="1049"/>
    <n v="33568"/>
    <x v="0"/>
    <d v="2023-01-13T00:00:00"/>
    <x v="0"/>
    <s v="No"/>
    <s v="No"/>
    <x v="0"/>
    <x v="0"/>
    <s v="No"/>
  </r>
  <r>
    <s v="C1771"/>
    <s v="Sanjay Nair"/>
    <s v="Male"/>
    <n v="75"/>
    <x v="0"/>
    <x v="0"/>
    <x v="27"/>
    <n v="699"/>
    <n v="4893"/>
    <x v="1"/>
    <d v="2025-02-01T00:00:00"/>
    <x v="0"/>
    <s v="No"/>
    <s v="No"/>
    <x v="0"/>
    <x v="0"/>
    <s v="No"/>
  </r>
  <r>
    <s v="C1772"/>
    <s v="Kavita Mishra"/>
    <s v="Female"/>
    <n v="23"/>
    <x v="8"/>
    <x v="1"/>
    <x v="29"/>
    <n v="699"/>
    <n v="23766"/>
    <x v="1"/>
    <d v="2022-11-27T00:00:00"/>
    <x v="1"/>
    <s v="No"/>
    <s v="No"/>
    <x v="0"/>
    <x v="1"/>
    <s v="No"/>
  </r>
  <r>
    <s v="C1773"/>
    <s v="Nisha Kapoor"/>
    <s v="Female"/>
    <n v="47"/>
    <x v="12"/>
    <x v="0"/>
    <x v="2"/>
    <n v="349"/>
    <n v="3839"/>
    <x v="2"/>
    <d v="2024-10-26T00:00:00"/>
    <x v="1"/>
    <s v="No"/>
    <s v="No"/>
    <x v="0"/>
    <x v="1"/>
    <s v="No"/>
  </r>
  <r>
    <s v="C1774"/>
    <s v="Neha Patel"/>
    <s v="Female"/>
    <n v="75"/>
    <x v="4"/>
    <x v="0"/>
    <x v="30"/>
    <n v="899"/>
    <n v="16182"/>
    <x v="0"/>
    <d v="2024-04-03T00:00:00"/>
    <x v="0"/>
    <s v="No"/>
    <s v="No"/>
    <x v="0"/>
    <x v="0"/>
    <s v="No"/>
  </r>
  <r>
    <s v="C1775"/>
    <s v="Vikram Patel"/>
    <s v="Male"/>
    <n v="20"/>
    <x v="1"/>
    <x v="0"/>
    <x v="2"/>
    <n v="699"/>
    <n v="7689"/>
    <x v="1"/>
    <d v="2024-10-14T00:00:00"/>
    <x v="1"/>
    <s v="No"/>
    <s v="No"/>
    <x v="0"/>
    <x v="0"/>
    <s v="No"/>
  </r>
  <r>
    <s v="C1776"/>
    <s v="Sachin Malhotra"/>
    <s v="Male"/>
    <n v="18"/>
    <x v="13"/>
    <x v="0"/>
    <x v="17"/>
    <n v="549"/>
    <n v="7137"/>
    <x v="2"/>
    <d v="2024-09-03T00:00:00"/>
    <x v="0"/>
    <s v="No"/>
    <s v="No"/>
    <x v="0"/>
    <x v="0"/>
    <s v="No"/>
  </r>
  <r>
    <s v="C1777"/>
    <s v="Payal Singh"/>
    <s v="Female"/>
    <n v="73"/>
    <x v="12"/>
    <x v="0"/>
    <x v="27"/>
    <n v="999"/>
    <n v="6993"/>
    <x v="0"/>
    <d v="2025-02-13T00:00:00"/>
    <x v="0"/>
    <s v="No"/>
    <s v="No"/>
    <x v="0"/>
    <x v="0"/>
    <s v="No"/>
  </r>
  <r>
    <s v="C1778"/>
    <s v="Shreya Joshi"/>
    <s v="Female"/>
    <n v="68"/>
    <x v="4"/>
    <x v="0"/>
    <x v="23"/>
    <n v="749"/>
    <n v="17227"/>
    <x v="1"/>
    <d v="2023-10-22T00:00:00"/>
    <x v="0"/>
    <s v="No"/>
    <s v="No"/>
    <x v="1"/>
    <x v="0"/>
    <s v="No"/>
  </r>
  <r>
    <s v="C1779"/>
    <s v="Aman Singh"/>
    <s v="Male"/>
    <n v="54"/>
    <x v="6"/>
    <x v="0"/>
    <x v="21"/>
    <n v="449"/>
    <n v="449"/>
    <x v="2"/>
    <d v="2025-08-16T00:00:00"/>
    <x v="1"/>
    <s v="No"/>
    <s v="No"/>
    <x v="0"/>
    <x v="0"/>
    <s v="No"/>
  </r>
  <r>
    <s v="C1780"/>
    <s v="Divya Pandey"/>
    <s v="Female"/>
    <n v="52"/>
    <x v="10"/>
    <x v="0"/>
    <x v="22"/>
    <n v="649"/>
    <n v="1298"/>
    <x v="1"/>
    <d v="2025-07-05T00:00:00"/>
    <x v="1"/>
    <s v="No"/>
    <s v="No"/>
    <x v="0"/>
    <x v="0"/>
    <s v="No"/>
  </r>
  <r>
    <s v="C1781"/>
    <s v="Divya Mehta"/>
    <s v="Female"/>
    <n v="43"/>
    <x v="4"/>
    <x v="0"/>
    <x v="32"/>
    <n v="699"/>
    <n v="2796"/>
    <x v="1"/>
    <d v="2025-05-22T00:00:00"/>
    <x v="0"/>
    <s v="No"/>
    <s v="No"/>
    <x v="0"/>
    <x v="0"/>
    <s v="No"/>
  </r>
  <r>
    <s v="C1782"/>
    <s v="Arjun Reddy"/>
    <s v="Male"/>
    <n v="61"/>
    <x v="1"/>
    <x v="0"/>
    <x v="11"/>
    <n v="399"/>
    <n v="7980"/>
    <x v="2"/>
    <d v="2024-01-08T00:00:00"/>
    <x v="1"/>
    <s v="No"/>
    <s v="No"/>
    <x v="0"/>
    <x v="0"/>
    <s v="No"/>
  </r>
  <r>
    <s v="C1783"/>
    <s v="Aditi Mehta"/>
    <s v="Female"/>
    <n v="32"/>
    <x v="5"/>
    <x v="1"/>
    <x v="32"/>
    <n v="699"/>
    <n v="2796"/>
    <x v="1"/>
    <d v="2025-05-04T00:00:00"/>
    <x v="1"/>
    <s v="No"/>
    <s v="No"/>
    <x v="0"/>
    <x v="0"/>
    <s v="No"/>
  </r>
  <r>
    <s v="C1784"/>
    <s v="Divya Gupta"/>
    <s v="Female"/>
    <n v="25"/>
    <x v="8"/>
    <x v="0"/>
    <x v="24"/>
    <n v="1299"/>
    <n v="3897"/>
    <x v="0"/>
    <d v="2025-06-24T00:00:00"/>
    <x v="1"/>
    <s v="No"/>
    <s v="No"/>
    <x v="0"/>
    <x v="0"/>
    <s v="No"/>
  </r>
  <r>
    <s v="C1785"/>
    <s v="Nisha Pandey"/>
    <s v="Female"/>
    <n v="60"/>
    <x v="7"/>
    <x v="0"/>
    <x v="4"/>
    <n v="999"/>
    <n v="9990"/>
    <x v="0"/>
    <d v="2024-11-18T00:00:00"/>
    <x v="0"/>
    <s v="No"/>
    <s v="No"/>
    <x v="0"/>
    <x v="0"/>
    <s v="No"/>
  </r>
  <r>
    <s v="C1786"/>
    <s v="Deepika Sharma"/>
    <s v="Female"/>
    <n v="27"/>
    <x v="7"/>
    <x v="0"/>
    <x v="28"/>
    <n v="1049"/>
    <n v="8392"/>
    <x v="0"/>
    <d v="2025-01-17T00:00:00"/>
    <x v="0"/>
    <s v="No"/>
    <s v="No"/>
    <x v="0"/>
    <x v="1"/>
    <s v="No"/>
  </r>
  <r>
    <s v="C1787"/>
    <s v="Tanvi Verma"/>
    <s v="Female"/>
    <n v="65"/>
    <x v="4"/>
    <x v="0"/>
    <x v="8"/>
    <n v="449"/>
    <n v="6735"/>
    <x v="2"/>
    <d v="2024-06-09T00:00:00"/>
    <x v="1"/>
    <s v="No"/>
    <s v="Yes"/>
    <x v="0"/>
    <x v="0"/>
    <s v="No"/>
  </r>
  <r>
    <s v="C1788"/>
    <s v="Vivek Nair"/>
    <s v="Male"/>
    <n v="29"/>
    <x v="10"/>
    <x v="1"/>
    <x v="16"/>
    <n v="1149"/>
    <n v="13788"/>
    <x v="0"/>
    <d v="2024-10-02T00:00:00"/>
    <x v="0"/>
    <s v="No"/>
    <s v="No"/>
    <x v="0"/>
    <x v="0"/>
    <s v="No"/>
  </r>
  <r>
    <s v="C1789"/>
    <s v="Arjun Malhotra"/>
    <s v="Male"/>
    <n v="74"/>
    <x v="9"/>
    <x v="0"/>
    <x v="24"/>
    <n v="1199"/>
    <n v="3597"/>
    <x v="0"/>
    <d v="2025-06-17T00:00:00"/>
    <x v="0"/>
    <s v="No"/>
    <s v="No"/>
    <x v="0"/>
    <x v="0"/>
    <s v="No"/>
  </r>
  <r>
    <s v="C1790"/>
    <s v="Aman Kumar"/>
    <s v="Male"/>
    <n v="66"/>
    <x v="4"/>
    <x v="0"/>
    <x v="33"/>
    <n v="999"/>
    <n v="13986"/>
    <x v="0"/>
    <m/>
    <x v="1"/>
    <s v="No"/>
    <s v="No"/>
    <x v="0"/>
    <x v="0"/>
    <s v="Date missing"/>
  </r>
  <r>
    <s v="C1791"/>
    <s v="Priya Kumar"/>
    <s v="Unknown"/>
    <n v="58"/>
    <x v="14"/>
    <x v="1"/>
    <x v="0"/>
    <n v="1099"/>
    <n v="24178"/>
    <x v="0"/>
    <d v="2023-12-08T00:00:00"/>
    <x v="0"/>
    <s v="No"/>
    <s v="No"/>
    <x v="0"/>
    <x v="0"/>
    <s v="No"/>
  </r>
  <r>
    <s v="C1792"/>
    <s v="Unknown"/>
    <s v="Unknown"/>
    <n v="26"/>
    <x v="2"/>
    <x v="1"/>
    <x v="57"/>
    <n v="899"/>
    <n v="26970"/>
    <x v="0"/>
    <d v="2023-03-21T00:00:00"/>
    <x v="0"/>
    <s v="No"/>
    <s v="No"/>
    <x v="0"/>
    <x v="0"/>
    <s v="No"/>
  </r>
  <r>
    <s v="C1793"/>
    <s v="Pooja Desai"/>
    <s v="Female"/>
    <n v="70"/>
    <x v="5"/>
    <x v="2"/>
    <x v="24"/>
    <n v="799"/>
    <n v="2397"/>
    <x v="1"/>
    <d v="2025-06-13T00:00:00"/>
    <x v="0"/>
    <s v="No"/>
    <s v="No"/>
    <x v="0"/>
    <x v="0"/>
    <s v="No"/>
  </r>
  <r>
    <s v="C1794"/>
    <s v="Meera Kumar"/>
    <s v="Unknown"/>
    <n v="60"/>
    <x v="13"/>
    <x v="0"/>
    <x v="8"/>
    <n v="699"/>
    <n v="10485"/>
    <x v="1"/>
    <d v="2024-06-07T00:00:00"/>
    <x v="0"/>
    <s v="No"/>
    <s v="Yes"/>
    <x v="0"/>
    <x v="0"/>
    <s v="No"/>
  </r>
  <r>
    <s v="C1795"/>
    <s v="Ankit Pandey"/>
    <s v="Male"/>
    <n v="21"/>
    <x v="6"/>
    <x v="1"/>
    <x v="27"/>
    <n v="1199"/>
    <n v="8393"/>
    <x v="0"/>
    <d v="2025-02-11T00:00:00"/>
    <x v="0"/>
    <s v="No"/>
    <s v="No"/>
    <x v="0"/>
    <x v="0"/>
    <s v="No"/>
  </r>
  <r>
    <s v="C1796"/>
    <s v="Amit Rao"/>
    <s v="Male"/>
    <n v="67"/>
    <x v="0"/>
    <x v="2"/>
    <x v="45"/>
    <n v="899"/>
    <n v="27869"/>
    <x v="0"/>
    <d v="2023-03-13T00:00:00"/>
    <x v="0"/>
    <s v="No"/>
    <s v="No"/>
    <x v="0"/>
    <x v="0"/>
    <s v="No"/>
  </r>
  <r>
    <s v="C1797"/>
    <s v="Deepika Saxena"/>
    <s v="Female"/>
    <n v="60"/>
    <x v="4"/>
    <x v="0"/>
    <x v="0"/>
    <n v="399"/>
    <n v="8778"/>
    <x v="2"/>
    <d v="2023-11-22T00:00:00"/>
    <x v="1"/>
    <s v="No"/>
    <s v="No"/>
    <x v="0"/>
    <x v="0"/>
    <s v="No"/>
  </r>
  <r>
    <s v="C1798"/>
    <s v="Nikhil Joshi"/>
    <s v="Male"/>
    <n v="53"/>
    <x v="9"/>
    <x v="0"/>
    <x v="30"/>
    <n v="749"/>
    <n v="13482"/>
    <x v="1"/>
    <d v="2024-04-03T00:00:00"/>
    <x v="1"/>
    <s v="No"/>
    <s v="No"/>
    <x v="0"/>
    <x v="0"/>
    <s v="No"/>
  </r>
  <r>
    <s v="C1799"/>
    <s v="Swati Gupta"/>
    <s v="Female"/>
    <n v="18"/>
    <x v="12"/>
    <x v="1"/>
    <x v="33"/>
    <n v="749"/>
    <n v="10486"/>
    <x v="1"/>
    <d v="2024-07-27T00:00:00"/>
    <x v="0"/>
    <s v="No"/>
    <s v="No"/>
    <x v="0"/>
    <x v="1"/>
    <s v="No"/>
  </r>
  <r>
    <s v="C1800"/>
    <s v="Sneha Kumar"/>
    <s v="Female"/>
    <n v="74"/>
    <x v="0"/>
    <x v="0"/>
    <x v="36"/>
    <n v="1199"/>
    <n v="19184"/>
    <x v="0"/>
    <d v="2024-05-07T00:00:00"/>
    <x v="0"/>
    <s v="No"/>
    <s v="No"/>
    <x v="0"/>
    <x v="1"/>
    <s v="No"/>
  </r>
  <r>
    <s v="C1801"/>
    <s v="Suresh Reddy"/>
    <s v="Male"/>
    <n v="56"/>
    <x v="2"/>
    <x v="2"/>
    <x v="30"/>
    <n v="999"/>
    <n v="17982"/>
    <x v="0"/>
    <d v="2024-03-16T00:00:00"/>
    <x v="0"/>
    <s v="No"/>
    <s v="No"/>
    <x v="0"/>
    <x v="0"/>
    <s v="No"/>
  </r>
  <r>
    <s v="C1802"/>
    <s v="Neha Joshi"/>
    <s v="Female"/>
    <n v="19"/>
    <x v="11"/>
    <x v="2"/>
    <x v="48"/>
    <n v="1199"/>
    <n v="79134"/>
    <x v="0"/>
    <d v="2020-04-05T00:00:00"/>
    <x v="0"/>
    <s v="No"/>
    <s v="No"/>
    <x v="0"/>
    <x v="0"/>
    <s v="No"/>
  </r>
  <r>
    <s v="C1803"/>
    <s v="Manish Sharma"/>
    <s v="Male"/>
    <n v="57"/>
    <x v="13"/>
    <x v="2"/>
    <x v="50"/>
    <n v="899"/>
    <n v="49445"/>
    <x v="1"/>
    <d v="2021-03-19T00:00:00"/>
    <x v="0"/>
    <s v="No"/>
    <s v="No"/>
    <x v="0"/>
    <x v="0"/>
    <s v="No"/>
  </r>
  <r>
    <s v="C1804"/>
    <s v="Komal Iyer"/>
    <s v="Female"/>
    <n v="30"/>
    <x v="8"/>
    <x v="0"/>
    <x v="28"/>
    <n v="1149"/>
    <n v="9192"/>
    <x v="0"/>
    <d v="2025-01-21T00:00:00"/>
    <x v="0"/>
    <s v="No"/>
    <s v="No"/>
    <x v="0"/>
    <x v="0"/>
    <s v="No"/>
  </r>
  <r>
    <s v="C1805"/>
    <s v="Suresh Joshi"/>
    <s v="Male"/>
    <n v="59"/>
    <x v="13"/>
    <x v="1"/>
    <x v="19"/>
    <n v="1299"/>
    <n v="35073"/>
    <x v="0"/>
    <d v="2023-07-04T00:00:00"/>
    <x v="0"/>
    <s v="No"/>
    <s v="No"/>
    <x v="0"/>
    <x v="0"/>
    <s v="No"/>
  </r>
  <r>
    <s v="C1806"/>
    <s v="Swati Nair"/>
    <s v="Female"/>
    <n v="31"/>
    <x v="1"/>
    <x v="0"/>
    <x v="28"/>
    <n v="399"/>
    <n v="3192"/>
    <x v="2"/>
    <d v="2025-01-19T00:00:00"/>
    <x v="0"/>
    <s v="No"/>
    <s v="No"/>
    <x v="0"/>
    <x v="0"/>
    <s v="No"/>
  </r>
  <r>
    <s v="C1807"/>
    <s v="Meera Kapoor"/>
    <s v="Female"/>
    <n v="58"/>
    <x v="3"/>
    <x v="0"/>
    <x v="27"/>
    <n v="1199"/>
    <n v="8393"/>
    <x v="0"/>
    <d v="2025-02-26T00:00:00"/>
    <x v="0"/>
    <s v="No"/>
    <s v="No"/>
    <x v="0"/>
    <x v="0"/>
    <s v="No"/>
  </r>
  <r>
    <s v="C1808"/>
    <s v="Arjun Bose"/>
    <s v="Male"/>
    <n v="53"/>
    <x v="6"/>
    <x v="1"/>
    <x v="46"/>
    <n v="599"/>
    <n v="19767"/>
    <x v="3"/>
    <d v="2022-12-20T00:00:00"/>
    <x v="0"/>
    <s v="No"/>
    <s v="No"/>
    <x v="0"/>
    <x v="0"/>
    <s v="No"/>
  </r>
  <r>
    <s v="C1809"/>
    <s v="Manish Tiwari"/>
    <s v="Male"/>
    <n v="29"/>
    <x v="11"/>
    <x v="0"/>
    <x v="8"/>
    <n v="849"/>
    <n v="12735"/>
    <x v="1"/>
    <d v="2024-06-20T00:00:00"/>
    <x v="0"/>
    <s v="No"/>
    <s v="No"/>
    <x v="0"/>
    <x v="0"/>
    <s v="No"/>
  </r>
  <r>
    <s v="C1810"/>
    <s v="Aman Rao"/>
    <s v="Male"/>
    <n v="42"/>
    <x v="8"/>
    <x v="0"/>
    <x v="11"/>
    <n v="1099"/>
    <n v="21980"/>
    <x v="0"/>
    <d v="2024-01-12T00:00:00"/>
    <x v="0"/>
    <s v="No"/>
    <s v="No"/>
    <x v="0"/>
    <x v="0"/>
    <s v="No"/>
  </r>
  <r>
    <s v="C1811"/>
    <s v="Priya Rao"/>
    <s v="Female"/>
    <n v="45"/>
    <x v="6"/>
    <x v="0"/>
    <x v="4"/>
    <n v="399"/>
    <n v="3990"/>
    <x v="2"/>
    <d v="2024-11-27T00:00:00"/>
    <x v="0"/>
    <s v="No"/>
    <s v="No"/>
    <x v="0"/>
    <x v="0"/>
    <s v="No"/>
  </r>
  <r>
    <s v="C1812"/>
    <s v="Divya Kapoor"/>
    <s v="Female"/>
    <n v="47"/>
    <x v="7"/>
    <x v="0"/>
    <x v="36"/>
    <n v="1049"/>
    <n v="16784"/>
    <x v="0"/>
    <d v="2024-05-30T00:00:00"/>
    <x v="0"/>
    <s v="Yes"/>
    <s v="No"/>
    <x v="0"/>
    <x v="0"/>
    <s v="No"/>
  </r>
  <r>
    <s v="C1813"/>
    <s v="Unknown"/>
    <s v="Male"/>
    <n v="18"/>
    <x v="6"/>
    <x v="0"/>
    <x v="36"/>
    <n v="1099"/>
    <n v="17584"/>
    <x v="0"/>
    <d v="2024-05-25T00:00:00"/>
    <x v="0"/>
    <s v="No"/>
    <s v="No"/>
    <x v="0"/>
    <x v="0"/>
    <s v="No"/>
  </r>
  <r>
    <s v="C1814"/>
    <s v="Komal Iyer"/>
    <s v="Unknown"/>
    <n v="59"/>
    <x v="11"/>
    <x v="0"/>
    <x v="32"/>
    <n v="399"/>
    <n v="1596"/>
    <x v="2"/>
    <d v="2025-05-18T00:00:00"/>
    <x v="1"/>
    <s v="No"/>
    <s v="No"/>
    <x v="0"/>
    <x v="0"/>
    <s v="No"/>
  </r>
  <r>
    <s v="C1815"/>
    <s v="Isha Jain"/>
    <s v="Female"/>
    <n v="63"/>
    <x v="10"/>
    <x v="1"/>
    <x v="32"/>
    <n v="1099"/>
    <n v="4396"/>
    <x v="0"/>
    <d v="2025-05-24T00:00:00"/>
    <x v="0"/>
    <s v="No"/>
    <s v="Yes"/>
    <x v="0"/>
    <x v="0"/>
    <s v="No"/>
  </r>
  <r>
    <s v="C1816"/>
    <s v="Sneha Patel"/>
    <s v="Female"/>
    <n v="58"/>
    <x v="14"/>
    <x v="1"/>
    <x v="4"/>
    <n v="1149"/>
    <n v="11490"/>
    <x v="0"/>
    <d v="2024-11-28T00:00:00"/>
    <x v="0"/>
    <s v="No"/>
    <s v="No"/>
    <x v="0"/>
    <x v="0"/>
    <s v="No"/>
  </r>
  <r>
    <s v="C1817"/>
    <s v="Ritu Yadav"/>
    <s v="Female"/>
    <n v="55"/>
    <x v="9"/>
    <x v="2"/>
    <x v="16"/>
    <n v="849"/>
    <n v="10188"/>
    <x v="1"/>
    <d v="2024-09-15T00:00:00"/>
    <x v="0"/>
    <s v="No"/>
    <s v="No"/>
    <x v="0"/>
    <x v="0"/>
    <s v="No"/>
  </r>
  <r>
    <s v="C1818"/>
    <s v="Mohit Mehta"/>
    <s v="Male"/>
    <n v="74"/>
    <x v="12"/>
    <x v="0"/>
    <x v="23"/>
    <n v="1149"/>
    <n v="26427"/>
    <x v="0"/>
    <d v="2023-10-27T00:00:00"/>
    <x v="0"/>
    <s v="No"/>
    <s v="No"/>
    <x v="0"/>
    <x v="0"/>
    <s v="No"/>
  </r>
  <r>
    <s v="C1819"/>
    <s v="Nisha Agarwal"/>
    <s v="Female"/>
    <n v="47"/>
    <x v="4"/>
    <x v="0"/>
    <x v="16"/>
    <n v="999"/>
    <n v="11988"/>
    <x v="0"/>
    <d v="2024-09-04T00:00:00"/>
    <x v="0"/>
    <s v="Yes"/>
    <s v="No"/>
    <x v="0"/>
    <x v="0"/>
    <s v="No"/>
  </r>
  <r>
    <s v="C1820"/>
    <s v="Aditi Sharma"/>
    <s v="Female"/>
    <n v="28"/>
    <x v="6"/>
    <x v="0"/>
    <x v="23"/>
    <n v="749"/>
    <n v="17227"/>
    <x v="1"/>
    <d v="2023-10-16T00:00:00"/>
    <x v="0"/>
    <s v="No"/>
    <s v="No"/>
    <x v="0"/>
    <x v="0"/>
    <s v="No"/>
  </r>
  <r>
    <s v="C1821"/>
    <s v="Meera Gupta"/>
    <s v="Female"/>
    <n v="41"/>
    <x v="8"/>
    <x v="1"/>
    <x v="16"/>
    <n v="799"/>
    <n v="9588"/>
    <x v="1"/>
    <d v="2024-09-27T00:00:00"/>
    <x v="0"/>
    <s v="No"/>
    <s v="No"/>
    <x v="0"/>
    <x v="0"/>
    <s v="No"/>
  </r>
  <r>
    <s v="C1822"/>
    <s v="Sanjay Verma"/>
    <s v="Male"/>
    <n v="65"/>
    <x v="8"/>
    <x v="2"/>
    <x v="62"/>
    <n v="749"/>
    <n v="39697"/>
    <x v="1"/>
    <d v="2021-05-02T00:00:00"/>
    <x v="0"/>
    <s v="No"/>
    <s v="No"/>
    <x v="0"/>
    <x v="0"/>
    <s v="No"/>
  </r>
  <r>
    <s v="C1823"/>
    <s v="Vikram Iyer"/>
    <s v="Male"/>
    <n v="23"/>
    <x v="12"/>
    <x v="0"/>
    <x v="21"/>
    <n v="799"/>
    <n v="799"/>
    <x v="1"/>
    <d v="2025-08-05T00:00:00"/>
    <x v="1"/>
    <s v="No"/>
    <s v="No"/>
    <x v="0"/>
    <x v="0"/>
    <s v="No"/>
  </r>
  <r>
    <s v="C1824"/>
    <s v="Rahul Verma"/>
    <s v="Male"/>
    <n v="35"/>
    <x v="13"/>
    <x v="2"/>
    <x v="15"/>
    <n v="999"/>
    <n v="5994"/>
    <x v="0"/>
    <d v="2025-03-20T00:00:00"/>
    <x v="2"/>
    <s v="No"/>
    <s v="No"/>
    <x v="0"/>
    <x v="0"/>
    <s v="Churn unknown"/>
  </r>
  <r>
    <s v="C1825"/>
    <s v="Komal Desai"/>
    <s v="Female"/>
    <n v="66"/>
    <x v="2"/>
    <x v="1"/>
    <x v="0"/>
    <n v="699"/>
    <n v="15378"/>
    <x v="1"/>
    <d v="2023-11-17T00:00:00"/>
    <x v="0"/>
    <s v="No"/>
    <s v="No"/>
    <x v="0"/>
    <x v="0"/>
    <s v="No"/>
  </r>
  <r>
    <s v="C1826"/>
    <s v="Divya Yadav"/>
    <s v="Female"/>
    <n v="21"/>
    <x v="2"/>
    <x v="2"/>
    <x v="21"/>
    <n v="499"/>
    <n v="499"/>
    <x v="2"/>
    <d v="2025-08-01T00:00:00"/>
    <x v="0"/>
    <s v="No"/>
    <s v="No"/>
    <x v="0"/>
    <x v="0"/>
    <s v="No"/>
  </r>
  <r>
    <s v="C1827"/>
    <s v="Rahul Yadav"/>
    <s v="Male"/>
    <n v="25"/>
    <x v="6"/>
    <x v="0"/>
    <x v="28"/>
    <n v="549"/>
    <n v="4392"/>
    <x v="2"/>
    <d v="2025-01-04T00:00:00"/>
    <x v="0"/>
    <s v="No"/>
    <s v="No"/>
    <x v="0"/>
    <x v="0"/>
    <s v="No"/>
  </r>
  <r>
    <s v="C1828"/>
    <s v="Payal Tiwari"/>
    <s v="Female"/>
    <n v="60"/>
    <x v="0"/>
    <x v="0"/>
    <x v="2"/>
    <n v="1199"/>
    <n v="13189"/>
    <x v="0"/>
    <d v="2024-10-08T00:00:00"/>
    <x v="0"/>
    <s v="No"/>
    <s v="Yes"/>
    <x v="0"/>
    <x v="0"/>
    <s v="No"/>
  </r>
  <r>
    <s v="C1829"/>
    <s v="Shreya Nair"/>
    <s v="Female"/>
    <n v="56"/>
    <x v="7"/>
    <x v="0"/>
    <x v="24"/>
    <n v="1099"/>
    <n v="3297"/>
    <x v="0"/>
    <d v="2025-06-03T00:00:00"/>
    <x v="0"/>
    <s v="No"/>
    <s v="No"/>
    <x v="0"/>
    <x v="0"/>
    <s v="No"/>
  </r>
  <r>
    <s v="C1830"/>
    <s v="Deepak Iyer"/>
    <s v="Male"/>
    <n v="56"/>
    <x v="0"/>
    <x v="1"/>
    <x v="14"/>
    <n v="549"/>
    <n v="20313"/>
    <x v="2"/>
    <d v="2022-08-30T00:00:00"/>
    <x v="1"/>
    <s v="No"/>
    <s v="No"/>
    <x v="0"/>
    <x v="0"/>
    <s v="No"/>
  </r>
  <r>
    <s v="C1831"/>
    <s v="Harsh Saxena"/>
    <s v="Male"/>
    <n v="53"/>
    <x v="6"/>
    <x v="0"/>
    <x v="32"/>
    <n v="549"/>
    <n v="2196"/>
    <x v="2"/>
    <d v="2025-05-25T00:00:00"/>
    <x v="1"/>
    <s v="No"/>
    <s v="No"/>
    <x v="0"/>
    <x v="0"/>
    <s v="No"/>
  </r>
  <r>
    <s v="C1832"/>
    <s v="Vikram Reddy"/>
    <s v="Male"/>
    <n v="45"/>
    <x v="14"/>
    <x v="0"/>
    <x v="2"/>
    <n v="449"/>
    <n v="4939"/>
    <x v="2"/>
    <d v="2024-10-25T00:00:00"/>
    <x v="1"/>
    <s v="No"/>
    <s v="No"/>
    <x v="0"/>
    <x v="0"/>
    <s v="No"/>
  </r>
  <r>
    <s v="C1833"/>
    <s v="Anjali Saxena"/>
    <s v="Female"/>
    <n v="26"/>
    <x v="1"/>
    <x v="1"/>
    <x v="0"/>
    <n v="999"/>
    <n v="21978"/>
    <x v="0"/>
    <d v="2023-11-19T00:00:00"/>
    <x v="0"/>
    <s v="No"/>
    <s v="No"/>
    <x v="0"/>
    <x v="0"/>
    <s v="No"/>
  </r>
  <r>
    <s v="C1834"/>
    <s v="Nikhil Rao"/>
    <s v="Male"/>
    <n v="63"/>
    <x v="14"/>
    <x v="1"/>
    <x v="37"/>
    <n v="1099"/>
    <n v="39564"/>
    <x v="0"/>
    <d v="2022-10-11T00:00:00"/>
    <x v="0"/>
    <s v="No"/>
    <s v="No"/>
    <x v="0"/>
    <x v="0"/>
    <s v="No"/>
  </r>
  <r>
    <s v="C1835"/>
    <s v="Unknown"/>
    <s v="Female"/>
    <n v="23"/>
    <x v="2"/>
    <x v="1"/>
    <x v="28"/>
    <n v="399"/>
    <n v="3192"/>
    <x v="2"/>
    <d v="2025-01-19T00:00:00"/>
    <x v="0"/>
    <s v="No"/>
    <s v="No"/>
    <x v="0"/>
    <x v="0"/>
    <s v="No"/>
  </r>
  <r>
    <s v="C1836"/>
    <s v="Harsh Verma"/>
    <s v="Male"/>
    <n v="55"/>
    <x v="1"/>
    <x v="0"/>
    <x v="33"/>
    <n v="1299"/>
    <n v="18186"/>
    <x v="0"/>
    <d v="2024-07-06T00:00:00"/>
    <x v="0"/>
    <s v="No"/>
    <s v="No"/>
    <x v="0"/>
    <x v="0"/>
    <s v="No"/>
  </r>
  <r>
    <s v="C1837"/>
    <s v="Mohit Saxena"/>
    <s v="Male"/>
    <n v="56"/>
    <x v="11"/>
    <x v="0"/>
    <x v="30"/>
    <n v="1099"/>
    <n v="19782"/>
    <x v="0"/>
    <d v="2024-03-28T00:00:00"/>
    <x v="1"/>
    <s v="No"/>
    <s v="No"/>
    <x v="0"/>
    <x v="0"/>
    <s v="No"/>
  </r>
  <r>
    <s v="C1838"/>
    <s v="Gaurav Saxena"/>
    <s v="Male"/>
    <n v="47"/>
    <x v="8"/>
    <x v="1"/>
    <x v="24"/>
    <n v="799"/>
    <n v="2397"/>
    <x v="1"/>
    <d v="2025-06-08T00:00:00"/>
    <x v="0"/>
    <s v="No"/>
    <s v="No"/>
    <x v="0"/>
    <x v="1"/>
    <s v="No"/>
  </r>
  <r>
    <s v="C1839"/>
    <s v="Suresh Pandey"/>
    <s v="Male"/>
    <n v="54"/>
    <x v="7"/>
    <x v="1"/>
    <x v="12"/>
    <n v="849"/>
    <m/>
    <x v="1"/>
    <d v="2024-02-26T00:00:00"/>
    <x v="0"/>
    <s v="No"/>
    <s v="No"/>
    <x v="0"/>
    <x v="0"/>
    <s v="Total missing; Tenure missing"/>
  </r>
  <r>
    <s v="C1840"/>
    <s v="Sanjay Agarwal"/>
    <s v="Male"/>
    <n v="69"/>
    <x v="0"/>
    <x v="1"/>
    <x v="16"/>
    <n v="899"/>
    <n v="10788"/>
    <x v="1"/>
    <d v="2024-09-07T00:00:00"/>
    <x v="0"/>
    <s v="No"/>
    <s v="No"/>
    <x v="0"/>
    <x v="0"/>
    <s v="No"/>
  </r>
  <r>
    <s v="C1841"/>
    <s v="Rahul Mishra"/>
    <s v="Male"/>
    <n v="43"/>
    <x v="2"/>
    <x v="0"/>
    <x v="16"/>
    <n v="1099"/>
    <n v="13188"/>
    <x v="0"/>
    <d v="2024-09-10T00:00:00"/>
    <x v="1"/>
    <s v="No"/>
    <s v="No"/>
    <x v="0"/>
    <x v="0"/>
    <s v="No"/>
  </r>
  <r>
    <s v="C1842"/>
    <s v="Aditi Pandey"/>
    <s v="Female"/>
    <n v="30"/>
    <x v="14"/>
    <x v="2"/>
    <x v="10"/>
    <n v="1299"/>
    <n v="22083"/>
    <x v="0"/>
    <d v="2024-05-05T00:00:00"/>
    <x v="0"/>
    <s v="No"/>
    <s v="No"/>
    <x v="0"/>
    <x v="0"/>
    <s v="No"/>
  </r>
  <r>
    <s v="C1843"/>
    <s v="Shreya Chopra"/>
    <s v="Female"/>
    <n v="28"/>
    <x v="11"/>
    <x v="0"/>
    <x v="4"/>
    <n v="999"/>
    <n v="9990"/>
    <x v="0"/>
    <d v="2024-11-26T00:00:00"/>
    <x v="0"/>
    <s v="No"/>
    <s v="No"/>
    <x v="0"/>
    <x v="0"/>
    <s v="No"/>
  </r>
  <r>
    <s v="C1844"/>
    <s v="Aman Agarwal"/>
    <s v="Male"/>
    <n v="72"/>
    <x v="11"/>
    <x v="0"/>
    <x v="13"/>
    <n v="1099"/>
    <n v="5495"/>
    <x v="0"/>
    <d v="2025-04-28T00:00:00"/>
    <x v="0"/>
    <s v="No"/>
    <s v="No"/>
    <x v="1"/>
    <x v="0"/>
    <s v="No"/>
  </r>
  <r>
    <s v="C1845"/>
    <s v="Komal Gupta"/>
    <s v="Female"/>
    <n v="21"/>
    <x v="4"/>
    <x v="2"/>
    <x v="55"/>
    <n v="1199"/>
    <n v="67144"/>
    <x v="0"/>
    <d v="2021-02-18T00:00:00"/>
    <x v="0"/>
    <s v="No"/>
    <s v="No"/>
    <x v="1"/>
    <x v="0"/>
    <s v="No"/>
  </r>
  <r>
    <s v="C1846"/>
    <s v="Deepak Desai"/>
    <s v="Male"/>
    <n v="37"/>
    <x v="14"/>
    <x v="1"/>
    <x v="3"/>
    <n v="899"/>
    <n v="22475"/>
    <x v="1"/>
    <m/>
    <x v="0"/>
    <s v="No"/>
    <s v="No"/>
    <x v="0"/>
    <x v="0"/>
    <s v="Date missing"/>
  </r>
  <r>
    <s v="C1847"/>
    <s v="Kavita Chopra"/>
    <s v="Female"/>
    <n v="59"/>
    <x v="7"/>
    <x v="0"/>
    <x v="24"/>
    <n v="599"/>
    <n v="1797"/>
    <x v="3"/>
    <d v="2025-06-12T00:00:00"/>
    <x v="1"/>
    <s v="No"/>
    <s v="No"/>
    <x v="0"/>
    <x v="0"/>
    <s v="No"/>
  </r>
  <r>
    <s v="C1848"/>
    <s v="Kavita Pandey"/>
    <s v="Female"/>
    <n v="65"/>
    <x v="4"/>
    <x v="1"/>
    <x v="45"/>
    <n v="849"/>
    <n v="26319"/>
    <x v="1"/>
    <d v="2023-03-09T00:00:00"/>
    <x v="0"/>
    <s v="No"/>
    <s v="No"/>
    <x v="0"/>
    <x v="0"/>
    <s v="No"/>
  </r>
  <r>
    <s v="C1849"/>
    <s v="Nikhil Kumar"/>
    <s v="Male"/>
    <n v="63"/>
    <x v="6"/>
    <x v="1"/>
    <x v="22"/>
    <n v="749"/>
    <n v="1498"/>
    <x v="1"/>
    <d v="2025-07-14T00:00:00"/>
    <x v="0"/>
    <s v="No"/>
    <s v="No"/>
    <x v="0"/>
    <x v="1"/>
    <s v="No"/>
  </r>
  <r>
    <s v="C1850"/>
    <s v="Neha Jain"/>
    <s v="Female"/>
    <n v="71"/>
    <x v="11"/>
    <x v="0"/>
    <x v="26"/>
    <n v="399"/>
    <n v="8379"/>
    <x v="2"/>
    <d v="2023-12-10T00:00:00"/>
    <x v="0"/>
    <s v="No"/>
    <s v="No"/>
    <x v="0"/>
    <x v="0"/>
    <s v="No"/>
  </r>
  <r>
    <s v="C1851"/>
    <s v="Arjun Yadav"/>
    <s v="Male"/>
    <n v="62"/>
    <x v="8"/>
    <x v="0"/>
    <x v="2"/>
    <n v="899"/>
    <n v="9889"/>
    <x v="0"/>
    <d v="2024-10-13T00:00:00"/>
    <x v="0"/>
    <s v="No"/>
    <s v="No"/>
    <x v="0"/>
    <x v="0"/>
    <s v="No"/>
  </r>
  <r>
    <s v="C1852"/>
    <s v="Vikram Mishra"/>
    <s v="Male"/>
    <n v="34"/>
    <x v="6"/>
    <x v="1"/>
    <x v="28"/>
    <n v="799"/>
    <n v="6392"/>
    <x v="1"/>
    <d v="2025-01-26T00:00:00"/>
    <x v="0"/>
    <s v="No"/>
    <s v="No"/>
    <x v="0"/>
    <x v="0"/>
    <s v="No"/>
  </r>
  <r>
    <s v="C1853"/>
    <s v="Priya Nair"/>
    <s v="Female"/>
    <n v="37"/>
    <x v="3"/>
    <x v="2"/>
    <x v="7"/>
    <n v="1149"/>
    <n v="43662"/>
    <x v="0"/>
    <d v="2022-07-31T00:00:00"/>
    <x v="0"/>
    <s v="No"/>
    <s v="No"/>
    <x v="0"/>
    <x v="1"/>
    <s v="No"/>
  </r>
  <r>
    <s v="C1854"/>
    <s v="Payal Patel"/>
    <s v="Female"/>
    <n v="56"/>
    <x v="10"/>
    <x v="0"/>
    <x v="0"/>
    <n v="899"/>
    <n v="19778"/>
    <x v="0"/>
    <d v="2023-12-04T00:00:00"/>
    <x v="1"/>
    <s v="No"/>
    <s v="No"/>
    <x v="0"/>
    <x v="0"/>
    <s v="No"/>
  </r>
  <r>
    <s v="C1855"/>
    <s v="Deepika Singh"/>
    <s v="Female"/>
    <n v="56"/>
    <x v="1"/>
    <x v="0"/>
    <x v="13"/>
    <n v="1149"/>
    <n v="5745"/>
    <x v="0"/>
    <d v="2025-04-23T00:00:00"/>
    <x v="1"/>
    <s v="No"/>
    <s v="No"/>
    <x v="0"/>
    <x v="0"/>
    <s v="No"/>
  </r>
  <r>
    <s v="C1856"/>
    <s v="Divya Chopra"/>
    <s v="Female"/>
    <n v="75"/>
    <x v="8"/>
    <x v="0"/>
    <x v="35"/>
    <n v="849"/>
    <n v="7641"/>
    <x v="1"/>
    <d v="2024-12-30T00:00:00"/>
    <x v="0"/>
    <s v="No"/>
    <s v="No"/>
    <x v="0"/>
    <x v="0"/>
    <s v="No"/>
  </r>
  <r>
    <s v="C1857"/>
    <s v="Deepika Pandey"/>
    <s v="Female"/>
    <n v="41"/>
    <x v="11"/>
    <x v="1"/>
    <x v="25"/>
    <n v="399"/>
    <n v="15561"/>
    <x v="2"/>
    <d v="2022-06-21T00:00:00"/>
    <x v="0"/>
    <s v="No"/>
    <s v="No"/>
    <x v="0"/>
    <x v="0"/>
    <s v="No"/>
  </r>
  <r>
    <s v="C1858"/>
    <s v="Divya Sharma"/>
    <s v="Female"/>
    <n v="56"/>
    <x v="0"/>
    <x v="0"/>
    <x v="32"/>
    <n v="849"/>
    <n v="3396"/>
    <x v="1"/>
    <d v="2025-05-11T00:00:00"/>
    <x v="1"/>
    <s v="No"/>
    <s v="No"/>
    <x v="0"/>
    <x v="0"/>
    <s v="No"/>
  </r>
  <r>
    <s v="C1859"/>
    <s v="Aman Joshi"/>
    <s v="Male"/>
    <n v="67"/>
    <x v="5"/>
    <x v="0"/>
    <x v="35"/>
    <n v="899"/>
    <n v="8091"/>
    <x v="0"/>
    <d v="2024-12-25T00:00:00"/>
    <x v="0"/>
    <s v="No"/>
    <s v="No"/>
    <x v="0"/>
    <x v="0"/>
    <s v="No"/>
  </r>
  <r>
    <s v="C1860"/>
    <s v="Unknown"/>
    <s v="Female"/>
    <n v="29"/>
    <x v="1"/>
    <x v="1"/>
    <x v="47"/>
    <n v="599"/>
    <n v="19168"/>
    <x v="1"/>
    <d v="2023-01-15T00:00:00"/>
    <x v="0"/>
    <s v="No"/>
    <s v="Yes"/>
    <x v="0"/>
    <x v="0"/>
    <s v="No"/>
  </r>
  <r>
    <s v="C1861"/>
    <s v="Sonal Malhotra"/>
    <s v="Female"/>
    <n v="56"/>
    <x v="4"/>
    <x v="2"/>
    <x v="41"/>
    <n v="649"/>
    <n v="32450"/>
    <x v="1"/>
    <d v="2021-07-23T00:00:00"/>
    <x v="0"/>
    <s v="No"/>
    <s v="No"/>
    <x v="0"/>
    <x v="0"/>
    <s v="No"/>
  </r>
  <r>
    <s v="C1862"/>
    <s v="Komal Bose"/>
    <s v="Female"/>
    <n v="26"/>
    <x v="5"/>
    <x v="0"/>
    <x v="13"/>
    <n v="999"/>
    <n v="4995"/>
    <x v="0"/>
    <d v="2025-04-08T00:00:00"/>
    <x v="1"/>
    <s v="No"/>
    <s v="No"/>
    <x v="0"/>
    <x v="0"/>
    <s v="No"/>
  </r>
  <r>
    <s v="C1863"/>
    <s v="Sneha Agarwal"/>
    <s v="Female"/>
    <n v="58"/>
    <x v="2"/>
    <x v="1"/>
    <x v="25"/>
    <n v="749"/>
    <n v="29211"/>
    <x v="1"/>
    <d v="2022-07-05T00:00:00"/>
    <x v="0"/>
    <s v="No"/>
    <s v="No"/>
    <x v="0"/>
    <x v="0"/>
    <s v="No"/>
  </r>
  <r>
    <s v="C1864"/>
    <s v="Payal Iyer"/>
    <s v="Female"/>
    <n v="35"/>
    <x v="12"/>
    <x v="0"/>
    <x v="28"/>
    <n v="1199"/>
    <n v="9592"/>
    <x v="0"/>
    <d v="2025-01-18T00:00:00"/>
    <x v="0"/>
    <s v="No"/>
    <s v="No"/>
    <x v="1"/>
    <x v="0"/>
    <s v="No"/>
  </r>
  <r>
    <s v="C1865"/>
    <s v="Neha Chopra"/>
    <s v="Female"/>
    <n v="23"/>
    <x v="4"/>
    <x v="1"/>
    <x v="2"/>
    <n v="349"/>
    <n v="3839"/>
    <x v="2"/>
    <d v="2024-10-16T00:00:00"/>
    <x v="0"/>
    <s v="No"/>
    <s v="No"/>
    <x v="0"/>
    <x v="0"/>
    <s v="No"/>
  </r>
  <r>
    <s v="C1866"/>
    <s v="Priya Tiwari"/>
    <s v="Female"/>
    <n v="61"/>
    <x v="1"/>
    <x v="2"/>
    <x v="68"/>
    <n v="799"/>
    <n v="51136"/>
    <x v="1"/>
    <d v="2020-06-14T00:00:00"/>
    <x v="0"/>
    <s v="No"/>
    <s v="No"/>
    <x v="0"/>
    <x v="0"/>
    <s v="No"/>
  </r>
  <r>
    <s v="C1867"/>
    <s v="Pankaj Mehta"/>
    <s v="Unknown"/>
    <n v="71"/>
    <x v="14"/>
    <x v="0"/>
    <x v="30"/>
    <n v="1049"/>
    <n v="18882"/>
    <x v="0"/>
    <d v="2024-03-16T00:00:00"/>
    <x v="0"/>
    <s v="No"/>
    <s v="No"/>
    <x v="0"/>
    <x v="0"/>
    <s v="No"/>
  </r>
  <r>
    <s v="C1868"/>
    <s v="Pankaj Kapoor"/>
    <s v="Male"/>
    <n v="28"/>
    <x v="9"/>
    <x v="2"/>
    <x v="39"/>
    <n v="899"/>
    <n v="26071"/>
    <x v="0"/>
    <d v="2023-04-26T00:00:00"/>
    <x v="0"/>
    <s v="No"/>
    <s v="No"/>
    <x v="0"/>
    <x v="0"/>
    <s v="No"/>
  </r>
  <r>
    <s v="C1869"/>
    <s v="Sneha Tiwari"/>
    <s v="Female"/>
    <n v="49"/>
    <x v="12"/>
    <x v="0"/>
    <x v="2"/>
    <n v="549"/>
    <n v="6039"/>
    <x v="2"/>
    <d v="2024-10-06T00:00:00"/>
    <x v="0"/>
    <s v="No"/>
    <s v="No"/>
    <x v="0"/>
    <x v="0"/>
    <s v="No"/>
  </r>
  <r>
    <s v="C1870"/>
    <s v="Harsh Iyer"/>
    <s v="Male"/>
    <n v="48"/>
    <x v="5"/>
    <x v="0"/>
    <x v="26"/>
    <n v="799"/>
    <n v="16779"/>
    <x v="1"/>
    <d v="2023-12-09T00:00:00"/>
    <x v="0"/>
    <s v="No"/>
    <s v="No"/>
    <x v="0"/>
    <x v="0"/>
    <s v="No"/>
  </r>
  <r>
    <s v="C1871"/>
    <s v="Ankit Yadav"/>
    <s v="Male"/>
    <n v="72"/>
    <x v="7"/>
    <x v="0"/>
    <x v="8"/>
    <n v="699"/>
    <n v="10485"/>
    <x v="1"/>
    <d v="2024-06-24T00:00:00"/>
    <x v="1"/>
    <s v="No"/>
    <s v="No"/>
    <x v="0"/>
    <x v="1"/>
    <s v="No"/>
  </r>
  <r>
    <s v="C1872"/>
    <s v="Deepak Patel"/>
    <s v="Male"/>
    <n v="18"/>
    <x v="4"/>
    <x v="0"/>
    <x v="10"/>
    <n v="799"/>
    <n v="13583"/>
    <x v="1"/>
    <d v="2024-04-21T00:00:00"/>
    <x v="1"/>
    <s v="No"/>
    <s v="No"/>
    <x v="0"/>
    <x v="0"/>
    <s v="No"/>
  </r>
  <r>
    <s v="C1873"/>
    <s v="Rohit Saxena"/>
    <s v="Male"/>
    <n v="34"/>
    <x v="0"/>
    <x v="0"/>
    <x v="16"/>
    <n v="999"/>
    <n v="11988"/>
    <x v="0"/>
    <d v="2024-09-30T00:00:00"/>
    <x v="0"/>
    <s v="No"/>
    <s v="No"/>
    <x v="0"/>
    <x v="0"/>
    <s v="No"/>
  </r>
  <r>
    <s v="C1874"/>
    <s v="Shreya Gupta"/>
    <s v="Female"/>
    <n v="26"/>
    <x v="2"/>
    <x v="1"/>
    <x v="17"/>
    <n v="599"/>
    <n v="7787"/>
    <x v="1"/>
    <d v="2024-08-22T00:00:00"/>
    <x v="1"/>
    <s v="No"/>
    <s v="No"/>
    <x v="0"/>
    <x v="1"/>
    <s v="No"/>
  </r>
  <r>
    <s v="C1875"/>
    <s v="Swati Verma"/>
    <s v="Female"/>
    <n v="28"/>
    <x v="9"/>
    <x v="0"/>
    <x v="0"/>
    <n v="899"/>
    <n v="19778"/>
    <x v="0"/>
    <d v="2023-11-23T00:00:00"/>
    <x v="0"/>
    <s v="No"/>
    <s v="No"/>
    <x v="0"/>
    <x v="0"/>
    <s v="No"/>
  </r>
  <r>
    <s v="C1876"/>
    <s v="Nikhil Rao"/>
    <s v="Unknown"/>
    <n v="47"/>
    <x v="14"/>
    <x v="2"/>
    <x v="41"/>
    <n v="349"/>
    <n v="17450"/>
    <x v="2"/>
    <d v="2021-08-16T00:00:00"/>
    <x v="0"/>
    <s v="Yes"/>
    <s v="No"/>
    <x v="0"/>
    <x v="0"/>
    <s v="No"/>
  </r>
  <r>
    <s v="C1877"/>
    <s v="Aman Jain"/>
    <s v="Male"/>
    <n v="18"/>
    <x v="13"/>
    <x v="1"/>
    <x v="0"/>
    <n v="749"/>
    <n v="16478"/>
    <x v="1"/>
    <d v="2023-11-29T00:00:00"/>
    <x v="0"/>
    <s v="No"/>
    <s v="No"/>
    <x v="0"/>
    <x v="0"/>
    <s v="No"/>
  </r>
  <r>
    <s v="C1878"/>
    <s v="Komal Kumar"/>
    <s v="Female"/>
    <n v="66"/>
    <x v="12"/>
    <x v="0"/>
    <x v="10"/>
    <n v="649"/>
    <n v="11033"/>
    <x v="1"/>
    <d v="2024-04-09T00:00:00"/>
    <x v="0"/>
    <s v="No"/>
    <s v="No"/>
    <x v="0"/>
    <x v="0"/>
    <s v="No"/>
  </r>
  <r>
    <s v="C1879"/>
    <s v="Ritu Saxena"/>
    <s v="Female"/>
    <n v="70"/>
    <x v="12"/>
    <x v="3"/>
    <x v="32"/>
    <n v="1199"/>
    <n v="4796"/>
    <x v="0"/>
    <d v="2025-05-25T00:00:00"/>
    <x v="1"/>
    <s v="No"/>
    <s v="No"/>
    <x v="0"/>
    <x v="0"/>
    <s v="No"/>
  </r>
  <r>
    <s v="C1880"/>
    <s v="Manish Reddy"/>
    <s v="Male"/>
    <n v="26"/>
    <x v="12"/>
    <x v="0"/>
    <x v="13"/>
    <n v="549"/>
    <n v="2745"/>
    <x v="2"/>
    <d v="2025-04-04T00:00:00"/>
    <x v="1"/>
    <s v="No"/>
    <s v="No"/>
    <x v="0"/>
    <x v="0"/>
    <s v="No"/>
  </r>
  <r>
    <s v="C1881"/>
    <s v="Deepak Tiwari"/>
    <s v="Male"/>
    <n v="51"/>
    <x v="5"/>
    <x v="1"/>
    <x v="8"/>
    <n v="499"/>
    <n v="7485"/>
    <x v="2"/>
    <d v="2024-06-22T00:00:00"/>
    <x v="1"/>
    <s v="No"/>
    <s v="No"/>
    <x v="0"/>
    <x v="0"/>
    <s v="No"/>
  </r>
  <r>
    <s v="C1882"/>
    <s v="Harsh Reddy"/>
    <s v="Male"/>
    <n v="35"/>
    <x v="2"/>
    <x v="0"/>
    <x v="33"/>
    <n v="1049"/>
    <n v="14686"/>
    <x v="0"/>
    <d v="2024-08-04T00:00:00"/>
    <x v="1"/>
    <s v="No"/>
    <s v="No"/>
    <x v="0"/>
    <x v="0"/>
    <s v="No"/>
  </r>
  <r>
    <s v="C1883"/>
    <s v="Nikhil Mehta"/>
    <s v="Male"/>
    <n v="47"/>
    <x v="7"/>
    <x v="0"/>
    <x v="33"/>
    <n v="1049"/>
    <n v="14686"/>
    <x v="0"/>
    <d v="2024-07-26T00:00:00"/>
    <x v="1"/>
    <s v="Yes"/>
    <s v="No"/>
    <x v="0"/>
    <x v="1"/>
    <s v="No"/>
  </r>
  <r>
    <s v="C1884"/>
    <s v="Karan Saxena"/>
    <s v="Male"/>
    <n v="18"/>
    <x v="9"/>
    <x v="1"/>
    <x v="0"/>
    <n v="449"/>
    <n v="9878"/>
    <x v="2"/>
    <d v="2023-11-20T00:00:00"/>
    <x v="0"/>
    <s v="No"/>
    <s v="No"/>
    <x v="0"/>
    <x v="0"/>
    <s v="No"/>
  </r>
  <r>
    <s v="C1885"/>
    <s v="Ritu Chopra"/>
    <s v="Female"/>
    <n v="35"/>
    <x v="0"/>
    <x v="1"/>
    <x v="27"/>
    <n v="649"/>
    <n v="4543"/>
    <x v="1"/>
    <d v="2025-02-12T00:00:00"/>
    <x v="1"/>
    <s v="No"/>
    <s v="No"/>
    <x v="0"/>
    <x v="1"/>
    <s v="No"/>
  </r>
  <r>
    <s v="C1886"/>
    <s v="Sanjay Pandey"/>
    <s v="Male"/>
    <n v="46"/>
    <x v="4"/>
    <x v="0"/>
    <x v="2"/>
    <n v="1199"/>
    <n v="13189"/>
    <x v="0"/>
    <d v="2024-10-27T00:00:00"/>
    <x v="2"/>
    <s v="No"/>
    <s v="No"/>
    <x v="0"/>
    <x v="0"/>
    <s v="Churn unknown"/>
  </r>
  <r>
    <s v="C1887"/>
    <s v="Amit Singh"/>
    <s v="Male"/>
    <n v="30"/>
    <x v="12"/>
    <x v="1"/>
    <x v="37"/>
    <n v="699"/>
    <n v="25164"/>
    <x v="1"/>
    <d v="2022-10-11T00:00:00"/>
    <x v="0"/>
    <s v="No"/>
    <s v="No"/>
    <x v="0"/>
    <x v="0"/>
    <s v="No"/>
  </r>
  <r>
    <s v="C1888"/>
    <s v="Neha Desai"/>
    <s v="Female"/>
    <n v="44"/>
    <x v="1"/>
    <x v="2"/>
    <x v="24"/>
    <n v="1149"/>
    <n v="3447"/>
    <x v="0"/>
    <d v="2025-06-26T00:00:00"/>
    <x v="0"/>
    <s v="No"/>
    <s v="No"/>
    <x v="0"/>
    <x v="0"/>
    <s v="No"/>
  </r>
  <r>
    <s v="C1889"/>
    <s v="Sneha Bose"/>
    <s v="Female"/>
    <n v="21"/>
    <x v="13"/>
    <x v="2"/>
    <x v="58"/>
    <n v="749"/>
    <n v="38199"/>
    <x v="1"/>
    <d v="2021-07-19T00:00:00"/>
    <x v="0"/>
    <s v="No"/>
    <s v="No"/>
    <x v="0"/>
    <x v="0"/>
    <s v="No"/>
  </r>
  <r>
    <s v="C1890"/>
    <s v="Ankit Jain"/>
    <s v="Male"/>
    <n v="42"/>
    <x v="1"/>
    <x v="1"/>
    <x v="30"/>
    <n v="999"/>
    <n v="17982"/>
    <x v="0"/>
    <d v="2024-03-31T00:00:00"/>
    <x v="1"/>
    <s v="No"/>
    <s v="No"/>
    <x v="0"/>
    <x v="0"/>
    <s v="No"/>
  </r>
  <r>
    <s v="C1891"/>
    <s v="Mohit Kapoor"/>
    <s v="Male"/>
    <n v="50"/>
    <x v="14"/>
    <x v="1"/>
    <x v="8"/>
    <n v="699"/>
    <n v="10485"/>
    <x v="1"/>
    <d v="2024-06-30T00:00:00"/>
    <x v="0"/>
    <s v="No"/>
    <s v="No"/>
    <x v="0"/>
    <x v="0"/>
    <s v="No"/>
  </r>
  <r>
    <s v="C1892"/>
    <s v="Amit Mishra"/>
    <s v="Male"/>
    <n v="33"/>
    <x v="5"/>
    <x v="0"/>
    <x v="35"/>
    <n v="649"/>
    <n v="5841"/>
    <x v="1"/>
    <d v="2024-12-25T00:00:00"/>
    <x v="0"/>
    <s v="No"/>
    <s v="No"/>
    <x v="0"/>
    <x v="0"/>
    <s v="No"/>
  </r>
  <r>
    <s v="C1893"/>
    <s v="Sachin Reddy"/>
    <s v="Male"/>
    <n v="18"/>
    <x v="9"/>
    <x v="0"/>
    <x v="16"/>
    <n v="899"/>
    <n v="10788"/>
    <x v="3"/>
    <d v="2024-09-29T00:00:00"/>
    <x v="1"/>
    <s v="No"/>
    <s v="No"/>
    <x v="0"/>
    <x v="0"/>
    <s v="No"/>
  </r>
  <r>
    <s v="C1894"/>
    <s v="Riya Iyer"/>
    <s v="Female"/>
    <n v="38"/>
    <x v="3"/>
    <x v="1"/>
    <x v="23"/>
    <n v="649"/>
    <n v="14927"/>
    <x v="1"/>
    <d v="2023-11-08T00:00:00"/>
    <x v="0"/>
    <s v="No"/>
    <s v="No"/>
    <x v="1"/>
    <x v="0"/>
    <s v="No"/>
  </r>
  <r>
    <s v="C1895"/>
    <s v="Deepak Chopra"/>
    <s v="Male"/>
    <n v="34"/>
    <x v="6"/>
    <x v="1"/>
    <x v="33"/>
    <n v="1099"/>
    <n v="15386"/>
    <x v="0"/>
    <d v="2024-07-29T00:00:00"/>
    <x v="0"/>
    <s v="No"/>
    <s v="No"/>
    <x v="0"/>
    <x v="0"/>
    <s v="No"/>
  </r>
  <r>
    <s v="C1896"/>
    <s v="Pooja Kapoor"/>
    <s v="Female"/>
    <n v="32"/>
    <x v="14"/>
    <x v="1"/>
    <x v="45"/>
    <n v="1099"/>
    <n v="34069"/>
    <x v="0"/>
    <d v="2023-02-15T00:00:00"/>
    <x v="0"/>
    <s v="No"/>
    <s v="No"/>
    <x v="0"/>
    <x v="0"/>
    <s v="No"/>
  </r>
  <r>
    <s v="C1897"/>
    <s v="Sanjay Bose"/>
    <s v="Male"/>
    <n v="49"/>
    <x v="14"/>
    <x v="0"/>
    <x v="4"/>
    <n v="649"/>
    <n v="6490"/>
    <x v="1"/>
    <d v="2024-11-26T00:00:00"/>
    <x v="0"/>
    <s v="No"/>
    <s v="No"/>
    <x v="0"/>
    <x v="0"/>
    <s v="No"/>
  </r>
  <r>
    <s v="C1898"/>
    <s v="Rohit Kumar"/>
    <s v="Male"/>
    <n v="45"/>
    <x v="0"/>
    <x v="0"/>
    <x v="17"/>
    <n v="1199"/>
    <n v="15587"/>
    <x v="0"/>
    <m/>
    <x v="1"/>
    <s v="No"/>
    <s v="No"/>
    <x v="0"/>
    <x v="0"/>
    <s v="Date missing"/>
  </r>
  <r>
    <s v="C1899"/>
    <s v="Pankaj Reddy"/>
    <s v="Unknown"/>
    <n v="42"/>
    <x v="12"/>
    <x v="0"/>
    <x v="26"/>
    <n v="399"/>
    <n v="8379"/>
    <x v="2"/>
    <d v="2023-12-30T00:00:00"/>
    <x v="0"/>
    <s v="No"/>
    <s v="No"/>
    <x v="0"/>
    <x v="0"/>
    <s v="No"/>
  </r>
  <r>
    <s v="C1900"/>
    <s v="Pankaj Sharma"/>
    <s v="Male"/>
    <n v="68"/>
    <x v="3"/>
    <x v="2"/>
    <x v="69"/>
    <n v="899"/>
    <n v="39556"/>
    <x v="1"/>
    <d v="2022-02-01T00:00:00"/>
    <x v="0"/>
    <s v="No"/>
    <s v="No"/>
    <x v="0"/>
    <x v="0"/>
    <s v="No"/>
  </r>
  <r>
    <s v="C1901"/>
    <s v="Meera Iyer"/>
    <s v="Female"/>
    <n v="39"/>
    <x v="7"/>
    <x v="0"/>
    <x v="23"/>
    <n v="699"/>
    <n v="16077"/>
    <x v="1"/>
    <d v="2023-10-13T00:00:00"/>
    <x v="1"/>
    <s v="No"/>
    <s v="No"/>
    <x v="0"/>
    <x v="0"/>
    <s v="No"/>
  </r>
  <r>
    <s v="C1902"/>
    <s v="Karan Mishra"/>
    <s v="Male"/>
    <n v="36"/>
    <x v="4"/>
    <x v="0"/>
    <x v="13"/>
    <n v="349"/>
    <n v="1745"/>
    <x v="2"/>
    <d v="2025-04-19T00:00:00"/>
    <x v="1"/>
    <s v="No"/>
    <s v="No"/>
    <x v="1"/>
    <x v="0"/>
    <s v="No"/>
  </r>
  <r>
    <s v="C1903"/>
    <s v="Aman Chopra"/>
    <s v="Male"/>
    <n v="36"/>
    <x v="0"/>
    <x v="2"/>
    <x v="8"/>
    <n v="999"/>
    <n v="14985"/>
    <x v="0"/>
    <d v="2024-06-26T00:00:00"/>
    <x v="0"/>
    <s v="No"/>
    <s v="No"/>
    <x v="0"/>
    <x v="0"/>
    <s v="No"/>
  </r>
  <r>
    <s v="C1904"/>
    <s v="Neha Yadav"/>
    <s v="Female"/>
    <n v="39"/>
    <x v="4"/>
    <x v="0"/>
    <x v="24"/>
    <n v="399"/>
    <n v="1197"/>
    <x v="2"/>
    <d v="2025-06-14T00:00:00"/>
    <x v="2"/>
    <s v="No"/>
    <s v="No"/>
    <x v="0"/>
    <x v="0"/>
    <s v="Churn unknown"/>
  </r>
  <r>
    <s v="C1905"/>
    <s v="Riya Gupta"/>
    <s v="Female"/>
    <n v="61"/>
    <x v="12"/>
    <x v="0"/>
    <x v="4"/>
    <n v="1299"/>
    <n v="12990"/>
    <x v="0"/>
    <d v="2024-11-29T00:00:00"/>
    <x v="1"/>
    <s v="No"/>
    <s v="No"/>
    <x v="0"/>
    <x v="0"/>
    <s v="No"/>
  </r>
  <r>
    <s v="C1906"/>
    <s v="Komal Saxena"/>
    <s v="Female"/>
    <n v="41"/>
    <x v="5"/>
    <x v="2"/>
    <x v="4"/>
    <n v="899"/>
    <n v="8990"/>
    <x v="0"/>
    <d v="2024-11-28T00:00:00"/>
    <x v="0"/>
    <s v="No"/>
    <s v="No"/>
    <x v="0"/>
    <x v="1"/>
    <s v="No"/>
  </r>
  <r>
    <s v="C1907"/>
    <s v="Pooja Rao"/>
    <s v="Female"/>
    <n v="46"/>
    <x v="14"/>
    <x v="1"/>
    <x v="13"/>
    <n v="499"/>
    <n v="2495"/>
    <x v="2"/>
    <d v="2025-04-23T00:00:00"/>
    <x v="0"/>
    <s v="No"/>
    <s v="No"/>
    <x v="0"/>
    <x v="0"/>
    <s v="No"/>
  </r>
  <r>
    <s v="C1908"/>
    <s v="Vikram Joshi"/>
    <s v="Male"/>
    <n v="26"/>
    <x v="8"/>
    <x v="1"/>
    <x v="47"/>
    <n v="1099"/>
    <n v="35168"/>
    <x v="0"/>
    <d v="2023-01-22T00:00:00"/>
    <x v="0"/>
    <s v="No"/>
    <s v="No"/>
    <x v="0"/>
    <x v="0"/>
    <s v="No"/>
  </r>
  <r>
    <s v="C1909"/>
    <s v="Pooja Chopra"/>
    <s v="Female"/>
    <n v="33"/>
    <x v="12"/>
    <x v="0"/>
    <x v="30"/>
    <n v="1149"/>
    <n v="20682"/>
    <x v="0"/>
    <d v="2024-03-25T00:00:00"/>
    <x v="0"/>
    <s v="No"/>
    <s v="No"/>
    <x v="0"/>
    <x v="0"/>
    <s v="No"/>
  </r>
  <r>
    <s v="C1910"/>
    <s v="Rajesh Pandey"/>
    <s v="Male"/>
    <n v="44"/>
    <x v="1"/>
    <x v="1"/>
    <x v="8"/>
    <n v="899"/>
    <n v="13485"/>
    <x v="0"/>
    <d v="2024-06-29T00:00:00"/>
    <x v="0"/>
    <s v="No"/>
    <s v="No"/>
    <x v="0"/>
    <x v="0"/>
    <s v="No"/>
  </r>
  <r>
    <s v="C1911"/>
    <s v="Aman Mishra"/>
    <s v="Male"/>
    <n v="48"/>
    <x v="8"/>
    <x v="2"/>
    <x v="59"/>
    <n v="699"/>
    <n v="31455"/>
    <x v="1"/>
    <m/>
    <x v="0"/>
    <s v="No"/>
    <s v="No"/>
    <x v="1"/>
    <x v="0"/>
    <s v="Date missing"/>
  </r>
  <r>
    <s v="C1912"/>
    <s v="Ritu Mehta"/>
    <s v="Female"/>
    <n v="70"/>
    <x v="0"/>
    <x v="0"/>
    <x v="23"/>
    <n v="849"/>
    <n v="19527"/>
    <x v="1"/>
    <d v="2023-10-17T00:00:00"/>
    <x v="0"/>
    <s v="No"/>
    <s v="No"/>
    <x v="0"/>
    <x v="0"/>
    <s v="No"/>
  </r>
  <r>
    <s v="C1913"/>
    <s v="Isha Verma"/>
    <s v="Female"/>
    <n v="62"/>
    <x v="4"/>
    <x v="1"/>
    <x v="25"/>
    <n v="899"/>
    <n v="35061"/>
    <x v="1"/>
    <d v="2022-07-12T00:00:00"/>
    <x v="1"/>
    <s v="No"/>
    <s v="No"/>
    <x v="0"/>
    <x v="0"/>
    <s v="No"/>
  </r>
  <r>
    <s v="C1914"/>
    <s v="Manish Kumar"/>
    <s v="Male"/>
    <n v="18"/>
    <x v="11"/>
    <x v="2"/>
    <x v="9"/>
    <n v="1199"/>
    <n v="28776"/>
    <x v="0"/>
    <d v="2023-09-17T00:00:00"/>
    <x v="0"/>
    <s v="No"/>
    <s v="No"/>
    <x v="0"/>
    <x v="0"/>
    <s v="No"/>
  </r>
  <r>
    <s v="C1915"/>
    <s v="Komal Tiwari"/>
    <s v="Female"/>
    <n v="64"/>
    <x v="2"/>
    <x v="0"/>
    <x v="21"/>
    <n v="899"/>
    <n v="899"/>
    <x v="0"/>
    <d v="2025-08-09T00:00:00"/>
    <x v="1"/>
    <s v="No"/>
    <s v="No"/>
    <x v="0"/>
    <x v="0"/>
    <s v="No"/>
  </r>
  <r>
    <s v="C1916"/>
    <s v="Pankaj Gupta"/>
    <s v="Male"/>
    <n v="50"/>
    <x v="8"/>
    <x v="0"/>
    <x v="0"/>
    <n v="449"/>
    <n v="9878"/>
    <x v="2"/>
    <d v="2023-11-22T00:00:00"/>
    <x v="0"/>
    <s v="No"/>
    <s v="No"/>
    <x v="0"/>
    <x v="0"/>
    <s v="No"/>
  </r>
  <r>
    <s v="C1917"/>
    <s v="Ritu Tiwari"/>
    <s v="Female"/>
    <n v="28"/>
    <x v="10"/>
    <x v="2"/>
    <x v="10"/>
    <n v="999"/>
    <n v="16983"/>
    <x v="0"/>
    <d v="2024-04-29T00:00:00"/>
    <x v="0"/>
    <s v="No"/>
    <s v="No"/>
    <x v="0"/>
    <x v="1"/>
    <s v="No"/>
  </r>
  <r>
    <s v="C1918"/>
    <s v="Meera Agarwal"/>
    <s v="Female"/>
    <n v="53"/>
    <x v="11"/>
    <x v="2"/>
    <x v="34"/>
    <n v="499"/>
    <n v="29940"/>
    <x v="2"/>
    <d v="2020-10-19T00:00:00"/>
    <x v="0"/>
    <s v="No"/>
    <s v="No"/>
    <x v="0"/>
    <x v="0"/>
    <s v="No"/>
  </r>
  <r>
    <s v="C1919"/>
    <s v="Aman Chopra"/>
    <s v="Male"/>
    <n v="45"/>
    <x v="0"/>
    <x v="0"/>
    <x v="16"/>
    <n v="799"/>
    <n v="9588"/>
    <x v="1"/>
    <d v="2024-09-24T00:00:00"/>
    <x v="1"/>
    <s v="No"/>
    <s v="No"/>
    <x v="0"/>
    <x v="0"/>
    <s v="No"/>
  </r>
  <r>
    <s v="C1920"/>
    <s v="Sachin Reddy"/>
    <s v="Male"/>
    <n v="22"/>
    <x v="0"/>
    <x v="1"/>
    <x v="11"/>
    <n v="1149"/>
    <n v="22980"/>
    <x v="0"/>
    <d v="2024-02-05T00:00:00"/>
    <x v="0"/>
    <s v="No"/>
    <s v="No"/>
    <x v="0"/>
    <x v="0"/>
    <s v="No"/>
  </r>
  <r>
    <s v="C1921"/>
    <s v="Suresh Kumar"/>
    <s v="Male"/>
    <n v="47"/>
    <x v="11"/>
    <x v="0"/>
    <x v="36"/>
    <n v="449"/>
    <n v="7184"/>
    <x v="2"/>
    <d v="2024-05-27T00:00:00"/>
    <x v="1"/>
    <s v="Yes"/>
    <s v="No"/>
    <x v="0"/>
    <x v="0"/>
    <s v="No"/>
  </r>
  <r>
    <s v="C1922"/>
    <s v="Aman Iyer"/>
    <s v="Male"/>
    <n v="43"/>
    <x v="1"/>
    <x v="0"/>
    <x v="9"/>
    <n v="999"/>
    <n v="23976"/>
    <x v="0"/>
    <d v="2023-09-11T00:00:00"/>
    <x v="1"/>
    <s v="No"/>
    <s v="No"/>
    <x v="0"/>
    <x v="0"/>
    <s v="No"/>
  </r>
  <r>
    <s v="C1923"/>
    <s v="Mohit Singh"/>
    <s v="Male"/>
    <n v="19"/>
    <x v="11"/>
    <x v="1"/>
    <x v="24"/>
    <n v="999"/>
    <n v="2997"/>
    <x v="0"/>
    <d v="2025-06-28T00:00:00"/>
    <x v="0"/>
    <s v="No"/>
    <s v="No"/>
    <x v="0"/>
    <x v="0"/>
    <s v="No"/>
  </r>
  <r>
    <s v="C1924"/>
    <s v="Manish Mehta"/>
    <s v="Male"/>
    <n v="69"/>
    <x v="9"/>
    <x v="1"/>
    <x v="2"/>
    <n v="1149"/>
    <n v="12639"/>
    <x v="0"/>
    <d v="2024-10-04T00:00:00"/>
    <x v="0"/>
    <s v="No"/>
    <s v="No"/>
    <x v="0"/>
    <x v="0"/>
    <s v="No"/>
  </r>
  <r>
    <s v="C1925"/>
    <s v="Shreya Singh"/>
    <s v="Female"/>
    <n v="39"/>
    <x v="5"/>
    <x v="0"/>
    <x v="33"/>
    <n v="499"/>
    <n v="6986"/>
    <x v="2"/>
    <d v="2024-07-16T00:00:00"/>
    <x v="1"/>
    <s v="No"/>
    <s v="No"/>
    <x v="0"/>
    <x v="0"/>
    <s v="No"/>
  </r>
  <r>
    <s v="C1926"/>
    <s v="Rohit Bose"/>
    <s v="Male"/>
    <n v="58"/>
    <x v="7"/>
    <x v="0"/>
    <x v="4"/>
    <n v="799"/>
    <n v="7990"/>
    <x v="1"/>
    <d v="2024-11-18T00:00:00"/>
    <x v="0"/>
    <s v="No"/>
    <s v="No"/>
    <x v="0"/>
    <x v="1"/>
    <s v="No"/>
  </r>
  <r>
    <s v="C1927"/>
    <s v="Meera Iyer"/>
    <s v="Female"/>
    <n v="28"/>
    <x v="4"/>
    <x v="0"/>
    <x v="12"/>
    <m/>
    <n v="2997"/>
    <x v="0"/>
    <d v="2025-06-15T00:00:00"/>
    <x v="1"/>
    <s v="No"/>
    <s v="No"/>
    <x v="0"/>
    <x v="0"/>
    <s v="Monthly missing; Tenure missing"/>
  </r>
  <r>
    <s v="C1928"/>
    <s v="Unknown"/>
    <s v="Female"/>
    <n v="26"/>
    <x v="4"/>
    <x v="2"/>
    <x v="67"/>
    <n v="1049"/>
    <n v="49303"/>
    <x v="0"/>
    <d v="2021-10-30T00:00:00"/>
    <x v="0"/>
    <s v="No"/>
    <s v="No"/>
    <x v="0"/>
    <x v="0"/>
    <s v="No"/>
  </r>
  <r>
    <s v="C1929"/>
    <s v="Ankit Patel"/>
    <s v="Male"/>
    <n v="50"/>
    <x v="6"/>
    <x v="1"/>
    <x v="15"/>
    <n v="849"/>
    <n v="5094"/>
    <x v="1"/>
    <d v="2025-03-04T00:00:00"/>
    <x v="0"/>
    <s v="No"/>
    <s v="No"/>
    <x v="0"/>
    <x v="0"/>
    <s v="No"/>
  </r>
  <r>
    <s v="C1930"/>
    <s v="Pankaj Chopra"/>
    <s v="Male"/>
    <n v="21"/>
    <x v="14"/>
    <x v="1"/>
    <x v="37"/>
    <n v="999"/>
    <n v="35964"/>
    <x v="0"/>
    <d v="2022-10-09T00:00:00"/>
    <x v="0"/>
    <s v="No"/>
    <s v="No"/>
    <x v="0"/>
    <x v="0"/>
    <s v="No"/>
  </r>
  <r>
    <s v="C1931"/>
    <s v="Neha Nair"/>
    <s v="Female"/>
    <n v="42"/>
    <x v="6"/>
    <x v="0"/>
    <x v="8"/>
    <n v="749"/>
    <n v="11235"/>
    <x v="1"/>
    <d v="2024-06-21T00:00:00"/>
    <x v="0"/>
    <s v="No"/>
    <s v="No"/>
    <x v="0"/>
    <x v="0"/>
    <s v="No"/>
  </r>
  <r>
    <s v="C1932"/>
    <s v="Vikram Gupta"/>
    <s v="Male"/>
    <n v="64"/>
    <x v="4"/>
    <x v="2"/>
    <x v="55"/>
    <n v="449"/>
    <n v="25144"/>
    <x v="2"/>
    <d v="2021-02-11T00:00:00"/>
    <x v="1"/>
    <s v="No"/>
    <s v="No"/>
    <x v="0"/>
    <x v="0"/>
    <s v="No"/>
  </r>
  <r>
    <s v="C1933"/>
    <s v="Deepika Pandey"/>
    <s v="Unknown"/>
    <n v="65"/>
    <x v="7"/>
    <x v="0"/>
    <x v="30"/>
    <n v="1099"/>
    <n v="19782"/>
    <x v="0"/>
    <d v="2024-03-27T00:00:00"/>
    <x v="0"/>
    <s v="No"/>
    <s v="No"/>
    <x v="0"/>
    <x v="0"/>
    <s v="No"/>
  </r>
  <r>
    <s v="C1934"/>
    <s v="Pankaj Rao"/>
    <s v="Male"/>
    <n v="21"/>
    <x v="13"/>
    <x v="0"/>
    <x v="36"/>
    <n v="899"/>
    <n v="14384"/>
    <x v="0"/>
    <d v="2024-05-12T00:00:00"/>
    <x v="0"/>
    <s v="No"/>
    <s v="No"/>
    <x v="0"/>
    <x v="0"/>
    <s v="No"/>
  </r>
  <r>
    <s v="C1935"/>
    <s v="Kavita Malhotra"/>
    <s v="Female"/>
    <n v="58"/>
    <x v="8"/>
    <x v="0"/>
    <x v="17"/>
    <n v="599"/>
    <n v="7787"/>
    <x v="1"/>
    <d v="2024-08-18T00:00:00"/>
    <x v="0"/>
    <s v="No"/>
    <s v="No"/>
    <x v="0"/>
    <x v="0"/>
    <s v="No"/>
  </r>
  <r>
    <s v="C1936"/>
    <s v="Suresh Gupta"/>
    <s v="Male"/>
    <n v="71"/>
    <x v="3"/>
    <x v="0"/>
    <x v="2"/>
    <n v="399"/>
    <n v="4389"/>
    <x v="2"/>
    <d v="2024-10-20T00:00:00"/>
    <x v="1"/>
    <s v="No"/>
    <s v="No"/>
    <x v="0"/>
    <x v="0"/>
    <s v="No"/>
  </r>
  <r>
    <s v="C1937"/>
    <s v="Komal Mishra"/>
    <s v="Female"/>
    <n v="62"/>
    <x v="13"/>
    <x v="0"/>
    <x v="16"/>
    <n v="1149"/>
    <n v="13788"/>
    <x v="0"/>
    <d v="2024-09-16T00:00:00"/>
    <x v="0"/>
    <s v="No"/>
    <s v="No"/>
    <x v="0"/>
    <x v="0"/>
    <s v="No"/>
  </r>
  <r>
    <s v="C1938"/>
    <s v="Vikram Agarwal"/>
    <s v="Male"/>
    <n v="60"/>
    <x v="11"/>
    <x v="1"/>
    <x v="26"/>
    <n v="599"/>
    <n v="12579"/>
    <x v="1"/>
    <d v="2023-12-23T00:00:00"/>
    <x v="0"/>
    <s v="No"/>
    <s v="No"/>
    <x v="0"/>
    <x v="0"/>
    <s v="No"/>
  </r>
  <r>
    <s v="C1939"/>
    <s v="Anjali Saxena"/>
    <s v="Female"/>
    <n v="44"/>
    <x v="5"/>
    <x v="0"/>
    <x v="8"/>
    <n v="899"/>
    <n v="13485"/>
    <x v="1"/>
    <d v="2024-06-15T00:00:00"/>
    <x v="0"/>
    <s v="No"/>
    <s v="No"/>
    <x v="0"/>
    <x v="0"/>
    <s v="No"/>
  </r>
  <r>
    <s v="C1940"/>
    <s v="Amit Mehta"/>
    <s v="Male"/>
    <n v="65"/>
    <x v="0"/>
    <x v="0"/>
    <x v="15"/>
    <n v="1099"/>
    <n v="6594"/>
    <x v="0"/>
    <m/>
    <x v="1"/>
    <s v="No"/>
    <s v="No"/>
    <x v="0"/>
    <x v="0"/>
    <s v="Date missing"/>
  </r>
  <r>
    <s v="C1941"/>
    <s v="Aman Patel"/>
    <s v="Male"/>
    <n v="19"/>
    <x v="5"/>
    <x v="2"/>
    <x v="36"/>
    <n v="1099"/>
    <n v="17584"/>
    <x v="0"/>
    <d v="2024-05-25T00:00:00"/>
    <x v="0"/>
    <s v="No"/>
    <s v="No"/>
    <x v="0"/>
    <x v="0"/>
    <s v="No"/>
  </r>
  <r>
    <s v="C1942"/>
    <s v="Sonal Tiwari"/>
    <s v="Female"/>
    <n v="51"/>
    <x v="13"/>
    <x v="0"/>
    <x v="8"/>
    <n v="399"/>
    <n v="5985"/>
    <x v="2"/>
    <m/>
    <x v="0"/>
    <s v="No"/>
    <s v="No"/>
    <x v="0"/>
    <x v="0"/>
    <s v="Date missing"/>
  </r>
  <r>
    <s v="C1943"/>
    <s v="Divya Iyer"/>
    <s v="Female"/>
    <n v="72"/>
    <x v="9"/>
    <x v="1"/>
    <x v="6"/>
    <n v="1149"/>
    <n v="21831"/>
    <x v="0"/>
    <d v="2024-02-11T00:00:00"/>
    <x v="0"/>
    <s v="No"/>
    <s v="No"/>
    <x v="0"/>
    <x v="1"/>
    <s v="No"/>
  </r>
  <r>
    <s v="C1944"/>
    <s v="Vikram Chopra"/>
    <s v="Male"/>
    <n v="19"/>
    <x v="11"/>
    <x v="2"/>
    <x v="18"/>
    <n v="599"/>
    <n v="41930"/>
    <x v="3"/>
    <d v="2019-12-04T00:00:00"/>
    <x v="0"/>
    <s v="No"/>
    <s v="No"/>
    <x v="0"/>
    <x v="0"/>
    <s v="No"/>
  </r>
  <r>
    <s v="C1945"/>
    <s v="Harsh Tiwari"/>
    <s v="Male"/>
    <n v="31"/>
    <x v="0"/>
    <x v="1"/>
    <x v="28"/>
    <n v="1299"/>
    <n v="10392"/>
    <x v="0"/>
    <d v="2025-01-20T00:00:00"/>
    <x v="2"/>
    <s v="No"/>
    <s v="No"/>
    <x v="0"/>
    <x v="0"/>
    <s v="Churn unknown"/>
  </r>
  <r>
    <s v="C1946"/>
    <s v="Nisha Chopra"/>
    <s v="Female"/>
    <n v="63"/>
    <x v="13"/>
    <x v="1"/>
    <x v="9"/>
    <n v="899"/>
    <n v="21576"/>
    <x v="1"/>
    <d v="2023-09-11T00:00:00"/>
    <x v="0"/>
    <s v="No"/>
    <s v="Yes"/>
    <x v="0"/>
    <x v="0"/>
    <s v="No"/>
  </r>
  <r>
    <s v="C1947"/>
    <s v="Aditi Tiwari"/>
    <s v="Female"/>
    <n v="61"/>
    <x v="0"/>
    <x v="0"/>
    <x v="22"/>
    <n v="399"/>
    <n v="798"/>
    <x v="3"/>
    <d v="2025-07-04T00:00:00"/>
    <x v="0"/>
    <s v="No"/>
    <s v="Yes"/>
    <x v="0"/>
    <x v="0"/>
    <s v="No"/>
  </r>
  <r>
    <s v="C1948"/>
    <s v="Swati Gupta"/>
    <s v="Female"/>
    <n v="54"/>
    <x v="12"/>
    <x v="0"/>
    <x v="27"/>
    <n v="499"/>
    <n v="3493"/>
    <x v="2"/>
    <d v="2025-02-05T00:00:00"/>
    <x v="0"/>
    <s v="No"/>
    <s v="No"/>
    <x v="0"/>
    <x v="0"/>
    <s v="No"/>
  </r>
  <r>
    <s v="C1949"/>
    <s v="Pooja Chopra"/>
    <s v="Female"/>
    <n v="42"/>
    <x v="14"/>
    <x v="0"/>
    <x v="10"/>
    <n v="399"/>
    <n v="6783"/>
    <x v="2"/>
    <d v="2024-04-11T00:00:00"/>
    <x v="1"/>
    <s v="No"/>
    <s v="No"/>
    <x v="0"/>
    <x v="0"/>
    <s v="No"/>
  </r>
  <r>
    <s v="C1950"/>
    <s v="Mohit Reddy"/>
    <s v="Male"/>
    <n v="58"/>
    <x v="11"/>
    <x v="1"/>
    <x v="10"/>
    <n v="399"/>
    <n v="6783"/>
    <x v="2"/>
    <d v="2024-04-30T00:00:00"/>
    <x v="0"/>
    <s v="No"/>
    <s v="No"/>
    <x v="0"/>
    <x v="0"/>
    <s v="No"/>
  </r>
  <r>
    <s v="C1951"/>
    <s v="Vikram Sharma"/>
    <s v="Male"/>
    <n v="45"/>
    <x v="3"/>
    <x v="1"/>
    <x v="22"/>
    <n v="1199"/>
    <n v="2398"/>
    <x v="0"/>
    <d v="2025-07-28T00:00:00"/>
    <x v="0"/>
    <s v="No"/>
    <s v="No"/>
    <x v="0"/>
    <x v="0"/>
    <s v="No"/>
  </r>
  <r>
    <s v="C1952"/>
    <s v="Priya Agarwal"/>
    <s v="Unknown"/>
    <n v="64"/>
    <x v="8"/>
    <x v="2"/>
    <x v="70"/>
    <n v="999"/>
    <n v="45954"/>
    <x v="0"/>
    <d v="2021-12-01T00:00:00"/>
    <x v="0"/>
    <s v="No"/>
    <s v="No"/>
    <x v="0"/>
    <x v="0"/>
    <s v="No"/>
  </r>
  <r>
    <s v="C1953"/>
    <s v="Deepak Malhotra"/>
    <s v="Male"/>
    <n v="60"/>
    <x v="3"/>
    <x v="0"/>
    <x v="26"/>
    <n v="549"/>
    <n v="11529"/>
    <x v="2"/>
    <d v="2024-01-04T00:00:00"/>
    <x v="0"/>
    <s v="No"/>
    <s v="No"/>
    <x v="0"/>
    <x v="0"/>
    <s v="No"/>
  </r>
  <r>
    <s v="C1954"/>
    <s v="Riya Reddy"/>
    <s v="Unknown"/>
    <n v="24"/>
    <x v="8"/>
    <x v="0"/>
    <x v="24"/>
    <n v="449"/>
    <n v="1347"/>
    <x v="2"/>
    <d v="2025-06-24T00:00:00"/>
    <x v="0"/>
    <s v="No"/>
    <s v="No"/>
    <x v="0"/>
    <x v="0"/>
    <s v="No"/>
  </r>
  <r>
    <s v="C1955"/>
    <s v="Anjali Desai"/>
    <s v="Female"/>
    <n v="68"/>
    <x v="3"/>
    <x v="0"/>
    <x v="26"/>
    <n v="999"/>
    <n v="20979"/>
    <x v="0"/>
    <d v="2023-12-28T00:00:00"/>
    <x v="1"/>
    <s v="No"/>
    <s v="No"/>
    <x v="0"/>
    <x v="0"/>
    <s v="No"/>
  </r>
  <r>
    <s v="C1956"/>
    <s v="Meera Gupta"/>
    <s v="Female"/>
    <n v="37"/>
    <x v="3"/>
    <x v="2"/>
    <x v="13"/>
    <n v="1049"/>
    <n v="5245"/>
    <x v="0"/>
    <d v="2025-04-12T00:00:00"/>
    <x v="0"/>
    <s v="No"/>
    <s v="No"/>
    <x v="0"/>
    <x v="0"/>
    <s v="No"/>
  </r>
  <r>
    <s v="C1957"/>
    <s v="Arjun Jain"/>
    <s v="Male"/>
    <n v="65"/>
    <x v="5"/>
    <x v="2"/>
    <x v="32"/>
    <n v="799"/>
    <n v="3196"/>
    <x v="1"/>
    <d v="2025-05-27T00:00:00"/>
    <x v="0"/>
    <s v="No"/>
    <s v="No"/>
    <x v="0"/>
    <x v="0"/>
    <s v="No"/>
  </r>
  <r>
    <s v="C1958"/>
    <s v="Aman Reddy"/>
    <s v="Male"/>
    <n v="75"/>
    <x v="0"/>
    <x v="0"/>
    <x v="24"/>
    <n v="849"/>
    <n v="2547"/>
    <x v="1"/>
    <d v="2025-06-15T00:00:00"/>
    <x v="1"/>
    <s v="No"/>
    <s v="No"/>
    <x v="0"/>
    <x v="0"/>
    <s v="No"/>
  </r>
  <r>
    <s v="C1959"/>
    <s v="Vikram Patel"/>
    <s v="Male"/>
    <n v="63"/>
    <x v="1"/>
    <x v="1"/>
    <x v="47"/>
    <n v="1149"/>
    <n v="36768"/>
    <x v="0"/>
    <d v="2023-02-03T00:00:00"/>
    <x v="0"/>
    <s v="No"/>
    <s v="No"/>
    <x v="0"/>
    <x v="0"/>
    <s v="No"/>
  </r>
  <r>
    <s v="C1960"/>
    <s v="Sanjay Saxena"/>
    <s v="Male"/>
    <n v="72"/>
    <x v="14"/>
    <x v="0"/>
    <x v="6"/>
    <n v="1299"/>
    <n v="24681"/>
    <x v="0"/>
    <d v="2024-02-11T00:00:00"/>
    <x v="1"/>
    <s v="No"/>
    <s v="No"/>
    <x v="0"/>
    <x v="0"/>
    <s v="No"/>
  </r>
  <r>
    <s v="C1961"/>
    <s v="Gaurav Tiwari"/>
    <s v="Male"/>
    <n v="74"/>
    <x v="7"/>
    <x v="0"/>
    <x v="2"/>
    <n v="899"/>
    <n v="9889"/>
    <x v="0"/>
    <d v="2024-10-27T00:00:00"/>
    <x v="1"/>
    <s v="No"/>
    <s v="No"/>
    <x v="0"/>
    <x v="0"/>
    <s v="No"/>
  </r>
  <r>
    <s v="C1962"/>
    <s v="Isha Chopra"/>
    <s v="Female"/>
    <n v="70"/>
    <x v="4"/>
    <x v="0"/>
    <x v="10"/>
    <n v="499"/>
    <n v="8483"/>
    <x v="2"/>
    <d v="2024-04-10T00:00:00"/>
    <x v="1"/>
    <s v="No"/>
    <s v="No"/>
    <x v="0"/>
    <x v="0"/>
    <s v="No"/>
  </r>
  <r>
    <s v="C1963"/>
    <s v="Divya Sharma"/>
    <s v="Female"/>
    <n v="25"/>
    <x v="8"/>
    <x v="2"/>
    <x v="9"/>
    <n v="999"/>
    <n v="23976"/>
    <x v="0"/>
    <d v="2023-09-28T00:00:00"/>
    <x v="0"/>
    <s v="No"/>
    <s v="No"/>
    <x v="0"/>
    <x v="0"/>
    <s v="No"/>
  </r>
  <r>
    <s v="C1964"/>
    <s v="Pooja Joshi"/>
    <s v="Female"/>
    <n v="25"/>
    <x v="3"/>
    <x v="0"/>
    <x v="2"/>
    <n v="649"/>
    <n v="7139"/>
    <x v="1"/>
    <d v="2024-10-05T00:00:00"/>
    <x v="0"/>
    <s v="No"/>
    <s v="No"/>
    <x v="0"/>
    <x v="0"/>
    <s v="No"/>
  </r>
  <r>
    <s v="C1965"/>
    <s v="Sachin Kumar"/>
    <s v="Male"/>
    <n v="42"/>
    <x v="5"/>
    <x v="1"/>
    <x v="27"/>
    <n v="1049"/>
    <n v="7343"/>
    <x v="0"/>
    <d v="2025-02-05T00:00:00"/>
    <x v="0"/>
    <s v="No"/>
    <s v="No"/>
    <x v="0"/>
    <x v="0"/>
    <s v="No"/>
  </r>
  <r>
    <s v="C1966"/>
    <s v="Rajesh Chopra"/>
    <s v="Male"/>
    <n v="44"/>
    <x v="9"/>
    <x v="1"/>
    <x v="26"/>
    <n v="649"/>
    <n v="13629"/>
    <x v="1"/>
    <d v="2023-12-23T00:00:00"/>
    <x v="0"/>
    <s v="No"/>
    <s v="No"/>
    <x v="0"/>
    <x v="0"/>
    <s v="No"/>
  </r>
  <r>
    <s v="C1967"/>
    <s v="Suresh Tiwari"/>
    <s v="Male"/>
    <n v="25"/>
    <x v="4"/>
    <x v="0"/>
    <x v="6"/>
    <n v="999"/>
    <n v="18981"/>
    <x v="0"/>
    <d v="2024-03-07T00:00:00"/>
    <x v="1"/>
    <s v="No"/>
    <s v="No"/>
    <x v="0"/>
    <x v="0"/>
    <s v="No"/>
  </r>
  <r>
    <s v="C1968"/>
    <s v="Ankit Iyer"/>
    <s v="Male"/>
    <n v="26"/>
    <x v="6"/>
    <x v="2"/>
    <x v="54"/>
    <n v="799"/>
    <n v="55131"/>
    <x v="1"/>
    <d v="2020-01-26T00:00:00"/>
    <x v="0"/>
    <s v="No"/>
    <s v="No"/>
    <x v="0"/>
    <x v="0"/>
    <s v="No"/>
  </r>
  <r>
    <s v="C1969"/>
    <s v="Anjali Tiwari"/>
    <s v="Female"/>
    <n v="64"/>
    <x v="5"/>
    <x v="0"/>
    <x v="17"/>
    <n v="1149"/>
    <n v="14937"/>
    <x v="0"/>
    <d v="2024-09-02T00:00:00"/>
    <x v="0"/>
    <s v="No"/>
    <s v="No"/>
    <x v="0"/>
    <x v="0"/>
    <s v="No"/>
  </r>
  <r>
    <s v="C1970"/>
    <s v="Aditi Pandey"/>
    <s v="Female"/>
    <n v="47"/>
    <x v="7"/>
    <x v="2"/>
    <x v="36"/>
    <n v="549"/>
    <n v="8784"/>
    <x v="2"/>
    <d v="2024-05-29T00:00:00"/>
    <x v="0"/>
    <s v="No"/>
    <s v="No"/>
    <x v="0"/>
    <x v="0"/>
    <s v="No"/>
  </r>
  <r>
    <s v="C1971"/>
    <s v="Rahul Singh"/>
    <s v="Male"/>
    <n v="24"/>
    <x v="2"/>
    <x v="2"/>
    <x v="39"/>
    <n v="899"/>
    <n v="26071"/>
    <x v="0"/>
    <d v="2023-04-17T00:00:00"/>
    <x v="0"/>
    <s v="No"/>
    <s v="No"/>
    <x v="0"/>
    <x v="0"/>
    <s v="No"/>
  </r>
  <r>
    <s v="C1972"/>
    <s v="Sonal Sharma"/>
    <s v="Female"/>
    <n v="62"/>
    <x v="6"/>
    <x v="0"/>
    <x v="22"/>
    <n v="449"/>
    <n v="898"/>
    <x v="2"/>
    <d v="2025-07-20T00:00:00"/>
    <x v="1"/>
    <s v="No"/>
    <s v="No"/>
    <x v="1"/>
    <x v="0"/>
    <s v="No"/>
  </r>
  <r>
    <s v="C1973"/>
    <s v="Kavita Pandey"/>
    <s v="Female"/>
    <n v="47"/>
    <x v="8"/>
    <x v="1"/>
    <x v="26"/>
    <n v="899"/>
    <n v="18879"/>
    <x v="1"/>
    <d v="2023-12-10T00:00:00"/>
    <x v="0"/>
    <s v="Yes"/>
    <s v="No"/>
    <x v="0"/>
    <x v="0"/>
    <s v="No"/>
  </r>
  <r>
    <s v="C1974"/>
    <s v="Shreya Saxena"/>
    <s v="Female"/>
    <n v="25"/>
    <x v="1"/>
    <x v="0"/>
    <x v="0"/>
    <n v="1049"/>
    <n v="23078"/>
    <x v="0"/>
    <d v="2023-11-23T00:00:00"/>
    <x v="0"/>
    <s v="No"/>
    <s v="No"/>
    <x v="0"/>
    <x v="0"/>
    <s v="No"/>
  </r>
  <r>
    <s v="C1975"/>
    <s v="Vikram Malhotra"/>
    <s v="Male"/>
    <n v="67"/>
    <x v="5"/>
    <x v="1"/>
    <x v="36"/>
    <n v="1199"/>
    <n v="19184"/>
    <x v="0"/>
    <d v="2024-06-03T00:00:00"/>
    <x v="0"/>
    <s v="No"/>
    <s v="No"/>
    <x v="0"/>
    <x v="0"/>
    <s v="No"/>
  </r>
  <r>
    <s v="C1976"/>
    <s v="Sneha Mehta"/>
    <s v="Female"/>
    <n v="18"/>
    <x v="9"/>
    <x v="0"/>
    <x v="27"/>
    <n v="449"/>
    <n v="3143"/>
    <x v="2"/>
    <d v="2025-02-12T00:00:00"/>
    <x v="1"/>
    <s v="No"/>
    <s v="No"/>
    <x v="0"/>
    <x v="0"/>
    <s v="No"/>
  </r>
  <r>
    <s v="C1977"/>
    <s v="Aditi Pandey"/>
    <s v="Female"/>
    <n v="47"/>
    <x v="9"/>
    <x v="0"/>
    <x v="13"/>
    <n v="1049"/>
    <n v="5245"/>
    <x v="0"/>
    <d v="2025-04-04T00:00:00"/>
    <x v="0"/>
    <s v="No"/>
    <s v="No"/>
    <x v="0"/>
    <x v="0"/>
    <s v="No"/>
  </r>
  <r>
    <s v="C1978"/>
    <s v="Deepak Mehta"/>
    <s v="Male"/>
    <n v="22"/>
    <x v="5"/>
    <x v="0"/>
    <x v="6"/>
    <n v="899"/>
    <n v="17081"/>
    <x v="0"/>
    <d v="2024-03-04T00:00:00"/>
    <x v="1"/>
    <s v="No"/>
    <s v="No"/>
    <x v="0"/>
    <x v="0"/>
    <s v="No"/>
  </r>
  <r>
    <s v="C1979"/>
    <s v="Manish Sharma"/>
    <s v="Male"/>
    <n v="75"/>
    <x v="7"/>
    <x v="0"/>
    <x v="0"/>
    <n v="799"/>
    <n v="17578"/>
    <x v="1"/>
    <d v="2023-11-09T00:00:00"/>
    <x v="1"/>
    <s v="No"/>
    <s v="No"/>
    <x v="0"/>
    <x v="0"/>
    <s v="No"/>
  </r>
  <r>
    <s v="C1980"/>
    <s v="Aman Tiwari"/>
    <s v="Male"/>
    <n v="31"/>
    <x v="8"/>
    <x v="0"/>
    <x v="2"/>
    <n v="1099"/>
    <n v="12089"/>
    <x v="0"/>
    <d v="2024-11-01T00:00:00"/>
    <x v="1"/>
    <s v="No"/>
    <s v="No"/>
    <x v="0"/>
    <x v="0"/>
    <s v="No"/>
  </r>
  <r>
    <s v="C1981"/>
    <s v="Nisha Mehta"/>
    <s v="Female"/>
    <n v="36"/>
    <x v="0"/>
    <x v="0"/>
    <x v="10"/>
    <n v="1099"/>
    <n v="18683"/>
    <x v="0"/>
    <d v="2024-04-15T00:00:00"/>
    <x v="1"/>
    <s v="No"/>
    <s v="No"/>
    <x v="0"/>
    <x v="0"/>
    <s v="No"/>
  </r>
  <r>
    <s v="C1982"/>
    <s v="Manish Reddy"/>
    <s v="Male"/>
    <n v="32"/>
    <x v="4"/>
    <x v="3"/>
    <x v="35"/>
    <n v="649"/>
    <n v="5841"/>
    <x v="1"/>
    <d v="2024-12-25T00:00:00"/>
    <x v="1"/>
    <s v="No"/>
    <s v="No"/>
    <x v="1"/>
    <x v="0"/>
    <s v="No"/>
  </r>
  <r>
    <s v="C1983"/>
    <s v="Divya Rao"/>
    <s v="Female"/>
    <n v="47"/>
    <x v="0"/>
    <x v="1"/>
    <x v="30"/>
    <n v="399"/>
    <n v="7182"/>
    <x v="2"/>
    <d v="2024-03-26T00:00:00"/>
    <x v="0"/>
    <s v="Yes"/>
    <s v="No"/>
    <x v="0"/>
    <x v="0"/>
    <s v="No"/>
  </r>
  <r>
    <s v="C1984"/>
    <s v="Riya Iyer"/>
    <s v="Female"/>
    <n v="64"/>
    <x v="3"/>
    <x v="0"/>
    <x v="23"/>
    <n v="1099"/>
    <n v="25277"/>
    <x v="0"/>
    <d v="2023-10-17T00:00:00"/>
    <x v="0"/>
    <s v="No"/>
    <s v="No"/>
    <x v="0"/>
    <x v="0"/>
    <s v="No"/>
  </r>
  <r>
    <s v="C1985"/>
    <s v="Arjun Joshi"/>
    <s v="Male"/>
    <n v="61"/>
    <x v="4"/>
    <x v="0"/>
    <x v="8"/>
    <n v="649"/>
    <n v="9735"/>
    <x v="1"/>
    <d v="2024-07-05T00:00:00"/>
    <x v="0"/>
    <s v="No"/>
    <s v="No"/>
    <x v="0"/>
    <x v="0"/>
    <s v="No"/>
  </r>
  <r>
    <s v="C1986"/>
    <s v="Suresh Kumar"/>
    <s v="Male"/>
    <n v="28"/>
    <x v="9"/>
    <x v="1"/>
    <x v="23"/>
    <n v="749"/>
    <n v="17227"/>
    <x v="1"/>
    <d v="2023-11-01T00:00:00"/>
    <x v="0"/>
    <s v="No"/>
    <s v="No"/>
    <x v="0"/>
    <x v="1"/>
    <s v="No"/>
  </r>
  <r>
    <s v="C1987"/>
    <s v="Anjali Verma"/>
    <s v="Female"/>
    <n v="70"/>
    <x v="3"/>
    <x v="1"/>
    <x v="8"/>
    <n v="399"/>
    <n v="5985"/>
    <x v="2"/>
    <d v="2024-06-11T00:00:00"/>
    <x v="2"/>
    <s v="No"/>
    <s v="No"/>
    <x v="0"/>
    <x v="0"/>
    <s v="Churn unknown"/>
  </r>
  <r>
    <s v="C1988"/>
    <s v="Karan Iyer"/>
    <s v="Male"/>
    <n v="69"/>
    <x v="14"/>
    <x v="0"/>
    <x v="16"/>
    <n v="1049"/>
    <n v="12588"/>
    <x v="0"/>
    <d v="2024-09-19T00:00:00"/>
    <x v="1"/>
    <s v="No"/>
    <s v="No"/>
    <x v="0"/>
    <x v="0"/>
    <s v="No"/>
  </r>
  <r>
    <s v="C1989"/>
    <s v="Aman Iyer"/>
    <s v="Male"/>
    <n v="63"/>
    <x v="2"/>
    <x v="2"/>
    <x v="66"/>
    <n v="1049"/>
    <n v="65038"/>
    <x v="0"/>
    <d v="2020-08-25T00:00:00"/>
    <x v="0"/>
    <s v="No"/>
    <s v="Yes"/>
    <x v="0"/>
    <x v="0"/>
    <s v="No"/>
  </r>
  <r>
    <s v="C1990"/>
    <s v="Vivek Nair"/>
    <s v="Male"/>
    <n v="60"/>
    <x v="8"/>
    <x v="0"/>
    <x v="6"/>
    <n v="849"/>
    <n v="16131"/>
    <x v="1"/>
    <d v="2024-02-13T00:00:00"/>
    <x v="1"/>
    <s v="No"/>
    <s v="No"/>
    <x v="0"/>
    <x v="0"/>
    <s v="No"/>
  </r>
  <r>
    <s v="C1991"/>
    <s v="Sanjay Rao"/>
    <s v="Male"/>
    <n v="58"/>
    <x v="4"/>
    <x v="2"/>
    <x v="18"/>
    <n v="399"/>
    <n v="27930"/>
    <x v="2"/>
    <d v="2019-12-08T00:00:00"/>
    <x v="0"/>
    <s v="No"/>
    <s v="No"/>
    <x v="0"/>
    <x v="0"/>
    <s v="No"/>
  </r>
  <r>
    <s v="C1992"/>
    <s v="Swati Rao"/>
    <s v="Female"/>
    <n v="55"/>
    <x v="12"/>
    <x v="2"/>
    <x v="3"/>
    <n v="599"/>
    <n v="14975"/>
    <x v="1"/>
    <d v="2023-08-14T00:00:00"/>
    <x v="0"/>
    <s v="No"/>
    <s v="No"/>
    <x v="0"/>
    <x v="0"/>
    <s v="No"/>
  </r>
  <r>
    <s v="C1993"/>
    <s v="Vivek Kapoor"/>
    <s v="Male"/>
    <n v="54"/>
    <x v="13"/>
    <x v="1"/>
    <x v="21"/>
    <n v="749"/>
    <n v="749"/>
    <x v="1"/>
    <d v="2025-08-25T00:00:00"/>
    <x v="0"/>
    <s v="No"/>
    <s v="No"/>
    <x v="0"/>
    <x v="0"/>
    <s v="No"/>
  </r>
  <r>
    <s v="C1994"/>
    <s v="Riya Mishra"/>
    <s v="Female"/>
    <n v="60"/>
    <x v="8"/>
    <x v="3"/>
    <x v="4"/>
    <n v="599"/>
    <n v="5990"/>
    <x v="1"/>
    <d v="2024-11-06T00:00:00"/>
    <x v="1"/>
    <s v="No"/>
    <s v="No"/>
    <x v="0"/>
    <x v="1"/>
    <s v="No"/>
  </r>
  <r>
    <s v="C1995"/>
    <s v="Amit Desai"/>
    <s v="Male"/>
    <n v="37"/>
    <x v="3"/>
    <x v="0"/>
    <x v="21"/>
    <n v="1049"/>
    <n v="1049"/>
    <x v="0"/>
    <d v="2025-08-20T00:00:00"/>
    <x v="1"/>
    <s v="No"/>
    <s v="No"/>
    <x v="0"/>
    <x v="0"/>
    <s v="No"/>
  </r>
  <r>
    <s v="C1996"/>
    <s v="Vikram Pandey"/>
    <s v="Male"/>
    <n v="35"/>
    <x v="8"/>
    <x v="2"/>
    <x v="2"/>
    <n v="699"/>
    <n v="7689"/>
    <x v="1"/>
    <d v="2024-10-22T00:00:00"/>
    <x v="0"/>
    <s v="No"/>
    <s v="No"/>
    <x v="0"/>
    <x v="0"/>
    <s v="No"/>
  </r>
  <r>
    <s v="C1997"/>
    <s v="Deepak Tiwari"/>
    <s v="Male"/>
    <n v="43"/>
    <x v="4"/>
    <x v="2"/>
    <x v="64"/>
    <n v="499"/>
    <n v="19960"/>
    <x v="2"/>
    <d v="2022-06-06T00:00:00"/>
    <x v="0"/>
    <s v="No"/>
    <s v="Yes"/>
    <x v="0"/>
    <x v="0"/>
    <s v="No"/>
  </r>
  <r>
    <s v="C1998"/>
    <s v="Sanjay Malhotra"/>
    <s v="Male"/>
    <n v="26"/>
    <x v="12"/>
    <x v="1"/>
    <x v="15"/>
    <n v="699"/>
    <n v="4194"/>
    <x v="3"/>
    <d v="2025-03-20T00:00:00"/>
    <x v="0"/>
    <s v="No"/>
    <s v="No"/>
    <x v="0"/>
    <x v="0"/>
    <s v="No"/>
  </r>
  <r>
    <s v="C1999"/>
    <s v="Anjali Singh"/>
    <s v="Female"/>
    <n v="47"/>
    <x v="7"/>
    <x v="1"/>
    <x v="23"/>
    <n v="1049"/>
    <n v="24127"/>
    <x v="0"/>
    <d v="2023-10-26T00:00:00"/>
    <x v="0"/>
    <s v="Yes"/>
    <s v="No"/>
    <x v="0"/>
    <x v="0"/>
    <s v="No"/>
  </r>
  <r>
    <s v="C2000"/>
    <s v="Priya Mishra"/>
    <s v="Female"/>
    <n v="47"/>
    <x v="13"/>
    <x v="0"/>
    <x v="11"/>
    <n v="1299"/>
    <n v="25980"/>
    <x v="0"/>
    <d v="2024-01-26T00:00:00"/>
    <x v="0"/>
    <s v="Yes"/>
    <s v="No"/>
    <x v="0"/>
    <x v="0"/>
    <s v="No"/>
  </r>
  <r>
    <s v="C2001"/>
    <s v="Pankaj Mishra"/>
    <s v="Male"/>
    <n v="75"/>
    <x v="11"/>
    <x v="2"/>
    <x v="58"/>
    <n v="649"/>
    <n v="33099"/>
    <x v="1"/>
    <d v="2021-06-27T00:00:00"/>
    <x v="0"/>
    <s v="No"/>
    <s v="No"/>
    <x v="0"/>
    <x v="0"/>
    <s v="No"/>
  </r>
  <r>
    <s v="C2002"/>
    <s v="Sneha Kumar"/>
    <s v="Female"/>
    <n v="21"/>
    <x v="5"/>
    <x v="2"/>
    <x v="65"/>
    <n v="899"/>
    <n v="38657"/>
    <x v="0"/>
    <d v="2022-02-24T00:00:00"/>
    <x v="0"/>
    <s v="No"/>
    <s v="No"/>
    <x v="0"/>
    <x v="0"/>
    <s v="No"/>
  </r>
  <r>
    <s v="C2003"/>
    <s v="Sneha Reddy"/>
    <s v="Female"/>
    <n v="65"/>
    <x v="11"/>
    <x v="1"/>
    <x v="32"/>
    <n v="999"/>
    <n v="3996"/>
    <x v="0"/>
    <d v="2025-05-08T00:00:00"/>
    <x v="1"/>
    <s v="No"/>
    <s v="No"/>
    <x v="0"/>
    <x v="0"/>
    <s v="No"/>
  </r>
  <r>
    <s v="C2004"/>
    <s v="Pooja Nair"/>
    <s v="Female"/>
    <n v="75"/>
    <x v="9"/>
    <x v="1"/>
    <x v="11"/>
    <n v="849"/>
    <n v="16980"/>
    <x v="1"/>
    <d v="2024-01-31T00:00:00"/>
    <x v="0"/>
    <s v="No"/>
    <s v="No"/>
    <x v="0"/>
    <x v="0"/>
    <s v="No"/>
  </r>
  <r>
    <s v="C2005"/>
    <s v="Vikram Sharma"/>
    <s v="Male"/>
    <n v="27"/>
    <x v="11"/>
    <x v="2"/>
    <x v="47"/>
    <n v="899"/>
    <n v="28768"/>
    <x v="0"/>
    <d v="2023-01-26T00:00:00"/>
    <x v="1"/>
    <s v="No"/>
    <s v="No"/>
    <x v="0"/>
    <x v="0"/>
    <s v="No"/>
  </r>
  <r>
    <s v="C2006"/>
    <s v="Divya Verma"/>
    <s v="Female"/>
    <n v="25"/>
    <x v="5"/>
    <x v="0"/>
    <x v="28"/>
    <n v="549"/>
    <n v="4392"/>
    <x v="2"/>
    <d v="2025-01-12T00:00:00"/>
    <x v="1"/>
    <s v="No"/>
    <s v="No"/>
    <x v="0"/>
    <x v="0"/>
    <s v="No"/>
  </r>
  <r>
    <s v="C2007"/>
    <s v="Riya Reddy"/>
    <s v="Female"/>
    <n v="45"/>
    <x v="8"/>
    <x v="1"/>
    <x v="36"/>
    <n v="649"/>
    <n v="10384"/>
    <x v="1"/>
    <d v="2024-05-21T00:00:00"/>
    <x v="0"/>
    <s v="No"/>
    <s v="No"/>
    <x v="0"/>
    <x v="0"/>
    <s v="No"/>
  </r>
  <r>
    <s v="C2008"/>
    <s v="Aditi Saxena"/>
    <s v="Female"/>
    <n v="24"/>
    <x v="11"/>
    <x v="0"/>
    <x v="17"/>
    <n v="1199"/>
    <n v="15587"/>
    <x v="0"/>
    <d v="2024-08-08T00:00:00"/>
    <x v="1"/>
    <s v="No"/>
    <s v="No"/>
    <x v="0"/>
    <x v="0"/>
    <s v="No"/>
  </r>
  <r>
    <s v="C2009"/>
    <s v="Pooja Sharma"/>
    <s v="Female"/>
    <n v="36"/>
    <x v="7"/>
    <x v="0"/>
    <x v="6"/>
    <n v="899"/>
    <n v="17081"/>
    <x v="0"/>
    <d v="2024-02-07T00:00:00"/>
    <x v="1"/>
    <s v="No"/>
    <s v="No"/>
    <x v="0"/>
    <x v="1"/>
    <s v="No"/>
  </r>
  <r>
    <s v="C2010"/>
    <s v="Pooja Kapoor"/>
    <s v="Female"/>
    <n v="74"/>
    <x v="14"/>
    <x v="0"/>
    <x v="15"/>
    <n v="699"/>
    <n v="4194"/>
    <x v="1"/>
    <d v="2025-03-04T00:00:00"/>
    <x v="1"/>
    <s v="No"/>
    <s v="No"/>
    <x v="0"/>
    <x v="0"/>
    <s v="No"/>
  </r>
  <r>
    <s v="C2011"/>
    <s v="Payal Kumar"/>
    <s v="Female"/>
    <n v="29"/>
    <x v="9"/>
    <x v="0"/>
    <x v="6"/>
    <n v="1099"/>
    <n v="20881"/>
    <x v="0"/>
    <d v="2024-02-12T00:00:00"/>
    <x v="1"/>
    <s v="No"/>
    <s v="No"/>
    <x v="0"/>
    <x v="0"/>
    <s v="No"/>
  </r>
  <r>
    <s v="C2012"/>
    <s v="Divya Kumar"/>
    <s v="Female"/>
    <n v="71"/>
    <x v="9"/>
    <x v="0"/>
    <x v="11"/>
    <n v="549"/>
    <n v="10980"/>
    <x v="2"/>
    <d v="2024-01-21T00:00:00"/>
    <x v="0"/>
    <s v="No"/>
    <s v="No"/>
    <x v="0"/>
    <x v="0"/>
    <s v="No"/>
  </r>
  <r>
    <s v="C2013"/>
    <s v="Pooja Pandey"/>
    <s v="Unknown"/>
    <n v="38"/>
    <x v="11"/>
    <x v="2"/>
    <x v="38"/>
    <n v="599"/>
    <n v="31148"/>
    <x v="1"/>
    <d v="2021-06-16T00:00:00"/>
    <x v="0"/>
    <s v="No"/>
    <s v="No"/>
    <x v="0"/>
    <x v="0"/>
    <s v="No"/>
  </r>
  <r>
    <s v="C2014"/>
    <s v="Karan Saxena"/>
    <s v="Male"/>
    <n v="24"/>
    <x v="7"/>
    <x v="2"/>
    <x v="57"/>
    <n v="1299"/>
    <n v="38970"/>
    <x v="0"/>
    <d v="2023-03-15T00:00:00"/>
    <x v="1"/>
    <s v="No"/>
    <s v="No"/>
    <x v="0"/>
    <x v="0"/>
    <s v="No"/>
  </r>
  <r>
    <s v="C2015"/>
    <s v="Deepak Tiwari"/>
    <s v="Male"/>
    <n v="22"/>
    <x v="3"/>
    <x v="1"/>
    <x v="13"/>
    <n v="749"/>
    <n v="3745"/>
    <x v="1"/>
    <d v="2025-04-05T00:00:00"/>
    <x v="0"/>
    <s v="No"/>
    <s v="No"/>
    <x v="0"/>
    <x v="0"/>
    <s v="No"/>
  </r>
  <r>
    <s v="C2016"/>
    <s v="Arjun Joshi"/>
    <s v="Male"/>
    <n v="24"/>
    <x v="14"/>
    <x v="0"/>
    <x v="26"/>
    <n v="799"/>
    <n v="16779"/>
    <x v="1"/>
    <d v="2023-12-23T00:00:00"/>
    <x v="1"/>
    <s v="No"/>
    <s v="No"/>
    <x v="0"/>
    <x v="0"/>
    <s v="No"/>
  </r>
  <r>
    <s v="C2017"/>
    <s v="Aditi Nair"/>
    <s v="Female"/>
    <n v="30"/>
    <x v="14"/>
    <x v="0"/>
    <x v="27"/>
    <n v="349"/>
    <n v="2443"/>
    <x v="2"/>
    <d v="2025-02-09T00:00:00"/>
    <x v="0"/>
    <s v="No"/>
    <s v="No"/>
    <x v="0"/>
    <x v="0"/>
    <s v="No"/>
  </r>
  <r>
    <s v="C2018"/>
    <s v="Sanjay Verma"/>
    <s v="Male"/>
    <n v="69"/>
    <x v="8"/>
    <x v="2"/>
    <x v="62"/>
    <n v="1149"/>
    <n v="60897"/>
    <x v="0"/>
    <d v="2021-05-01T00:00:00"/>
    <x v="0"/>
    <s v="No"/>
    <s v="No"/>
    <x v="0"/>
    <x v="0"/>
    <s v="No"/>
  </r>
  <r>
    <s v="C2019"/>
    <s v="Deepika Mehta"/>
    <s v="Female"/>
    <n v="54"/>
    <x v="6"/>
    <x v="0"/>
    <x v="11"/>
    <n v="1299"/>
    <n v="25980"/>
    <x v="0"/>
    <d v="2024-01-23T00:00:00"/>
    <x v="0"/>
    <s v="No"/>
    <s v="No"/>
    <x v="0"/>
    <x v="0"/>
    <s v="No"/>
  </r>
  <r>
    <s v="C2020"/>
    <s v="Divya Kumar"/>
    <s v="Female"/>
    <n v="54"/>
    <x v="10"/>
    <x v="0"/>
    <x v="32"/>
    <n v="1099"/>
    <n v="4396"/>
    <x v="0"/>
    <d v="2025-05-14T00:00:00"/>
    <x v="1"/>
    <s v="No"/>
    <s v="No"/>
    <x v="1"/>
    <x v="0"/>
    <s v="No"/>
  </r>
  <r>
    <s v="C2021"/>
    <s v="Priya Nair"/>
    <s v="Female"/>
    <n v="70"/>
    <x v="5"/>
    <x v="2"/>
    <x v="70"/>
    <n v="599"/>
    <n v="27554"/>
    <x v="1"/>
    <d v="2021-12-16T00:00:00"/>
    <x v="0"/>
    <s v="No"/>
    <s v="No"/>
    <x v="0"/>
    <x v="0"/>
    <s v="No"/>
  </r>
  <r>
    <s v="C2022"/>
    <s v="Mohit Yadav"/>
    <s v="Male"/>
    <n v="50"/>
    <x v="5"/>
    <x v="0"/>
    <x v="23"/>
    <n v="599"/>
    <n v="13777"/>
    <x v="1"/>
    <d v="2023-10-31T00:00:00"/>
    <x v="2"/>
    <s v="No"/>
    <s v="No"/>
    <x v="0"/>
    <x v="0"/>
    <s v="Churn unknown"/>
  </r>
  <r>
    <s v="C2023"/>
    <s v="Amit Joshi"/>
    <s v="Male"/>
    <n v="44"/>
    <x v="5"/>
    <x v="0"/>
    <x v="22"/>
    <n v="549"/>
    <n v="1098"/>
    <x v="2"/>
    <d v="2025-07-20T00:00:00"/>
    <x v="0"/>
    <s v="No"/>
    <s v="No"/>
    <x v="0"/>
    <x v="0"/>
    <s v="No"/>
  </r>
  <r>
    <s v="C2024"/>
    <s v="Manish Desai"/>
    <s v="Male"/>
    <n v="22"/>
    <x v="13"/>
    <x v="2"/>
    <x v="13"/>
    <n v="499"/>
    <n v="2495"/>
    <x v="2"/>
    <d v="2025-04-12T00:00:00"/>
    <x v="0"/>
    <s v="No"/>
    <s v="No"/>
    <x v="0"/>
    <x v="0"/>
    <s v="No"/>
  </r>
  <r>
    <s v="C2025"/>
    <s v="Sachin Desai"/>
    <s v="Male"/>
    <n v="26"/>
    <x v="5"/>
    <x v="1"/>
    <x v="47"/>
    <n v="799"/>
    <n v="25568"/>
    <x v="1"/>
    <m/>
    <x v="0"/>
    <s v="No"/>
    <s v="No"/>
    <x v="0"/>
    <x v="0"/>
    <s v="Date missing"/>
  </r>
  <r>
    <s v="C2026"/>
    <s v="Rahul Verma"/>
    <s v="Male"/>
    <n v="19"/>
    <x v="13"/>
    <x v="1"/>
    <x v="25"/>
    <n v="899"/>
    <n v="35061"/>
    <x v="1"/>
    <d v="2022-07-15T00:00:00"/>
    <x v="0"/>
    <s v="No"/>
    <s v="No"/>
    <x v="0"/>
    <x v="0"/>
    <s v="No"/>
  </r>
  <r>
    <s v="C2027"/>
    <s v="Divya Pandey"/>
    <s v="Female"/>
    <n v="26"/>
    <x v="12"/>
    <x v="1"/>
    <x v="28"/>
    <n v="899"/>
    <n v="7192"/>
    <x v="0"/>
    <d v="2025-01-20T00:00:00"/>
    <x v="0"/>
    <s v="No"/>
    <s v="No"/>
    <x v="0"/>
    <x v="0"/>
    <s v="No"/>
  </r>
  <r>
    <s v="C2028"/>
    <s v="Deepika Joshi"/>
    <s v="Female"/>
    <n v="45"/>
    <x v="3"/>
    <x v="0"/>
    <x v="21"/>
    <n v="649"/>
    <n v="649"/>
    <x v="1"/>
    <d v="2025-08-04T00:00:00"/>
    <x v="1"/>
    <s v="No"/>
    <s v="No"/>
    <x v="1"/>
    <x v="0"/>
    <s v="No"/>
  </r>
  <r>
    <s v="C2029"/>
    <s v="Manish Verma"/>
    <s v="Male"/>
    <n v="22"/>
    <x v="3"/>
    <x v="0"/>
    <x v="22"/>
    <n v="699"/>
    <n v="1398"/>
    <x v="1"/>
    <d v="2025-07-23T00:00:00"/>
    <x v="0"/>
    <s v="No"/>
    <s v="No"/>
    <x v="0"/>
    <x v="0"/>
    <s v="No"/>
  </r>
  <r>
    <s v="C2030"/>
    <s v="Pooja Yadav"/>
    <s v="Female"/>
    <n v="43"/>
    <x v="7"/>
    <x v="1"/>
    <x v="13"/>
    <n v="1149"/>
    <n v="5745"/>
    <x v="0"/>
    <d v="2025-04-08T00:00:00"/>
    <x v="0"/>
    <s v="No"/>
    <s v="No"/>
    <x v="0"/>
    <x v="0"/>
    <s v="No"/>
  </r>
  <r>
    <s v="C2031"/>
    <s v="Ritu Kapoor"/>
    <s v="Female"/>
    <n v="63"/>
    <x v="5"/>
    <x v="2"/>
    <x v="7"/>
    <n v="1199"/>
    <n v="45562"/>
    <x v="0"/>
    <d v="2022-08-07T00:00:00"/>
    <x v="0"/>
    <s v="No"/>
    <s v="No"/>
    <x v="0"/>
    <x v="0"/>
    <s v="No"/>
  </r>
  <r>
    <s v="C2032"/>
    <s v="Sonal Jain"/>
    <s v="Female"/>
    <n v="24"/>
    <x v="3"/>
    <x v="0"/>
    <x v="11"/>
    <n v="1049"/>
    <n v="20980"/>
    <x v="0"/>
    <d v="2024-02-02T00:00:00"/>
    <x v="1"/>
    <s v="No"/>
    <s v="No"/>
    <x v="0"/>
    <x v="0"/>
    <s v="No"/>
  </r>
  <r>
    <s v="C2033"/>
    <s v="Harsh Agarwal"/>
    <s v="Male"/>
    <n v="53"/>
    <x v="0"/>
    <x v="0"/>
    <x v="13"/>
    <n v="999"/>
    <n v="4995"/>
    <x v="0"/>
    <d v="2025-04-17T00:00:00"/>
    <x v="0"/>
    <s v="No"/>
    <s v="No"/>
    <x v="0"/>
    <x v="0"/>
    <s v="No"/>
  </r>
  <r>
    <s v="C2034"/>
    <s v="Rahul Desai"/>
    <s v="Male"/>
    <n v="71"/>
    <x v="3"/>
    <x v="0"/>
    <x v="4"/>
    <n v="899"/>
    <n v="8990"/>
    <x v="0"/>
    <d v="2024-11-13T00:00:00"/>
    <x v="1"/>
    <s v="No"/>
    <s v="Yes"/>
    <x v="0"/>
    <x v="0"/>
    <s v="No"/>
  </r>
  <r>
    <s v="C2035"/>
    <s v="Komal Sharma"/>
    <s v="Female"/>
    <n v="73"/>
    <x v="12"/>
    <x v="0"/>
    <x v="27"/>
    <n v="749"/>
    <n v="5243"/>
    <x v="1"/>
    <d v="2025-02-09T00:00:00"/>
    <x v="0"/>
    <s v="No"/>
    <s v="No"/>
    <x v="0"/>
    <x v="0"/>
    <s v="No"/>
  </r>
  <r>
    <s v="C2036"/>
    <s v="Sneha Mishra"/>
    <s v="Female"/>
    <n v="66"/>
    <x v="2"/>
    <x v="2"/>
    <x v="69"/>
    <n v="549"/>
    <n v="24156"/>
    <x v="2"/>
    <d v="2022-02-16T00:00:00"/>
    <x v="0"/>
    <s v="No"/>
    <s v="No"/>
    <x v="0"/>
    <x v="0"/>
    <s v="No"/>
  </r>
  <r>
    <s v="C2037"/>
    <s v="Riya Tiwari"/>
    <s v="Female"/>
    <n v="73"/>
    <x v="12"/>
    <x v="1"/>
    <x v="32"/>
    <n v="549"/>
    <n v="2196"/>
    <x v="2"/>
    <d v="2025-05-08T00:00:00"/>
    <x v="0"/>
    <s v="No"/>
    <s v="No"/>
    <x v="0"/>
    <x v="0"/>
    <s v="No"/>
  </r>
  <r>
    <s v="C2038"/>
    <s v="Sonal Kapoor"/>
    <s v="Female"/>
    <n v="45"/>
    <x v="11"/>
    <x v="1"/>
    <x v="10"/>
    <n v="1099"/>
    <n v="18683"/>
    <x v="0"/>
    <d v="2024-04-07T00:00:00"/>
    <x v="0"/>
    <s v="No"/>
    <s v="No"/>
    <x v="0"/>
    <x v="1"/>
    <s v="No"/>
  </r>
  <r>
    <s v="C2039"/>
    <s v="Rohit Sharma"/>
    <s v="Male"/>
    <n v="35"/>
    <x v="13"/>
    <x v="1"/>
    <x v="36"/>
    <n v="899"/>
    <n v="14384"/>
    <x v="3"/>
    <d v="2024-05-24T00:00:00"/>
    <x v="0"/>
    <s v="No"/>
    <s v="No"/>
    <x v="0"/>
    <x v="0"/>
    <s v="No"/>
  </r>
  <r>
    <s v="C2040"/>
    <s v="Pankaj Malhotra"/>
    <s v="Male"/>
    <n v="41"/>
    <x v="10"/>
    <x v="1"/>
    <x v="25"/>
    <n v="899"/>
    <n v="35061"/>
    <x v="0"/>
    <d v="2022-07-06T00:00:00"/>
    <x v="0"/>
    <s v="No"/>
    <s v="No"/>
    <x v="0"/>
    <x v="0"/>
    <s v="No"/>
  </r>
  <r>
    <s v="C2041"/>
    <s v="Meera Kapoor"/>
    <s v="Female"/>
    <n v="47"/>
    <x v="3"/>
    <x v="0"/>
    <x v="16"/>
    <n v="1199"/>
    <n v="14388"/>
    <x v="0"/>
    <d v="2024-10-02T00:00:00"/>
    <x v="1"/>
    <s v="No"/>
    <s v="No"/>
    <x v="0"/>
    <x v="0"/>
    <s v="No"/>
  </r>
  <r>
    <s v="C2042"/>
    <s v="Suresh Yadav"/>
    <s v="Male"/>
    <n v="47"/>
    <x v="2"/>
    <x v="2"/>
    <x v="29"/>
    <n v="1299"/>
    <n v="44166"/>
    <x v="0"/>
    <d v="2022-11-28T00:00:00"/>
    <x v="0"/>
    <s v="Yes"/>
    <s v="No"/>
    <x v="0"/>
    <x v="0"/>
    <s v="No"/>
  </r>
  <r>
    <s v="C2043"/>
    <s v="Manish Chopra"/>
    <s v="Male"/>
    <n v="29"/>
    <x v="8"/>
    <x v="2"/>
    <x v="57"/>
    <n v="1199"/>
    <n v="35970"/>
    <x v="0"/>
    <d v="2023-03-27T00:00:00"/>
    <x v="0"/>
    <s v="No"/>
    <s v="No"/>
    <x v="0"/>
    <x v="0"/>
    <s v="No"/>
  </r>
  <r>
    <s v="C2044"/>
    <s v="Tanvi Joshi"/>
    <s v="Female"/>
    <n v="20"/>
    <x v="1"/>
    <x v="1"/>
    <x v="10"/>
    <n v="699"/>
    <n v="11883"/>
    <x v="1"/>
    <d v="2024-05-05T00:00:00"/>
    <x v="0"/>
    <s v="No"/>
    <s v="No"/>
    <x v="0"/>
    <x v="0"/>
    <s v="No"/>
  </r>
  <r>
    <s v="C2045"/>
    <s v="Aman Reddy"/>
    <s v="Unknown"/>
    <n v="22"/>
    <x v="1"/>
    <x v="0"/>
    <x v="28"/>
    <n v="1049"/>
    <n v="8392"/>
    <x v="0"/>
    <d v="2025-01-05T00:00:00"/>
    <x v="1"/>
    <s v="No"/>
    <s v="No"/>
    <x v="0"/>
    <x v="0"/>
    <s v="No"/>
  </r>
  <r>
    <s v="C2046"/>
    <s v="Neha Chopra"/>
    <s v="Female"/>
    <n v="45"/>
    <x v="10"/>
    <x v="0"/>
    <x v="16"/>
    <n v="699"/>
    <n v="8388"/>
    <x v="1"/>
    <d v="2024-09-24T00:00:00"/>
    <x v="0"/>
    <s v="No"/>
    <s v="No"/>
    <x v="0"/>
    <x v="0"/>
    <s v="No"/>
  </r>
  <r>
    <s v="C2047"/>
    <s v="Arjun Patel"/>
    <s v="Male"/>
    <n v="20"/>
    <x v="5"/>
    <x v="2"/>
    <x v="32"/>
    <n v="399"/>
    <n v="1596"/>
    <x v="2"/>
    <d v="2025-05-15T00:00:00"/>
    <x v="0"/>
    <s v="No"/>
    <s v="No"/>
    <x v="0"/>
    <x v="0"/>
    <s v="No"/>
  </r>
  <r>
    <s v="C2048"/>
    <s v="Deepika Rao"/>
    <s v="Female"/>
    <n v="71"/>
    <x v="11"/>
    <x v="0"/>
    <x v="17"/>
    <n v="1199"/>
    <n v="15587"/>
    <x v="0"/>
    <d v="2024-08-05T00:00:00"/>
    <x v="0"/>
    <s v="No"/>
    <s v="No"/>
    <x v="0"/>
    <x v="0"/>
    <s v="No"/>
  </r>
  <r>
    <s v="C2049"/>
    <s v="Rajesh Jain"/>
    <s v="Male"/>
    <n v="54"/>
    <x v="9"/>
    <x v="0"/>
    <x v="9"/>
    <n v="1299"/>
    <n v="31176"/>
    <x v="0"/>
    <d v="2023-09-20T00:00:00"/>
    <x v="0"/>
    <s v="No"/>
    <s v="No"/>
    <x v="0"/>
    <x v="0"/>
    <s v="No"/>
  </r>
  <r>
    <s v="C2050"/>
    <s v="Payal Jain"/>
    <s v="Female"/>
    <n v="46"/>
    <x v="2"/>
    <x v="0"/>
    <x v="4"/>
    <n v="399"/>
    <n v="3990"/>
    <x v="2"/>
    <d v="2024-11-21T00:00:00"/>
    <x v="0"/>
    <s v="No"/>
    <s v="No"/>
    <x v="0"/>
    <x v="0"/>
    <s v="No"/>
  </r>
  <r>
    <s v="C2051"/>
    <s v="Ankit Joshi"/>
    <s v="Male"/>
    <n v="65"/>
    <x v="4"/>
    <x v="1"/>
    <x v="19"/>
    <n v="899"/>
    <n v="24273"/>
    <x v="0"/>
    <d v="2023-07-09T00:00:00"/>
    <x v="0"/>
    <s v="No"/>
    <s v="No"/>
    <x v="0"/>
    <x v="0"/>
    <s v="No"/>
  </r>
  <r>
    <s v="C2052"/>
    <s v="Komal Yadav"/>
    <s v="Female"/>
    <n v="32"/>
    <x v="7"/>
    <x v="1"/>
    <x v="35"/>
    <n v="799"/>
    <n v="7191"/>
    <x v="1"/>
    <d v="2024-12-11T00:00:00"/>
    <x v="0"/>
    <s v="No"/>
    <s v="No"/>
    <x v="0"/>
    <x v="0"/>
    <s v="No"/>
  </r>
  <r>
    <s v="C2053"/>
    <s v="Pankaj Malhotra"/>
    <s v="Male"/>
    <n v="68"/>
    <x v="5"/>
    <x v="0"/>
    <x v="33"/>
    <n v="749"/>
    <n v="10486"/>
    <x v="1"/>
    <d v="2024-07-15T00:00:00"/>
    <x v="0"/>
    <s v="No"/>
    <s v="No"/>
    <x v="0"/>
    <x v="0"/>
    <s v="No"/>
  </r>
  <r>
    <s v="C2054"/>
    <s v="Arjun Kapoor"/>
    <s v="Male"/>
    <n v="18"/>
    <x v="8"/>
    <x v="0"/>
    <x v="30"/>
    <n v="849"/>
    <n v="15282"/>
    <x v="1"/>
    <d v="2024-04-05T00:00:00"/>
    <x v="1"/>
    <s v="No"/>
    <s v="No"/>
    <x v="0"/>
    <x v="0"/>
    <s v="No"/>
  </r>
  <r>
    <s v="C2055"/>
    <s v="Priya Pandey"/>
    <s v="Female"/>
    <n v="28"/>
    <x v="4"/>
    <x v="0"/>
    <x v="17"/>
    <n v="399"/>
    <n v="5187"/>
    <x v="2"/>
    <d v="2024-08-17T00:00:00"/>
    <x v="1"/>
    <s v="No"/>
    <s v="No"/>
    <x v="0"/>
    <x v="0"/>
    <s v="No"/>
  </r>
  <r>
    <s v="C2056"/>
    <s v="Harsh Reddy"/>
    <s v="Male"/>
    <n v="39"/>
    <x v="6"/>
    <x v="2"/>
    <x v="33"/>
    <n v="899"/>
    <n v="12586"/>
    <x v="0"/>
    <d v="2024-07-24T00:00:00"/>
    <x v="0"/>
    <s v="No"/>
    <s v="No"/>
    <x v="0"/>
    <x v="0"/>
    <s v="No"/>
  </r>
  <r>
    <s v="C2057"/>
    <s v="Nisha Chopra"/>
    <s v="Female"/>
    <n v="46"/>
    <x v="10"/>
    <x v="2"/>
    <x v="66"/>
    <n v="849"/>
    <n v="52638"/>
    <x v="1"/>
    <d v="2020-08-07T00:00:00"/>
    <x v="0"/>
    <s v="No"/>
    <s v="No"/>
    <x v="0"/>
    <x v="0"/>
    <s v="No"/>
  </r>
  <r>
    <s v="C2058"/>
    <s v="Rohit Sharma"/>
    <s v="Male"/>
    <n v="55"/>
    <x v="11"/>
    <x v="0"/>
    <x v="17"/>
    <n v="1099"/>
    <n v="14287"/>
    <x v="0"/>
    <d v="2024-08-16T00:00:00"/>
    <x v="0"/>
    <s v="No"/>
    <s v="No"/>
    <x v="0"/>
    <x v="0"/>
    <s v="No"/>
  </r>
  <r>
    <s v="C2059"/>
    <s v="Anjali Nair"/>
    <s v="Female"/>
    <n v="37"/>
    <x v="7"/>
    <x v="0"/>
    <x v="10"/>
    <n v="1149"/>
    <n v="19533"/>
    <x v="0"/>
    <d v="2024-04-24T00:00:00"/>
    <x v="1"/>
    <s v="No"/>
    <s v="No"/>
    <x v="0"/>
    <x v="0"/>
    <s v="No"/>
  </r>
  <r>
    <s v="C2060"/>
    <s v="Unknown"/>
    <s v="Female"/>
    <n v="20"/>
    <x v="6"/>
    <x v="2"/>
    <x v="19"/>
    <n v="449"/>
    <n v="12123"/>
    <x v="2"/>
    <d v="2023-06-22T00:00:00"/>
    <x v="0"/>
    <s v="No"/>
    <s v="No"/>
    <x v="0"/>
    <x v="1"/>
    <s v="No"/>
  </r>
  <r>
    <s v="C2061"/>
    <s v="Anjali Patel"/>
    <s v="Female"/>
    <n v="36"/>
    <x v="8"/>
    <x v="0"/>
    <x v="8"/>
    <n v="649"/>
    <n v="9735"/>
    <x v="1"/>
    <d v="2024-06-27T00:00:00"/>
    <x v="0"/>
    <s v="No"/>
    <s v="No"/>
    <x v="0"/>
    <x v="0"/>
    <s v="No"/>
  </r>
  <r>
    <s v="C2062"/>
    <s v="Manish Saxena"/>
    <s v="Male"/>
    <n v="35"/>
    <x v="8"/>
    <x v="0"/>
    <x v="10"/>
    <n v="999"/>
    <n v="16983"/>
    <x v="0"/>
    <d v="2024-05-05T00:00:00"/>
    <x v="0"/>
    <s v="No"/>
    <s v="No"/>
    <x v="0"/>
    <x v="0"/>
    <s v="No"/>
  </r>
  <r>
    <s v="C2063"/>
    <s v="Rahul Desai"/>
    <s v="Male"/>
    <n v="71"/>
    <x v="6"/>
    <x v="0"/>
    <x v="6"/>
    <n v="749"/>
    <n v="14231"/>
    <x v="1"/>
    <d v="2024-02-10T00:00:00"/>
    <x v="0"/>
    <s v="No"/>
    <s v="No"/>
    <x v="0"/>
    <x v="0"/>
    <s v="No"/>
  </r>
  <r>
    <s v="C2064"/>
    <s v="Aditi Reddy"/>
    <s v="Female"/>
    <n v="63"/>
    <x v="14"/>
    <x v="2"/>
    <x v="55"/>
    <n v="749"/>
    <n v="41944"/>
    <x v="1"/>
    <d v="2021-02-13T00:00:00"/>
    <x v="0"/>
    <s v="No"/>
    <s v="No"/>
    <x v="0"/>
    <x v="0"/>
    <s v="No"/>
  </r>
  <r>
    <s v="C2065"/>
    <s v="Aman Kumar"/>
    <s v="Male"/>
    <n v="65"/>
    <x v="13"/>
    <x v="0"/>
    <x v="15"/>
    <n v="799"/>
    <n v="4794"/>
    <x v="1"/>
    <d v="2025-03-09T00:00:00"/>
    <x v="0"/>
    <s v="No"/>
    <s v="No"/>
    <x v="0"/>
    <x v="0"/>
    <s v="No"/>
  </r>
  <r>
    <s v="C2066"/>
    <s v="Nikhil Verma"/>
    <s v="Male"/>
    <n v="45"/>
    <x v="4"/>
    <x v="2"/>
    <x v="43"/>
    <n v="1299"/>
    <n v="53259"/>
    <x v="0"/>
    <d v="2022-04-19T00:00:00"/>
    <x v="0"/>
    <s v="No"/>
    <s v="No"/>
    <x v="0"/>
    <x v="0"/>
    <s v="No"/>
  </r>
  <r>
    <s v="C2067"/>
    <s v="Rahul Nair"/>
    <s v="Male"/>
    <n v="26"/>
    <x v="11"/>
    <x v="0"/>
    <x v="0"/>
    <n v="499"/>
    <n v="10978"/>
    <x v="2"/>
    <d v="2023-11-12T00:00:00"/>
    <x v="1"/>
    <s v="No"/>
    <s v="No"/>
    <x v="0"/>
    <x v="0"/>
    <s v="No"/>
  </r>
  <r>
    <s v="C2068"/>
    <s v="Gaurav Iyer"/>
    <s v="Male"/>
    <n v="26"/>
    <x v="0"/>
    <x v="1"/>
    <x v="29"/>
    <n v="899"/>
    <n v="30566"/>
    <x v="1"/>
    <d v="2022-12-11T00:00:00"/>
    <x v="1"/>
    <s v="No"/>
    <s v="No"/>
    <x v="0"/>
    <x v="0"/>
    <s v="No"/>
  </r>
  <r>
    <s v="C2069"/>
    <s v="Sonal Yadav"/>
    <s v="Female"/>
    <n v="31"/>
    <x v="14"/>
    <x v="0"/>
    <x v="35"/>
    <n v="1099"/>
    <n v="9891"/>
    <x v="0"/>
    <m/>
    <x v="1"/>
    <s v="No"/>
    <s v="No"/>
    <x v="0"/>
    <x v="0"/>
    <s v="Date missing"/>
  </r>
  <r>
    <s v="C2070"/>
    <s v="Payal Saxena"/>
    <s v="Female"/>
    <n v="29"/>
    <x v="10"/>
    <x v="2"/>
    <x v="61"/>
    <n v="499"/>
    <n v="31437"/>
    <x v="2"/>
    <d v="2020-07-09T00:00:00"/>
    <x v="0"/>
    <s v="No"/>
    <s v="No"/>
    <x v="0"/>
    <x v="0"/>
    <s v="No"/>
  </r>
  <r>
    <s v="C2071"/>
    <s v="Aditi Reddy"/>
    <s v="Female"/>
    <n v="32"/>
    <x v="4"/>
    <x v="2"/>
    <x v="14"/>
    <n v="449"/>
    <n v="16613"/>
    <x v="2"/>
    <d v="2022-09-01T00:00:00"/>
    <x v="0"/>
    <s v="No"/>
    <s v="No"/>
    <x v="0"/>
    <x v="0"/>
    <s v="No"/>
  </r>
  <r>
    <s v="C2072"/>
    <s v="Arjun Kapoor"/>
    <s v="Unknown"/>
    <n v="38"/>
    <x v="9"/>
    <x v="0"/>
    <x v="23"/>
    <n v="1299"/>
    <n v="29877"/>
    <x v="0"/>
    <d v="2023-10-12T00:00:00"/>
    <x v="0"/>
    <s v="No"/>
    <s v="No"/>
    <x v="0"/>
    <x v="0"/>
    <s v="No"/>
  </r>
  <r>
    <s v="C2073"/>
    <s v="Riya Tiwari"/>
    <s v="Female"/>
    <n v="61"/>
    <x v="0"/>
    <x v="0"/>
    <x v="27"/>
    <n v="899"/>
    <n v="6293"/>
    <x v="1"/>
    <d v="2025-02-06T00:00:00"/>
    <x v="1"/>
    <s v="No"/>
    <s v="No"/>
    <x v="0"/>
    <x v="0"/>
    <s v="No"/>
  </r>
  <r>
    <s v="C2074"/>
    <s v="Kavita Saxena"/>
    <s v="Female"/>
    <n v="38"/>
    <x v="12"/>
    <x v="0"/>
    <x v="17"/>
    <n v="899"/>
    <n v="11687"/>
    <x v="0"/>
    <d v="2024-08-27T00:00:00"/>
    <x v="0"/>
    <s v="No"/>
    <s v="No"/>
    <x v="1"/>
    <x v="0"/>
    <s v="No"/>
  </r>
  <r>
    <s v="C2075"/>
    <s v="Sneha Iyer"/>
    <s v="Female"/>
    <n v="46"/>
    <x v="12"/>
    <x v="0"/>
    <x v="30"/>
    <n v="349"/>
    <n v="6282"/>
    <x v="2"/>
    <d v="2024-03-18T00:00:00"/>
    <x v="0"/>
    <s v="No"/>
    <s v="No"/>
    <x v="0"/>
    <x v="0"/>
    <s v="No"/>
  </r>
  <r>
    <s v="C2076"/>
    <s v="Pooja Yadav"/>
    <s v="Female"/>
    <n v="52"/>
    <x v="3"/>
    <x v="2"/>
    <x v="52"/>
    <n v="599"/>
    <n v="29351"/>
    <x v="1"/>
    <d v="2021-08-26T00:00:00"/>
    <x v="0"/>
    <s v="No"/>
    <s v="No"/>
    <x v="0"/>
    <x v="0"/>
    <s v="No"/>
  </r>
  <r>
    <s v="C2077"/>
    <s v="Amit Jain"/>
    <s v="Male"/>
    <n v="31"/>
    <x v="2"/>
    <x v="0"/>
    <x v="30"/>
    <n v="399"/>
    <n v="7182"/>
    <x v="2"/>
    <d v="2024-04-01T00:00:00"/>
    <x v="1"/>
    <s v="No"/>
    <s v="No"/>
    <x v="1"/>
    <x v="0"/>
    <s v="No"/>
  </r>
  <r>
    <s v="C2078"/>
    <s v="Swati Tiwari"/>
    <s v="Female"/>
    <n v="31"/>
    <x v="1"/>
    <x v="1"/>
    <x v="24"/>
    <n v="549"/>
    <n v="1647"/>
    <x v="2"/>
    <d v="2025-06-18T00:00:00"/>
    <x v="1"/>
    <s v="No"/>
    <s v="No"/>
    <x v="0"/>
    <x v="0"/>
    <s v="No"/>
  </r>
  <r>
    <s v="C2079"/>
    <s v="Unknown"/>
    <s v="Female"/>
    <n v="36"/>
    <x v="5"/>
    <x v="0"/>
    <x v="23"/>
    <n v="899"/>
    <n v="20677"/>
    <x v="0"/>
    <d v="2023-10-13T00:00:00"/>
    <x v="0"/>
    <s v="No"/>
    <s v="No"/>
    <x v="0"/>
    <x v="0"/>
    <s v="No"/>
  </r>
  <r>
    <s v="C2080"/>
    <s v="Divya Singh"/>
    <s v="Female"/>
    <n v="70"/>
    <x v="14"/>
    <x v="2"/>
    <x v="4"/>
    <n v="499"/>
    <n v="4990"/>
    <x v="2"/>
    <d v="2024-11-09T00:00:00"/>
    <x v="1"/>
    <s v="No"/>
    <s v="No"/>
    <x v="0"/>
    <x v="0"/>
    <s v="No"/>
  </r>
  <r>
    <s v="C2081"/>
    <s v="Karan Agarwal"/>
    <s v="Male"/>
    <n v="55"/>
    <x v="13"/>
    <x v="0"/>
    <x v="4"/>
    <n v="499"/>
    <n v="4990"/>
    <x v="2"/>
    <d v="2024-12-02T00:00:00"/>
    <x v="0"/>
    <s v="No"/>
    <s v="No"/>
    <x v="0"/>
    <x v="0"/>
    <s v="No"/>
  </r>
  <r>
    <s v="C2082"/>
    <s v="Kavita Kapoor"/>
    <s v="Female"/>
    <n v="30"/>
    <x v="4"/>
    <x v="0"/>
    <x v="36"/>
    <n v="1049"/>
    <n v="16784"/>
    <x v="0"/>
    <d v="2024-05-23T00:00:00"/>
    <x v="1"/>
    <s v="No"/>
    <s v="No"/>
    <x v="0"/>
    <x v="0"/>
    <s v="No"/>
  </r>
  <r>
    <s v="C2083"/>
    <s v="Komal Iyer"/>
    <s v="Female"/>
    <n v="62"/>
    <x v="1"/>
    <x v="0"/>
    <x v="36"/>
    <n v="1099"/>
    <n v="17584"/>
    <x v="0"/>
    <d v="2024-05-14T00:00:00"/>
    <x v="0"/>
    <s v="No"/>
    <s v="No"/>
    <x v="0"/>
    <x v="0"/>
    <s v="No"/>
  </r>
  <r>
    <s v="C2084"/>
    <s v="Unknown"/>
    <s v="Male"/>
    <n v="54"/>
    <x v="10"/>
    <x v="0"/>
    <x v="16"/>
    <n v="749"/>
    <n v="8988"/>
    <x v="1"/>
    <d v="2024-09-23T00:00:00"/>
    <x v="2"/>
    <s v="No"/>
    <s v="No"/>
    <x v="0"/>
    <x v="0"/>
    <s v="Churn unknown"/>
  </r>
  <r>
    <s v="C2085"/>
    <s v="Vikram Reddy"/>
    <s v="Male"/>
    <n v="53"/>
    <x v="8"/>
    <x v="0"/>
    <x v="6"/>
    <n v="399"/>
    <n v="7581"/>
    <x v="2"/>
    <d v="2024-02-10T00:00:00"/>
    <x v="1"/>
    <s v="No"/>
    <s v="No"/>
    <x v="0"/>
    <x v="0"/>
    <s v="No"/>
  </r>
  <r>
    <s v="C2086"/>
    <s v="Payal Agarwal"/>
    <s v="Female"/>
    <n v="71"/>
    <x v="11"/>
    <x v="1"/>
    <x v="47"/>
    <n v="699"/>
    <n v="22368"/>
    <x v="1"/>
    <d v="2023-01-16T00:00:00"/>
    <x v="0"/>
    <s v="No"/>
    <s v="Yes"/>
    <x v="0"/>
    <x v="0"/>
    <s v="No"/>
  </r>
  <r>
    <s v="C2087"/>
    <s v="Amit Joshi"/>
    <s v="Male"/>
    <n v="62"/>
    <x v="11"/>
    <x v="1"/>
    <x v="30"/>
    <n v="549"/>
    <n v="9882"/>
    <x v="2"/>
    <d v="2024-03-20T00:00:00"/>
    <x v="0"/>
    <s v="No"/>
    <s v="No"/>
    <x v="0"/>
    <x v="0"/>
    <s v="No"/>
  </r>
  <r>
    <s v="C2088"/>
    <s v="Swati Chopra"/>
    <s v="Female"/>
    <n v="33"/>
    <x v="2"/>
    <x v="0"/>
    <x v="30"/>
    <n v="1199"/>
    <n v="21582"/>
    <x v="0"/>
    <d v="2024-03-24T00:00:00"/>
    <x v="0"/>
    <s v="No"/>
    <s v="No"/>
    <x v="0"/>
    <x v="0"/>
    <s v="No"/>
  </r>
  <r>
    <s v="C2089"/>
    <s v="Deepak Singh"/>
    <s v="Male"/>
    <n v="66"/>
    <x v="3"/>
    <x v="0"/>
    <x v="15"/>
    <n v="1099"/>
    <n v="6594"/>
    <x v="0"/>
    <d v="2025-03-19T00:00:00"/>
    <x v="1"/>
    <s v="No"/>
    <s v="No"/>
    <x v="0"/>
    <x v="0"/>
    <s v="No"/>
  </r>
  <r>
    <s v="C2090"/>
    <s v="Meera Chopra"/>
    <s v="Female"/>
    <n v="69"/>
    <x v="1"/>
    <x v="0"/>
    <x v="30"/>
    <n v="1099"/>
    <n v="19782"/>
    <x v="0"/>
    <d v="2024-03-24T00:00:00"/>
    <x v="1"/>
    <s v="No"/>
    <s v="No"/>
    <x v="0"/>
    <x v="0"/>
    <s v="No"/>
  </r>
  <r>
    <s v="C2091"/>
    <s v="Kavita Jain"/>
    <s v="Female"/>
    <n v="38"/>
    <x v="11"/>
    <x v="2"/>
    <x v="0"/>
    <n v="1049"/>
    <n v="23078"/>
    <x v="0"/>
    <d v="2023-11-13T00:00:00"/>
    <x v="0"/>
    <s v="No"/>
    <s v="No"/>
    <x v="1"/>
    <x v="0"/>
    <s v="No"/>
  </r>
  <r>
    <s v="C2092"/>
    <s v="Payal Yadav"/>
    <s v="Female"/>
    <n v="34"/>
    <x v="7"/>
    <x v="0"/>
    <x v="9"/>
    <n v="399"/>
    <n v="9576"/>
    <x v="2"/>
    <d v="2023-09-17T00:00:00"/>
    <x v="1"/>
    <s v="No"/>
    <s v="Yes"/>
    <x v="0"/>
    <x v="0"/>
    <s v="No"/>
  </r>
  <r>
    <s v="C2093"/>
    <s v="Priya Joshi"/>
    <s v="Female"/>
    <n v="44"/>
    <x v="8"/>
    <x v="0"/>
    <x v="21"/>
    <n v="699"/>
    <n v="699"/>
    <x v="1"/>
    <d v="2025-08-26T00:00:00"/>
    <x v="1"/>
    <s v="No"/>
    <s v="No"/>
    <x v="0"/>
    <x v="0"/>
    <s v="No"/>
  </r>
  <r>
    <s v="C2094"/>
    <s v="Swati Reddy"/>
    <s v="Female"/>
    <n v="21"/>
    <x v="11"/>
    <x v="0"/>
    <x v="16"/>
    <n v="849"/>
    <n v="10188"/>
    <x v="1"/>
    <d v="2024-10-03T00:00:00"/>
    <x v="1"/>
    <s v="No"/>
    <s v="No"/>
    <x v="0"/>
    <x v="0"/>
    <s v="No"/>
  </r>
  <r>
    <s v="C2095"/>
    <s v="Unknown"/>
    <s v="Male"/>
    <n v="70"/>
    <x v="6"/>
    <x v="0"/>
    <x v="16"/>
    <n v="1299"/>
    <n v="15588"/>
    <x v="0"/>
    <d v="2024-09-16T00:00:00"/>
    <x v="0"/>
    <s v="No"/>
    <s v="No"/>
    <x v="0"/>
    <x v="0"/>
    <s v="No"/>
  </r>
  <r>
    <s v="C2096"/>
    <s v="Vikram Bose"/>
    <s v="Male"/>
    <n v="27"/>
    <x v="4"/>
    <x v="1"/>
    <x v="10"/>
    <n v="799"/>
    <n v="13583"/>
    <x v="1"/>
    <m/>
    <x v="0"/>
    <s v="No"/>
    <s v="No"/>
    <x v="0"/>
    <x v="0"/>
    <s v="Date missing"/>
  </r>
  <r>
    <s v="C2097"/>
    <s v="Swati Bose"/>
    <s v="Female"/>
    <n v="67"/>
    <x v="6"/>
    <x v="1"/>
    <x v="64"/>
    <n v="849"/>
    <n v="33960"/>
    <x v="1"/>
    <d v="2022-05-22T00:00:00"/>
    <x v="0"/>
    <s v="No"/>
    <s v="Yes"/>
    <x v="0"/>
    <x v="0"/>
    <s v="No"/>
  </r>
  <r>
    <s v="C2098"/>
    <s v="Sanjay Kumar"/>
    <s v="Male"/>
    <n v="69"/>
    <x v="11"/>
    <x v="0"/>
    <x v="21"/>
    <n v="699"/>
    <n v="699"/>
    <x v="1"/>
    <d v="2025-08-04T00:00:00"/>
    <x v="1"/>
    <s v="No"/>
    <s v="No"/>
    <x v="1"/>
    <x v="0"/>
    <s v="No"/>
  </r>
  <r>
    <s v="C2099"/>
    <s v="Nisha Saxena"/>
    <s v="Female"/>
    <n v="48"/>
    <x v="2"/>
    <x v="0"/>
    <x v="28"/>
    <n v="1099"/>
    <n v="8792"/>
    <x v="0"/>
    <d v="2025-01-09T00:00:00"/>
    <x v="0"/>
    <s v="No"/>
    <s v="No"/>
    <x v="0"/>
    <x v="0"/>
    <s v="No"/>
  </r>
  <r>
    <s v="C2100"/>
    <s v="Isha Iyer"/>
    <s v="Female"/>
    <n v="71"/>
    <x v="1"/>
    <x v="0"/>
    <x v="11"/>
    <n v="899"/>
    <n v="17980"/>
    <x v="1"/>
    <d v="2024-01-11T00:00:00"/>
    <x v="0"/>
    <s v="No"/>
    <s v="No"/>
    <x v="0"/>
    <x v="0"/>
    <s v="No"/>
  </r>
  <r>
    <s v="C2101"/>
    <s v="Pooja Tiwari"/>
    <s v="Female"/>
    <n v="53"/>
    <x v="7"/>
    <x v="0"/>
    <x v="0"/>
    <n v="1149"/>
    <n v="25278"/>
    <x v="0"/>
    <d v="2023-12-03T00:00:00"/>
    <x v="0"/>
    <s v="No"/>
    <s v="No"/>
    <x v="1"/>
    <x v="0"/>
    <s v="No"/>
  </r>
  <r>
    <s v="C2102"/>
    <s v="Aman Kapoor"/>
    <s v="Male"/>
    <n v="67"/>
    <x v="9"/>
    <x v="0"/>
    <x v="11"/>
    <n v="999"/>
    <n v="19980"/>
    <x v="0"/>
    <d v="2024-01-08T00:00:00"/>
    <x v="1"/>
    <s v="No"/>
    <s v="No"/>
    <x v="0"/>
    <x v="0"/>
    <s v="No"/>
  </r>
  <r>
    <s v="C2103"/>
    <s v="Sanjay Kapoor"/>
    <s v="Male"/>
    <n v="41"/>
    <x v="1"/>
    <x v="0"/>
    <x v="2"/>
    <n v="1049"/>
    <n v="11539"/>
    <x v="0"/>
    <d v="2024-11-02T00:00:00"/>
    <x v="0"/>
    <s v="No"/>
    <s v="No"/>
    <x v="1"/>
    <x v="0"/>
    <s v="No"/>
  </r>
  <r>
    <s v="C2104"/>
    <s v="Sneha Chopra"/>
    <s v="Female"/>
    <n v="35"/>
    <x v="9"/>
    <x v="0"/>
    <x v="23"/>
    <n v="849"/>
    <n v="19527"/>
    <x v="1"/>
    <d v="2023-10-21T00:00:00"/>
    <x v="0"/>
    <s v="No"/>
    <s v="No"/>
    <x v="0"/>
    <x v="0"/>
    <s v="No"/>
  </r>
  <r>
    <s v="C2105"/>
    <s v="Gaurav Yadav"/>
    <s v="Male"/>
    <n v="58"/>
    <x v="7"/>
    <x v="0"/>
    <x v="26"/>
    <n v="1149"/>
    <n v="24129"/>
    <x v="0"/>
    <d v="2024-01-07T00:00:00"/>
    <x v="1"/>
    <s v="No"/>
    <s v="No"/>
    <x v="0"/>
    <x v="0"/>
    <s v="No"/>
  </r>
  <r>
    <s v="C2106"/>
    <s v="Arjun Singh"/>
    <s v="Male"/>
    <n v="23"/>
    <x v="12"/>
    <x v="2"/>
    <x v="71"/>
    <n v="849"/>
    <n v="48393"/>
    <x v="1"/>
    <d v="2020-12-26T00:00:00"/>
    <x v="0"/>
    <s v="No"/>
    <s v="No"/>
    <x v="0"/>
    <x v="0"/>
    <s v="No"/>
  </r>
  <r>
    <s v="C2107"/>
    <s v="Deepika Chopra"/>
    <s v="Female"/>
    <n v="57"/>
    <x v="14"/>
    <x v="0"/>
    <x v="2"/>
    <n v="549"/>
    <n v="6039"/>
    <x v="2"/>
    <d v="2024-10-22T00:00:00"/>
    <x v="0"/>
    <s v="No"/>
    <s v="No"/>
    <x v="0"/>
    <x v="0"/>
    <s v="No"/>
  </r>
  <r>
    <s v="C2108"/>
    <s v="Deepak Tiwari"/>
    <s v="Male"/>
    <n v="71"/>
    <x v="9"/>
    <x v="1"/>
    <x v="46"/>
    <n v="649"/>
    <n v="21417"/>
    <x v="1"/>
    <d v="2022-12-29T00:00:00"/>
    <x v="1"/>
    <s v="No"/>
    <s v="No"/>
    <x v="0"/>
    <x v="0"/>
    <s v="No"/>
  </r>
  <r>
    <s v="C2109"/>
    <s v="Suresh Yadav"/>
    <s v="Male"/>
    <n v="30"/>
    <x v="14"/>
    <x v="0"/>
    <x v="9"/>
    <n v="899"/>
    <n v="21576"/>
    <x v="1"/>
    <d v="2023-09-22T00:00:00"/>
    <x v="1"/>
    <s v="No"/>
    <s v="No"/>
    <x v="0"/>
    <x v="0"/>
    <s v="No"/>
  </r>
  <r>
    <s v="C2110"/>
    <s v="Anjali Joshi"/>
    <s v="Female"/>
    <n v="47"/>
    <x v="11"/>
    <x v="2"/>
    <x v="34"/>
    <n v="599"/>
    <n v="35940"/>
    <x v="1"/>
    <d v="2020-10-22T00:00:00"/>
    <x v="0"/>
    <s v="No"/>
    <s v="No"/>
    <x v="0"/>
    <x v="0"/>
    <s v="No"/>
  </r>
  <r>
    <s v="C2111"/>
    <s v="Nikhil Bose"/>
    <s v="Male"/>
    <n v="58"/>
    <x v="3"/>
    <x v="1"/>
    <x v="33"/>
    <n v="1049"/>
    <n v="14686"/>
    <x v="0"/>
    <d v="2024-07-12T00:00:00"/>
    <x v="1"/>
    <s v="No"/>
    <s v="No"/>
    <x v="0"/>
    <x v="0"/>
    <s v="No"/>
  </r>
  <r>
    <s v="C2112"/>
    <s v="Harsh Saxena"/>
    <s v="Male"/>
    <n v="59"/>
    <x v="6"/>
    <x v="0"/>
    <x v="13"/>
    <n v="899"/>
    <n v="4495"/>
    <x v="0"/>
    <d v="2025-04-26T00:00:00"/>
    <x v="0"/>
    <s v="No"/>
    <s v="No"/>
    <x v="0"/>
    <x v="1"/>
    <s v="No"/>
  </r>
  <r>
    <s v="C2113"/>
    <s v="Pooja Bose"/>
    <s v="Female"/>
    <n v="38"/>
    <x v="12"/>
    <x v="0"/>
    <x v="27"/>
    <n v="649"/>
    <n v="4543"/>
    <x v="1"/>
    <d v="2025-02-22T00:00:00"/>
    <x v="0"/>
    <s v="No"/>
    <s v="No"/>
    <x v="0"/>
    <x v="0"/>
    <s v="No"/>
  </r>
  <r>
    <s v="C2114"/>
    <s v="Gaurav Patel"/>
    <s v="Male"/>
    <n v="55"/>
    <x v="2"/>
    <x v="0"/>
    <x v="8"/>
    <n v="1199"/>
    <n v="17985"/>
    <x v="0"/>
    <d v="2024-06-09T00:00:00"/>
    <x v="1"/>
    <s v="No"/>
    <s v="No"/>
    <x v="0"/>
    <x v="0"/>
    <s v="No"/>
  </r>
  <r>
    <s v="C2115"/>
    <s v="Pooja Mishra"/>
    <s v="Female"/>
    <n v="54"/>
    <x v="0"/>
    <x v="2"/>
    <x v="14"/>
    <n v="1049"/>
    <n v="38813"/>
    <x v="0"/>
    <d v="2022-08-22T00:00:00"/>
    <x v="0"/>
    <s v="No"/>
    <s v="No"/>
    <x v="0"/>
    <x v="0"/>
    <s v="No"/>
  </r>
  <r>
    <s v="C2116"/>
    <s v="Neha Jain"/>
    <s v="Female"/>
    <n v="67"/>
    <x v="0"/>
    <x v="0"/>
    <x v="22"/>
    <n v="1149"/>
    <n v="2298"/>
    <x v="0"/>
    <d v="2025-07-16T00:00:00"/>
    <x v="1"/>
    <s v="No"/>
    <s v="No"/>
    <x v="0"/>
    <x v="0"/>
    <s v="No"/>
  </r>
  <r>
    <s v="C2117"/>
    <s v="Isha Bose"/>
    <s v="Female"/>
    <n v="42"/>
    <x v="9"/>
    <x v="1"/>
    <x v="27"/>
    <n v="849"/>
    <n v="5943"/>
    <x v="1"/>
    <d v="2025-02-15T00:00:00"/>
    <x v="0"/>
    <s v="No"/>
    <s v="No"/>
    <x v="0"/>
    <x v="0"/>
    <s v="No"/>
  </r>
  <r>
    <s v="C2118"/>
    <s v="Swati Chopra"/>
    <s v="Female"/>
    <n v="75"/>
    <x v="4"/>
    <x v="0"/>
    <x v="15"/>
    <n v="1149"/>
    <n v="6894"/>
    <x v="0"/>
    <d v="2025-03-18T00:00:00"/>
    <x v="0"/>
    <s v="No"/>
    <s v="No"/>
    <x v="0"/>
    <x v="0"/>
    <s v="No"/>
  </r>
  <r>
    <s v="C2119"/>
    <s v="Tanvi Bose"/>
    <s v="Female"/>
    <n v="62"/>
    <x v="12"/>
    <x v="1"/>
    <x v="36"/>
    <n v="1199"/>
    <n v="19184"/>
    <x v="0"/>
    <d v="2024-05-21T00:00:00"/>
    <x v="0"/>
    <s v="No"/>
    <s v="No"/>
    <x v="0"/>
    <x v="0"/>
    <s v="No"/>
  </r>
  <r>
    <s v="C2120"/>
    <s v="Aditi Verma"/>
    <s v="Female"/>
    <n v="74"/>
    <x v="0"/>
    <x v="1"/>
    <x v="46"/>
    <n v="499"/>
    <n v="16467"/>
    <x v="2"/>
    <d v="2022-12-25T00:00:00"/>
    <x v="0"/>
    <s v="No"/>
    <s v="No"/>
    <x v="0"/>
    <x v="0"/>
    <s v="No"/>
  </r>
  <r>
    <s v="C2121"/>
    <s v="Tanvi Sharma"/>
    <s v="Female"/>
    <n v="28"/>
    <x v="1"/>
    <x v="0"/>
    <x v="12"/>
    <m/>
    <n v="16980"/>
    <x v="1"/>
    <d v="2024-01-19T00:00:00"/>
    <x v="0"/>
    <s v="No"/>
    <s v="No"/>
    <x v="0"/>
    <x v="0"/>
    <s v="Monthly missing; Tenure missing"/>
  </r>
  <r>
    <s v="C2122"/>
    <s v="Rohit Saxena"/>
    <s v="Male"/>
    <n v="39"/>
    <x v="13"/>
    <x v="2"/>
    <x v="64"/>
    <n v="399"/>
    <n v="15960"/>
    <x v="2"/>
    <d v="2022-06-02T00:00:00"/>
    <x v="0"/>
    <s v="No"/>
    <s v="No"/>
    <x v="0"/>
    <x v="0"/>
    <s v="No"/>
  </r>
  <r>
    <s v="C2123"/>
    <s v="Meera Kapoor"/>
    <s v="Female"/>
    <n v="18"/>
    <x v="9"/>
    <x v="0"/>
    <x v="4"/>
    <n v="399"/>
    <n v="3990"/>
    <x v="2"/>
    <d v="2024-11-26T00:00:00"/>
    <x v="1"/>
    <s v="No"/>
    <s v="No"/>
    <x v="0"/>
    <x v="0"/>
    <s v="No"/>
  </r>
  <r>
    <s v="C2124"/>
    <s v="Neha Agarwal"/>
    <s v="Female"/>
    <n v="33"/>
    <x v="8"/>
    <x v="1"/>
    <x v="9"/>
    <n v="399"/>
    <n v="9576"/>
    <x v="2"/>
    <d v="2023-09-24T00:00:00"/>
    <x v="0"/>
    <s v="No"/>
    <s v="No"/>
    <x v="0"/>
    <x v="0"/>
    <s v="No"/>
  </r>
  <r>
    <s v="C2125"/>
    <s v="Deepika Desai"/>
    <s v="Female"/>
    <n v="60"/>
    <x v="12"/>
    <x v="2"/>
    <x v="17"/>
    <n v="999"/>
    <n v="12987"/>
    <x v="0"/>
    <d v="2024-08-30T00:00:00"/>
    <x v="0"/>
    <s v="No"/>
    <s v="No"/>
    <x v="0"/>
    <x v="0"/>
    <s v="No"/>
  </r>
  <r>
    <s v="C2126"/>
    <s v="Swati Iyer"/>
    <s v="Female"/>
    <n v="47"/>
    <x v="9"/>
    <x v="1"/>
    <x v="42"/>
    <n v="899"/>
    <n v="23374"/>
    <x v="0"/>
    <d v="2023-07-18T00:00:00"/>
    <x v="0"/>
    <s v="Yes"/>
    <s v="No"/>
    <x v="0"/>
    <x v="0"/>
    <s v="No"/>
  </r>
  <r>
    <s v="C2127"/>
    <s v="Manish Yadav"/>
    <s v="Male"/>
    <n v="29"/>
    <x v="10"/>
    <x v="0"/>
    <x v="10"/>
    <n v="899"/>
    <n v="15283"/>
    <x v="0"/>
    <d v="2024-04-24T00:00:00"/>
    <x v="0"/>
    <s v="No"/>
    <s v="No"/>
    <x v="0"/>
    <x v="0"/>
    <s v="No"/>
  </r>
  <r>
    <s v="C2128"/>
    <s v="Manish Singh"/>
    <s v="Male"/>
    <n v="49"/>
    <x v="0"/>
    <x v="0"/>
    <x v="24"/>
    <n v="699"/>
    <n v="2097"/>
    <x v="1"/>
    <d v="2025-06-21T00:00:00"/>
    <x v="1"/>
    <s v="No"/>
    <s v="No"/>
    <x v="1"/>
    <x v="0"/>
    <s v="No"/>
  </r>
  <r>
    <s v="C2129"/>
    <s v="Divya Saxena"/>
    <s v="Female"/>
    <n v="70"/>
    <x v="7"/>
    <x v="0"/>
    <x v="33"/>
    <n v="499"/>
    <n v="6986"/>
    <x v="2"/>
    <d v="2024-07-09T00:00:00"/>
    <x v="0"/>
    <s v="No"/>
    <s v="No"/>
    <x v="1"/>
    <x v="0"/>
    <s v="No"/>
  </r>
  <r>
    <s v="C2130"/>
    <s v="Ankit Kumar"/>
    <s v="Male"/>
    <n v="40"/>
    <x v="9"/>
    <x v="1"/>
    <x v="42"/>
    <n v="1299"/>
    <n v="33774"/>
    <x v="0"/>
    <d v="2023-08-06T00:00:00"/>
    <x v="1"/>
    <s v="No"/>
    <s v="Yes"/>
    <x v="0"/>
    <x v="0"/>
    <s v="No"/>
  </r>
  <r>
    <s v="C2131"/>
    <s v="Shreya Sharma"/>
    <s v="Female"/>
    <n v="49"/>
    <x v="9"/>
    <x v="2"/>
    <x v="27"/>
    <n v="1099"/>
    <n v="7693"/>
    <x v="0"/>
    <d v="2025-02-27T00:00:00"/>
    <x v="0"/>
    <s v="No"/>
    <s v="No"/>
    <x v="0"/>
    <x v="0"/>
    <s v="No"/>
  </r>
  <r>
    <s v="C2132"/>
    <s v="Payal Patel"/>
    <s v="Female"/>
    <n v="67"/>
    <x v="7"/>
    <x v="1"/>
    <x v="9"/>
    <n v="399"/>
    <n v="9576"/>
    <x v="2"/>
    <d v="2023-09-22T00:00:00"/>
    <x v="0"/>
    <s v="No"/>
    <s v="No"/>
    <x v="0"/>
    <x v="0"/>
    <s v="No"/>
  </r>
  <r>
    <s v="C2133"/>
    <s v="Neha Singh"/>
    <s v="Female"/>
    <n v="18"/>
    <x v="2"/>
    <x v="2"/>
    <x v="29"/>
    <n v="1149"/>
    <n v="39066"/>
    <x v="0"/>
    <d v="2022-11-29T00:00:00"/>
    <x v="0"/>
    <s v="No"/>
    <s v="No"/>
    <x v="0"/>
    <x v="0"/>
    <s v="No"/>
  </r>
  <r>
    <s v="C2134"/>
    <s v="Sneha Kapoor"/>
    <s v="Female"/>
    <n v="36"/>
    <x v="3"/>
    <x v="0"/>
    <x v="16"/>
    <n v="1149"/>
    <n v="13788"/>
    <x v="0"/>
    <d v="2024-09-23T00:00:00"/>
    <x v="1"/>
    <s v="No"/>
    <s v="No"/>
    <x v="0"/>
    <x v="0"/>
    <s v="No"/>
  </r>
  <r>
    <s v="C2135"/>
    <s v="Priya Mishra"/>
    <s v="Female"/>
    <n v="35"/>
    <x v="8"/>
    <x v="0"/>
    <x v="8"/>
    <n v="1049"/>
    <n v="15735"/>
    <x v="0"/>
    <m/>
    <x v="0"/>
    <s v="No"/>
    <s v="No"/>
    <x v="0"/>
    <x v="0"/>
    <s v="Date missing"/>
  </r>
  <r>
    <s v="C2136"/>
    <s v="Sachin Agarwal"/>
    <s v="Male"/>
    <n v="43"/>
    <x v="0"/>
    <x v="0"/>
    <x v="13"/>
    <n v="999"/>
    <n v="4995"/>
    <x v="0"/>
    <d v="2025-04-23T00:00:00"/>
    <x v="1"/>
    <s v="No"/>
    <s v="No"/>
    <x v="0"/>
    <x v="0"/>
    <s v="No"/>
  </r>
  <r>
    <s v="C2137"/>
    <s v="Shreya Pandey"/>
    <s v="Female"/>
    <n v="57"/>
    <x v="0"/>
    <x v="2"/>
    <x v="60"/>
    <n v="349"/>
    <n v="23732"/>
    <x v="2"/>
    <d v="2020-02-16T00:00:00"/>
    <x v="0"/>
    <s v="No"/>
    <s v="No"/>
    <x v="0"/>
    <x v="0"/>
    <s v="No"/>
  </r>
  <r>
    <s v="C2138"/>
    <s v="Rohit Yadav"/>
    <s v="Male"/>
    <n v="64"/>
    <x v="9"/>
    <x v="2"/>
    <x v="48"/>
    <n v="849"/>
    <n v="56034"/>
    <x v="1"/>
    <d v="2020-04-04T00:00:00"/>
    <x v="0"/>
    <s v="No"/>
    <s v="No"/>
    <x v="0"/>
    <x v="0"/>
    <s v="No"/>
  </r>
  <r>
    <s v="C2139"/>
    <s v="Nisha Rao"/>
    <s v="Female"/>
    <n v="19"/>
    <x v="8"/>
    <x v="2"/>
    <x v="2"/>
    <n v="899"/>
    <n v="9889"/>
    <x v="1"/>
    <d v="2024-10-15T00:00:00"/>
    <x v="0"/>
    <s v="No"/>
    <s v="No"/>
    <x v="0"/>
    <x v="0"/>
    <s v="No"/>
  </r>
  <r>
    <s v="C2140"/>
    <s v="Aditi Yadav"/>
    <s v="Female"/>
    <n v="50"/>
    <x v="1"/>
    <x v="2"/>
    <x v="27"/>
    <n v="699"/>
    <n v="4893"/>
    <x v="1"/>
    <d v="2025-02-01T00:00:00"/>
    <x v="0"/>
    <s v="No"/>
    <s v="No"/>
    <x v="0"/>
    <x v="0"/>
    <s v="No"/>
  </r>
  <r>
    <s v="C2141"/>
    <s v="Kavita Agarwal"/>
    <s v="Female"/>
    <n v="62"/>
    <x v="13"/>
    <x v="0"/>
    <x v="22"/>
    <n v="1099"/>
    <n v="2198"/>
    <x v="0"/>
    <d v="2025-07-22T00:00:00"/>
    <x v="0"/>
    <s v="No"/>
    <s v="No"/>
    <x v="0"/>
    <x v="0"/>
    <s v="No"/>
  </r>
  <r>
    <s v="C2142"/>
    <s v="Vivek Mehta"/>
    <s v="Male"/>
    <n v="19"/>
    <x v="13"/>
    <x v="0"/>
    <x v="35"/>
    <n v="749"/>
    <n v="6741"/>
    <x v="1"/>
    <d v="2024-12-25T00:00:00"/>
    <x v="1"/>
    <s v="No"/>
    <s v="No"/>
    <x v="0"/>
    <x v="0"/>
    <s v="No"/>
  </r>
  <r>
    <s v="C2143"/>
    <s v="Nikhil Nair"/>
    <s v="Male"/>
    <n v="22"/>
    <x v="11"/>
    <x v="0"/>
    <x v="8"/>
    <n v="1099"/>
    <n v="16485"/>
    <x v="0"/>
    <d v="2024-06-23T00:00:00"/>
    <x v="1"/>
    <s v="No"/>
    <s v="No"/>
    <x v="0"/>
    <x v="0"/>
    <s v="No"/>
  </r>
  <r>
    <s v="C2144"/>
    <s v="Sonal Sharma"/>
    <s v="Female"/>
    <n v="39"/>
    <x v="2"/>
    <x v="0"/>
    <x v="13"/>
    <n v="499"/>
    <n v="2495"/>
    <x v="2"/>
    <d v="2025-04-09T00:00:00"/>
    <x v="1"/>
    <s v="No"/>
    <s v="No"/>
    <x v="0"/>
    <x v="0"/>
    <s v="No"/>
  </r>
  <r>
    <s v="C2145"/>
    <s v="Deepak Malhotra"/>
    <s v="Male"/>
    <n v="43"/>
    <x v="3"/>
    <x v="1"/>
    <x v="15"/>
    <m/>
    <m/>
    <x v="0"/>
    <m/>
    <x v="0"/>
    <s v="No"/>
    <s v="No"/>
    <x v="0"/>
    <x v="0"/>
    <s v="Monthly missing; Total missing; Date missing"/>
  </r>
  <r>
    <s v="C2146"/>
    <s v="Mohit Patel"/>
    <s v="Male"/>
    <n v="37"/>
    <x v="5"/>
    <x v="1"/>
    <x v="57"/>
    <n v="999"/>
    <n v="29970"/>
    <x v="0"/>
    <d v="2023-03-24T00:00:00"/>
    <x v="0"/>
    <s v="No"/>
    <s v="No"/>
    <x v="0"/>
    <x v="0"/>
    <s v="No"/>
  </r>
  <r>
    <s v="C2147"/>
    <s v="Tanvi Tiwari"/>
    <s v="Female"/>
    <n v="44"/>
    <x v="13"/>
    <x v="0"/>
    <x v="30"/>
    <n v="399"/>
    <n v="7182"/>
    <x v="2"/>
    <d v="2024-03-20T00:00:00"/>
    <x v="1"/>
    <s v="No"/>
    <s v="No"/>
    <x v="0"/>
    <x v="0"/>
    <s v="No"/>
  </r>
  <r>
    <s v="C2148"/>
    <s v="Deepak Yadav"/>
    <s v="Male"/>
    <n v="47"/>
    <x v="4"/>
    <x v="0"/>
    <x v="32"/>
    <n v="799"/>
    <n v="3196"/>
    <x v="1"/>
    <d v="2025-05-07T00:00:00"/>
    <x v="0"/>
    <s v="Yes"/>
    <s v="No"/>
    <x v="0"/>
    <x v="0"/>
    <s v="No"/>
  </r>
  <r>
    <s v="C2149"/>
    <s v="Sonal Tiwari"/>
    <s v="Female"/>
    <n v="40"/>
    <x v="13"/>
    <x v="0"/>
    <x v="35"/>
    <n v="449"/>
    <n v="4041"/>
    <x v="2"/>
    <m/>
    <x v="0"/>
    <s v="No"/>
    <s v="No"/>
    <x v="0"/>
    <x v="1"/>
    <s v="Date missing"/>
  </r>
  <r>
    <s v="C2150"/>
    <s v="Payal Mishra"/>
    <s v="Female"/>
    <n v="52"/>
    <x v="12"/>
    <x v="0"/>
    <x v="8"/>
    <n v="1299"/>
    <n v="19485"/>
    <x v="0"/>
    <d v="2024-06-08T00:00:00"/>
    <x v="1"/>
    <s v="No"/>
    <s v="No"/>
    <x v="1"/>
    <x v="0"/>
    <s v="No"/>
  </r>
  <r>
    <s v="C2151"/>
    <s v="Deepak Iyer"/>
    <s v="Male"/>
    <n v="18"/>
    <x v="1"/>
    <x v="2"/>
    <x v="23"/>
    <n v="899"/>
    <n v="20677"/>
    <x v="0"/>
    <d v="2023-10-26T00:00:00"/>
    <x v="0"/>
    <s v="No"/>
    <s v="No"/>
    <x v="0"/>
    <x v="0"/>
    <s v="No"/>
  </r>
  <r>
    <s v="C2152"/>
    <s v="Nisha Mehta"/>
    <s v="Female"/>
    <n v="58"/>
    <x v="3"/>
    <x v="1"/>
    <x v="64"/>
    <n v="799"/>
    <n v="31960"/>
    <x v="1"/>
    <d v="2022-06-03T00:00:00"/>
    <x v="0"/>
    <s v="No"/>
    <s v="No"/>
    <x v="0"/>
    <x v="0"/>
    <s v="No"/>
  </r>
  <r>
    <s v="C2153"/>
    <s v="Nikhil Yadav"/>
    <s v="Male"/>
    <n v="33"/>
    <x v="8"/>
    <x v="1"/>
    <x v="15"/>
    <n v="899"/>
    <n v="5394"/>
    <x v="0"/>
    <d v="2025-03-12T00:00:00"/>
    <x v="0"/>
    <s v="No"/>
    <s v="No"/>
    <x v="0"/>
    <x v="0"/>
    <s v="No"/>
  </r>
  <r>
    <s v="C2154"/>
    <s v="Sonal Jain"/>
    <s v="Female"/>
    <n v="73"/>
    <x v="0"/>
    <x v="2"/>
    <x v="53"/>
    <n v="849"/>
    <n v="40752"/>
    <x v="1"/>
    <d v="2021-09-20T00:00:00"/>
    <x v="0"/>
    <s v="No"/>
    <s v="No"/>
    <x v="0"/>
    <x v="0"/>
    <s v="No"/>
  </r>
  <r>
    <s v="C2155"/>
    <s v="Nikhil Singh"/>
    <s v="Male"/>
    <n v="47"/>
    <x v="4"/>
    <x v="2"/>
    <x v="34"/>
    <n v="749"/>
    <n v="44940"/>
    <x v="1"/>
    <d v="2020-10-17T00:00:00"/>
    <x v="0"/>
    <s v="Yes"/>
    <s v="No"/>
    <x v="0"/>
    <x v="1"/>
    <s v="No"/>
  </r>
  <r>
    <s v="C2156"/>
    <s v="Ankit Jain"/>
    <s v="Male"/>
    <n v="59"/>
    <x v="4"/>
    <x v="3"/>
    <x v="26"/>
    <n v="349"/>
    <n v="7329"/>
    <x v="2"/>
    <d v="2024-01-06T00:00:00"/>
    <x v="1"/>
    <s v="No"/>
    <s v="No"/>
    <x v="0"/>
    <x v="0"/>
    <s v="No"/>
  </r>
  <r>
    <s v="C2157"/>
    <s v="Payal Desai"/>
    <s v="Female"/>
    <n v="73"/>
    <x v="12"/>
    <x v="0"/>
    <x v="35"/>
    <n v="1149"/>
    <n v="10341"/>
    <x v="0"/>
    <d v="2024-12-13T00:00:00"/>
    <x v="0"/>
    <s v="No"/>
    <s v="No"/>
    <x v="0"/>
    <x v="0"/>
    <s v="No"/>
  </r>
  <r>
    <s v="C2158"/>
    <s v="Ankit Desai"/>
    <s v="Male"/>
    <n v="70"/>
    <x v="14"/>
    <x v="0"/>
    <x v="9"/>
    <n v="449"/>
    <n v="10776"/>
    <x v="2"/>
    <d v="2023-09-10T00:00:00"/>
    <x v="1"/>
    <s v="No"/>
    <s v="No"/>
    <x v="0"/>
    <x v="0"/>
    <s v="No"/>
  </r>
  <r>
    <s v="C2159"/>
    <s v="Nisha Reddy"/>
    <s v="Female"/>
    <n v="24"/>
    <x v="8"/>
    <x v="2"/>
    <x v="8"/>
    <n v="999"/>
    <n v="14985"/>
    <x v="0"/>
    <d v="2024-06-25T00:00:00"/>
    <x v="0"/>
    <s v="No"/>
    <s v="No"/>
    <x v="0"/>
    <x v="0"/>
    <s v="No"/>
  </r>
  <r>
    <s v="C2160"/>
    <s v="Manish Desai"/>
    <s v="Male"/>
    <n v="31"/>
    <x v="5"/>
    <x v="0"/>
    <x v="24"/>
    <n v="1199"/>
    <n v="3597"/>
    <x v="0"/>
    <d v="2025-06-06T00:00:00"/>
    <x v="0"/>
    <s v="No"/>
    <s v="No"/>
    <x v="0"/>
    <x v="0"/>
    <s v="No"/>
  </r>
  <r>
    <s v="C2161"/>
    <s v="Swati Iyer"/>
    <s v="Female"/>
    <n v="62"/>
    <x v="7"/>
    <x v="0"/>
    <x v="35"/>
    <n v="1049"/>
    <n v="9441"/>
    <x v="0"/>
    <d v="2024-12-28T00:00:00"/>
    <x v="1"/>
    <s v="No"/>
    <s v="No"/>
    <x v="0"/>
    <x v="0"/>
    <s v="No"/>
  </r>
  <r>
    <s v="C2162"/>
    <s v="Mohit Iyer"/>
    <s v="Male"/>
    <n v="19"/>
    <x v="0"/>
    <x v="2"/>
    <x v="7"/>
    <n v="1199"/>
    <n v="45562"/>
    <x v="0"/>
    <d v="2022-08-06T00:00:00"/>
    <x v="0"/>
    <s v="No"/>
    <s v="No"/>
    <x v="0"/>
    <x v="0"/>
    <s v="No"/>
  </r>
  <r>
    <s v="C2163"/>
    <s v="Shreya Saxena"/>
    <s v="Female"/>
    <n v="36"/>
    <x v="8"/>
    <x v="1"/>
    <x v="4"/>
    <n v="1049"/>
    <n v="10490"/>
    <x v="3"/>
    <d v="2024-11-25T00:00:00"/>
    <x v="0"/>
    <s v="No"/>
    <s v="No"/>
    <x v="0"/>
    <x v="0"/>
    <s v="No"/>
  </r>
  <r>
    <s v="C2164"/>
    <s v="Sanjay Bose"/>
    <s v="Male"/>
    <n v="37"/>
    <x v="8"/>
    <x v="1"/>
    <x v="46"/>
    <n v="849"/>
    <n v="28017"/>
    <x v="1"/>
    <m/>
    <x v="0"/>
    <s v="No"/>
    <s v="No"/>
    <x v="0"/>
    <x v="0"/>
    <s v="Date missing"/>
  </r>
  <r>
    <s v="C2165"/>
    <s v="Aman Chopra"/>
    <s v="Male"/>
    <n v="27"/>
    <x v="11"/>
    <x v="2"/>
    <x v="53"/>
    <n v="749"/>
    <n v="35952"/>
    <x v="1"/>
    <d v="2021-09-22T00:00:00"/>
    <x v="0"/>
    <s v="No"/>
    <s v="No"/>
    <x v="0"/>
    <x v="0"/>
    <s v="No"/>
  </r>
  <r>
    <s v="C2166"/>
    <s v="Meera Desai"/>
    <s v="Female"/>
    <n v="75"/>
    <x v="12"/>
    <x v="0"/>
    <x v="2"/>
    <n v="399"/>
    <n v="4389"/>
    <x v="2"/>
    <d v="2024-10-25T00:00:00"/>
    <x v="1"/>
    <s v="No"/>
    <s v="No"/>
    <x v="0"/>
    <x v="0"/>
    <s v="No"/>
  </r>
  <r>
    <s v="C2167"/>
    <s v="Sanjay Patel"/>
    <s v="Male"/>
    <n v="49"/>
    <x v="7"/>
    <x v="1"/>
    <x v="21"/>
    <n v="1199"/>
    <n v="1199"/>
    <x v="0"/>
    <d v="2025-08-06T00:00:00"/>
    <x v="0"/>
    <s v="No"/>
    <s v="No"/>
    <x v="0"/>
    <x v="0"/>
    <s v="No"/>
  </r>
  <r>
    <s v="C2168"/>
    <s v="Aman Saxena"/>
    <s v="Male"/>
    <n v="20"/>
    <x v="12"/>
    <x v="1"/>
    <x v="46"/>
    <n v="549"/>
    <n v="18117"/>
    <x v="2"/>
    <d v="2022-12-16T00:00:00"/>
    <x v="0"/>
    <s v="No"/>
    <s v="No"/>
    <x v="0"/>
    <x v="0"/>
    <s v="No"/>
  </r>
  <r>
    <s v="C2169"/>
    <s v="Amit Kapoor"/>
    <s v="Male"/>
    <n v="54"/>
    <x v="1"/>
    <x v="0"/>
    <x v="9"/>
    <n v="649"/>
    <n v="15576"/>
    <x v="1"/>
    <d v="2023-09-17T00:00:00"/>
    <x v="1"/>
    <s v="No"/>
    <s v="No"/>
    <x v="0"/>
    <x v="0"/>
    <s v="No"/>
  </r>
  <r>
    <s v="C2170"/>
    <s v="Meera Verma"/>
    <s v="Female"/>
    <n v="56"/>
    <x v="5"/>
    <x v="1"/>
    <x v="17"/>
    <n v="849"/>
    <n v="11037"/>
    <x v="1"/>
    <d v="2024-08-30T00:00:00"/>
    <x v="0"/>
    <s v="No"/>
    <s v="No"/>
    <x v="0"/>
    <x v="0"/>
    <s v="No"/>
  </r>
  <r>
    <s v="C2171"/>
    <s v="Sneha Mehta"/>
    <s v="Female"/>
    <n v="32"/>
    <x v="0"/>
    <x v="1"/>
    <x v="57"/>
    <n v="1149"/>
    <n v="34470"/>
    <x v="0"/>
    <d v="2023-03-23T00:00:00"/>
    <x v="0"/>
    <s v="No"/>
    <s v="No"/>
    <x v="0"/>
    <x v="0"/>
    <s v="No"/>
  </r>
  <r>
    <s v="C2172"/>
    <s v="Sanjay Desai"/>
    <s v="Unknown"/>
    <n v="25"/>
    <x v="7"/>
    <x v="0"/>
    <x v="30"/>
    <n v="799"/>
    <n v="14382"/>
    <x v="1"/>
    <d v="2024-03-19T00:00:00"/>
    <x v="0"/>
    <s v="No"/>
    <s v="No"/>
    <x v="0"/>
    <x v="0"/>
    <s v="No"/>
  </r>
  <r>
    <s v="C2173"/>
    <s v="Rajesh Tiwari"/>
    <s v="Male"/>
    <n v="73"/>
    <x v="4"/>
    <x v="1"/>
    <x v="17"/>
    <n v="1299"/>
    <n v="16887"/>
    <x v="0"/>
    <m/>
    <x v="0"/>
    <s v="No"/>
    <s v="No"/>
    <x v="0"/>
    <x v="0"/>
    <s v="Date missing"/>
  </r>
  <r>
    <s v="C2174"/>
    <s v="Nisha Yadav"/>
    <s v="Female"/>
    <n v="35"/>
    <x v="7"/>
    <x v="1"/>
    <x v="45"/>
    <n v="799"/>
    <n v="24769"/>
    <x v="1"/>
    <d v="2023-02-24T00:00:00"/>
    <x v="0"/>
    <s v="No"/>
    <s v="No"/>
    <x v="0"/>
    <x v="0"/>
    <s v="No"/>
  </r>
  <r>
    <s v="C2175"/>
    <s v="Nikhil Malhotra"/>
    <s v="Male"/>
    <n v="61"/>
    <x v="1"/>
    <x v="0"/>
    <x v="32"/>
    <n v="999"/>
    <n v="3996"/>
    <x v="0"/>
    <d v="2025-05-03T00:00:00"/>
    <x v="1"/>
    <s v="No"/>
    <s v="No"/>
    <x v="0"/>
    <x v="0"/>
    <s v="No"/>
  </r>
  <r>
    <s v="C2176"/>
    <s v="Komal Gupta"/>
    <s v="Female"/>
    <n v="29"/>
    <x v="4"/>
    <x v="1"/>
    <x v="27"/>
    <n v="1099"/>
    <n v="7693"/>
    <x v="0"/>
    <d v="2025-02-13T00:00:00"/>
    <x v="0"/>
    <s v="No"/>
    <s v="No"/>
    <x v="0"/>
    <x v="0"/>
    <s v="No"/>
  </r>
  <r>
    <s v="C2177"/>
    <s v="Sanjay Reddy"/>
    <s v="Male"/>
    <n v="66"/>
    <x v="0"/>
    <x v="0"/>
    <x v="2"/>
    <n v="1149"/>
    <n v="12639"/>
    <x v="0"/>
    <d v="2024-10-24T00:00:00"/>
    <x v="2"/>
    <s v="No"/>
    <s v="No"/>
    <x v="0"/>
    <x v="0"/>
    <s v="Churn unknown"/>
  </r>
  <r>
    <s v="C2178"/>
    <s v="Rajesh Saxena"/>
    <s v="Male"/>
    <n v="27"/>
    <x v="2"/>
    <x v="0"/>
    <x v="15"/>
    <n v="999"/>
    <n v="5994"/>
    <x v="0"/>
    <d v="2025-03-22T00:00:00"/>
    <x v="0"/>
    <s v="No"/>
    <s v="No"/>
    <x v="0"/>
    <x v="0"/>
    <s v="No"/>
  </r>
  <r>
    <s v="C2179"/>
    <s v="Riya Tiwari"/>
    <s v="Female"/>
    <n v="67"/>
    <x v="14"/>
    <x v="0"/>
    <x v="36"/>
    <n v="449"/>
    <n v="7184"/>
    <x v="2"/>
    <d v="2024-05-27T00:00:00"/>
    <x v="1"/>
    <s v="No"/>
    <s v="No"/>
    <x v="1"/>
    <x v="0"/>
    <s v="No"/>
  </r>
  <r>
    <s v="C2180"/>
    <s v="Isha Agarwal"/>
    <s v="Female"/>
    <n v="38"/>
    <x v="7"/>
    <x v="0"/>
    <x v="33"/>
    <n v="1299"/>
    <n v="18186"/>
    <x v="0"/>
    <d v="2024-07-22T00:00:00"/>
    <x v="1"/>
    <s v="No"/>
    <s v="No"/>
    <x v="0"/>
    <x v="0"/>
    <s v="No"/>
  </r>
  <r>
    <s v="C2181"/>
    <s v="Pooja Kapoor"/>
    <s v="Female"/>
    <n v="67"/>
    <x v="5"/>
    <x v="0"/>
    <x v="27"/>
    <n v="1199"/>
    <n v="8393"/>
    <x v="0"/>
    <d v="2025-02-19T00:00:00"/>
    <x v="1"/>
    <s v="No"/>
    <s v="No"/>
    <x v="0"/>
    <x v="0"/>
    <s v="No"/>
  </r>
  <r>
    <s v="C2182"/>
    <s v="Nikhil Tiwari"/>
    <s v="Male"/>
    <n v="68"/>
    <x v="12"/>
    <x v="0"/>
    <x v="27"/>
    <n v="999"/>
    <n v="6993"/>
    <x v="0"/>
    <d v="2025-02-03T00:00:00"/>
    <x v="0"/>
    <s v="No"/>
    <s v="No"/>
    <x v="0"/>
    <x v="0"/>
    <s v="No"/>
  </r>
  <r>
    <s v="C2183"/>
    <s v="Anjali Kumar"/>
    <s v="Female"/>
    <n v="33"/>
    <x v="8"/>
    <x v="3"/>
    <x v="9"/>
    <n v="1099"/>
    <n v="26376"/>
    <x v="0"/>
    <d v="2023-09-27T00:00:00"/>
    <x v="0"/>
    <s v="No"/>
    <s v="No"/>
    <x v="0"/>
    <x v="0"/>
    <s v="No"/>
  </r>
  <r>
    <s v="C2184"/>
    <s v="Ritu Malhotra"/>
    <s v="Female"/>
    <n v="56"/>
    <x v="11"/>
    <x v="0"/>
    <x v="26"/>
    <n v="699"/>
    <n v="14679"/>
    <x v="1"/>
    <m/>
    <x v="1"/>
    <s v="No"/>
    <s v="No"/>
    <x v="1"/>
    <x v="0"/>
    <s v="Date missing"/>
  </r>
  <r>
    <s v="C2185"/>
    <s v="Anjali Desai"/>
    <s v="Female"/>
    <n v="47"/>
    <x v="14"/>
    <x v="0"/>
    <x v="9"/>
    <n v="399"/>
    <n v="9576"/>
    <x v="2"/>
    <d v="2023-09-21T00:00:00"/>
    <x v="0"/>
    <s v="Yes"/>
    <s v="No"/>
    <x v="0"/>
    <x v="0"/>
    <s v="No"/>
  </r>
  <r>
    <s v="C2186"/>
    <s v="Tanvi Mehta"/>
    <s v="Female"/>
    <n v="53"/>
    <x v="4"/>
    <x v="0"/>
    <x v="30"/>
    <n v="899"/>
    <n v="16182"/>
    <x v="1"/>
    <d v="2024-03-11T00:00:00"/>
    <x v="0"/>
    <s v="No"/>
    <s v="No"/>
    <x v="0"/>
    <x v="0"/>
    <s v="No"/>
  </r>
  <r>
    <s v="C2187"/>
    <s v="Priya Singh"/>
    <s v="Female"/>
    <n v="67"/>
    <x v="13"/>
    <x v="0"/>
    <x v="23"/>
    <n v="1049"/>
    <n v="24127"/>
    <x v="0"/>
    <d v="2023-10-25T00:00:00"/>
    <x v="0"/>
    <s v="No"/>
    <s v="No"/>
    <x v="0"/>
    <x v="1"/>
    <s v="No"/>
  </r>
  <r>
    <s v="C2188"/>
    <s v="Arjun Joshi"/>
    <s v="Male"/>
    <n v="47"/>
    <x v="0"/>
    <x v="0"/>
    <x v="0"/>
    <n v="849"/>
    <n v="18678"/>
    <x v="1"/>
    <d v="2023-11-09T00:00:00"/>
    <x v="0"/>
    <s v="No"/>
    <s v="No"/>
    <x v="0"/>
    <x v="0"/>
    <s v="No"/>
  </r>
  <r>
    <s v="C2189"/>
    <s v="Rohit Reddy"/>
    <s v="Unknown"/>
    <n v="59"/>
    <x v="12"/>
    <x v="0"/>
    <x v="22"/>
    <n v="349"/>
    <n v="698"/>
    <x v="2"/>
    <d v="2025-07-14T00:00:00"/>
    <x v="0"/>
    <s v="No"/>
    <s v="No"/>
    <x v="0"/>
    <x v="0"/>
    <s v="No"/>
  </r>
  <r>
    <s v="C2190"/>
    <s v="Priya Bose"/>
    <s v="Female"/>
    <n v="45"/>
    <x v="3"/>
    <x v="2"/>
    <x v="63"/>
    <n v="499"/>
    <n v="20958"/>
    <x v="2"/>
    <d v="2022-04-07T00:00:00"/>
    <x v="0"/>
    <s v="No"/>
    <s v="No"/>
    <x v="0"/>
    <x v="0"/>
    <s v="No"/>
  </r>
  <r>
    <s v="C2191"/>
    <s v="Unknown"/>
    <s v="Male"/>
    <n v="23"/>
    <x v="1"/>
    <x v="1"/>
    <x v="46"/>
    <n v="1299"/>
    <n v="42867"/>
    <x v="0"/>
    <d v="2022-12-29T00:00:00"/>
    <x v="0"/>
    <s v="No"/>
    <s v="No"/>
    <x v="0"/>
    <x v="0"/>
    <s v="No"/>
  </r>
  <r>
    <s v="C2192"/>
    <s v="Vikram Saxena"/>
    <s v="Male"/>
    <n v="45"/>
    <x v="6"/>
    <x v="0"/>
    <x v="9"/>
    <n v="1199"/>
    <n v="28776"/>
    <x v="0"/>
    <d v="2023-09-19T00:00:00"/>
    <x v="1"/>
    <s v="No"/>
    <s v="No"/>
    <x v="0"/>
    <x v="0"/>
    <s v="No"/>
  </r>
  <r>
    <s v="C2193"/>
    <s v="Shreya Jain"/>
    <s v="Female"/>
    <n v="67"/>
    <x v="14"/>
    <x v="1"/>
    <x v="22"/>
    <n v="449"/>
    <n v="898"/>
    <x v="2"/>
    <d v="2025-07-04T00:00:00"/>
    <x v="1"/>
    <s v="No"/>
    <s v="No"/>
    <x v="0"/>
    <x v="0"/>
    <s v="No"/>
  </r>
  <r>
    <s v="C2194"/>
    <s v="Priya Sharma"/>
    <s v="Female"/>
    <n v="32"/>
    <x v="2"/>
    <x v="0"/>
    <x v="28"/>
    <n v="799"/>
    <n v="6392"/>
    <x v="1"/>
    <d v="2025-01-11T00:00:00"/>
    <x v="0"/>
    <s v="No"/>
    <s v="No"/>
    <x v="0"/>
    <x v="0"/>
    <s v="No"/>
  </r>
  <r>
    <s v="C2195"/>
    <s v="Rajesh Patel"/>
    <s v="Male"/>
    <n v="47"/>
    <x v="14"/>
    <x v="2"/>
    <x v="6"/>
    <n v="649"/>
    <n v="12331"/>
    <x v="1"/>
    <d v="2024-02-19T00:00:00"/>
    <x v="0"/>
    <s v="Yes"/>
    <s v="No"/>
    <x v="0"/>
    <x v="0"/>
    <s v="No"/>
  </r>
  <r>
    <s v="C2196"/>
    <s v="Rohit Mishra"/>
    <s v="Unknown"/>
    <n v="40"/>
    <x v="4"/>
    <x v="0"/>
    <x v="28"/>
    <n v="849"/>
    <n v="6792"/>
    <x v="1"/>
    <d v="2025-01-18T00:00:00"/>
    <x v="1"/>
    <s v="No"/>
    <s v="No"/>
    <x v="0"/>
    <x v="0"/>
    <s v="No"/>
  </r>
  <r>
    <s v="C2197"/>
    <s v="Ritu Mehta"/>
    <s v="Female"/>
    <n v="67"/>
    <x v="2"/>
    <x v="0"/>
    <x v="8"/>
    <n v="499"/>
    <n v="7485"/>
    <x v="2"/>
    <d v="2024-06-08T00:00:00"/>
    <x v="1"/>
    <s v="No"/>
    <s v="No"/>
    <x v="0"/>
    <x v="0"/>
    <s v="No"/>
  </r>
  <r>
    <s v="C2198"/>
    <s v="Deepak Verma"/>
    <s v="Male"/>
    <n v="46"/>
    <x v="7"/>
    <x v="0"/>
    <x v="17"/>
    <n v="799"/>
    <n v="10387"/>
    <x v="1"/>
    <d v="2024-08-29T00:00:00"/>
    <x v="1"/>
    <s v="No"/>
    <s v="No"/>
    <x v="0"/>
    <x v="0"/>
    <s v="No"/>
  </r>
  <r>
    <s v="C2199"/>
    <s v="Arjun Mehta"/>
    <s v="Male"/>
    <n v="25"/>
    <x v="7"/>
    <x v="1"/>
    <x v="26"/>
    <n v="999"/>
    <n v="20979"/>
    <x v="0"/>
    <d v="2023-12-13T00:00:00"/>
    <x v="0"/>
    <s v="No"/>
    <s v="No"/>
    <x v="0"/>
    <x v="0"/>
    <s v="No"/>
  </r>
  <r>
    <s v="C2200"/>
    <s v="Komal Malhotra"/>
    <s v="Female"/>
    <n v="50"/>
    <x v="4"/>
    <x v="2"/>
    <x v="52"/>
    <n v="899"/>
    <n v="44051"/>
    <x v="1"/>
    <d v="2021-09-16T00:00:00"/>
    <x v="0"/>
    <s v="No"/>
    <s v="No"/>
    <x v="0"/>
    <x v="0"/>
    <s v="No"/>
  </r>
  <r>
    <s v="C2201"/>
    <s v="Isha Iyer"/>
    <s v="Female"/>
    <n v="71"/>
    <x v="4"/>
    <x v="0"/>
    <x v="4"/>
    <n v="349"/>
    <n v="3490"/>
    <x v="2"/>
    <d v="2024-11-07T00:00:00"/>
    <x v="2"/>
    <s v="No"/>
    <s v="No"/>
    <x v="0"/>
    <x v="0"/>
    <s v="Churn unknown"/>
  </r>
  <r>
    <s v="C2202"/>
    <s v="Komal Sharma"/>
    <s v="Female"/>
    <n v="35"/>
    <x v="14"/>
    <x v="1"/>
    <x v="4"/>
    <n v="899"/>
    <n v="8990"/>
    <x v="1"/>
    <d v="2024-11-28T00:00:00"/>
    <x v="0"/>
    <s v="No"/>
    <s v="No"/>
    <x v="0"/>
    <x v="0"/>
    <s v="No"/>
  </r>
  <r>
    <s v="C2203"/>
    <s v="Rohit Pandey"/>
    <s v="Male"/>
    <n v="48"/>
    <x v="13"/>
    <x v="0"/>
    <x v="27"/>
    <n v="1199"/>
    <n v="8393"/>
    <x v="0"/>
    <d v="2025-02-17T00:00:00"/>
    <x v="1"/>
    <s v="No"/>
    <s v="No"/>
    <x v="1"/>
    <x v="0"/>
    <s v="No"/>
  </r>
  <r>
    <s v="C2204"/>
    <s v="Vivek Gupta"/>
    <s v="Male"/>
    <n v="29"/>
    <x v="1"/>
    <x v="2"/>
    <x v="9"/>
    <n v="899"/>
    <n v="21576"/>
    <x v="0"/>
    <d v="2023-10-03T00:00:00"/>
    <x v="1"/>
    <s v="No"/>
    <s v="No"/>
    <x v="0"/>
    <x v="0"/>
    <s v="No"/>
  </r>
  <r>
    <s v="C2205"/>
    <s v="Divya Chopra"/>
    <s v="Female"/>
    <n v="41"/>
    <x v="6"/>
    <x v="0"/>
    <x v="21"/>
    <n v="699"/>
    <n v="699"/>
    <x v="1"/>
    <d v="2025-08-02T00:00:00"/>
    <x v="1"/>
    <s v="No"/>
    <s v="No"/>
    <x v="0"/>
    <x v="0"/>
    <s v="No"/>
  </r>
  <r>
    <s v="C2206"/>
    <s v="Vivek Verma"/>
    <s v="Male"/>
    <n v="52"/>
    <x v="12"/>
    <x v="1"/>
    <x v="2"/>
    <n v="899"/>
    <n v="9889"/>
    <x v="0"/>
    <d v="2024-10-26T00:00:00"/>
    <x v="0"/>
    <s v="No"/>
    <s v="No"/>
    <x v="0"/>
    <x v="0"/>
    <s v="No"/>
  </r>
  <r>
    <s v="C2207"/>
    <s v="Vivek Kumar"/>
    <s v="Male"/>
    <n v="25"/>
    <x v="7"/>
    <x v="0"/>
    <x v="30"/>
    <n v="999"/>
    <n v="17982"/>
    <x v="0"/>
    <d v="2024-04-06T00:00:00"/>
    <x v="0"/>
    <s v="No"/>
    <s v="No"/>
    <x v="0"/>
    <x v="0"/>
    <s v="No"/>
  </r>
  <r>
    <s v="C2208"/>
    <s v="Komal Desai"/>
    <s v="Female"/>
    <n v="75"/>
    <x v="5"/>
    <x v="0"/>
    <x v="16"/>
    <n v="1199"/>
    <n v="14388"/>
    <x v="0"/>
    <d v="2024-09-10T00:00:00"/>
    <x v="0"/>
    <s v="No"/>
    <s v="No"/>
    <x v="1"/>
    <x v="0"/>
    <s v="No"/>
  </r>
  <r>
    <s v="C2209"/>
    <s v="Rohit Nair"/>
    <s v="Male"/>
    <n v="47"/>
    <x v="8"/>
    <x v="2"/>
    <x v="2"/>
    <n v="849"/>
    <n v="9339"/>
    <x v="1"/>
    <d v="2024-10-14T00:00:00"/>
    <x v="0"/>
    <s v="Yes"/>
    <s v="No"/>
    <x v="0"/>
    <x v="0"/>
    <s v="No"/>
  </r>
  <r>
    <s v="C2210"/>
    <s v="Manish Nair"/>
    <s v="Male"/>
    <n v="34"/>
    <x v="8"/>
    <x v="1"/>
    <x v="57"/>
    <n v="849"/>
    <n v="25470"/>
    <x v="1"/>
    <d v="2023-03-15T00:00:00"/>
    <x v="0"/>
    <s v="No"/>
    <s v="No"/>
    <x v="0"/>
    <x v="0"/>
    <s v="No"/>
  </r>
  <r>
    <s v="C2211"/>
    <s v="Pooja Joshi"/>
    <s v="Female"/>
    <n v="45"/>
    <x v="2"/>
    <x v="1"/>
    <x v="24"/>
    <n v="1299"/>
    <n v="3897"/>
    <x v="0"/>
    <d v="2025-06-05T00:00:00"/>
    <x v="0"/>
    <s v="No"/>
    <s v="No"/>
    <x v="0"/>
    <x v="0"/>
    <s v="No"/>
  </r>
  <r>
    <s v="C2212"/>
    <s v="Arjun Sharma"/>
    <s v="Male"/>
    <n v="27"/>
    <x v="9"/>
    <x v="0"/>
    <x v="15"/>
    <n v="1049"/>
    <n v="6294"/>
    <x v="0"/>
    <d v="2025-03-17T00:00:00"/>
    <x v="0"/>
    <s v="No"/>
    <s v="No"/>
    <x v="0"/>
    <x v="0"/>
    <s v="No"/>
  </r>
  <r>
    <s v="C2213"/>
    <s v="Deepika Chopra"/>
    <s v="Female"/>
    <n v="73"/>
    <x v="6"/>
    <x v="2"/>
    <x v="20"/>
    <n v="1149"/>
    <n v="32172"/>
    <x v="0"/>
    <d v="2023-06-08T00:00:00"/>
    <x v="0"/>
    <s v="No"/>
    <s v="No"/>
    <x v="0"/>
    <x v="1"/>
    <s v="No"/>
  </r>
  <r>
    <s v="C2214"/>
    <s v="Payal Joshi"/>
    <s v="Female"/>
    <n v="39"/>
    <x v="8"/>
    <x v="0"/>
    <x v="36"/>
    <n v="499"/>
    <n v="7984"/>
    <x v="2"/>
    <d v="2024-05-15T00:00:00"/>
    <x v="0"/>
    <s v="No"/>
    <s v="No"/>
    <x v="0"/>
    <x v="1"/>
    <s v="No"/>
  </r>
  <r>
    <s v="C2215"/>
    <s v="Payal Malhotra"/>
    <s v="Female"/>
    <n v="22"/>
    <x v="13"/>
    <x v="0"/>
    <x v="30"/>
    <n v="899"/>
    <n v="16182"/>
    <x v="0"/>
    <d v="2024-03-11T00:00:00"/>
    <x v="0"/>
    <s v="No"/>
    <s v="No"/>
    <x v="0"/>
    <x v="0"/>
    <s v="No"/>
  </r>
  <r>
    <s v="C2216"/>
    <s v="Karan Mishra"/>
    <s v="Unknown"/>
    <n v="63"/>
    <x v="5"/>
    <x v="0"/>
    <x v="8"/>
    <n v="749"/>
    <n v="11235"/>
    <x v="1"/>
    <d v="2024-06-19T00:00:00"/>
    <x v="0"/>
    <s v="No"/>
    <s v="No"/>
    <x v="0"/>
    <x v="0"/>
    <s v="No"/>
  </r>
  <r>
    <s v="C2217"/>
    <s v="Deepak Jain"/>
    <s v="Male"/>
    <n v="30"/>
    <x v="10"/>
    <x v="2"/>
    <x v="24"/>
    <n v="649"/>
    <n v="1947"/>
    <x v="1"/>
    <d v="2025-06-06T00:00:00"/>
    <x v="2"/>
    <s v="No"/>
    <s v="No"/>
    <x v="0"/>
    <x v="0"/>
    <s v="Churn unknown"/>
  </r>
  <r>
    <s v="C2218"/>
    <s v="Rajesh Jain"/>
    <s v="Male"/>
    <n v="51"/>
    <x v="3"/>
    <x v="2"/>
    <x v="12"/>
    <m/>
    <n v="34470"/>
    <x v="0"/>
    <d v="2023-04-09T00:00:00"/>
    <x v="0"/>
    <s v="No"/>
    <s v="No"/>
    <x v="0"/>
    <x v="0"/>
    <s v="Monthly missing; Tenure missing"/>
  </r>
  <r>
    <s v="C2219"/>
    <s v="Pankaj Nair"/>
    <s v="Male"/>
    <n v="71"/>
    <x v="13"/>
    <x v="1"/>
    <x v="64"/>
    <n v="1299"/>
    <n v="51960"/>
    <x v="0"/>
    <d v="2022-06-04T00:00:00"/>
    <x v="0"/>
    <s v="No"/>
    <s v="No"/>
    <x v="0"/>
    <x v="0"/>
    <s v="No"/>
  </r>
  <r>
    <s v="C2220"/>
    <s v="Divya Jain"/>
    <s v="Female"/>
    <n v="44"/>
    <x v="7"/>
    <x v="0"/>
    <x v="12"/>
    <m/>
    <n v="5990"/>
    <x v="1"/>
    <d v="2024-11-11T00:00:00"/>
    <x v="0"/>
    <s v="No"/>
    <s v="No"/>
    <x v="0"/>
    <x v="0"/>
    <s v="Monthly missing; Tenure missing"/>
  </r>
  <r>
    <s v="C2221"/>
    <s v="Deepika Agarwal"/>
    <s v="Female"/>
    <n v="57"/>
    <x v="11"/>
    <x v="2"/>
    <x v="62"/>
    <n v="649"/>
    <n v="34397"/>
    <x v="1"/>
    <d v="2021-04-28T00:00:00"/>
    <x v="0"/>
    <s v="No"/>
    <s v="No"/>
    <x v="0"/>
    <x v="0"/>
    <s v="No"/>
  </r>
  <r>
    <s v="C2222"/>
    <s v="Deepak Gupta"/>
    <s v="Male"/>
    <n v="59"/>
    <x v="12"/>
    <x v="0"/>
    <x v="16"/>
    <n v="599"/>
    <n v="7188"/>
    <x v="1"/>
    <d v="2024-09-21T00:00:00"/>
    <x v="1"/>
    <s v="No"/>
    <s v="No"/>
    <x v="0"/>
    <x v="0"/>
    <s v="No"/>
  </r>
  <r>
    <s v="C2223"/>
    <s v="Rajesh Saxena"/>
    <s v="Male"/>
    <n v="27"/>
    <x v="0"/>
    <x v="0"/>
    <x v="2"/>
    <n v="1199"/>
    <n v="13189"/>
    <x v="0"/>
    <d v="2024-10-17T00:00:00"/>
    <x v="0"/>
    <s v="No"/>
    <s v="No"/>
    <x v="0"/>
    <x v="0"/>
    <s v="No"/>
  </r>
  <r>
    <s v="C2224"/>
    <s v="Pankaj Desai"/>
    <s v="Male"/>
    <n v="32"/>
    <x v="9"/>
    <x v="0"/>
    <x v="30"/>
    <n v="499"/>
    <n v="8982"/>
    <x v="2"/>
    <d v="2024-03-09T00:00:00"/>
    <x v="1"/>
    <s v="No"/>
    <s v="No"/>
    <x v="0"/>
    <x v="1"/>
    <s v="No"/>
  </r>
  <r>
    <s v="C2225"/>
    <s v="Kavita Verma"/>
    <s v="Female"/>
    <n v="42"/>
    <x v="6"/>
    <x v="2"/>
    <x v="34"/>
    <n v="749"/>
    <n v="44940"/>
    <x v="1"/>
    <d v="2020-10-02T00:00:00"/>
    <x v="0"/>
    <s v="No"/>
    <s v="No"/>
    <x v="0"/>
    <x v="0"/>
    <s v="No"/>
  </r>
  <r>
    <s v="C2226"/>
    <s v="Aditi Nair"/>
    <s v="Female"/>
    <n v="51"/>
    <x v="4"/>
    <x v="0"/>
    <x v="11"/>
    <n v="1049"/>
    <n v="20980"/>
    <x v="0"/>
    <d v="2024-01-16T00:00:00"/>
    <x v="0"/>
    <s v="No"/>
    <s v="No"/>
    <x v="0"/>
    <x v="0"/>
    <s v="No"/>
  </r>
  <r>
    <s v="C2227"/>
    <s v="Nisha Tiwari"/>
    <s v="Female"/>
    <n v="21"/>
    <x v="9"/>
    <x v="0"/>
    <x v="9"/>
    <n v="1049"/>
    <n v="25176"/>
    <x v="0"/>
    <d v="2023-09-29T00:00:00"/>
    <x v="0"/>
    <s v="No"/>
    <s v="No"/>
    <x v="0"/>
    <x v="0"/>
    <s v="No"/>
  </r>
  <r>
    <s v="C2228"/>
    <s v="Kavita Patel"/>
    <s v="Female"/>
    <n v="23"/>
    <x v="3"/>
    <x v="0"/>
    <x v="28"/>
    <n v="399"/>
    <n v="3192"/>
    <x v="2"/>
    <d v="2025-01-10T00:00:00"/>
    <x v="0"/>
    <s v="No"/>
    <s v="No"/>
    <x v="0"/>
    <x v="0"/>
    <s v="No"/>
  </r>
  <r>
    <s v="C2229"/>
    <s v="Anjali Pandey"/>
    <s v="Female"/>
    <n v="49"/>
    <x v="1"/>
    <x v="1"/>
    <x v="25"/>
    <n v="1299"/>
    <n v="50661"/>
    <x v="0"/>
    <d v="2022-07-13T00:00:00"/>
    <x v="1"/>
    <s v="No"/>
    <s v="No"/>
    <x v="0"/>
    <x v="0"/>
    <s v="No"/>
  </r>
  <r>
    <s v="C2230"/>
    <s v="Rajesh Reddy"/>
    <s v="Male"/>
    <n v="25"/>
    <x v="13"/>
    <x v="0"/>
    <x v="23"/>
    <n v="1099"/>
    <n v="25277"/>
    <x v="0"/>
    <d v="2023-11-07T00:00:00"/>
    <x v="0"/>
    <s v="No"/>
    <s v="No"/>
    <x v="0"/>
    <x v="0"/>
    <s v="No"/>
  </r>
  <r>
    <s v="C2231"/>
    <s v="Shreya Kapoor"/>
    <s v="Female"/>
    <n v="54"/>
    <x v="6"/>
    <x v="0"/>
    <x v="26"/>
    <n v="499"/>
    <n v="10479"/>
    <x v="2"/>
    <d v="2024-01-07T00:00:00"/>
    <x v="0"/>
    <s v="No"/>
    <s v="No"/>
    <x v="0"/>
    <x v="0"/>
    <s v="No"/>
  </r>
  <r>
    <s v="C2232"/>
    <s v="Rajesh Gupta"/>
    <s v="Male"/>
    <n v="19"/>
    <x v="9"/>
    <x v="2"/>
    <x v="62"/>
    <n v="899"/>
    <n v="47647"/>
    <x v="1"/>
    <d v="2021-05-14T00:00:00"/>
    <x v="0"/>
    <s v="No"/>
    <s v="No"/>
    <x v="0"/>
    <x v="0"/>
    <s v="No"/>
  </r>
  <r>
    <s v="C2233"/>
    <s v="Isha Patel"/>
    <s v="Female"/>
    <n v="33"/>
    <x v="5"/>
    <x v="0"/>
    <x v="8"/>
    <n v="849"/>
    <n v="12735"/>
    <x v="1"/>
    <d v="2024-06-30T00:00:00"/>
    <x v="0"/>
    <s v="No"/>
    <s v="No"/>
    <x v="0"/>
    <x v="0"/>
    <s v="No"/>
  </r>
  <r>
    <s v="C2234"/>
    <s v="Sachin Mishra"/>
    <s v="Male"/>
    <n v="59"/>
    <x v="2"/>
    <x v="1"/>
    <x v="16"/>
    <n v="1099"/>
    <n v="13188"/>
    <x v="0"/>
    <d v="2024-09-14T00:00:00"/>
    <x v="0"/>
    <s v="No"/>
    <s v="No"/>
    <x v="0"/>
    <x v="0"/>
    <s v="No"/>
  </r>
  <r>
    <s v="C2235"/>
    <s v="Nikhil Iyer"/>
    <s v="Male"/>
    <n v="47"/>
    <x v="14"/>
    <x v="0"/>
    <x v="11"/>
    <n v="1199"/>
    <n v="23980"/>
    <x v="0"/>
    <d v="2024-01-31T00:00:00"/>
    <x v="0"/>
    <s v="Yes"/>
    <s v="No"/>
    <x v="0"/>
    <x v="0"/>
    <s v="No"/>
  </r>
  <r>
    <s v="C2236"/>
    <s v="Komal Patel"/>
    <s v="Female"/>
    <n v="39"/>
    <x v="13"/>
    <x v="0"/>
    <x v="15"/>
    <n v="1049"/>
    <n v="6294"/>
    <x v="0"/>
    <d v="2025-03-14T00:00:00"/>
    <x v="1"/>
    <s v="No"/>
    <s v="No"/>
    <x v="0"/>
    <x v="0"/>
    <s v="No"/>
  </r>
  <r>
    <s v="C2237"/>
    <s v="Payal Pandey"/>
    <s v="Female"/>
    <n v="59"/>
    <x v="1"/>
    <x v="0"/>
    <x v="15"/>
    <n v="1149"/>
    <n v="6894"/>
    <x v="0"/>
    <d v="2025-03-30T00:00:00"/>
    <x v="1"/>
    <s v="No"/>
    <s v="No"/>
    <x v="0"/>
    <x v="1"/>
    <s v="No"/>
  </r>
  <r>
    <s v="C2238"/>
    <s v="Kavita Singh"/>
    <s v="Female"/>
    <n v="63"/>
    <x v="2"/>
    <x v="0"/>
    <x v="17"/>
    <n v="1299"/>
    <n v="16887"/>
    <x v="0"/>
    <d v="2024-09-01T00:00:00"/>
    <x v="0"/>
    <s v="No"/>
    <s v="No"/>
    <x v="0"/>
    <x v="0"/>
    <s v="No"/>
  </r>
  <r>
    <s v="C2239"/>
    <s v="Ritu Kapoor"/>
    <s v="Unknown"/>
    <n v="70"/>
    <x v="3"/>
    <x v="0"/>
    <x v="35"/>
    <n v="599"/>
    <n v="5391"/>
    <x v="1"/>
    <d v="2024-12-25T00:00:00"/>
    <x v="0"/>
    <s v="No"/>
    <s v="No"/>
    <x v="0"/>
    <x v="0"/>
    <s v="No"/>
  </r>
  <r>
    <s v="C2240"/>
    <s v="Manish Kapoor"/>
    <s v="Male"/>
    <n v="59"/>
    <x v="13"/>
    <x v="0"/>
    <x v="28"/>
    <n v="599"/>
    <n v="4792"/>
    <x v="1"/>
    <d v="2025-01-17T00:00:00"/>
    <x v="0"/>
    <s v="No"/>
    <s v="No"/>
    <x v="0"/>
    <x v="0"/>
    <s v="No"/>
  </r>
  <r>
    <s v="C2241"/>
    <s v="Sonal Mishra"/>
    <s v="Female"/>
    <n v="54"/>
    <x v="0"/>
    <x v="0"/>
    <x v="6"/>
    <n v="549"/>
    <n v="10431"/>
    <x v="2"/>
    <d v="2024-02-24T00:00:00"/>
    <x v="0"/>
    <s v="No"/>
    <s v="No"/>
    <x v="0"/>
    <x v="0"/>
    <s v="No"/>
  </r>
  <r>
    <s v="C2242"/>
    <s v="Isha Malhotra"/>
    <s v="Female"/>
    <n v="45"/>
    <x v="2"/>
    <x v="0"/>
    <x v="28"/>
    <n v="449"/>
    <n v="3592"/>
    <x v="2"/>
    <d v="2025-01-09T00:00:00"/>
    <x v="1"/>
    <s v="No"/>
    <s v="No"/>
    <x v="0"/>
    <x v="0"/>
    <s v="No"/>
  </r>
  <r>
    <s v="C2243"/>
    <s v="Nikhil Pandey"/>
    <s v="Male"/>
    <n v="33"/>
    <x v="13"/>
    <x v="0"/>
    <x v="10"/>
    <n v="849"/>
    <n v="14433"/>
    <x v="1"/>
    <d v="2024-04-11T00:00:00"/>
    <x v="1"/>
    <s v="No"/>
    <s v="No"/>
    <x v="0"/>
    <x v="0"/>
    <s v="No"/>
  </r>
  <r>
    <s v="C2244"/>
    <s v="Aman Pandey"/>
    <s v="Male"/>
    <n v="62"/>
    <x v="9"/>
    <x v="2"/>
    <x v="39"/>
    <n v="549"/>
    <n v="15921"/>
    <x v="2"/>
    <d v="2023-04-28T00:00:00"/>
    <x v="0"/>
    <s v="No"/>
    <s v="No"/>
    <x v="0"/>
    <x v="1"/>
    <s v="No"/>
  </r>
  <r>
    <s v="C2245"/>
    <s v="Komal Bose"/>
    <s v="Female"/>
    <n v="45"/>
    <x v="4"/>
    <x v="2"/>
    <x v="5"/>
    <n v="749"/>
    <n v="53928"/>
    <x v="1"/>
    <d v="2019-10-15T00:00:00"/>
    <x v="0"/>
    <s v="No"/>
    <s v="No"/>
    <x v="0"/>
    <x v="0"/>
    <s v="No"/>
  </r>
  <r>
    <s v="C2246"/>
    <s v="Vikram Saxena"/>
    <s v="Unknown"/>
    <n v="40"/>
    <x v="4"/>
    <x v="2"/>
    <x v="46"/>
    <n v="849"/>
    <n v="28017"/>
    <x v="1"/>
    <d v="2022-12-21T00:00:00"/>
    <x v="0"/>
    <s v="No"/>
    <s v="Yes"/>
    <x v="0"/>
    <x v="0"/>
    <s v="No"/>
  </r>
  <r>
    <s v="C2247"/>
    <s v="Deepak Mehta"/>
    <s v="Male"/>
    <n v="60"/>
    <x v="7"/>
    <x v="0"/>
    <x v="4"/>
    <n v="999"/>
    <n v="9990"/>
    <x v="0"/>
    <d v="2024-11-16T00:00:00"/>
    <x v="0"/>
    <s v="No"/>
    <s v="No"/>
    <x v="0"/>
    <x v="0"/>
    <s v="No"/>
  </r>
  <r>
    <s v="C2248"/>
    <s v="Pooja Mishra"/>
    <s v="Female"/>
    <n v="61"/>
    <x v="11"/>
    <x v="0"/>
    <x v="11"/>
    <n v="599"/>
    <n v="11980"/>
    <x v="1"/>
    <d v="2024-01-13T00:00:00"/>
    <x v="0"/>
    <s v="No"/>
    <s v="No"/>
    <x v="0"/>
    <x v="0"/>
    <s v="No"/>
  </r>
  <r>
    <s v="C2249"/>
    <s v="Pankaj Kumar"/>
    <s v="Male"/>
    <n v="51"/>
    <x v="12"/>
    <x v="1"/>
    <x v="36"/>
    <n v="1299"/>
    <n v="20784"/>
    <x v="0"/>
    <d v="2024-06-05T00:00:00"/>
    <x v="0"/>
    <s v="No"/>
    <s v="No"/>
    <x v="0"/>
    <x v="0"/>
    <s v="No"/>
  </r>
  <r>
    <s v="C2250"/>
    <s v="Anjali Joshi"/>
    <s v="Female"/>
    <n v="23"/>
    <x v="4"/>
    <x v="2"/>
    <x v="41"/>
    <n v="1099"/>
    <n v="54950"/>
    <x v="0"/>
    <d v="2021-08-16T00:00:00"/>
    <x v="0"/>
    <s v="No"/>
    <s v="No"/>
    <x v="0"/>
    <x v="0"/>
    <s v="No"/>
  </r>
  <r>
    <s v="C2251"/>
    <s v="Meera Reddy"/>
    <s v="Female"/>
    <n v="37"/>
    <x v="2"/>
    <x v="0"/>
    <x v="35"/>
    <n v="899"/>
    <n v="8091"/>
    <x v="0"/>
    <d v="2024-12-26T00:00:00"/>
    <x v="1"/>
    <s v="No"/>
    <s v="No"/>
    <x v="0"/>
    <x v="0"/>
    <s v="No"/>
  </r>
  <r>
    <s v="C2252"/>
    <s v="Aman Chopra"/>
    <s v="Male"/>
    <n v="58"/>
    <x v="4"/>
    <x v="0"/>
    <x v="10"/>
    <n v="899"/>
    <n v="15283"/>
    <x v="0"/>
    <d v="2024-04-19T00:00:00"/>
    <x v="1"/>
    <s v="No"/>
    <s v="No"/>
    <x v="0"/>
    <x v="0"/>
    <s v="No"/>
  </r>
  <r>
    <s v="C2253"/>
    <s v="Aman Reddy"/>
    <s v="Male"/>
    <n v="28"/>
    <x v="3"/>
    <x v="2"/>
    <x v="21"/>
    <n v="1099"/>
    <n v="1099"/>
    <x v="0"/>
    <d v="2025-08-01T00:00:00"/>
    <x v="1"/>
    <s v="No"/>
    <s v="No"/>
    <x v="0"/>
    <x v="0"/>
    <s v="No"/>
  </r>
  <r>
    <s v="C2254"/>
    <s v="Neha Gupta"/>
    <s v="Female"/>
    <n v="30"/>
    <x v="9"/>
    <x v="1"/>
    <x v="33"/>
    <n v="699"/>
    <n v="9786"/>
    <x v="1"/>
    <d v="2024-07-17T00:00:00"/>
    <x v="0"/>
    <s v="No"/>
    <s v="No"/>
    <x v="0"/>
    <x v="0"/>
    <s v="No"/>
  </r>
  <r>
    <s v="C2255"/>
    <s v="Ankit Pandey"/>
    <s v="Male"/>
    <n v="47"/>
    <x v="13"/>
    <x v="0"/>
    <x v="8"/>
    <n v="599"/>
    <n v="8985"/>
    <x v="1"/>
    <d v="2024-06-07T00:00:00"/>
    <x v="0"/>
    <s v="Yes"/>
    <s v="No"/>
    <x v="0"/>
    <x v="0"/>
    <s v="No"/>
  </r>
  <r>
    <s v="C2256"/>
    <s v="Unknown"/>
    <s v="Male"/>
    <n v="24"/>
    <x v="2"/>
    <x v="1"/>
    <x v="2"/>
    <n v="1099"/>
    <n v="12089"/>
    <x v="0"/>
    <d v="2024-10-14T00:00:00"/>
    <x v="0"/>
    <s v="No"/>
    <s v="No"/>
    <x v="0"/>
    <x v="0"/>
    <s v="No"/>
  </r>
  <r>
    <s v="C2257"/>
    <s v="Shreya Saxena"/>
    <s v="Female"/>
    <n v="53"/>
    <x v="6"/>
    <x v="0"/>
    <x v="32"/>
    <n v="1149"/>
    <n v="4596"/>
    <x v="0"/>
    <d v="2025-05-20T00:00:00"/>
    <x v="1"/>
    <s v="No"/>
    <s v="No"/>
    <x v="0"/>
    <x v="1"/>
    <s v="No"/>
  </r>
  <r>
    <s v="C2258"/>
    <s v="Manish Desai"/>
    <s v="Male"/>
    <n v="30"/>
    <x v="13"/>
    <x v="0"/>
    <x v="36"/>
    <n v="1299"/>
    <n v="20784"/>
    <x v="0"/>
    <d v="2024-05-20T00:00:00"/>
    <x v="1"/>
    <s v="No"/>
    <s v="No"/>
    <x v="0"/>
    <x v="0"/>
    <s v="No"/>
  </r>
  <r>
    <s v="C2259"/>
    <s v="Nikhil Jain"/>
    <s v="Male"/>
    <n v="54"/>
    <x v="11"/>
    <x v="1"/>
    <x v="1"/>
    <n v="999"/>
    <n v="34965"/>
    <x v="0"/>
    <d v="2022-10-30T00:00:00"/>
    <x v="0"/>
    <s v="No"/>
    <s v="No"/>
    <x v="0"/>
    <x v="0"/>
    <s v="No"/>
  </r>
  <r>
    <s v="C2260"/>
    <s v="Harsh Chopra"/>
    <s v="Male"/>
    <n v="45"/>
    <x v="12"/>
    <x v="0"/>
    <x v="21"/>
    <n v="749"/>
    <n v="749"/>
    <x v="1"/>
    <d v="2025-08-10T00:00:00"/>
    <x v="1"/>
    <s v="No"/>
    <s v="No"/>
    <x v="0"/>
    <x v="0"/>
    <s v="No"/>
  </r>
  <r>
    <s v="C2261"/>
    <s v="Aditi Desai"/>
    <s v="Female"/>
    <n v="68"/>
    <x v="13"/>
    <x v="0"/>
    <x v="22"/>
    <n v="1299"/>
    <n v="2598"/>
    <x v="0"/>
    <d v="2025-07-28T00:00:00"/>
    <x v="1"/>
    <s v="No"/>
    <s v="No"/>
    <x v="0"/>
    <x v="0"/>
    <s v="No"/>
  </r>
  <r>
    <s v="C2262"/>
    <s v="Tanvi Agarwal"/>
    <s v="Female"/>
    <n v="75"/>
    <x v="11"/>
    <x v="0"/>
    <x v="9"/>
    <n v="1149"/>
    <n v="27576"/>
    <x v="0"/>
    <d v="2023-09-30T00:00:00"/>
    <x v="1"/>
    <s v="No"/>
    <s v="No"/>
    <x v="0"/>
    <x v="0"/>
    <s v="No"/>
  </r>
  <r>
    <s v="C2263"/>
    <s v="Deepika Patel"/>
    <s v="Female"/>
    <n v="52"/>
    <x v="3"/>
    <x v="2"/>
    <x v="55"/>
    <n v="1149"/>
    <n v="64344"/>
    <x v="0"/>
    <d v="2021-02-05T00:00:00"/>
    <x v="0"/>
    <s v="No"/>
    <s v="No"/>
    <x v="0"/>
    <x v="0"/>
    <s v="No"/>
  </r>
  <r>
    <s v="C2264"/>
    <s v="Sneha Mehta"/>
    <s v="Female"/>
    <n v="24"/>
    <x v="7"/>
    <x v="3"/>
    <x v="43"/>
    <n v="399"/>
    <n v="16359"/>
    <x v="2"/>
    <d v="2022-04-29T00:00:00"/>
    <x v="0"/>
    <s v="No"/>
    <s v="No"/>
    <x v="0"/>
    <x v="0"/>
    <s v="No"/>
  </r>
  <r>
    <s v="C2265"/>
    <s v="Amit Rao"/>
    <s v="Male"/>
    <n v="31"/>
    <x v="14"/>
    <x v="0"/>
    <x v="28"/>
    <n v="849"/>
    <n v="6792"/>
    <x v="1"/>
    <d v="2025-01-19T00:00:00"/>
    <x v="0"/>
    <s v="No"/>
    <s v="No"/>
    <x v="0"/>
    <x v="0"/>
    <s v="No"/>
  </r>
  <r>
    <s v="C2266"/>
    <s v="Aman Rao"/>
    <s v="Male"/>
    <n v="20"/>
    <x v="8"/>
    <x v="0"/>
    <x v="0"/>
    <n v="699"/>
    <n v="15378"/>
    <x v="1"/>
    <d v="2023-11-10T00:00:00"/>
    <x v="0"/>
    <s v="No"/>
    <s v="No"/>
    <x v="0"/>
    <x v="1"/>
    <s v="No"/>
  </r>
  <r>
    <s v="C2267"/>
    <s v="Deepika Chopra"/>
    <s v="Female"/>
    <n v="65"/>
    <x v="5"/>
    <x v="0"/>
    <x v="33"/>
    <n v="749"/>
    <n v="10486"/>
    <x v="1"/>
    <d v="2024-07-20T00:00:00"/>
    <x v="0"/>
    <s v="No"/>
    <s v="No"/>
    <x v="0"/>
    <x v="0"/>
    <s v="No"/>
  </r>
  <r>
    <s v="C2268"/>
    <s v="Riya Sharma"/>
    <s v="Female"/>
    <n v="58"/>
    <x v="14"/>
    <x v="0"/>
    <x v="8"/>
    <n v="1199"/>
    <n v="17985"/>
    <x v="0"/>
    <d v="2024-07-02T00:00:00"/>
    <x v="1"/>
    <s v="No"/>
    <s v="No"/>
    <x v="0"/>
    <x v="0"/>
    <s v="No"/>
  </r>
  <r>
    <s v="C2269"/>
    <s v="Arjun Desai"/>
    <s v="Unknown"/>
    <n v="22"/>
    <x v="8"/>
    <x v="0"/>
    <x v="9"/>
    <n v="699"/>
    <n v="16776"/>
    <x v="1"/>
    <d v="2023-09-30T00:00:00"/>
    <x v="1"/>
    <s v="No"/>
    <s v="Yes"/>
    <x v="0"/>
    <x v="0"/>
    <s v="No"/>
  </r>
  <r>
    <s v="C2270"/>
    <s v="Tanvi Malhotra"/>
    <s v="Female"/>
    <n v="24"/>
    <x v="13"/>
    <x v="0"/>
    <x v="27"/>
    <n v="499"/>
    <n v="3493"/>
    <x v="2"/>
    <d v="2025-02-14T00:00:00"/>
    <x v="1"/>
    <s v="No"/>
    <s v="No"/>
    <x v="1"/>
    <x v="0"/>
    <s v="No"/>
  </r>
  <r>
    <s v="C2271"/>
    <s v="Gaurav Desai"/>
    <s v="Male"/>
    <n v="24"/>
    <x v="4"/>
    <x v="0"/>
    <x v="15"/>
    <n v="349"/>
    <n v="2094"/>
    <x v="2"/>
    <d v="2025-03-13T00:00:00"/>
    <x v="1"/>
    <s v="No"/>
    <s v="No"/>
    <x v="0"/>
    <x v="0"/>
    <s v="No"/>
  </r>
  <r>
    <s v="C2272"/>
    <s v="Shreya Agarwal"/>
    <s v="Female"/>
    <n v="27"/>
    <x v="7"/>
    <x v="1"/>
    <x v="46"/>
    <n v="899"/>
    <n v="29667"/>
    <x v="1"/>
    <d v="2023-01-11T00:00:00"/>
    <x v="0"/>
    <s v="No"/>
    <s v="No"/>
    <x v="0"/>
    <x v="0"/>
    <s v="No"/>
  </r>
  <r>
    <s v="C2273"/>
    <s v="Rohit Joshi"/>
    <s v="Male"/>
    <n v="73"/>
    <x v="5"/>
    <x v="2"/>
    <x v="42"/>
    <n v="899"/>
    <n v="23374"/>
    <x v="0"/>
    <d v="2023-08-01T00:00:00"/>
    <x v="0"/>
    <s v="No"/>
    <s v="No"/>
    <x v="0"/>
    <x v="0"/>
    <s v="No"/>
  </r>
  <r>
    <s v="C2274"/>
    <s v="Manish Gupta"/>
    <s v="Male"/>
    <n v="58"/>
    <x v="0"/>
    <x v="0"/>
    <x v="21"/>
    <n v="1099"/>
    <n v="1099"/>
    <x v="0"/>
    <d v="2025-08-10T00:00:00"/>
    <x v="0"/>
    <s v="No"/>
    <s v="No"/>
    <x v="0"/>
    <x v="0"/>
    <s v="No"/>
  </r>
  <r>
    <s v="C2275"/>
    <s v="Sonal Gupta"/>
    <s v="Female"/>
    <n v="47"/>
    <x v="1"/>
    <x v="2"/>
    <x v="35"/>
    <n v="749"/>
    <n v="6741"/>
    <x v="1"/>
    <d v="2024-12-09T00:00:00"/>
    <x v="1"/>
    <s v="Yes"/>
    <s v="No"/>
    <x v="1"/>
    <x v="0"/>
    <s v="No"/>
  </r>
  <r>
    <s v="C2276"/>
    <s v="Nikhil Patel"/>
    <s v="Male"/>
    <n v="20"/>
    <x v="8"/>
    <x v="2"/>
    <x v="21"/>
    <n v="899"/>
    <n v="899"/>
    <x v="0"/>
    <d v="2025-08-17T00:00:00"/>
    <x v="1"/>
    <s v="No"/>
    <s v="No"/>
    <x v="0"/>
    <x v="0"/>
    <s v="No"/>
  </r>
  <r>
    <s v="C2277"/>
    <s v="Manish Chopra"/>
    <s v="Male"/>
    <n v="20"/>
    <x v="11"/>
    <x v="0"/>
    <x v="36"/>
    <n v="799"/>
    <n v="12784"/>
    <x v="1"/>
    <d v="2024-05-17T00:00:00"/>
    <x v="1"/>
    <s v="No"/>
    <s v="No"/>
    <x v="0"/>
    <x v="0"/>
    <s v="No"/>
  </r>
  <r>
    <s v="C2278"/>
    <s v="Shreya Agarwal"/>
    <s v="Female"/>
    <n v="33"/>
    <x v="9"/>
    <x v="0"/>
    <x v="26"/>
    <n v="749"/>
    <n v="15729"/>
    <x v="1"/>
    <d v="2023-12-10T00:00:00"/>
    <x v="0"/>
    <s v="No"/>
    <s v="No"/>
    <x v="0"/>
    <x v="0"/>
    <s v="No"/>
  </r>
  <r>
    <s v="C2279"/>
    <s v="Ritu Singh"/>
    <s v="Female"/>
    <n v="36"/>
    <x v="9"/>
    <x v="3"/>
    <x v="3"/>
    <n v="449"/>
    <n v="11225"/>
    <x v="3"/>
    <d v="2023-08-27T00:00:00"/>
    <x v="0"/>
    <s v="No"/>
    <s v="No"/>
    <x v="0"/>
    <x v="0"/>
    <s v="No"/>
  </r>
  <r>
    <s v="C2280"/>
    <s v="Pooja Verma"/>
    <s v="Female"/>
    <n v="47"/>
    <x v="12"/>
    <x v="1"/>
    <x v="8"/>
    <n v="999"/>
    <n v="14985"/>
    <x v="0"/>
    <d v="2024-06-23T00:00:00"/>
    <x v="0"/>
    <s v="No"/>
    <s v="No"/>
    <x v="0"/>
    <x v="0"/>
    <s v="No"/>
  </r>
  <r>
    <s v="C2281"/>
    <s v="Nisha Kapoor"/>
    <s v="Female"/>
    <n v="64"/>
    <x v="7"/>
    <x v="0"/>
    <x v="16"/>
    <n v="1049"/>
    <n v="12588"/>
    <x v="0"/>
    <d v="2024-09-17T00:00:00"/>
    <x v="1"/>
    <s v="No"/>
    <s v="No"/>
    <x v="0"/>
    <x v="0"/>
    <s v="No"/>
  </r>
  <r>
    <s v="C2282"/>
    <s v="Manish Mehta"/>
    <s v="Male"/>
    <n v="63"/>
    <x v="0"/>
    <x v="1"/>
    <x v="64"/>
    <n v="549"/>
    <n v="21960"/>
    <x v="2"/>
    <d v="2022-05-22T00:00:00"/>
    <x v="0"/>
    <s v="No"/>
    <s v="No"/>
    <x v="0"/>
    <x v="0"/>
    <s v="No"/>
  </r>
  <r>
    <s v="C2283"/>
    <s v="Isha Chopra"/>
    <s v="Female"/>
    <n v="37"/>
    <x v="0"/>
    <x v="0"/>
    <x v="30"/>
    <n v="1099"/>
    <n v="19782"/>
    <x v="0"/>
    <d v="2024-03-13T00:00:00"/>
    <x v="0"/>
    <s v="No"/>
    <s v="No"/>
    <x v="0"/>
    <x v="0"/>
    <s v="No"/>
  </r>
  <r>
    <s v="C2284"/>
    <s v="Unknown"/>
    <s v="Female"/>
    <n v="31"/>
    <x v="2"/>
    <x v="1"/>
    <x v="3"/>
    <n v="799"/>
    <n v="19975"/>
    <x v="1"/>
    <d v="2023-09-09T00:00:00"/>
    <x v="0"/>
    <s v="No"/>
    <s v="No"/>
    <x v="0"/>
    <x v="0"/>
    <s v="No"/>
  </r>
  <r>
    <s v="C2285"/>
    <s v="Deepak Bose"/>
    <s v="Male"/>
    <n v="60"/>
    <x v="8"/>
    <x v="0"/>
    <x v="6"/>
    <n v="999"/>
    <n v="18981"/>
    <x v="0"/>
    <d v="2024-02-11T00:00:00"/>
    <x v="0"/>
    <s v="No"/>
    <s v="No"/>
    <x v="0"/>
    <x v="0"/>
    <s v="No"/>
  </r>
  <r>
    <s v="C2286"/>
    <s v="Unknown"/>
    <s v="Male"/>
    <n v="38"/>
    <x v="7"/>
    <x v="0"/>
    <x v="36"/>
    <n v="1149"/>
    <n v="18384"/>
    <x v="0"/>
    <d v="2024-05-16T00:00:00"/>
    <x v="0"/>
    <s v="No"/>
    <s v="No"/>
    <x v="0"/>
    <x v="0"/>
    <s v="No"/>
  </r>
  <r>
    <s v="C2287"/>
    <s v="Karan Kumar"/>
    <s v="Male"/>
    <n v="23"/>
    <x v="3"/>
    <x v="0"/>
    <x v="22"/>
    <n v="349"/>
    <n v="698"/>
    <x v="2"/>
    <d v="2025-07-02T00:00:00"/>
    <x v="1"/>
    <s v="No"/>
    <s v="No"/>
    <x v="0"/>
    <x v="0"/>
    <s v="No"/>
  </r>
  <r>
    <s v="C2288"/>
    <s v="Deepika Agarwal"/>
    <s v="Female"/>
    <n v="27"/>
    <x v="0"/>
    <x v="0"/>
    <x v="11"/>
    <n v="699"/>
    <n v="13980"/>
    <x v="1"/>
    <d v="2024-01-15T00:00:00"/>
    <x v="0"/>
    <s v="No"/>
    <s v="No"/>
    <x v="0"/>
    <x v="0"/>
    <s v="No"/>
  </r>
  <r>
    <s v="C2289"/>
    <s v="Harsh Iyer"/>
    <s v="Male"/>
    <n v="24"/>
    <x v="13"/>
    <x v="1"/>
    <x v="4"/>
    <n v="349"/>
    <n v="3490"/>
    <x v="2"/>
    <d v="2024-11-13T00:00:00"/>
    <x v="2"/>
    <s v="No"/>
    <s v="No"/>
    <x v="0"/>
    <x v="0"/>
    <s v="Churn unknown"/>
  </r>
  <r>
    <s v="C2290"/>
    <s v="Meera Mishra"/>
    <s v="Female"/>
    <n v="53"/>
    <x v="9"/>
    <x v="0"/>
    <x v="23"/>
    <n v="349"/>
    <n v="8027"/>
    <x v="2"/>
    <d v="2023-11-04T00:00:00"/>
    <x v="0"/>
    <s v="No"/>
    <s v="No"/>
    <x v="0"/>
    <x v="0"/>
    <s v="No"/>
  </r>
  <r>
    <s v="C2291"/>
    <s v="Anjali Verma"/>
    <s v="Female"/>
    <n v="26"/>
    <x v="12"/>
    <x v="0"/>
    <x v="21"/>
    <n v="1199"/>
    <n v="1199"/>
    <x v="0"/>
    <d v="2025-08-11T00:00:00"/>
    <x v="0"/>
    <s v="No"/>
    <s v="No"/>
    <x v="0"/>
    <x v="0"/>
    <s v="No"/>
  </r>
  <r>
    <s v="C2292"/>
    <s v="Ankit Sharma"/>
    <s v="Male"/>
    <n v="49"/>
    <x v="9"/>
    <x v="1"/>
    <x v="15"/>
    <n v="399"/>
    <n v="2394"/>
    <x v="2"/>
    <d v="2025-03-23T00:00:00"/>
    <x v="1"/>
    <s v="No"/>
    <s v="No"/>
    <x v="0"/>
    <x v="0"/>
    <s v="No"/>
  </r>
  <r>
    <s v="C2293"/>
    <s v="Pooja Reddy"/>
    <s v="Female"/>
    <n v="68"/>
    <x v="10"/>
    <x v="0"/>
    <x v="4"/>
    <n v="1299"/>
    <n v="12990"/>
    <x v="0"/>
    <d v="2024-11-07T00:00:00"/>
    <x v="2"/>
    <s v="No"/>
    <s v="No"/>
    <x v="0"/>
    <x v="0"/>
    <s v="Churn unknown"/>
  </r>
  <r>
    <s v="C2294"/>
    <s v="Priya Yadav"/>
    <s v="Female"/>
    <n v="47"/>
    <x v="11"/>
    <x v="0"/>
    <x v="35"/>
    <n v="649"/>
    <n v="5841"/>
    <x v="1"/>
    <d v="2024-12-04T00:00:00"/>
    <x v="0"/>
    <s v="Yes"/>
    <s v="No"/>
    <x v="0"/>
    <x v="0"/>
    <s v="No"/>
  </r>
  <r>
    <s v="C2295"/>
    <s v="Gaurav Joshi"/>
    <s v="Male"/>
    <n v="75"/>
    <x v="8"/>
    <x v="0"/>
    <x v="4"/>
    <n v="699"/>
    <n v="6990"/>
    <x v="1"/>
    <d v="2024-11-24T00:00:00"/>
    <x v="1"/>
    <s v="No"/>
    <s v="No"/>
    <x v="0"/>
    <x v="0"/>
    <s v="No"/>
  </r>
  <r>
    <s v="C2296"/>
    <s v="Neha Joshi"/>
    <s v="Female"/>
    <n v="53"/>
    <x v="3"/>
    <x v="0"/>
    <x v="11"/>
    <n v="549"/>
    <n v="10980"/>
    <x v="2"/>
    <d v="2024-01-25T00:00:00"/>
    <x v="1"/>
    <s v="No"/>
    <s v="No"/>
    <x v="0"/>
    <x v="1"/>
    <s v="No"/>
  </r>
  <r>
    <s v="C2297"/>
    <s v="Gaurav Rao"/>
    <s v="Male"/>
    <n v="42"/>
    <x v="3"/>
    <x v="1"/>
    <x v="3"/>
    <n v="699"/>
    <n v="17475"/>
    <x v="1"/>
    <d v="2023-08-15T00:00:00"/>
    <x v="0"/>
    <s v="No"/>
    <s v="No"/>
    <x v="0"/>
    <x v="0"/>
    <s v="No"/>
  </r>
  <r>
    <s v="C2298"/>
    <s v="Nisha Pandey"/>
    <s v="Female"/>
    <n v="39"/>
    <x v="8"/>
    <x v="2"/>
    <x v="49"/>
    <n v="1099"/>
    <n v="78029"/>
    <x v="0"/>
    <d v="2019-10-31T00:00:00"/>
    <x v="0"/>
    <s v="No"/>
    <s v="No"/>
    <x v="0"/>
    <x v="0"/>
    <s v="No"/>
  </r>
  <r>
    <s v="C2299"/>
    <s v="Unknown"/>
    <s v="Female"/>
    <n v="38"/>
    <x v="6"/>
    <x v="0"/>
    <x v="13"/>
    <n v="899"/>
    <n v="4495"/>
    <x v="1"/>
    <d v="2025-04-26T00:00:00"/>
    <x v="1"/>
    <s v="No"/>
    <s v="No"/>
    <x v="0"/>
    <x v="1"/>
    <s v="No"/>
  </r>
  <r>
    <s v="C2300"/>
    <s v="Neha Singh"/>
    <s v="Female"/>
    <n v="54"/>
    <x v="13"/>
    <x v="0"/>
    <x v="24"/>
    <n v="599"/>
    <n v="1797"/>
    <x v="1"/>
    <d v="2025-06-20T00:00:00"/>
    <x v="0"/>
    <s v="No"/>
    <s v="No"/>
    <x v="0"/>
    <x v="0"/>
    <s v="No"/>
  </r>
  <r>
    <s v="C2301"/>
    <s v="Rohit Bose"/>
    <s v="Male"/>
    <n v="58"/>
    <x v="6"/>
    <x v="2"/>
    <x v="65"/>
    <n v="1199"/>
    <n v="51557"/>
    <x v="0"/>
    <d v="2022-03-17T00:00:00"/>
    <x v="0"/>
    <s v="No"/>
    <s v="No"/>
    <x v="0"/>
    <x v="0"/>
    <s v="No"/>
  </r>
  <r>
    <s v="C2302"/>
    <s v="Sanjay Agarwal"/>
    <s v="Male"/>
    <n v="23"/>
    <x v="8"/>
    <x v="0"/>
    <x v="21"/>
    <n v="399"/>
    <n v="399"/>
    <x v="2"/>
    <d v="2025-08-07T00:00:00"/>
    <x v="1"/>
    <s v="No"/>
    <s v="No"/>
    <x v="0"/>
    <x v="0"/>
    <s v="No"/>
  </r>
  <r>
    <s v="C2303"/>
    <s v="Deepak Joshi"/>
    <s v="Male"/>
    <n v="58"/>
    <x v="1"/>
    <x v="0"/>
    <x v="23"/>
    <n v="399"/>
    <n v="9177"/>
    <x v="3"/>
    <d v="2023-10-16T00:00:00"/>
    <x v="0"/>
    <s v="No"/>
    <s v="No"/>
    <x v="1"/>
    <x v="0"/>
    <s v="No"/>
  </r>
  <r>
    <s v="C2304"/>
    <s v="Ankit Gupta"/>
    <s v="Male"/>
    <n v="50"/>
    <x v="3"/>
    <x v="0"/>
    <x v="35"/>
    <n v="549"/>
    <n v="4941"/>
    <x v="2"/>
    <d v="2024-12-10T00:00:00"/>
    <x v="0"/>
    <s v="No"/>
    <s v="No"/>
    <x v="0"/>
    <x v="0"/>
    <s v="No"/>
  </r>
  <r>
    <s v="C2305"/>
    <s v="Vikram Mehta"/>
    <s v="Male"/>
    <n v="29"/>
    <x v="6"/>
    <x v="0"/>
    <x v="15"/>
    <n v="549"/>
    <n v="3294"/>
    <x v="2"/>
    <d v="2025-03-19T00:00:00"/>
    <x v="1"/>
    <s v="No"/>
    <s v="No"/>
    <x v="0"/>
    <x v="0"/>
    <s v="No"/>
  </r>
  <r>
    <s v="C2306"/>
    <s v="Deepika Tiwari"/>
    <s v="Female"/>
    <n v="34"/>
    <x v="6"/>
    <x v="0"/>
    <x v="21"/>
    <n v="849"/>
    <n v="849"/>
    <x v="1"/>
    <d v="2025-08-24T00:00:00"/>
    <x v="1"/>
    <s v="No"/>
    <s v="No"/>
    <x v="0"/>
    <x v="0"/>
    <s v="No"/>
  </r>
  <r>
    <s v="C2307"/>
    <s v="Amit Kumar"/>
    <s v="Unknown"/>
    <n v="49"/>
    <x v="2"/>
    <x v="2"/>
    <x v="55"/>
    <n v="599"/>
    <n v="33544"/>
    <x v="1"/>
    <d v="2021-01-29T00:00:00"/>
    <x v="1"/>
    <s v="No"/>
    <s v="No"/>
    <x v="0"/>
    <x v="0"/>
    <s v="No"/>
  </r>
  <r>
    <s v="C2308"/>
    <s v="Nikhil Bose"/>
    <s v="Male"/>
    <n v="67"/>
    <x v="2"/>
    <x v="1"/>
    <x v="13"/>
    <n v="1049"/>
    <n v="5245"/>
    <x v="0"/>
    <d v="2025-04-08T00:00:00"/>
    <x v="0"/>
    <s v="No"/>
    <s v="No"/>
    <x v="0"/>
    <x v="0"/>
    <s v="No"/>
  </r>
  <r>
    <s v="C2309"/>
    <s v="Isha Desai"/>
    <s v="Female"/>
    <n v="37"/>
    <x v="13"/>
    <x v="0"/>
    <x v="9"/>
    <n v="999"/>
    <n v="23976"/>
    <x v="0"/>
    <d v="2023-09-17T00:00:00"/>
    <x v="1"/>
    <s v="No"/>
    <s v="No"/>
    <x v="0"/>
    <x v="0"/>
    <s v="No"/>
  </r>
  <r>
    <s v="C2310"/>
    <s v="Nisha Kapoor"/>
    <s v="Female"/>
    <n v="74"/>
    <x v="7"/>
    <x v="0"/>
    <x v="17"/>
    <n v="1299"/>
    <n v="16887"/>
    <x v="0"/>
    <d v="2024-08-30T00:00:00"/>
    <x v="1"/>
    <s v="No"/>
    <s v="No"/>
    <x v="0"/>
    <x v="0"/>
    <s v="No"/>
  </r>
  <r>
    <s v="C2311"/>
    <s v="Nisha Sharma"/>
    <s v="Female"/>
    <n v="73"/>
    <x v="8"/>
    <x v="1"/>
    <x v="4"/>
    <n v="1049"/>
    <n v="10490"/>
    <x v="0"/>
    <d v="2024-11-06T00:00:00"/>
    <x v="0"/>
    <s v="No"/>
    <s v="No"/>
    <x v="0"/>
    <x v="0"/>
    <s v="No"/>
  </r>
  <r>
    <s v="C2312"/>
    <s v="Rohit Bose"/>
    <s v="Male"/>
    <n v="29"/>
    <x v="0"/>
    <x v="0"/>
    <x v="13"/>
    <n v="1049"/>
    <n v="5245"/>
    <x v="0"/>
    <d v="2025-04-19T00:00:00"/>
    <x v="1"/>
    <s v="No"/>
    <s v="No"/>
    <x v="0"/>
    <x v="0"/>
    <s v="No"/>
  </r>
  <r>
    <s v="C2313"/>
    <s v="Harsh Mishra"/>
    <s v="Male"/>
    <n v="35"/>
    <x v="0"/>
    <x v="0"/>
    <x v="36"/>
    <n v="1099"/>
    <n v="17584"/>
    <x v="0"/>
    <d v="2024-05-15T00:00:00"/>
    <x v="0"/>
    <s v="No"/>
    <s v="No"/>
    <x v="0"/>
    <x v="0"/>
    <s v="No"/>
  </r>
  <r>
    <s v="C2314"/>
    <s v="Aman Reddy"/>
    <s v="Male"/>
    <n v="22"/>
    <x v="2"/>
    <x v="1"/>
    <x v="4"/>
    <n v="1149"/>
    <n v="11490"/>
    <x v="0"/>
    <d v="2024-11-19T00:00:00"/>
    <x v="0"/>
    <s v="No"/>
    <s v="No"/>
    <x v="0"/>
    <x v="0"/>
    <s v="No"/>
  </r>
  <r>
    <s v="C2315"/>
    <s v="Priya Iyer"/>
    <s v="Female"/>
    <n v="58"/>
    <x v="10"/>
    <x v="0"/>
    <x v="11"/>
    <n v="749"/>
    <n v="14980"/>
    <x v="1"/>
    <d v="2024-01-21T00:00:00"/>
    <x v="0"/>
    <s v="No"/>
    <s v="No"/>
    <x v="0"/>
    <x v="0"/>
    <s v="No"/>
  </r>
  <r>
    <s v="C2316"/>
    <s v="Swati Agarwal"/>
    <s v="Female"/>
    <n v="41"/>
    <x v="13"/>
    <x v="1"/>
    <x v="14"/>
    <n v="749"/>
    <n v="27713"/>
    <x v="1"/>
    <d v="2022-09-01T00:00:00"/>
    <x v="0"/>
    <s v="No"/>
    <s v="No"/>
    <x v="0"/>
    <x v="0"/>
    <s v="No"/>
  </r>
  <r>
    <s v="C2317"/>
    <s v="Sanjay Joshi"/>
    <s v="Male"/>
    <n v="62"/>
    <x v="0"/>
    <x v="2"/>
    <x v="51"/>
    <n v="549"/>
    <n v="33489"/>
    <x v="2"/>
    <d v="2020-08-30T00:00:00"/>
    <x v="0"/>
    <s v="No"/>
    <s v="No"/>
    <x v="0"/>
    <x v="0"/>
    <s v="No"/>
  </r>
  <r>
    <s v="C2318"/>
    <s v="Deepika Singh"/>
    <s v="Female"/>
    <n v="38"/>
    <x v="13"/>
    <x v="1"/>
    <x v="8"/>
    <n v="549"/>
    <n v="8235"/>
    <x v="2"/>
    <d v="2024-06-09T00:00:00"/>
    <x v="0"/>
    <s v="No"/>
    <s v="No"/>
    <x v="0"/>
    <x v="0"/>
    <s v="No"/>
  </r>
  <r>
    <s v="C2319"/>
    <s v="Unknown"/>
    <s v="Male"/>
    <n v="48"/>
    <x v="3"/>
    <x v="0"/>
    <x v="17"/>
    <n v="549"/>
    <n v="7137"/>
    <x v="2"/>
    <d v="2024-08-18T00:00:00"/>
    <x v="1"/>
    <s v="No"/>
    <s v="No"/>
    <x v="0"/>
    <x v="0"/>
    <s v="No"/>
  </r>
  <r>
    <s v="C2320"/>
    <s v="Shreya Yadav"/>
    <s v="Female"/>
    <n v="75"/>
    <x v="14"/>
    <x v="0"/>
    <x v="27"/>
    <n v="1299"/>
    <n v="9093"/>
    <x v="0"/>
    <d v="2025-02-19T00:00:00"/>
    <x v="0"/>
    <s v="No"/>
    <s v="No"/>
    <x v="1"/>
    <x v="0"/>
    <s v="No"/>
  </r>
  <r>
    <s v="C2321"/>
    <s v="Gaurav Nair"/>
    <s v="Male"/>
    <n v="32"/>
    <x v="9"/>
    <x v="0"/>
    <x v="11"/>
    <n v="1149"/>
    <n v="22980"/>
    <x v="0"/>
    <d v="2024-01-27T00:00:00"/>
    <x v="2"/>
    <s v="No"/>
    <s v="No"/>
    <x v="0"/>
    <x v="0"/>
    <s v="Churn unknown"/>
  </r>
  <r>
    <s v="C2322"/>
    <s v="Swati Yadav"/>
    <s v="Female"/>
    <n v="74"/>
    <x v="1"/>
    <x v="0"/>
    <x v="27"/>
    <n v="349"/>
    <n v="2443"/>
    <x v="2"/>
    <d v="2025-03-01T00:00:00"/>
    <x v="1"/>
    <s v="No"/>
    <s v="Yes"/>
    <x v="0"/>
    <x v="0"/>
    <s v="No"/>
  </r>
  <r>
    <s v="C2323"/>
    <s v="Mohit Jain"/>
    <s v="Male"/>
    <n v="36"/>
    <x v="0"/>
    <x v="1"/>
    <x v="21"/>
    <n v="1049"/>
    <n v="1049"/>
    <x v="0"/>
    <d v="2025-08-29T00:00:00"/>
    <x v="1"/>
    <s v="No"/>
    <s v="No"/>
    <x v="0"/>
    <x v="0"/>
    <s v="No"/>
  </r>
  <r>
    <s v="C2324"/>
    <s v="Vivek Kumar"/>
    <s v="Male"/>
    <n v="41"/>
    <x v="7"/>
    <x v="1"/>
    <x v="39"/>
    <n v="549"/>
    <n v="15921"/>
    <x v="2"/>
    <d v="2023-04-28T00:00:00"/>
    <x v="0"/>
    <s v="No"/>
    <s v="No"/>
    <x v="0"/>
    <x v="0"/>
    <s v="No"/>
  </r>
  <r>
    <s v="C2325"/>
    <s v="Anjali Malhotra"/>
    <s v="Female"/>
    <n v="47"/>
    <x v="5"/>
    <x v="0"/>
    <x v="4"/>
    <n v="1149"/>
    <n v="11490"/>
    <x v="0"/>
    <d v="2024-12-02T00:00:00"/>
    <x v="1"/>
    <s v="No"/>
    <s v="No"/>
    <x v="0"/>
    <x v="0"/>
    <s v="No"/>
  </r>
  <r>
    <s v="C2326"/>
    <s v="Amit Joshi"/>
    <s v="Male"/>
    <n v="53"/>
    <x v="7"/>
    <x v="0"/>
    <x v="9"/>
    <n v="749"/>
    <n v="17976"/>
    <x v="1"/>
    <d v="2023-09-19T00:00:00"/>
    <x v="0"/>
    <s v="No"/>
    <s v="No"/>
    <x v="0"/>
    <x v="0"/>
    <s v="No"/>
  </r>
  <r>
    <s v="C2327"/>
    <s v="Divya Gupta"/>
    <s v="Female"/>
    <n v="38"/>
    <x v="11"/>
    <x v="2"/>
    <x v="14"/>
    <n v="699"/>
    <n v="25863"/>
    <x v="1"/>
    <d v="2022-08-29T00:00:00"/>
    <x v="1"/>
    <s v="No"/>
    <s v="No"/>
    <x v="0"/>
    <x v="0"/>
    <s v="No"/>
  </r>
  <r>
    <s v="C2328"/>
    <s v="Rohit Desai"/>
    <s v="Male"/>
    <n v="22"/>
    <x v="4"/>
    <x v="0"/>
    <x v="15"/>
    <n v="849"/>
    <n v="5094"/>
    <x v="1"/>
    <d v="2025-03-21T00:00:00"/>
    <x v="0"/>
    <s v="No"/>
    <s v="No"/>
    <x v="0"/>
    <x v="0"/>
    <s v="No"/>
  </r>
  <r>
    <s v="C2329"/>
    <s v="Neha Tiwari"/>
    <s v="Female"/>
    <n v="39"/>
    <x v="13"/>
    <x v="0"/>
    <x v="22"/>
    <n v="1099"/>
    <n v="2198"/>
    <x v="0"/>
    <d v="2025-07-13T00:00:00"/>
    <x v="0"/>
    <s v="No"/>
    <s v="No"/>
    <x v="0"/>
    <x v="0"/>
    <s v="No"/>
  </r>
  <r>
    <s v="C2330"/>
    <s v="Sanjay Kapoor"/>
    <s v="Male"/>
    <n v="28"/>
    <x v="4"/>
    <x v="1"/>
    <x v="8"/>
    <n v="549"/>
    <n v="8235"/>
    <x v="2"/>
    <d v="2024-06-15T00:00:00"/>
    <x v="1"/>
    <s v="No"/>
    <s v="No"/>
    <x v="1"/>
    <x v="0"/>
    <s v="No"/>
  </r>
  <r>
    <s v="C2331"/>
    <s v="Gaurav Verma"/>
    <s v="Male"/>
    <n v="20"/>
    <x v="0"/>
    <x v="1"/>
    <x v="35"/>
    <n v="449"/>
    <n v="4041"/>
    <x v="2"/>
    <d v="2024-12-12T00:00:00"/>
    <x v="0"/>
    <s v="No"/>
    <s v="No"/>
    <x v="0"/>
    <x v="0"/>
    <s v="No"/>
  </r>
  <r>
    <s v="C2332"/>
    <s v="Priya Jain"/>
    <s v="Female"/>
    <n v="66"/>
    <x v="5"/>
    <x v="0"/>
    <x v="23"/>
    <n v="1149"/>
    <n v="26427"/>
    <x v="0"/>
    <d v="2023-10-21T00:00:00"/>
    <x v="1"/>
    <s v="No"/>
    <s v="No"/>
    <x v="0"/>
    <x v="0"/>
    <s v="No"/>
  </r>
  <r>
    <s v="C2333"/>
    <s v="Sanjay Nair"/>
    <s v="Male"/>
    <n v="55"/>
    <x v="7"/>
    <x v="0"/>
    <x v="6"/>
    <n v="1149"/>
    <n v="21831"/>
    <x v="0"/>
    <d v="2024-03-03T00:00:00"/>
    <x v="1"/>
    <s v="No"/>
    <s v="No"/>
    <x v="0"/>
    <x v="0"/>
    <s v="No"/>
  </r>
  <r>
    <s v="C2334"/>
    <s v="Pankaj Iyer"/>
    <s v="Male"/>
    <n v="35"/>
    <x v="1"/>
    <x v="0"/>
    <x v="27"/>
    <n v="1149"/>
    <n v="8043"/>
    <x v="0"/>
    <d v="2025-02-20T00:00:00"/>
    <x v="1"/>
    <s v="No"/>
    <s v="No"/>
    <x v="0"/>
    <x v="0"/>
    <s v="No"/>
  </r>
  <r>
    <s v="C2335"/>
    <s v="Divya Reddy"/>
    <s v="Female"/>
    <n v="59"/>
    <x v="5"/>
    <x v="0"/>
    <x v="26"/>
    <n v="1149"/>
    <n v="24129"/>
    <x v="0"/>
    <d v="2024-01-04T00:00:00"/>
    <x v="1"/>
    <s v="No"/>
    <s v="No"/>
    <x v="0"/>
    <x v="0"/>
    <s v="No"/>
  </r>
  <r>
    <s v="C2336"/>
    <s v="Deepak Reddy"/>
    <s v="Male"/>
    <n v="65"/>
    <x v="6"/>
    <x v="0"/>
    <x v="9"/>
    <n v="1049"/>
    <n v="25176"/>
    <x v="0"/>
    <d v="2023-09-13T00:00:00"/>
    <x v="0"/>
    <s v="No"/>
    <s v="No"/>
    <x v="0"/>
    <x v="0"/>
    <s v="No"/>
  </r>
  <r>
    <s v="C2337"/>
    <s v="Isha Kapoor"/>
    <s v="Female"/>
    <n v="21"/>
    <x v="9"/>
    <x v="1"/>
    <x v="10"/>
    <n v="1149"/>
    <n v="19533"/>
    <x v="0"/>
    <d v="2024-04-30T00:00:00"/>
    <x v="0"/>
    <s v="No"/>
    <s v="No"/>
    <x v="0"/>
    <x v="0"/>
    <s v="No"/>
  </r>
  <r>
    <s v="C2338"/>
    <s v="Nikhil Mehta"/>
    <s v="Male"/>
    <n v="49"/>
    <x v="14"/>
    <x v="0"/>
    <x v="17"/>
    <n v="799"/>
    <n v="10387"/>
    <x v="1"/>
    <d v="2024-08-19T00:00:00"/>
    <x v="0"/>
    <s v="No"/>
    <s v="No"/>
    <x v="0"/>
    <x v="0"/>
    <s v="No"/>
  </r>
  <r>
    <s v="C2339"/>
    <s v="Ritu Kumar"/>
    <s v="Female"/>
    <n v="57"/>
    <x v="4"/>
    <x v="2"/>
    <x v="27"/>
    <n v="449"/>
    <n v="3143"/>
    <x v="2"/>
    <d v="2025-02-21T00:00:00"/>
    <x v="0"/>
    <s v="No"/>
    <s v="No"/>
    <x v="0"/>
    <x v="0"/>
    <s v="No"/>
  </r>
  <r>
    <s v="C2340"/>
    <s v="Divya Agarwal"/>
    <s v="Female"/>
    <n v="54"/>
    <x v="8"/>
    <x v="0"/>
    <x v="26"/>
    <n v="1099"/>
    <n v="23079"/>
    <x v="0"/>
    <d v="2023-12-25T00:00:00"/>
    <x v="1"/>
    <s v="No"/>
    <s v="No"/>
    <x v="0"/>
    <x v="0"/>
    <s v="No"/>
  </r>
  <r>
    <s v="C2341"/>
    <s v="Harsh Verma"/>
    <s v="Male"/>
    <n v="75"/>
    <x v="4"/>
    <x v="0"/>
    <x v="27"/>
    <n v="599"/>
    <n v="4193"/>
    <x v="1"/>
    <d v="2025-02-01T00:00:00"/>
    <x v="0"/>
    <s v="No"/>
    <s v="No"/>
    <x v="0"/>
    <x v="0"/>
    <s v="No"/>
  </r>
  <r>
    <s v="C2342"/>
    <s v="Meera Sharma"/>
    <s v="Female"/>
    <n v="25"/>
    <x v="4"/>
    <x v="1"/>
    <x v="7"/>
    <n v="1149"/>
    <n v="43662"/>
    <x v="0"/>
    <d v="2022-07-24T00:00:00"/>
    <x v="0"/>
    <s v="No"/>
    <s v="No"/>
    <x v="0"/>
    <x v="0"/>
    <s v="No"/>
  </r>
  <r>
    <s v="C2343"/>
    <s v="Neha Agarwal"/>
    <s v="Female"/>
    <n v="62"/>
    <x v="8"/>
    <x v="0"/>
    <x v="12"/>
    <m/>
    <n v="11687"/>
    <x v="0"/>
    <d v="2024-08-20T00:00:00"/>
    <x v="1"/>
    <s v="No"/>
    <s v="No"/>
    <x v="0"/>
    <x v="0"/>
    <s v="Monthly missing; Tenure missing"/>
  </r>
  <r>
    <s v="C2344"/>
    <s v="Meera Sharma"/>
    <s v="Female"/>
    <n v="54"/>
    <x v="3"/>
    <x v="1"/>
    <x v="30"/>
    <m/>
    <m/>
    <x v="2"/>
    <d v="2024-03-29T00:00:00"/>
    <x v="0"/>
    <s v="No"/>
    <s v="No"/>
    <x v="0"/>
    <x v="0"/>
    <s v="Monthly missing; Total missing"/>
  </r>
  <r>
    <s v="C2345"/>
    <s v="Suresh Mehta"/>
    <s v="Male"/>
    <n v="33"/>
    <x v="14"/>
    <x v="0"/>
    <x v="26"/>
    <n v="599"/>
    <n v="12579"/>
    <x v="1"/>
    <d v="2023-12-25T00:00:00"/>
    <x v="0"/>
    <s v="No"/>
    <s v="No"/>
    <x v="0"/>
    <x v="1"/>
    <s v="No"/>
  </r>
  <r>
    <s v="C2346"/>
    <s v="Ritu Pandey"/>
    <s v="Female"/>
    <n v="72"/>
    <x v="14"/>
    <x v="0"/>
    <x v="11"/>
    <n v="1099"/>
    <n v="21980"/>
    <x v="0"/>
    <d v="2024-01-26T00:00:00"/>
    <x v="0"/>
    <s v="No"/>
    <s v="Yes"/>
    <x v="0"/>
    <x v="0"/>
    <s v="No"/>
  </r>
  <r>
    <s v="C2347"/>
    <s v="Sonal Mishra"/>
    <s v="Female"/>
    <n v="27"/>
    <x v="2"/>
    <x v="1"/>
    <x v="16"/>
    <n v="799"/>
    <n v="9588"/>
    <x v="1"/>
    <d v="2024-09-22T00:00:00"/>
    <x v="0"/>
    <s v="No"/>
    <s v="No"/>
    <x v="0"/>
    <x v="0"/>
    <s v="No"/>
  </r>
  <r>
    <s v="C2348"/>
    <s v="Pooja Saxena"/>
    <s v="Female"/>
    <n v="66"/>
    <x v="7"/>
    <x v="1"/>
    <x v="20"/>
    <n v="1149"/>
    <n v="32172"/>
    <x v="0"/>
    <d v="2023-06-01T00:00:00"/>
    <x v="0"/>
    <s v="No"/>
    <s v="No"/>
    <x v="0"/>
    <x v="0"/>
    <s v="No"/>
  </r>
  <r>
    <s v="C2349"/>
    <s v="Shreya Kapoor"/>
    <s v="Female"/>
    <n v="66"/>
    <x v="1"/>
    <x v="3"/>
    <x v="15"/>
    <n v="699"/>
    <n v="4194"/>
    <x v="1"/>
    <d v="2025-03-15T00:00:00"/>
    <x v="0"/>
    <s v="No"/>
    <s v="No"/>
    <x v="0"/>
    <x v="0"/>
    <s v="No"/>
  </r>
  <r>
    <s v="C2350"/>
    <s v="Rajesh Singh"/>
    <s v="Male"/>
    <n v="70"/>
    <x v="13"/>
    <x v="0"/>
    <x v="24"/>
    <n v="1099"/>
    <n v="3297"/>
    <x v="0"/>
    <d v="2025-06-13T00:00:00"/>
    <x v="0"/>
    <s v="No"/>
    <s v="No"/>
    <x v="0"/>
    <x v="0"/>
    <s v="No"/>
  </r>
  <r>
    <s v="C2351"/>
    <s v="Mohit Reddy"/>
    <s v="Male"/>
    <n v="54"/>
    <x v="3"/>
    <x v="0"/>
    <x v="15"/>
    <n v="999"/>
    <n v="5994"/>
    <x v="0"/>
    <d v="2025-03-22T00:00:00"/>
    <x v="0"/>
    <s v="No"/>
    <s v="No"/>
    <x v="0"/>
    <x v="0"/>
    <s v="No"/>
  </r>
  <r>
    <s v="C2352"/>
    <s v="Sonal Rao"/>
    <s v="Female"/>
    <n v="51"/>
    <x v="9"/>
    <x v="2"/>
    <x v="59"/>
    <n v="849"/>
    <n v="38205"/>
    <x v="1"/>
    <d v="2021-12-28T00:00:00"/>
    <x v="0"/>
    <s v="No"/>
    <s v="No"/>
    <x v="0"/>
    <x v="0"/>
    <s v="No"/>
  </r>
  <r>
    <s v="C2353"/>
    <s v="Pooja Pandey"/>
    <s v="Female"/>
    <n v="47"/>
    <x v="13"/>
    <x v="0"/>
    <x v="10"/>
    <n v="899"/>
    <n v="15283"/>
    <x v="1"/>
    <d v="2024-05-04T00:00:00"/>
    <x v="2"/>
    <s v="Yes"/>
    <s v="No"/>
    <x v="0"/>
    <x v="1"/>
    <s v="Churn unknown"/>
  </r>
  <r>
    <s v="C2354"/>
    <s v="Ritu Rao"/>
    <s v="Female"/>
    <n v="37"/>
    <x v="6"/>
    <x v="0"/>
    <x v="27"/>
    <n v="899"/>
    <n v="6293"/>
    <x v="0"/>
    <d v="2025-02-24T00:00:00"/>
    <x v="1"/>
    <s v="No"/>
    <s v="No"/>
    <x v="0"/>
    <x v="1"/>
    <s v="No"/>
  </r>
  <r>
    <s v="C2355"/>
    <s v="Vikram Kumar"/>
    <s v="Male"/>
    <n v="34"/>
    <x v="7"/>
    <x v="2"/>
    <x v="70"/>
    <n v="1099"/>
    <n v="50554"/>
    <x v="0"/>
    <d v="2021-12-09T00:00:00"/>
    <x v="0"/>
    <s v="No"/>
    <s v="No"/>
    <x v="0"/>
    <x v="0"/>
    <s v="No"/>
  </r>
  <r>
    <s v="C2356"/>
    <s v="Divya Patel"/>
    <s v="Female"/>
    <n v="31"/>
    <x v="5"/>
    <x v="0"/>
    <x v="36"/>
    <n v="1149"/>
    <n v="18384"/>
    <x v="0"/>
    <d v="2024-05-21T00:00:00"/>
    <x v="1"/>
    <s v="No"/>
    <s v="Yes"/>
    <x v="0"/>
    <x v="0"/>
    <s v="No"/>
  </r>
  <r>
    <s v="C2357"/>
    <s v="Gaurav Joshi"/>
    <s v="Male"/>
    <n v="40"/>
    <x v="3"/>
    <x v="0"/>
    <x v="17"/>
    <n v="1149"/>
    <n v="14937"/>
    <x v="0"/>
    <d v="2024-08-16T00:00:00"/>
    <x v="1"/>
    <s v="No"/>
    <s v="Yes"/>
    <x v="0"/>
    <x v="0"/>
    <s v="No"/>
  </r>
  <r>
    <s v="C2358"/>
    <s v="Komal Sharma"/>
    <s v="Female"/>
    <n v="42"/>
    <x v="3"/>
    <x v="2"/>
    <x v="16"/>
    <n v="1049"/>
    <n v="12588"/>
    <x v="0"/>
    <d v="2024-09-26T00:00:00"/>
    <x v="1"/>
    <s v="No"/>
    <s v="No"/>
    <x v="0"/>
    <x v="0"/>
    <s v="No"/>
  </r>
  <r>
    <s v="C2359"/>
    <s v="Ankit Rao"/>
    <s v="Male"/>
    <n v="65"/>
    <x v="2"/>
    <x v="0"/>
    <x v="22"/>
    <n v="549"/>
    <n v="1098"/>
    <x v="2"/>
    <d v="2025-07-03T00:00:00"/>
    <x v="0"/>
    <s v="No"/>
    <s v="No"/>
    <x v="0"/>
    <x v="0"/>
    <s v="No"/>
  </r>
  <r>
    <s v="C2360"/>
    <s v="Deepika Yadav"/>
    <s v="Female"/>
    <n v="44"/>
    <x v="4"/>
    <x v="0"/>
    <x v="0"/>
    <n v="899"/>
    <n v="19778"/>
    <x v="1"/>
    <d v="2023-11-22T00:00:00"/>
    <x v="0"/>
    <s v="No"/>
    <s v="No"/>
    <x v="0"/>
    <x v="0"/>
    <s v="No"/>
  </r>
  <r>
    <s v="C2361"/>
    <s v="Ankit Malhotra"/>
    <s v="Male"/>
    <n v="62"/>
    <x v="11"/>
    <x v="0"/>
    <x v="26"/>
    <n v="449"/>
    <n v="9429"/>
    <x v="2"/>
    <d v="2023-12-16T00:00:00"/>
    <x v="0"/>
    <s v="No"/>
    <s v="No"/>
    <x v="1"/>
    <x v="0"/>
    <s v="No"/>
  </r>
  <r>
    <s v="C2362"/>
    <s v="Meera Kapoor"/>
    <s v="Female"/>
    <n v="36"/>
    <x v="6"/>
    <x v="0"/>
    <x v="2"/>
    <n v="749"/>
    <n v="8239"/>
    <x v="1"/>
    <d v="2024-10-31T00:00:00"/>
    <x v="0"/>
    <s v="No"/>
    <s v="No"/>
    <x v="0"/>
    <x v="0"/>
    <s v="No"/>
  </r>
  <r>
    <s v="C2363"/>
    <s v="Gaurav Desai"/>
    <s v="Male"/>
    <n v="33"/>
    <x v="3"/>
    <x v="0"/>
    <x v="26"/>
    <n v="1299"/>
    <n v="27279"/>
    <x v="0"/>
    <d v="2024-01-02T00:00:00"/>
    <x v="2"/>
    <s v="No"/>
    <s v="No"/>
    <x v="0"/>
    <x v="0"/>
    <s v="Churn unknown"/>
  </r>
  <r>
    <s v="C2364"/>
    <s v="Nikhil Saxena"/>
    <s v="Male"/>
    <n v="55"/>
    <x v="6"/>
    <x v="0"/>
    <x v="23"/>
    <n v="899"/>
    <n v="20677"/>
    <x v="0"/>
    <d v="2023-10-16T00:00:00"/>
    <x v="1"/>
    <s v="No"/>
    <s v="No"/>
    <x v="0"/>
    <x v="0"/>
    <s v="No"/>
  </r>
  <r>
    <s v="C2365"/>
    <s v="Ankit Desai"/>
    <s v="Male"/>
    <n v="41"/>
    <x v="13"/>
    <x v="1"/>
    <x v="29"/>
    <n v="849"/>
    <n v="28866"/>
    <x v="1"/>
    <d v="2022-11-28T00:00:00"/>
    <x v="1"/>
    <s v="No"/>
    <s v="No"/>
    <x v="0"/>
    <x v="0"/>
    <s v="No"/>
  </r>
  <r>
    <s v="C2366"/>
    <s v="Suresh Tiwari"/>
    <s v="Male"/>
    <n v="53"/>
    <x v="14"/>
    <x v="0"/>
    <x v="35"/>
    <n v="849"/>
    <n v="7641"/>
    <x v="1"/>
    <d v="2024-12-03T00:00:00"/>
    <x v="1"/>
    <s v="No"/>
    <s v="No"/>
    <x v="0"/>
    <x v="0"/>
    <s v="No"/>
  </r>
  <r>
    <s v="C2367"/>
    <s v="Rohit Reddy"/>
    <s v="Male"/>
    <n v="19"/>
    <x v="8"/>
    <x v="0"/>
    <x v="27"/>
    <n v="749"/>
    <n v="5243"/>
    <x v="1"/>
    <d v="2025-02-22T00:00:00"/>
    <x v="1"/>
    <s v="No"/>
    <s v="No"/>
    <x v="0"/>
    <x v="1"/>
    <s v="No"/>
  </r>
  <r>
    <s v="C2368"/>
    <s v="Neha Saxena"/>
    <s v="Female"/>
    <n v="29"/>
    <x v="11"/>
    <x v="0"/>
    <x v="28"/>
    <n v="999"/>
    <n v="7992"/>
    <x v="0"/>
    <d v="2025-01-09T00:00:00"/>
    <x v="1"/>
    <s v="No"/>
    <s v="No"/>
    <x v="0"/>
    <x v="0"/>
    <s v="No"/>
  </r>
  <r>
    <s v="C2369"/>
    <s v="Priya Patel"/>
    <s v="Female"/>
    <n v="21"/>
    <x v="1"/>
    <x v="1"/>
    <x v="30"/>
    <n v="799"/>
    <n v="14382"/>
    <x v="1"/>
    <d v="2024-03-12T00:00:00"/>
    <x v="0"/>
    <s v="No"/>
    <s v="No"/>
    <x v="0"/>
    <x v="0"/>
    <s v="No"/>
  </r>
  <r>
    <s v="C2370"/>
    <s v="Nikhil Nair"/>
    <s v="Male"/>
    <n v="73"/>
    <x v="7"/>
    <x v="2"/>
    <x v="51"/>
    <n v="749"/>
    <n v="45689"/>
    <x v="1"/>
    <d v="2020-09-12T00:00:00"/>
    <x v="2"/>
    <s v="No"/>
    <s v="No"/>
    <x v="0"/>
    <x v="0"/>
    <s v="Churn unknown"/>
  </r>
  <r>
    <s v="C2371"/>
    <s v="Rohit Saxena"/>
    <s v="Male"/>
    <n v="26"/>
    <x v="6"/>
    <x v="0"/>
    <x v="24"/>
    <n v="349"/>
    <n v="1047"/>
    <x v="2"/>
    <d v="2025-06-23T00:00:00"/>
    <x v="1"/>
    <s v="No"/>
    <s v="No"/>
    <x v="0"/>
    <x v="0"/>
    <s v="No"/>
  </r>
  <r>
    <s v="C2372"/>
    <s v="Isha Nair"/>
    <s v="Unknown"/>
    <n v="70"/>
    <x v="5"/>
    <x v="0"/>
    <x v="22"/>
    <n v="1049"/>
    <n v="2098"/>
    <x v="0"/>
    <d v="2025-07-09T00:00:00"/>
    <x v="1"/>
    <s v="No"/>
    <s v="No"/>
    <x v="0"/>
    <x v="0"/>
    <s v="No"/>
  </r>
  <r>
    <s v="C2373"/>
    <s v="Divya Kapoor"/>
    <s v="Female"/>
    <n v="56"/>
    <x v="6"/>
    <x v="2"/>
    <x v="10"/>
    <n v="1149"/>
    <n v="19533"/>
    <x v="0"/>
    <d v="2024-04-16T00:00:00"/>
    <x v="0"/>
    <s v="No"/>
    <s v="Yes"/>
    <x v="0"/>
    <x v="0"/>
    <s v="No"/>
  </r>
  <r>
    <s v="C2374"/>
    <s v="Manish Yadav"/>
    <s v="Male"/>
    <n v="51"/>
    <x v="5"/>
    <x v="0"/>
    <x v="11"/>
    <n v="599"/>
    <n v="11980"/>
    <x v="1"/>
    <d v="2024-01-15T00:00:00"/>
    <x v="0"/>
    <s v="No"/>
    <s v="No"/>
    <x v="0"/>
    <x v="0"/>
    <s v="No"/>
  </r>
  <r>
    <s v="C2375"/>
    <s v="Amit Patel"/>
    <s v="Male"/>
    <n v="35"/>
    <x v="12"/>
    <x v="0"/>
    <x v="2"/>
    <n v="1299"/>
    <n v="14289"/>
    <x v="0"/>
    <d v="2024-10-04T00:00:00"/>
    <x v="0"/>
    <s v="No"/>
    <s v="No"/>
    <x v="0"/>
    <x v="0"/>
    <s v="No"/>
  </r>
  <r>
    <s v="C2376"/>
    <s v="Komal Jain"/>
    <s v="Female"/>
    <n v="49"/>
    <x v="12"/>
    <x v="1"/>
    <x v="7"/>
    <n v="549"/>
    <n v="20862"/>
    <x v="2"/>
    <d v="2022-07-21T00:00:00"/>
    <x v="0"/>
    <s v="No"/>
    <s v="No"/>
    <x v="0"/>
    <x v="0"/>
    <s v="No"/>
  </r>
  <r>
    <s v="C2377"/>
    <s v="Gaurav Joshi"/>
    <s v="Male"/>
    <n v="23"/>
    <x v="14"/>
    <x v="0"/>
    <x v="10"/>
    <n v="799"/>
    <n v="13583"/>
    <x v="1"/>
    <m/>
    <x v="1"/>
    <s v="No"/>
    <s v="No"/>
    <x v="0"/>
    <x v="0"/>
    <s v="Date missing"/>
  </r>
  <r>
    <s v="C2378"/>
    <s v="Aditi Yadav"/>
    <s v="Female"/>
    <n v="50"/>
    <x v="10"/>
    <x v="0"/>
    <x v="28"/>
    <n v="449"/>
    <n v="3592"/>
    <x v="2"/>
    <d v="2025-01-25T00:00:00"/>
    <x v="0"/>
    <s v="No"/>
    <s v="No"/>
    <x v="0"/>
    <x v="0"/>
    <s v="No"/>
  </r>
  <r>
    <s v="C2379"/>
    <s v="Payal Saxena"/>
    <s v="Female"/>
    <n v="44"/>
    <x v="5"/>
    <x v="0"/>
    <x v="0"/>
    <n v="1299"/>
    <n v="28578"/>
    <x v="0"/>
    <d v="2023-12-04T00:00:00"/>
    <x v="0"/>
    <s v="No"/>
    <s v="No"/>
    <x v="0"/>
    <x v="0"/>
    <s v="No"/>
  </r>
  <r>
    <s v="C2380"/>
    <s v="Deepika Saxena"/>
    <s v="Female"/>
    <n v="61"/>
    <x v="2"/>
    <x v="1"/>
    <x v="33"/>
    <n v="1099"/>
    <n v="15386"/>
    <x v="3"/>
    <d v="2024-08-01T00:00:00"/>
    <x v="0"/>
    <s v="No"/>
    <s v="Yes"/>
    <x v="0"/>
    <x v="0"/>
    <s v="No"/>
  </r>
  <r>
    <s v="C2381"/>
    <s v="Ritu Mehta"/>
    <s v="Female"/>
    <n v="56"/>
    <x v="13"/>
    <x v="1"/>
    <x v="47"/>
    <n v="699"/>
    <n v="22368"/>
    <x v="1"/>
    <d v="2023-02-03T00:00:00"/>
    <x v="0"/>
    <s v="No"/>
    <s v="No"/>
    <x v="0"/>
    <x v="0"/>
    <s v="No"/>
  </r>
  <r>
    <s v="C2382"/>
    <s v="Sonal Joshi"/>
    <s v="Female"/>
    <n v="27"/>
    <x v="5"/>
    <x v="1"/>
    <x v="3"/>
    <n v="899"/>
    <n v="22475"/>
    <x v="1"/>
    <d v="2023-09-03T00:00:00"/>
    <x v="1"/>
    <s v="No"/>
    <s v="No"/>
    <x v="0"/>
    <x v="0"/>
    <s v="No"/>
  </r>
  <r>
    <s v="C2383"/>
    <s v="Komal Kapoor"/>
    <s v="Female"/>
    <n v="53"/>
    <x v="11"/>
    <x v="2"/>
    <x v="56"/>
    <n v="1049"/>
    <n v="56646"/>
    <x v="0"/>
    <d v="2021-04-02T00:00:00"/>
    <x v="0"/>
    <s v="No"/>
    <s v="No"/>
    <x v="0"/>
    <x v="0"/>
    <s v="No"/>
  </r>
  <r>
    <s v="C2384"/>
    <s v="Riya Reddy"/>
    <s v="Female"/>
    <n v="48"/>
    <x v="12"/>
    <x v="0"/>
    <x v="15"/>
    <m/>
    <m/>
    <x v="1"/>
    <d v="2025-03-30T00:00:00"/>
    <x v="1"/>
    <s v="No"/>
    <s v="No"/>
    <x v="0"/>
    <x v="0"/>
    <s v="Monthly missing; Total missing"/>
  </r>
  <r>
    <s v="C2385"/>
    <s v="Anjali Mishra"/>
    <s v="Female"/>
    <n v="52"/>
    <x v="5"/>
    <x v="0"/>
    <x v="9"/>
    <n v="849"/>
    <n v="20376"/>
    <x v="1"/>
    <d v="2023-09-18T00:00:00"/>
    <x v="1"/>
    <s v="No"/>
    <s v="No"/>
    <x v="0"/>
    <x v="0"/>
    <s v="No"/>
  </r>
  <r>
    <s v="C2386"/>
    <s v="Rahul Reddy"/>
    <s v="Male"/>
    <n v="39"/>
    <x v="11"/>
    <x v="1"/>
    <x v="36"/>
    <n v="649"/>
    <n v="10384"/>
    <x v="1"/>
    <d v="2024-05-12T00:00:00"/>
    <x v="0"/>
    <s v="No"/>
    <s v="No"/>
    <x v="0"/>
    <x v="0"/>
    <s v="No"/>
  </r>
  <r>
    <s v="C2387"/>
    <s v="Sonal Patel"/>
    <s v="Female"/>
    <n v="71"/>
    <x v="0"/>
    <x v="0"/>
    <x v="2"/>
    <n v="999"/>
    <n v="10989"/>
    <x v="0"/>
    <d v="2024-10-07T00:00:00"/>
    <x v="0"/>
    <s v="No"/>
    <s v="No"/>
    <x v="0"/>
    <x v="0"/>
    <s v="No"/>
  </r>
  <r>
    <s v="C2388"/>
    <s v="Deepika Mishra"/>
    <s v="Female"/>
    <n v="57"/>
    <x v="3"/>
    <x v="2"/>
    <x v="1"/>
    <n v="899"/>
    <n v="31465"/>
    <x v="1"/>
    <d v="2022-10-17T00:00:00"/>
    <x v="0"/>
    <s v="No"/>
    <s v="No"/>
    <x v="0"/>
    <x v="0"/>
    <s v="No"/>
  </r>
  <r>
    <s v="C2389"/>
    <s v="Ritu Nair"/>
    <s v="Female"/>
    <n v="47"/>
    <x v="11"/>
    <x v="0"/>
    <x v="28"/>
    <n v="699"/>
    <n v="5592"/>
    <x v="1"/>
    <d v="2025-01-22T00:00:00"/>
    <x v="1"/>
    <s v="No"/>
    <s v="No"/>
    <x v="0"/>
    <x v="0"/>
    <s v="No"/>
  </r>
  <r>
    <s v="C2390"/>
    <s v="Tanvi Yadav"/>
    <s v="Female"/>
    <n v="72"/>
    <x v="12"/>
    <x v="0"/>
    <x v="24"/>
    <n v="749"/>
    <n v="2247"/>
    <x v="1"/>
    <d v="2025-06-07T00:00:00"/>
    <x v="1"/>
    <s v="No"/>
    <s v="No"/>
    <x v="0"/>
    <x v="0"/>
    <s v="No"/>
  </r>
  <r>
    <s v="C2391"/>
    <s v="Riya Rao"/>
    <s v="Female"/>
    <n v="19"/>
    <x v="1"/>
    <x v="1"/>
    <x v="47"/>
    <n v="749"/>
    <n v="23968"/>
    <x v="1"/>
    <d v="2023-02-11T00:00:00"/>
    <x v="0"/>
    <s v="No"/>
    <s v="No"/>
    <x v="0"/>
    <x v="0"/>
    <s v="No"/>
  </r>
  <r>
    <s v="C2392"/>
    <s v="Payal Yadav"/>
    <s v="Female"/>
    <n v="42"/>
    <x v="6"/>
    <x v="0"/>
    <x v="13"/>
    <n v="849"/>
    <n v="4245"/>
    <x v="1"/>
    <d v="2025-04-10T00:00:00"/>
    <x v="0"/>
    <s v="No"/>
    <s v="No"/>
    <x v="0"/>
    <x v="0"/>
    <s v="No"/>
  </r>
  <r>
    <s v="C2393"/>
    <s v="Meera Rao"/>
    <s v="Female"/>
    <n v="31"/>
    <x v="0"/>
    <x v="0"/>
    <x v="28"/>
    <n v="1049"/>
    <n v="8392"/>
    <x v="0"/>
    <d v="2025-01-03T00:00:00"/>
    <x v="1"/>
    <s v="No"/>
    <s v="No"/>
    <x v="0"/>
    <x v="0"/>
    <s v="No"/>
  </r>
  <r>
    <s v="C2394"/>
    <s v="Priya Saxena"/>
    <s v="Female"/>
    <n v="54"/>
    <x v="0"/>
    <x v="1"/>
    <x v="22"/>
    <n v="749"/>
    <n v="1498"/>
    <x v="1"/>
    <d v="2025-07-30T00:00:00"/>
    <x v="0"/>
    <s v="No"/>
    <s v="Yes"/>
    <x v="0"/>
    <x v="0"/>
    <s v="No"/>
  </r>
  <r>
    <s v="C2395"/>
    <s v="Nisha Agarwal"/>
    <s v="Female"/>
    <n v="46"/>
    <x v="12"/>
    <x v="0"/>
    <x v="28"/>
    <n v="699"/>
    <n v="5592"/>
    <x v="1"/>
    <d v="2025-01-26T00:00:00"/>
    <x v="0"/>
    <s v="No"/>
    <s v="No"/>
    <x v="0"/>
    <x v="0"/>
    <s v="No"/>
  </r>
  <r>
    <s v="C2396"/>
    <s v="Rajesh Chopra"/>
    <s v="Male"/>
    <n v="51"/>
    <x v="11"/>
    <x v="0"/>
    <x v="22"/>
    <n v="749"/>
    <n v="1498"/>
    <x v="1"/>
    <d v="2025-07-28T00:00:00"/>
    <x v="0"/>
    <s v="No"/>
    <s v="No"/>
    <x v="0"/>
    <x v="0"/>
    <s v="No"/>
  </r>
  <r>
    <s v="C2397"/>
    <s v="Vikram Yadav"/>
    <s v="Male"/>
    <n v="62"/>
    <x v="1"/>
    <x v="0"/>
    <x v="35"/>
    <n v="749"/>
    <n v="6741"/>
    <x v="1"/>
    <d v="2024-12-19T00:00:00"/>
    <x v="1"/>
    <s v="No"/>
    <s v="No"/>
    <x v="0"/>
    <x v="1"/>
    <s v="No"/>
  </r>
  <r>
    <s v="C2398"/>
    <s v="Meera Nair"/>
    <s v="Female"/>
    <n v="44"/>
    <x v="5"/>
    <x v="0"/>
    <x v="24"/>
    <n v="799"/>
    <n v="2397"/>
    <x v="1"/>
    <d v="2025-06-05T00:00:00"/>
    <x v="0"/>
    <s v="No"/>
    <s v="No"/>
    <x v="0"/>
    <x v="0"/>
    <s v="No"/>
  </r>
  <r>
    <s v="C2399"/>
    <s v="Harsh Mishra"/>
    <s v="Male"/>
    <n v="48"/>
    <x v="12"/>
    <x v="2"/>
    <x v="42"/>
    <n v="799"/>
    <n v="20774"/>
    <x v="1"/>
    <d v="2023-08-07T00:00:00"/>
    <x v="1"/>
    <s v="No"/>
    <s v="No"/>
    <x v="0"/>
    <x v="1"/>
    <s v="No"/>
  </r>
  <r>
    <s v="C2400"/>
    <s v="Meera Mishra"/>
    <s v="Female"/>
    <n v="25"/>
    <x v="13"/>
    <x v="0"/>
    <x v="9"/>
    <n v="999"/>
    <n v="23976"/>
    <x v="0"/>
    <d v="2023-10-02T00:00:00"/>
    <x v="0"/>
    <s v="No"/>
    <s v="No"/>
    <x v="0"/>
    <x v="0"/>
    <s v="No"/>
  </r>
  <r>
    <s v="C2401"/>
    <s v="Nikhil Gupta"/>
    <s v="Male"/>
    <n v="67"/>
    <x v="5"/>
    <x v="0"/>
    <x v="10"/>
    <n v="599"/>
    <n v="10183"/>
    <x v="1"/>
    <d v="2024-04-21T00:00:00"/>
    <x v="1"/>
    <s v="No"/>
    <s v="No"/>
    <x v="0"/>
    <x v="0"/>
    <s v="No"/>
  </r>
  <r>
    <s v="C2402"/>
    <s v="Unknown"/>
    <s v="Male"/>
    <n v="73"/>
    <x v="11"/>
    <x v="2"/>
    <x v="37"/>
    <n v="999"/>
    <n v="35964"/>
    <x v="0"/>
    <d v="2022-10-11T00:00:00"/>
    <x v="2"/>
    <s v="No"/>
    <s v="No"/>
    <x v="0"/>
    <x v="0"/>
    <s v="Churn unknown"/>
  </r>
  <r>
    <s v="C2403"/>
    <s v="Arjun Chopra"/>
    <s v="Male"/>
    <n v="56"/>
    <x v="13"/>
    <x v="0"/>
    <x v="13"/>
    <n v="499"/>
    <n v="2495"/>
    <x v="2"/>
    <d v="2025-04-16T00:00:00"/>
    <x v="1"/>
    <s v="No"/>
    <s v="No"/>
    <x v="1"/>
    <x v="0"/>
    <s v="No"/>
  </r>
  <r>
    <s v="C2404"/>
    <s v="Sonal Mishra"/>
    <s v="Female"/>
    <n v="64"/>
    <x v="12"/>
    <x v="2"/>
    <x v="44"/>
    <n v="1299"/>
    <n v="87033"/>
    <x v="0"/>
    <d v="2020-03-02T00:00:00"/>
    <x v="0"/>
    <s v="No"/>
    <s v="No"/>
    <x v="0"/>
    <x v="1"/>
    <s v="No"/>
  </r>
  <r>
    <s v="C2405"/>
    <s v="Kavita Jain"/>
    <s v="Female"/>
    <n v="44"/>
    <x v="8"/>
    <x v="0"/>
    <x v="22"/>
    <n v="899"/>
    <n v="1798"/>
    <x v="0"/>
    <d v="2025-07-04T00:00:00"/>
    <x v="0"/>
    <s v="No"/>
    <s v="No"/>
    <x v="0"/>
    <x v="0"/>
    <s v="No"/>
  </r>
  <r>
    <s v="C2406"/>
    <s v="Anjali Yadav"/>
    <s v="Female"/>
    <n v="75"/>
    <x v="12"/>
    <x v="0"/>
    <x v="21"/>
    <n v="699"/>
    <n v="699"/>
    <x v="1"/>
    <d v="2025-08-23T00:00:00"/>
    <x v="0"/>
    <s v="No"/>
    <s v="No"/>
    <x v="0"/>
    <x v="0"/>
    <s v="No"/>
  </r>
  <r>
    <s v="C2407"/>
    <s v="Pooja Kapoor"/>
    <s v="Female"/>
    <n v="47"/>
    <x v="11"/>
    <x v="1"/>
    <x v="11"/>
    <n v="999"/>
    <n v="19980"/>
    <x v="0"/>
    <d v="2024-01-30T00:00:00"/>
    <x v="1"/>
    <s v="Yes"/>
    <s v="No"/>
    <x v="0"/>
    <x v="0"/>
    <s v="No"/>
  </r>
  <r>
    <s v="C2408"/>
    <s v="Kavita Desai"/>
    <s v="Female"/>
    <n v="43"/>
    <x v="7"/>
    <x v="1"/>
    <x v="33"/>
    <n v="999"/>
    <n v="13986"/>
    <x v="0"/>
    <d v="2024-07-28T00:00:00"/>
    <x v="0"/>
    <s v="No"/>
    <s v="No"/>
    <x v="0"/>
    <x v="0"/>
    <s v="No"/>
  </r>
  <r>
    <s v="C2409"/>
    <s v="Karan Iyer"/>
    <s v="Male"/>
    <n v="41"/>
    <x v="3"/>
    <x v="0"/>
    <x v="26"/>
    <n v="349"/>
    <n v="7329"/>
    <x v="2"/>
    <d v="2023-12-27T00:00:00"/>
    <x v="0"/>
    <s v="No"/>
    <s v="No"/>
    <x v="0"/>
    <x v="0"/>
    <s v="No"/>
  </r>
  <r>
    <s v="C2410"/>
    <s v="Sneha Desai"/>
    <s v="Female"/>
    <n v="22"/>
    <x v="2"/>
    <x v="0"/>
    <x v="10"/>
    <n v="649"/>
    <n v="11033"/>
    <x v="1"/>
    <d v="2024-04-14T00:00:00"/>
    <x v="1"/>
    <s v="No"/>
    <s v="No"/>
    <x v="0"/>
    <x v="0"/>
    <s v="No"/>
  </r>
  <r>
    <s v="C2411"/>
    <s v="Sneha Sharma"/>
    <s v="Female"/>
    <n v="50"/>
    <x v="0"/>
    <x v="1"/>
    <x v="39"/>
    <n v="1049"/>
    <n v="30421"/>
    <x v="0"/>
    <d v="2023-04-23T00:00:00"/>
    <x v="0"/>
    <s v="No"/>
    <s v="No"/>
    <x v="0"/>
    <x v="0"/>
    <s v="No"/>
  </r>
  <r>
    <s v="C2412"/>
    <s v="Aditi Patel"/>
    <s v="Female"/>
    <n v="21"/>
    <x v="13"/>
    <x v="0"/>
    <x v="8"/>
    <n v="899"/>
    <n v="13485"/>
    <x v="1"/>
    <d v="2024-07-04T00:00:00"/>
    <x v="0"/>
    <s v="No"/>
    <s v="No"/>
    <x v="0"/>
    <x v="1"/>
    <s v="No"/>
  </r>
  <r>
    <s v="C2413"/>
    <s v="Rohit Rao"/>
    <s v="Male"/>
    <n v="39"/>
    <x v="9"/>
    <x v="1"/>
    <x v="30"/>
    <n v="999"/>
    <n v="17982"/>
    <x v="0"/>
    <d v="2024-03-25T00:00:00"/>
    <x v="1"/>
    <s v="No"/>
    <s v="No"/>
    <x v="0"/>
    <x v="0"/>
    <s v="No"/>
  </r>
  <r>
    <s v="C2414"/>
    <s v="Divya Nair"/>
    <s v="Unknown"/>
    <n v="20"/>
    <x v="3"/>
    <x v="0"/>
    <x v="27"/>
    <n v="399"/>
    <n v="2793"/>
    <x v="2"/>
    <d v="2025-02-04T00:00:00"/>
    <x v="1"/>
    <s v="No"/>
    <s v="No"/>
    <x v="0"/>
    <x v="0"/>
    <s v="No"/>
  </r>
  <r>
    <s v="C2415"/>
    <s v="Vivek Mishra"/>
    <s v="Male"/>
    <n v="54"/>
    <x v="5"/>
    <x v="2"/>
    <x v="35"/>
    <n v="649"/>
    <n v="5841"/>
    <x v="1"/>
    <d v="2024-12-17T00:00:00"/>
    <x v="0"/>
    <s v="No"/>
    <s v="No"/>
    <x v="0"/>
    <x v="0"/>
    <s v="No"/>
  </r>
  <r>
    <s v="C2416"/>
    <s v="Manish Kapoor"/>
    <s v="Male"/>
    <n v="28"/>
    <x v="9"/>
    <x v="0"/>
    <x v="8"/>
    <n v="899"/>
    <n v="13485"/>
    <x v="1"/>
    <d v="2024-06-24T00:00:00"/>
    <x v="0"/>
    <s v="No"/>
    <s v="No"/>
    <x v="1"/>
    <x v="0"/>
    <s v="No"/>
  </r>
  <r>
    <s v="C2417"/>
    <s v="Kavita Bose"/>
    <s v="Female"/>
    <n v="53"/>
    <x v="1"/>
    <x v="2"/>
    <x v="65"/>
    <n v="449"/>
    <n v="19307"/>
    <x v="2"/>
    <d v="2022-02-25T00:00:00"/>
    <x v="0"/>
    <s v="No"/>
    <s v="No"/>
    <x v="0"/>
    <x v="0"/>
    <s v="No"/>
  </r>
  <r>
    <s v="C2418"/>
    <s v="Riya Nair"/>
    <s v="Female"/>
    <n v="32"/>
    <x v="6"/>
    <x v="0"/>
    <x v="2"/>
    <n v="1049"/>
    <n v="11539"/>
    <x v="0"/>
    <d v="2024-10-21T00:00:00"/>
    <x v="0"/>
    <s v="No"/>
    <s v="No"/>
    <x v="0"/>
    <x v="0"/>
    <s v="No"/>
  </r>
  <r>
    <s v="C2419"/>
    <s v="Rajesh Iyer"/>
    <s v="Male"/>
    <n v="69"/>
    <x v="10"/>
    <x v="0"/>
    <x v="30"/>
    <n v="399"/>
    <n v="7182"/>
    <x v="2"/>
    <d v="2024-03-30T00:00:00"/>
    <x v="0"/>
    <s v="No"/>
    <s v="No"/>
    <x v="0"/>
    <x v="0"/>
    <s v="No"/>
  </r>
  <r>
    <s v="C2420"/>
    <s v="Pooja Reddy"/>
    <s v="Female"/>
    <n v="62"/>
    <x v="1"/>
    <x v="0"/>
    <x v="17"/>
    <n v="1149"/>
    <n v="14937"/>
    <x v="0"/>
    <d v="2024-08-27T00:00:00"/>
    <x v="1"/>
    <s v="No"/>
    <s v="No"/>
    <x v="0"/>
    <x v="0"/>
    <s v="No"/>
  </r>
  <r>
    <s v="C2421"/>
    <s v="Pankaj Desai"/>
    <s v="Male"/>
    <n v="60"/>
    <x v="4"/>
    <x v="1"/>
    <x v="32"/>
    <n v="499"/>
    <n v="1996"/>
    <x v="2"/>
    <d v="2025-05-16T00:00:00"/>
    <x v="1"/>
    <s v="No"/>
    <s v="No"/>
    <x v="0"/>
    <x v="0"/>
    <s v="No"/>
  </r>
  <r>
    <s v="C2422"/>
    <s v="Nikhil Patel"/>
    <s v="Male"/>
    <n v="25"/>
    <x v="5"/>
    <x v="0"/>
    <x v="36"/>
    <n v="399"/>
    <n v="6384"/>
    <x v="2"/>
    <d v="2024-05-09T00:00:00"/>
    <x v="1"/>
    <s v="No"/>
    <s v="No"/>
    <x v="0"/>
    <x v="0"/>
    <s v="No"/>
  </r>
  <r>
    <s v="C2423"/>
    <s v="Harsh Nair"/>
    <s v="Male"/>
    <n v="57"/>
    <x v="13"/>
    <x v="0"/>
    <x v="2"/>
    <n v="799"/>
    <n v="8789"/>
    <x v="1"/>
    <d v="2024-10-31T00:00:00"/>
    <x v="1"/>
    <s v="No"/>
    <s v="No"/>
    <x v="0"/>
    <x v="0"/>
    <s v="No"/>
  </r>
  <r>
    <s v="C2424"/>
    <s v="Rohit Mishra"/>
    <s v="Male"/>
    <n v="45"/>
    <x v="7"/>
    <x v="2"/>
    <x v="11"/>
    <n v="499"/>
    <n v="9980"/>
    <x v="2"/>
    <d v="2024-02-02T00:00:00"/>
    <x v="0"/>
    <s v="No"/>
    <s v="No"/>
    <x v="0"/>
    <x v="0"/>
    <s v="No"/>
  </r>
  <r>
    <s v="C2425"/>
    <s v="Isha Saxena"/>
    <s v="Female"/>
    <n v="61"/>
    <x v="6"/>
    <x v="1"/>
    <x v="15"/>
    <n v="999"/>
    <n v="5994"/>
    <x v="0"/>
    <d v="2025-03-31T00:00:00"/>
    <x v="0"/>
    <s v="No"/>
    <s v="No"/>
    <x v="0"/>
    <x v="0"/>
    <s v="No"/>
  </r>
  <r>
    <s v="C2426"/>
    <s v="Amit Yadav"/>
    <s v="Male"/>
    <n v="47"/>
    <x v="6"/>
    <x v="2"/>
    <x v="58"/>
    <n v="1099"/>
    <n v="56049"/>
    <x v="3"/>
    <d v="2021-07-12T00:00:00"/>
    <x v="0"/>
    <s v="Yes"/>
    <s v="No"/>
    <x v="0"/>
    <x v="0"/>
    <s v="No"/>
  </r>
  <r>
    <s v="C2427"/>
    <s v="Pankaj Iyer"/>
    <s v="Male"/>
    <n v="26"/>
    <x v="4"/>
    <x v="0"/>
    <x v="15"/>
    <n v="549"/>
    <n v="3294"/>
    <x v="2"/>
    <d v="2025-03-13T00:00:00"/>
    <x v="1"/>
    <s v="No"/>
    <s v="No"/>
    <x v="0"/>
    <x v="0"/>
    <s v="No"/>
  </r>
  <r>
    <s v="C2428"/>
    <s v="Harsh Verma"/>
    <s v="Male"/>
    <n v="47"/>
    <x v="6"/>
    <x v="0"/>
    <x v="36"/>
    <n v="899"/>
    <n v="14384"/>
    <x v="1"/>
    <d v="2024-05-27T00:00:00"/>
    <x v="0"/>
    <s v="Yes"/>
    <s v="No"/>
    <x v="0"/>
    <x v="0"/>
    <s v="No"/>
  </r>
  <r>
    <s v="C2429"/>
    <s v="Divya Tiwari"/>
    <s v="Female"/>
    <n v="69"/>
    <x v="0"/>
    <x v="1"/>
    <x v="26"/>
    <n v="499"/>
    <n v="10479"/>
    <x v="2"/>
    <d v="2024-01-03T00:00:00"/>
    <x v="1"/>
    <s v="No"/>
    <s v="No"/>
    <x v="0"/>
    <x v="0"/>
    <s v="No"/>
  </r>
  <r>
    <s v="C2430"/>
    <s v="Vikram Verma"/>
    <s v="Male"/>
    <n v="55"/>
    <x v="4"/>
    <x v="0"/>
    <x v="13"/>
    <n v="349"/>
    <n v="1745"/>
    <x v="2"/>
    <d v="2025-04-21T00:00:00"/>
    <x v="1"/>
    <s v="No"/>
    <s v="No"/>
    <x v="0"/>
    <x v="0"/>
    <s v="No"/>
  </r>
  <r>
    <s v="C2431"/>
    <s v="Tanvi Nair"/>
    <s v="Female"/>
    <n v="63"/>
    <x v="7"/>
    <x v="0"/>
    <x v="26"/>
    <n v="849"/>
    <n v="17829"/>
    <x v="1"/>
    <d v="2023-12-29T00:00:00"/>
    <x v="0"/>
    <s v="No"/>
    <s v="No"/>
    <x v="0"/>
    <x v="0"/>
    <s v="No"/>
  </r>
  <r>
    <s v="C2432"/>
    <s v="Gaurav Chopra"/>
    <s v="Male"/>
    <n v="20"/>
    <x v="2"/>
    <x v="0"/>
    <x v="24"/>
    <n v="599"/>
    <n v="1797"/>
    <x v="1"/>
    <d v="2025-06-04T00:00:00"/>
    <x v="1"/>
    <s v="No"/>
    <s v="No"/>
    <x v="0"/>
    <x v="0"/>
    <s v="No"/>
  </r>
  <r>
    <s v="C2433"/>
    <s v="Shreya Saxena"/>
    <s v="Female"/>
    <n v="43"/>
    <x v="13"/>
    <x v="1"/>
    <x v="35"/>
    <n v="899"/>
    <n v="8091"/>
    <x v="1"/>
    <d v="2024-12-03T00:00:00"/>
    <x v="0"/>
    <s v="No"/>
    <s v="No"/>
    <x v="0"/>
    <x v="0"/>
    <s v="No"/>
  </r>
  <r>
    <s v="C2434"/>
    <s v="Unknown"/>
    <s v="Male"/>
    <n v="34"/>
    <x v="12"/>
    <x v="0"/>
    <x v="2"/>
    <n v="399"/>
    <n v="4389"/>
    <x v="2"/>
    <d v="2024-10-14T00:00:00"/>
    <x v="1"/>
    <s v="No"/>
    <s v="No"/>
    <x v="0"/>
    <x v="0"/>
    <s v="No"/>
  </r>
  <r>
    <s v="C2435"/>
    <s v="Kavita Mehta"/>
    <s v="Female"/>
    <n v="64"/>
    <x v="8"/>
    <x v="0"/>
    <x v="26"/>
    <n v="1199"/>
    <n v="25179"/>
    <x v="0"/>
    <d v="2023-12-27T00:00:00"/>
    <x v="0"/>
    <s v="No"/>
    <s v="No"/>
    <x v="0"/>
    <x v="0"/>
    <s v="No"/>
  </r>
  <r>
    <s v="C2436"/>
    <s v="Priya Reddy"/>
    <s v="Female"/>
    <n v="48"/>
    <x v="13"/>
    <x v="2"/>
    <x v="20"/>
    <n v="1049"/>
    <n v="29372"/>
    <x v="0"/>
    <d v="2023-05-30T00:00:00"/>
    <x v="0"/>
    <s v="No"/>
    <s v="No"/>
    <x v="0"/>
    <x v="1"/>
    <s v="No"/>
  </r>
  <r>
    <s v="C2437"/>
    <s v="Vivek Agarwal"/>
    <s v="Male"/>
    <n v="69"/>
    <x v="3"/>
    <x v="0"/>
    <x v="30"/>
    <n v="1149"/>
    <n v="20682"/>
    <x v="0"/>
    <d v="2024-03-27T00:00:00"/>
    <x v="1"/>
    <s v="No"/>
    <s v="No"/>
    <x v="0"/>
    <x v="0"/>
    <s v="No"/>
  </r>
  <r>
    <s v="C2438"/>
    <s v="Vivek Bose"/>
    <s v="Male"/>
    <n v="58"/>
    <x v="13"/>
    <x v="0"/>
    <x v="33"/>
    <n v="549"/>
    <n v="7686"/>
    <x v="2"/>
    <d v="2024-07-25T00:00:00"/>
    <x v="1"/>
    <s v="No"/>
    <s v="No"/>
    <x v="0"/>
    <x v="0"/>
    <s v="No"/>
  </r>
  <r>
    <s v="C2439"/>
    <s v="Ankit Malhotra"/>
    <s v="Male"/>
    <n v="37"/>
    <x v="9"/>
    <x v="2"/>
    <x v="46"/>
    <n v="349"/>
    <n v="11517"/>
    <x v="2"/>
    <d v="2023-01-11T00:00:00"/>
    <x v="0"/>
    <s v="No"/>
    <s v="No"/>
    <x v="0"/>
    <x v="0"/>
    <s v="No"/>
  </r>
  <r>
    <s v="C2440"/>
    <s v="Ankit Nair"/>
    <s v="Male"/>
    <n v="43"/>
    <x v="3"/>
    <x v="0"/>
    <x v="35"/>
    <n v="549"/>
    <n v="4941"/>
    <x v="2"/>
    <d v="2025-01-01T00:00:00"/>
    <x v="0"/>
    <s v="No"/>
    <s v="No"/>
    <x v="0"/>
    <x v="0"/>
    <s v="No"/>
  </r>
  <r>
    <s v="C2441"/>
    <s v="Riya Saxena"/>
    <s v="Female"/>
    <n v="47"/>
    <x v="7"/>
    <x v="2"/>
    <x v="49"/>
    <n v="699"/>
    <n v="49629"/>
    <x v="3"/>
    <d v="2019-10-31T00:00:00"/>
    <x v="0"/>
    <s v="Yes"/>
    <s v="No"/>
    <x v="0"/>
    <x v="0"/>
    <s v="No"/>
  </r>
  <r>
    <s v="C2442"/>
    <s v="Sonal Agarwal"/>
    <s v="Female"/>
    <n v="39"/>
    <x v="8"/>
    <x v="0"/>
    <x v="0"/>
    <n v="749"/>
    <n v="16478"/>
    <x v="1"/>
    <d v="2023-11-23T00:00:00"/>
    <x v="0"/>
    <s v="No"/>
    <s v="No"/>
    <x v="0"/>
    <x v="0"/>
    <s v="No"/>
  </r>
  <r>
    <s v="C2443"/>
    <s v="Karan Singh"/>
    <s v="Male"/>
    <n v="65"/>
    <x v="14"/>
    <x v="0"/>
    <x v="0"/>
    <n v="1099"/>
    <n v="24178"/>
    <x v="0"/>
    <d v="2023-12-02T00:00:00"/>
    <x v="0"/>
    <s v="No"/>
    <s v="No"/>
    <x v="0"/>
    <x v="0"/>
    <s v="No"/>
  </r>
  <r>
    <s v="C2444"/>
    <s v="Aman Reddy"/>
    <s v="Male"/>
    <n v="66"/>
    <x v="5"/>
    <x v="0"/>
    <x v="30"/>
    <n v="899"/>
    <n v="16182"/>
    <x v="0"/>
    <d v="2024-03-10T00:00:00"/>
    <x v="0"/>
    <s v="No"/>
    <s v="No"/>
    <x v="0"/>
    <x v="0"/>
    <s v="No"/>
  </r>
  <r>
    <s v="C2445"/>
    <s v="Rahul Nair"/>
    <s v="Male"/>
    <n v="22"/>
    <x v="13"/>
    <x v="1"/>
    <x v="30"/>
    <n v="899"/>
    <n v="16182"/>
    <x v="0"/>
    <d v="2024-03-21T00:00:00"/>
    <x v="0"/>
    <s v="No"/>
    <s v="No"/>
    <x v="0"/>
    <x v="0"/>
    <s v="No"/>
  </r>
  <r>
    <s v="C2446"/>
    <s v="Payal Reddy"/>
    <s v="Female"/>
    <n v="48"/>
    <x v="9"/>
    <x v="1"/>
    <x v="23"/>
    <n v="899"/>
    <n v="20677"/>
    <x v="0"/>
    <m/>
    <x v="1"/>
    <s v="No"/>
    <s v="No"/>
    <x v="0"/>
    <x v="0"/>
    <s v="Date missing"/>
  </r>
  <r>
    <s v="C2447"/>
    <s v="Sachin Malhotra"/>
    <s v="Male"/>
    <n v="64"/>
    <x v="3"/>
    <x v="2"/>
    <x v="16"/>
    <n v="999"/>
    <n v="11988"/>
    <x v="0"/>
    <d v="2024-09-17T00:00:00"/>
    <x v="0"/>
    <s v="No"/>
    <s v="No"/>
    <x v="0"/>
    <x v="0"/>
    <s v="No"/>
  </r>
  <r>
    <s v="C2448"/>
    <s v="Gaurav Chopra"/>
    <s v="Male"/>
    <n v="40"/>
    <x v="3"/>
    <x v="0"/>
    <x v="33"/>
    <n v="1299"/>
    <n v="18186"/>
    <x v="0"/>
    <d v="2024-07-23T00:00:00"/>
    <x v="0"/>
    <s v="No"/>
    <s v="No"/>
    <x v="0"/>
    <x v="0"/>
    <s v="No"/>
  </r>
  <r>
    <s v="C2449"/>
    <s v="Arjun Mehta"/>
    <s v="Male"/>
    <n v="57"/>
    <x v="9"/>
    <x v="0"/>
    <x v="23"/>
    <n v="1199"/>
    <n v="27577"/>
    <x v="0"/>
    <d v="2023-10-10T00:00:00"/>
    <x v="0"/>
    <s v="No"/>
    <s v="No"/>
    <x v="0"/>
    <x v="0"/>
    <s v="No"/>
  </r>
  <r>
    <s v="C2450"/>
    <s v="Sonal Kapoor"/>
    <s v="Female"/>
    <n v="42"/>
    <x v="2"/>
    <x v="1"/>
    <x v="24"/>
    <n v="599"/>
    <n v="1797"/>
    <x v="1"/>
    <d v="2025-06-19T00:00:00"/>
    <x v="1"/>
    <s v="No"/>
    <s v="No"/>
    <x v="0"/>
    <x v="0"/>
    <s v="No"/>
  </r>
  <r>
    <s v="C2451"/>
    <s v="Aman Chopra"/>
    <s v="Male"/>
    <n v="39"/>
    <x v="12"/>
    <x v="1"/>
    <x v="26"/>
    <n v="899"/>
    <n v="18879"/>
    <x v="1"/>
    <d v="2024-01-04T00:00:00"/>
    <x v="1"/>
    <s v="No"/>
    <s v="No"/>
    <x v="0"/>
    <x v="0"/>
    <s v="No"/>
  </r>
  <r>
    <s v="C2452"/>
    <s v="Rajesh Singh"/>
    <s v="Male"/>
    <n v="48"/>
    <x v="7"/>
    <x v="1"/>
    <x v="0"/>
    <n v="1149"/>
    <n v="25278"/>
    <x v="0"/>
    <d v="2023-11-18T00:00:00"/>
    <x v="0"/>
    <s v="No"/>
    <s v="No"/>
    <x v="0"/>
    <x v="0"/>
    <s v="No"/>
  </r>
  <r>
    <s v="C2453"/>
    <s v="Ritu Iyer"/>
    <s v="Female"/>
    <n v="52"/>
    <x v="6"/>
    <x v="0"/>
    <x v="32"/>
    <n v="599"/>
    <n v="2396"/>
    <x v="1"/>
    <d v="2025-05-05T00:00:00"/>
    <x v="0"/>
    <s v="No"/>
    <s v="No"/>
    <x v="0"/>
    <x v="0"/>
    <s v="No"/>
  </r>
  <r>
    <s v="C2454"/>
    <s v="Pooja Malhotra"/>
    <s v="Female"/>
    <n v="39"/>
    <x v="6"/>
    <x v="0"/>
    <x v="10"/>
    <n v="699"/>
    <n v="11883"/>
    <x v="1"/>
    <d v="2024-04-27T00:00:00"/>
    <x v="1"/>
    <s v="No"/>
    <s v="No"/>
    <x v="0"/>
    <x v="0"/>
    <s v="No"/>
  </r>
  <r>
    <s v="C2455"/>
    <s v="Priya Sharma"/>
    <s v="Female"/>
    <n v="36"/>
    <x v="2"/>
    <x v="0"/>
    <x v="13"/>
    <n v="799"/>
    <n v="3995"/>
    <x v="1"/>
    <d v="2025-04-20T00:00:00"/>
    <x v="0"/>
    <s v="No"/>
    <s v="No"/>
    <x v="0"/>
    <x v="0"/>
    <s v="No"/>
  </r>
  <r>
    <s v="C2456"/>
    <s v="Karan Malhotra"/>
    <s v="Male"/>
    <n v="67"/>
    <x v="2"/>
    <x v="0"/>
    <x v="6"/>
    <n v="649"/>
    <n v="12331"/>
    <x v="1"/>
    <d v="2024-02-28T00:00:00"/>
    <x v="1"/>
    <s v="No"/>
    <s v="No"/>
    <x v="0"/>
    <x v="0"/>
    <s v="No"/>
  </r>
  <r>
    <s v="C2457"/>
    <s v="Sonal Mishra"/>
    <s v="Female"/>
    <n v="47"/>
    <x v="4"/>
    <x v="2"/>
    <x v="18"/>
    <n v="1149"/>
    <n v="80430"/>
    <x v="0"/>
    <d v="2019-12-17T00:00:00"/>
    <x v="1"/>
    <s v="Yes"/>
    <s v="No"/>
    <x v="0"/>
    <x v="0"/>
    <s v="No"/>
  </r>
  <r>
    <s v="C2458"/>
    <s v="Harsh Tiwari"/>
    <s v="Male"/>
    <n v="23"/>
    <x v="9"/>
    <x v="0"/>
    <x v="13"/>
    <n v="899"/>
    <n v="4495"/>
    <x v="0"/>
    <d v="2025-04-03T00:00:00"/>
    <x v="1"/>
    <s v="No"/>
    <s v="No"/>
    <x v="0"/>
    <x v="0"/>
    <s v="No"/>
  </r>
  <r>
    <s v="C2459"/>
    <s v="Sneha Desai"/>
    <s v="Female"/>
    <n v="69"/>
    <x v="2"/>
    <x v="0"/>
    <x v="15"/>
    <n v="799"/>
    <n v="4794"/>
    <x v="1"/>
    <d v="2025-03-27T00:00:00"/>
    <x v="1"/>
    <s v="No"/>
    <s v="No"/>
    <x v="0"/>
    <x v="0"/>
    <s v="No"/>
  </r>
  <r>
    <s v="C2460"/>
    <s v="Rajesh Pandey"/>
    <s v="Male"/>
    <n v="73"/>
    <x v="4"/>
    <x v="1"/>
    <x v="33"/>
    <n v="849"/>
    <n v="11886"/>
    <x v="1"/>
    <d v="2024-07-09T00:00:00"/>
    <x v="0"/>
    <s v="No"/>
    <s v="No"/>
    <x v="0"/>
    <x v="0"/>
    <s v="No"/>
  </r>
  <r>
    <s v="C2461"/>
    <s v="Vivek Sharma"/>
    <s v="Male"/>
    <n v="61"/>
    <x v="1"/>
    <x v="2"/>
    <x v="3"/>
    <n v="1149"/>
    <n v="28725"/>
    <x v="0"/>
    <d v="2023-09-03T00:00:00"/>
    <x v="2"/>
    <s v="No"/>
    <s v="No"/>
    <x v="0"/>
    <x v="0"/>
    <s v="Churn unknown"/>
  </r>
  <r>
    <s v="C2462"/>
    <s v="Deepika Jain"/>
    <s v="Female"/>
    <n v="36"/>
    <x v="2"/>
    <x v="0"/>
    <x v="33"/>
    <n v="449"/>
    <n v="6286"/>
    <x v="2"/>
    <d v="2024-07-08T00:00:00"/>
    <x v="1"/>
    <s v="No"/>
    <s v="No"/>
    <x v="0"/>
    <x v="0"/>
    <s v="No"/>
  </r>
  <r>
    <s v="C2463"/>
    <s v="Vivek Malhotra"/>
    <s v="Male"/>
    <n v="59"/>
    <x v="11"/>
    <x v="0"/>
    <x v="17"/>
    <n v="449"/>
    <n v="5837"/>
    <x v="2"/>
    <d v="2024-08-16T00:00:00"/>
    <x v="0"/>
    <s v="No"/>
    <s v="No"/>
    <x v="0"/>
    <x v="0"/>
    <s v="No"/>
  </r>
  <r>
    <s v="C2464"/>
    <s v="Rajesh Reddy"/>
    <s v="Male"/>
    <n v="60"/>
    <x v="0"/>
    <x v="0"/>
    <x v="28"/>
    <n v="849"/>
    <n v="6792"/>
    <x v="1"/>
    <d v="2025-01-27T00:00:00"/>
    <x v="0"/>
    <s v="No"/>
    <s v="No"/>
    <x v="0"/>
    <x v="1"/>
    <s v="No"/>
  </r>
  <r>
    <s v="C2465"/>
    <s v="Suresh Reddy"/>
    <s v="Male"/>
    <n v="54"/>
    <x v="3"/>
    <x v="1"/>
    <x v="21"/>
    <n v="899"/>
    <n v="899"/>
    <x v="0"/>
    <d v="2025-08-25T00:00:00"/>
    <x v="1"/>
    <s v="No"/>
    <s v="No"/>
    <x v="1"/>
    <x v="0"/>
    <s v="No"/>
  </r>
  <r>
    <s v="C2466"/>
    <s v="Karan Patel"/>
    <s v="Male"/>
    <n v="38"/>
    <x v="12"/>
    <x v="0"/>
    <x v="35"/>
    <n v="1199"/>
    <n v="10791"/>
    <x v="0"/>
    <d v="2024-12-28T00:00:00"/>
    <x v="0"/>
    <s v="No"/>
    <s v="No"/>
    <x v="0"/>
    <x v="0"/>
    <s v="No"/>
  </r>
  <r>
    <s v="C2467"/>
    <s v="Deepak Patel"/>
    <s v="Male"/>
    <n v="30"/>
    <x v="6"/>
    <x v="1"/>
    <x v="36"/>
    <n v="449"/>
    <n v="7184"/>
    <x v="2"/>
    <d v="2024-05-28T00:00:00"/>
    <x v="0"/>
    <s v="No"/>
    <s v="No"/>
    <x v="0"/>
    <x v="0"/>
    <s v="No"/>
  </r>
  <r>
    <s v="C2468"/>
    <s v="Vivek Kapoor"/>
    <s v="Male"/>
    <n v="28"/>
    <x v="3"/>
    <x v="1"/>
    <x v="57"/>
    <n v="399"/>
    <n v="11970"/>
    <x v="2"/>
    <d v="2023-03-15T00:00:00"/>
    <x v="0"/>
    <s v="No"/>
    <s v="No"/>
    <x v="0"/>
    <x v="0"/>
    <s v="No"/>
  </r>
  <r>
    <s v="C2469"/>
    <s v="Pooja Iyer"/>
    <s v="Female"/>
    <n v="35"/>
    <x v="8"/>
    <x v="0"/>
    <x v="10"/>
    <n v="599"/>
    <n v="10183"/>
    <x v="1"/>
    <d v="2024-04-16T00:00:00"/>
    <x v="1"/>
    <s v="No"/>
    <s v="No"/>
    <x v="0"/>
    <x v="0"/>
    <s v="No"/>
  </r>
  <r>
    <s v="C2470"/>
    <s v="Ankit Mehta"/>
    <s v="Male"/>
    <n v="62"/>
    <x v="6"/>
    <x v="0"/>
    <x v="17"/>
    <n v="999"/>
    <n v="12987"/>
    <x v="0"/>
    <d v="2024-08-06T00:00:00"/>
    <x v="1"/>
    <s v="No"/>
    <s v="No"/>
    <x v="0"/>
    <x v="0"/>
    <s v="No"/>
  </r>
  <r>
    <s v="C2471"/>
    <s v="Rahul Nair"/>
    <s v="Male"/>
    <n v="59"/>
    <x v="7"/>
    <x v="0"/>
    <x v="30"/>
    <n v="399"/>
    <n v="7182"/>
    <x v="2"/>
    <d v="2024-03-14T00:00:00"/>
    <x v="1"/>
    <s v="No"/>
    <s v="No"/>
    <x v="0"/>
    <x v="0"/>
    <s v="No"/>
  </r>
  <r>
    <s v="C2472"/>
    <s v="Payal Malhotra"/>
    <s v="Female"/>
    <n v="62"/>
    <x v="4"/>
    <x v="0"/>
    <x v="4"/>
    <n v="1099"/>
    <n v="10990"/>
    <x v="0"/>
    <d v="2024-11-04T00:00:00"/>
    <x v="1"/>
    <s v="No"/>
    <s v="No"/>
    <x v="1"/>
    <x v="0"/>
    <s v="No"/>
  </r>
  <r>
    <s v="C2473"/>
    <s v="Manish Iyer"/>
    <s v="Male"/>
    <n v="34"/>
    <x v="13"/>
    <x v="0"/>
    <x v="30"/>
    <n v="549"/>
    <n v="9882"/>
    <x v="2"/>
    <d v="2024-03-21T00:00:00"/>
    <x v="0"/>
    <s v="No"/>
    <s v="No"/>
    <x v="0"/>
    <x v="0"/>
    <s v="No"/>
  </r>
  <r>
    <s v="C2474"/>
    <s v="Gaurav Jain"/>
    <s v="Male"/>
    <n v="18"/>
    <x v="8"/>
    <x v="2"/>
    <x v="49"/>
    <n v="749"/>
    <n v="53179"/>
    <x v="1"/>
    <d v="2019-11-23T00:00:00"/>
    <x v="1"/>
    <s v="No"/>
    <s v="No"/>
    <x v="0"/>
    <x v="0"/>
    <s v="No"/>
  </r>
  <r>
    <s v="C2475"/>
    <s v="Karan Agarwal"/>
    <s v="Male"/>
    <n v="37"/>
    <x v="14"/>
    <x v="1"/>
    <x v="30"/>
    <n v="799"/>
    <n v="14382"/>
    <x v="1"/>
    <d v="2024-03-18T00:00:00"/>
    <x v="0"/>
    <s v="No"/>
    <s v="No"/>
    <x v="0"/>
    <x v="0"/>
    <s v="No"/>
  </r>
  <r>
    <s v="C2476"/>
    <s v="Anjali Rao"/>
    <s v="Female"/>
    <n v="48"/>
    <x v="11"/>
    <x v="0"/>
    <x v="22"/>
    <n v="899"/>
    <n v="1798"/>
    <x v="1"/>
    <d v="2025-07-23T00:00:00"/>
    <x v="1"/>
    <s v="No"/>
    <s v="No"/>
    <x v="0"/>
    <x v="0"/>
    <s v="No"/>
  </r>
  <r>
    <s v="C2477"/>
    <s v="Komal Nair"/>
    <s v="Female"/>
    <n v="45"/>
    <x v="1"/>
    <x v="0"/>
    <x v="6"/>
    <n v="649"/>
    <n v="12331"/>
    <x v="1"/>
    <d v="2024-03-01T00:00:00"/>
    <x v="0"/>
    <s v="No"/>
    <s v="No"/>
    <x v="0"/>
    <x v="0"/>
    <s v="No"/>
  </r>
  <r>
    <s v="C2478"/>
    <s v="Nisha Mishra"/>
    <s v="Female"/>
    <n v="65"/>
    <x v="4"/>
    <x v="0"/>
    <x v="30"/>
    <n v="399"/>
    <n v="7182"/>
    <x v="2"/>
    <d v="2024-03-31T00:00:00"/>
    <x v="1"/>
    <s v="No"/>
    <s v="No"/>
    <x v="0"/>
    <x v="0"/>
    <s v="No"/>
  </r>
  <r>
    <s v="C2479"/>
    <s v="Aman Reddy"/>
    <s v="Male"/>
    <n v="20"/>
    <x v="5"/>
    <x v="0"/>
    <x v="32"/>
    <n v="1199"/>
    <n v="4796"/>
    <x v="0"/>
    <d v="2025-05-03T00:00:00"/>
    <x v="0"/>
    <s v="No"/>
    <s v="No"/>
    <x v="0"/>
    <x v="0"/>
    <s v="No"/>
  </r>
  <r>
    <s v="C2480"/>
    <s v="Vikram Joshi"/>
    <s v="Male"/>
    <n v="47"/>
    <x v="11"/>
    <x v="0"/>
    <x v="11"/>
    <n v="399"/>
    <n v="7980"/>
    <x v="2"/>
    <d v="2024-01-15T00:00:00"/>
    <x v="1"/>
    <s v="Yes"/>
    <s v="No"/>
    <x v="0"/>
    <x v="0"/>
    <s v="No"/>
  </r>
  <r>
    <s v="C2481"/>
    <s v="Sonal Gupta"/>
    <s v="Female"/>
    <n v="60"/>
    <x v="13"/>
    <x v="1"/>
    <x v="47"/>
    <n v="899"/>
    <n v="28768"/>
    <x v="1"/>
    <d v="2023-02-08T00:00:00"/>
    <x v="0"/>
    <s v="No"/>
    <s v="No"/>
    <x v="0"/>
    <x v="0"/>
    <s v="No"/>
  </r>
  <r>
    <s v="C2482"/>
    <s v="Mohit Bose"/>
    <s v="Male"/>
    <n v="32"/>
    <x v="11"/>
    <x v="0"/>
    <x v="16"/>
    <n v="1299"/>
    <n v="15588"/>
    <x v="0"/>
    <d v="2024-09-28T00:00:00"/>
    <x v="0"/>
    <s v="No"/>
    <s v="No"/>
    <x v="0"/>
    <x v="0"/>
    <s v="No"/>
  </r>
  <r>
    <s v="C2483"/>
    <s v="Karan Chopra"/>
    <s v="Unknown"/>
    <n v="54"/>
    <x v="3"/>
    <x v="1"/>
    <x v="2"/>
    <n v="649"/>
    <n v="7139"/>
    <x v="1"/>
    <d v="2024-10-27T00:00:00"/>
    <x v="0"/>
    <s v="No"/>
    <s v="No"/>
    <x v="0"/>
    <x v="0"/>
    <s v="No"/>
  </r>
  <r>
    <s v="C2484"/>
    <s v="Sanjay Singh"/>
    <s v="Male"/>
    <n v="36"/>
    <x v="7"/>
    <x v="0"/>
    <x v="11"/>
    <n v="899"/>
    <n v="17980"/>
    <x v="0"/>
    <d v="2024-01-14T00:00:00"/>
    <x v="0"/>
    <s v="No"/>
    <s v="No"/>
    <x v="0"/>
    <x v="0"/>
    <s v="No"/>
  </r>
  <r>
    <s v="C2485"/>
    <s v="Aman Chopra"/>
    <s v="Male"/>
    <n v="66"/>
    <x v="13"/>
    <x v="3"/>
    <x v="13"/>
    <n v="899"/>
    <n v="4495"/>
    <x v="0"/>
    <d v="2025-05-01T00:00:00"/>
    <x v="1"/>
    <s v="No"/>
    <s v="No"/>
    <x v="0"/>
    <x v="0"/>
    <s v="No"/>
  </r>
  <r>
    <s v="C2486"/>
    <s v="Aman Verma"/>
    <s v="Male"/>
    <n v="52"/>
    <x v="8"/>
    <x v="1"/>
    <x v="27"/>
    <n v="399"/>
    <n v="2793"/>
    <x v="2"/>
    <d v="2025-02-26T00:00:00"/>
    <x v="2"/>
    <s v="No"/>
    <s v="No"/>
    <x v="0"/>
    <x v="0"/>
    <s v="Churn unknown"/>
  </r>
  <r>
    <s v="C2487"/>
    <s v="Anjali Tiwari"/>
    <s v="Female"/>
    <n v="32"/>
    <x v="14"/>
    <x v="2"/>
    <x v="44"/>
    <n v="849"/>
    <n v="56883"/>
    <x v="1"/>
    <d v="2020-02-28T00:00:00"/>
    <x v="0"/>
    <s v="No"/>
    <s v="No"/>
    <x v="0"/>
    <x v="0"/>
    <s v="No"/>
  </r>
  <r>
    <s v="C2488"/>
    <s v="Shreya Gupta"/>
    <s v="Female"/>
    <n v="71"/>
    <x v="11"/>
    <x v="0"/>
    <x v="8"/>
    <n v="999"/>
    <n v="14985"/>
    <x v="0"/>
    <d v="2024-06-21T00:00:00"/>
    <x v="0"/>
    <s v="No"/>
    <s v="No"/>
    <x v="0"/>
    <x v="0"/>
    <s v="No"/>
  </r>
  <r>
    <s v="C2489"/>
    <s v="Swati Malhotra"/>
    <s v="Female"/>
    <n v="56"/>
    <x v="0"/>
    <x v="2"/>
    <x v="24"/>
    <n v="1099"/>
    <n v="3297"/>
    <x v="0"/>
    <d v="2025-06-13T00:00:00"/>
    <x v="0"/>
    <s v="No"/>
    <s v="No"/>
    <x v="0"/>
    <x v="0"/>
    <s v="No"/>
  </r>
  <r>
    <s v="C2490"/>
    <s v="Neha Bose"/>
    <s v="Female"/>
    <n v="25"/>
    <x v="13"/>
    <x v="1"/>
    <x v="8"/>
    <n v="549"/>
    <n v="8235"/>
    <x v="2"/>
    <d v="2024-07-02T00:00:00"/>
    <x v="0"/>
    <s v="No"/>
    <s v="No"/>
    <x v="0"/>
    <x v="0"/>
    <s v="No"/>
  </r>
  <r>
    <s v="C2491"/>
    <s v="Divya Chopra"/>
    <s v="Female"/>
    <n v="55"/>
    <x v="14"/>
    <x v="1"/>
    <x v="29"/>
    <n v="649"/>
    <n v="22066"/>
    <x v="1"/>
    <d v="2022-12-06T00:00:00"/>
    <x v="0"/>
    <s v="No"/>
    <s v="No"/>
    <x v="0"/>
    <x v="0"/>
    <s v="No"/>
  </r>
  <r>
    <s v="C2492"/>
    <s v="Mohit Yadav"/>
    <s v="Male"/>
    <n v="52"/>
    <x v="4"/>
    <x v="0"/>
    <x v="2"/>
    <n v="1149"/>
    <n v="12639"/>
    <x v="0"/>
    <d v="2024-10-23T00:00:00"/>
    <x v="1"/>
    <s v="No"/>
    <s v="No"/>
    <x v="0"/>
    <x v="0"/>
    <s v="No"/>
  </r>
  <r>
    <s v="C2493"/>
    <s v="Arjun Verma"/>
    <s v="Male"/>
    <n v="45"/>
    <x v="7"/>
    <x v="2"/>
    <x v="39"/>
    <n v="849"/>
    <n v="24621"/>
    <x v="1"/>
    <d v="2023-04-23T00:00:00"/>
    <x v="0"/>
    <s v="No"/>
    <s v="No"/>
    <x v="0"/>
    <x v="0"/>
    <s v="No"/>
  </r>
  <r>
    <s v="C2494"/>
    <s v="Neha Tiwari"/>
    <s v="Female"/>
    <n v="64"/>
    <x v="9"/>
    <x v="0"/>
    <x v="2"/>
    <n v="999"/>
    <n v="10989"/>
    <x v="0"/>
    <d v="2024-10-23T00:00:00"/>
    <x v="0"/>
    <s v="No"/>
    <s v="No"/>
    <x v="0"/>
    <x v="0"/>
    <s v="No"/>
  </r>
  <r>
    <s v="C2495"/>
    <s v="Amit Sharma"/>
    <s v="Male"/>
    <n v="67"/>
    <x v="3"/>
    <x v="1"/>
    <x v="22"/>
    <n v="1049"/>
    <n v="2098"/>
    <x v="0"/>
    <d v="2025-07-05T00:00:00"/>
    <x v="0"/>
    <s v="No"/>
    <s v="No"/>
    <x v="0"/>
    <x v="0"/>
    <s v="No"/>
  </r>
  <r>
    <s v="C2496"/>
    <s v="Vikram Pandey"/>
    <s v="Male"/>
    <n v="30"/>
    <x v="7"/>
    <x v="2"/>
    <x v="54"/>
    <n v="849"/>
    <n v="58581"/>
    <x v="1"/>
    <d v="2020-01-05T00:00:00"/>
    <x v="0"/>
    <s v="No"/>
    <s v="No"/>
    <x v="0"/>
    <x v="0"/>
    <s v="No"/>
  </r>
  <r>
    <s v="C2497"/>
    <s v="Rohit Patel"/>
    <s v="Male"/>
    <n v="38"/>
    <x v="12"/>
    <x v="1"/>
    <x v="46"/>
    <n v="1049"/>
    <n v="34617"/>
    <x v="0"/>
    <d v="2023-01-10T00:00:00"/>
    <x v="0"/>
    <s v="No"/>
    <s v="No"/>
    <x v="0"/>
    <x v="1"/>
    <s v="No"/>
  </r>
  <r>
    <s v="C2498"/>
    <s v="Pankaj Saxena"/>
    <s v="Male"/>
    <n v="54"/>
    <x v="1"/>
    <x v="0"/>
    <x v="24"/>
    <n v="999"/>
    <n v="2997"/>
    <x v="0"/>
    <d v="2025-06-05T00:00:00"/>
    <x v="1"/>
    <s v="No"/>
    <s v="No"/>
    <x v="0"/>
    <x v="1"/>
    <s v="No"/>
  </r>
  <r>
    <s v="C2499"/>
    <s v="Nikhil Rao"/>
    <s v="Unknown"/>
    <n v="48"/>
    <x v="3"/>
    <x v="0"/>
    <x v="22"/>
    <n v="899"/>
    <n v="1798"/>
    <x v="3"/>
    <d v="2025-07-02T00:00:00"/>
    <x v="0"/>
    <s v="No"/>
    <s v="No"/>
    <x v="0"/>
    <x v="0"/>
    <s v="No"/>
  </r>
  <r>
    <s v="C2500"/>
    <s v="Deepak Patel"/>
    <s v="Male"/>
    <n v="58"/>
    <x v="2"/>
    <x v="0"/>
    <x v="35"/>
    <n v="999"/>
    <n v="8991"/>
    <x v="0"/>
    <d v="2024-12-29T00:00:00"/>
    <x v="1"/>
    <s v="No"/>
    <s v="No"/>
    <x v="0"/>
    <x v="0"/>
    <s v="No"/>
  </r>
  <r>
    <s v="C2501"/>
    <s v="Vivek Singh"/>
    <s v="Male"/>
    <n v="69"/>
    <x v="5"/>
    <x v="0"/>
    <x v="16"/>
    <n v="449"/>
    <n v="5388"/>
    <x v="2"/>
    <d v="2024-09-28T00:00:00"/>
    <x v="1"/>
    <s v="No"/>
    <s v="No"/>
    <x v="0"/>
    <x v="0"/>
    <s v="No"/>
  </r>
  <r>
    <s v="C2502"/>
    <s v="Sneha Mishra"/>
    <s v="Female"/>
    <n v="63"/>
    <x v="3"/>
    <x v="1"/>
    <x v="33"/>
    <n v="649"/>
    <n v="9086"/>
    <x v="1"/>
    <d v="2024-07-18T00:00:00"/>
    <x v="0"/>
    <s v="No"/>
    <s v="Yes"/>
    <x v="0"/>
    <x v="0"/>
    <s v="No"/>
  </r>
  <r>
    <s v="C2503"/>
    <s v="Riya Patel"/>
    <s v="Female"/>
    <n v="68"/>
    <x v="3"/>
    <x v="1"/>
    <x v="29"/>
    <n v="999"/>
    <n v="33966"/>
    <x v="0"/>
    <d v="2022-11-18T00:00:00"/>
    <x v="1"/>
    <s v="No"/>
    <s v="No"/>
    <x v="0"/>
    <x v="0"/>
    <s v="No"/>
  </r>
  <r>
    <s v="C2504"/>
    <s v="Karan Rao"/>
    <s v="Male"/>
    <n v="34"/>
    <x v="6"/>
    <x v="0"/>
    <x v="12"/>
    <n v="449"/>
    <m/>
    <x v="2"/>
    <d v="2024-04-28T00:00:00"/>
    <x v="0"/>
    <s v="No"/>
    <s v="No"/>
    <x v="0"/>
    <x v="0"/>
    <s v="Total missing; Tenure missing"/>
  </r>
  <r>
    <s v="C2505"/>
    <s v="Sachin Desai"/>
    <s v="Male"/>
    <n v="49"/>
    <x v="0"/>
    <x v="0"/>
    <x v="27"/>
    <n v="1199"/>
    <n v="8393"/>
    <x v="0"/>
    <d v="2025-02-23T00:00:00"/>
    <x v="1"/>
    <s v="No"/>
    <s v="Yes"/>
    <x v="0"/>
    <x v="0"/>
    <s v="No"/>
  </r>
  <r>
    <s v="C2506"/>
    <s v="Vikram Singh"/>
    <s v="Male"/>
    <n v="62"/>
    <x v="10"/>
    <x v="1"/>
    <x v="2"/>
    <n v="799"/>
    <n v="8789"/>
    <x v="1"/>
    <d v="2024-10-28T00:00:00"/>
    <x v="0"/>
    <s v="No"/>
    <s v="No"/>
    <x v="0"/>
    <x v="0"/>
    <s v="No"/>
  </r>
  <r>
    <s v="C2507"/>
    <s v="Manish Tiwari"/>
    <s v="Male"/>
    <n v="66"/>
    <x v="14"/>
    <x v="0"/>
    <x v="10"/>
    <n v="999"/>
    <n v="16983"/>
    <x v="0"/>
    <d v="2024-04-12T00:00:00"/>
    <x v="1"/>
    <s v="No"/>
    <s v="No"/>
    <x v="0"/>
    <x v="0"/>
    <s v="No"/>
  </r>
  <r>
    <s v="C2508"/>
    <s v="Neha Kapoor"/>
    <s v="Female"/>
    <n v="73"/>
    <x v="3"/>
    <x v="2"/>
    <x v="41"/>
    <n v="649"/>
    <n v="32450"/>
    <x v="1"/>
    <d v="2021-07-24T00:00:00"/>
    <x v="0"/>
    <s v="No"/>
    <s v="No"/>
    <x v="0"/>
    <x v="0"/>
    <s v="No"/>
  </r>
  <r>
    <s v="C2509"/>
    <s v="Arjun Rao"/>
    <s v="Male"/>
    <n v="68"/>
    <x v="0"/>
    <x v="1"/>
    <x v="1"/>
    <n v="999"/>
    <n v="34965"/>
    <x v="0"/>
    <d v="2022-10-17T00:00:00"/>
    <x v="1"/>
    <s v="No"/>
    <s v="No"/>
    <x v="0"/>
    <x v="0"/>
    <s v="No"/>
  </r>
  <r>
    <s v="C2510"/>
    <s v="Vikram Desai"/>
    <s v="Male"/>
    <n v="42"/>
    <x v="5"/>
    <x v="0"/>
    <x v="4"/>
    <n v="799"/>
    <n v="7990"/>
    <x v="1"/>
    <d v="2024-11-03T00:00:00"/>
    <x v="0"/>
    <s v="No"/>
    <s v="No"/>
    <x v="0"/>
    <x v="0"/>
    <s v="No"/>
  </r>
  <r>
    <s v="C2511"/>
    <s v="Manish Agarwal"/>
    <s v="Male"/>
    <n v="24"/>
    <x v="2"/>
    <x v="0"/>
    <x v="10"/>
    <n v="1299"/>
    <n v="22083"/>
    <x v="0"/>
    <d v="2024-05-02T00:00:00"/>
    <x v="1"/>
    <s v="No"/>
    <s v="No"/>
    <x v="0"/>
    <x v="0"/>
    <s v="No"/>
  </r>
  <r>
    <s v="C2512"/>
    <s v="Riya Pandey"/>
    <s v="Female"/>
    <n v="21"/>
    <x v="9"/>
    <x v="1"/>
    <x v="32"/>
    <n v="899"/>
    <n v="3596"/>
    <x v="1"/>
    <d v="2025-05-25T00:00:00"/>
    <x v="1"/>
    <s v="No"/>
    <s v="No"/>
    <x v="1"/>
    <x v="0"/>
    <s v="No"/>
  </r>
  <r>
    <s v="C2513"/>
    <s v="Aman Mehta"/>
    <s v="Male"/>
    <n v="71"/>
    <x v="1"/>
    <x v="0"/>
    <x v="23"/>
    <n v="599"/>
    <n v="13777"/>
    <x v="1"/>
    <d v="2023-10-14T00:00:00"/>
    <x v="0"/>
    <s v="No"/>
    <s v="No"/>
    <x v="0"/>
    <x v="0"/>
    <s v="No"/>
  </r>
  <r>
    <s v="C2514"/>
    <s v="Vikram Reddy"/>
    <s v="Male"/>
    <n v="63"/>
    <x v="11"/>
    <x v="0"/>
    <x v="32"/>
    <n v="899"/>
    <n v="3596"/>
    <x v="0"/>
    <d v="2025-05-24T00:00:00"/>
    <x v="0"/>
    <s v="No"/>
    <s v="No"/>
    <x v="0"/>
    <x v="0"/>
    <s v="No"/>
  </r>
  <r>
    <s v="C2515"/>
    <s v="Sanjay Desai"/>
    <s v="Male"/>
    <n v="31"/>
    <x v="8"/>
    <x v="0"/>
    <x v="28"/>
    <n v="599"/>
    <n v="4792"/>
    <x v="1"/>
    <d v="2025-01-29T00:00:00"/>
    <x v="0"/>
    <s v="No"/>
    <s v="No"/>
    <x v="0"/>
    <x v="0"/>
    <s v="No"/>
  </r>
  <r>
    <s v="C2516"/>
    <s v="Swati Rao"/>
    <s v="Female"/>
    <n v="24"/>
    <x v="7"/>
    <x v="2"/>
    <x v="49"/>
    <n v="549"/>
    <n v="38979"/>
    <x v="2"/>
    <d v="2019-11-29T00:00:00"/>
    <x v="0"/>
    <s v="No"/>
    <s v="No"/>
    <x v="0"/>
    <x v="0"/>
    <s v="No"/>
  </r>
  <r>
    <s v="C2517"/>
    <s v="Sanjay Sharma"/>
    <s v="Male"/>
    <n v="69"/>
    <x v="3"/>
    <x v="1"/>
    <x v="19"/>
    <n v="599"/>
    <n v="16173"/>
    <x v="1"/>
    <d v="2023-06-25T00:00:00"/>
    <x v="0"/>
    <s v="No"/>
    <s v="No"/>
    <x v="0"/>
    <x v="0"/>
    <s v="No"/>
  </r>
  <r>
    <s v="C2518"/>
    <s v="Manish Pandey"/>
    <s v="Male"/>
    <n v="42"/>
    <x v="2"/>
    <x v="0"/>
    <x v="35"/>
    <n v="1049"/>
    <n v="9441"/>
    <x v="0"/>
    <d v="2024-12-09T00:00:00"/>
    <x v="1"/>
    <s v="No"/>
    <s v="No"/>
    <x v="0"/>
    <x v="0"/>
    <s v="No"/>
  </r>
  <r>
    <s v="C2519"/>
    <s v="Priya Yadav"/>
    <s v="Female"/>
    <n v="61"/>
    <x v="0"/>
    <x v="0"/>
    <x v="16"/>
    <n v="899"/>
    <n v="10788"/>
    <x v="0"/>
    <d v="2024-10-01T00:00:00"/>
    <x v="1"/>
    <s v="No"/>
    <s v="No"/>
    <x v="0"/>
    <x v="0"/>
    <s v="No"/>
  </r>
  <r>
    <s v="C2520"/>
    <s v="Mohit Chopra"/>
    <s v="Male"/>
    <n v="67"/>
    <x v="11"/>
    <x v="0"/>
    <x v="28"/>
    <n v="1099"/>
    <n v="8792"/>
    <x v="0"/>
    <d v="2025-01-05T00:00:00"/>
    <x v="0"/>
    <s v="No"/>
    <s v="No"/>
    <x v="0"/>
    <x v="0"/>
    <s v="No"/>
  </r>
  <r>
    <s v="C2521"/>
    <s v="Rajesh Singh"/>
    <s v="Male"/>
    <n v="66"/>
    <x v="12"/>
    <x v="0"/>
    <x v="15"/>
    <n v="549"/>
    <n v="3294"/>
    <x v="2"/>
    <d v="2025-03-30T00:00:00"/>
    <x v="0"/>
    <s v="No"/>
    <s v="No"/>
    <x v="0"/>
    <x v="0"/>
    <s v="No"/>
  </r>
  <r>
    <s v="C2522"/>
    <s v="Ankit Malhotra"/>
    <s v="Male"/>
    <n v="39"/>
    <x v="2"/>
    <x v="0"/>
    <x v="22"/>
    <n v="849"/>
    <n v="1698"/>
    <x v="1"/>
    <d v="2025-07-13T00:00:00"/>
    <x v="1"/>
    <s v="No"/>
    <s v="No"/>
    <x v="0"/>
    <x v="0"/>
    <s v="No"/>
  </r>
  <r>
    <s v="C2523"/>
    <s v="Sneha Patel"/>
    <s v="Female"/>
    <n v="58"/>
    <x v="3"/>
    <x v="1"/>
    <x v="47"/>
    <n v="749"/>
    <n v="23968"/>
    <x v="1"/>
    <d v="2023-01-19T00:00:00"/>
    <x v="0"/>
    <s v="No"/>
    <s v="No"/>
    <x v="0"/>
    <x v="0"/>
    <s v="No"/>
  </r>
  <r>
    <s v="C2524"/>
    <s v="Mohit Pandey"/>
    <s v="Male"/>
    <n v="24"/>
    <x v="4"/>
    <x v="1"/>
    <x v="22"/>
    <n v="999"/>
    <n v="1998"/>
    <x v="0"/>
    <m/>
    <x v="0"/>
    <s v="No"/>
    <s v="No"/>
    <x v="0"/>
    <x v="0"/>
    <s v="Date missing"/>
  </r>
  <r>
    <s v="C2525"/>
    <s v="Divya Rao"/>
    <s v="Female"/>
    <n v="74"/>
    <x v="11"/>
    <x v="0"/>
    <x v="21"/>
    <n v="499"/>
    <n v="499"/>
    <x v="2"/>
    <m/>
    <x v="1"/>
    <s v="No"/>
    <s v="No"/>
    <x v="0"/>
    <x v="0"/>
    <s v="Date missing"/>
  </r>
  <r>
    <s v="C2526"/>
    <s v="Karan Gupta"/>
    <s v="Unknown"/>
    <n v="67"/>
    <x v="0"/>
    <x v="0"/>
    <x v="22"/>
    <n v="899"/>
    <n v="1798"/>
    <x v="1"/>
    <d v="2025-07-17T00:00:00"/>
    <x v="1"/>
    <s v="No"/>
    <s v="No"/>
    <x v="0"/>
    <x v="0"/>
    <s v="No"/>
  </r>
  <r>
    <s v="C2527"/>
    <s v="Gaurav Chopra"/>
    <s v="Male"/>
    <n v="72"/>
    <x v="7"/>
    <x v="0"/>
    <x v="13"/>
    <n v="999"/>
    <n v="4995"/>
    <x v="0"/>
    <d v="2025-04-22T00:00:00"/>
    <x v="0"/>
    <s v="No"/>
    <s v="No"/>
    <x v="1"/>
    <x v="0"/>
    <s v="No"/>
  </r>
  <r>
    <s v="C2528"/>
    <s v="Karan Nair"/>
    <s v="Male"/>
    <n v="37"/>
    <x v="1"/>
    <x v="0"/>
    <x v="8"/>
    <n v="999"/>
    <n v="14985"/>
    <x v="0"/>
    <d v="2024-06-20T00:00:00"/>
    <x v="1"/>
    <s v="No"/>
    <s v="No"/>
    <x v="0"/>
    <x v="0"/>
    <s v="No"/>
  </r>
  <r>
    <s v="C2529"/>
    <s v="Vivek Verma"/>
    <s v="Male"/>
    <n v="31"/>
    <x v="0"/>
    <x v="1"/>
    <x v="28"/>
    <n v="899"/>
    <n v="7192"/>
    <x v="0"/>
    <d v="2025-01-09T00:00:00"/>
    <x v="0"/>
    <s v="No"/>
    <s v="No"/>
    <x v="0"/>
    <x v="0"/>
    <s v="No"/>
  </r>
  <r>
    <s v="C2530"/>
    <s v="Pankaj Verma"/>
    <s v="Male"/>
    <n v="50"/>
    <x v="2"/>
    <x v="2"/>
    <x v="35"/>
    <n v="1049"/>
    <n v="9441"/>
    <x v="0"/>
    <d v="2024-12-03T00:00:00"/>
    <x v="0"/>
    <s v="No"/>
    <s v="No"/>
    <x v="0"/>
    <x v="1"/>
    <s v="No"/>
  </r>
  <r>
    <s v="C2531"/>
    <s v="Ankit Malhotra"/>
    <s v="Male"/>
    <n v="55"/>
    <x v="13"/>
    <x v="0"/>
    <x v="23"/>
    <n v="1149"/>
    <n v="26427"/>
    <x v="0"/>
    <d v="2023-10-21T00:00:00"/>
    <x v="0"/>
    <s v="No"/>
    <s v="No"/>
    <x v="0"/>
    <x v="0"/>
    <s v="No"/>
  </r>
  <r>
    <s v="C2532"/>
    <s v="Aditi Mishra"/>
    <s v="Female"/>
    <n v="59"/>
    <x v="11"/>
    <x v="1"/>
    <x v="12"/>
    <m/>
    <n v="34470"/>
    <x v="3"/>
    <d v="2023-03-18T00:00:00"/>
    <x v="1"/>
    <s v="No"/>
    <s v="No"/>
    <x v="0"/>
    <x v="0"/>
    <s v="Monthly missing; Tenure missing"/>
  </r>
  <r>
    <s v="C2533"/>
    <s v="Tanvi Rao"/>
    <s v="Female"/>
    <n v="58"/>
    <x v="11"/>
    <x v="0"/>
    <x v="32"/>
    <n v="699"/>
    <n v="2796"/>
    <x v="1"/>
    <d v="2025-05-13T00:00:00"/>
    <x v="0"/>
    <s v="No"/>
    <s v="No"/>
    <x v="0"/>
    <x v="0"/>
    <s v="No"/>
  </r>
  <r>
    <s v="C2534"/>
    <s v="Arjun Mehta"/>
    <s v="Male"/>
    <n v="24"/>
    <x v="8"/>
    <x v="2"/>
    <x v="39"/>
    <n v="399"/>
    <n v="11571"/>
    <x v="2"/>
    <d v="2023-04-29T00:00:00"/>
    <x v="0"/>
    <s v="No"/>
    <s v="No"/>
    <x v="0"/>
    <x v="0"/>
    <s v="No"/>
  </r>
  <r>
    <s v="C2535"/>
    <s v="Tanvi Mishra"/>
    <s v="Female"/>
    <n v="21"/>
    <x v="12"/>
    <x v="1"/>
    <x v="37"/>
    <n v="749"/>
    <n v="26964"/>
    <x v="3"/>
    <d v="2022-09-30T00:00:00"/>
    <x v="0"/>
    <s v="No"/>
    <s v="No"/>
    <x v="0"/>
    <x v="0"/>
    <s v="No"/>
  </r>
  <r>
    <s v="C2536"/>
    <s v="Priya Chopra"/>
    <s v="Female"/>
    <n v="46"/>
    <x v="8"/>
    <x v="1"/>
    <x v="8"/>
    <n v="799"/>
    <n v="11985"/>
    <x v="1"/>
    <d v="2024-06-14T00:00:00"/>
    <x v="0"/>
    <s v="No"/>
    <s v="No"/>
    <x v="0"/>
    <x v="0"/>
    <s v="No"/>
  </r>
  <r>
    <s v="C2537"/>
    <s v="Ritu Jain"/>
    <s v="Female"/>
    <n v="26"/>
    <x v="9"/>
    <x v="2"/>
    <x v="14"/>
    <n v="899"/>
    <n v="33263"/>
    <x v="0"/>
    <d v="2022-08-17T00:00:00"/>
    <x v="0"/>
    <s v="No"/>
    <s v="No"/>
    <x v="0"/>
    <x v="0"/>
    <s v="No"/>
  </r>
  <r>
    <s v="C2538"/>
    <s v="Rohit Pandey"/>
    <s v="Male"/>
    <n v="54"/>
    <x v="11"/>
    <x v="0"/>
    <x v="13"/>
    <n v="749"/>
    <n v="3745"/>
    <x v="1"/>
    <d v="2025-04-27T00:00:00"/>
    <x v="1"/>
    <s v="No"/>
    <s v="No"/>
    <x v="0"/>
    <x v="0"/>
    <s v="No"/>
  </r>
  <r>
    <s v="C2539"/>
    <s v="Kavita Kumar"/>
    <s v="Female"/>
    <n v="68"/>
    <x v="1"/>
    <x v="0"/>
    <x v="33"/>
    <n v="899"/>
    <n v="12586"/>
    <x v="0"/>
    <d v="2024-07-20T00:00:00"/>
    <x v="1"/>
    <s v="No"/>
    <s v="No"/>
    <x v="0"/>
    <x v="1"/>
    <s v="No"/>
  </r>
  <r>
    <s v="C2540"/>
    <s v="Anjali Saxena"/>
    <s v="Female"/>
    <n v="71"/>
    <x v="9"/>
    <x v="2"/>
    <x v="60"/>
    <n v="1149"/>
    <n v="78132"/>
    <x v="0"/>
    <d v="2020-02-03T00:00:00"/>
    <x v="0"/>
    <s v="No"/>
    <s v="No"/>
    <x v="0"/>
    <x v="0"/>
    <s v="No"/>
  </r>
  <r>
    <s v="C2541"/>
    <s v="Suresh Mehta"/>
    <s v="Male"/>
    <n v="67"/>
    <x v="5"/>
    <x v="0"/>
    <x v="6"/>
    <n v="899"/>
    <n v="17081"/>
    <x v="1"/>
    <d v="2024-02-28T00:00:00"/>
    <x v="0"/>
    <s v="No"/>
    <s v="No"/>
    <x v="0"/>
    <x v="0"/>
    <s v="No"/>
  </r>
  <r>
    <s v="C2542"/>
    <s v="Rahul Gupta"/>
    <s v="Male"/>
    <n v="48"/>
    <x v="13"/>
    <x v="0"/>
    <x v="10"/>
    <n v="749"/>
    <n v="12733"/>
    <x v="1"/>
    <d v="2024-04-24T00:00:00"/>
    <x v="0"/>
    <s v="No"/>
    <s v="No"/>
    <x v="0"/>
    <x v="0"/>
    <s v="No"/>
  </r>
  <r>
    <s v="C2543"/>
    <s v="Amit Reddy"/>
    <s v="Male"/>
    <n v="71"/>
    <x v="13"/>
    <x v="0"/>
    <x v="24"/>
    <n v="849"/>
    <n v="2547"/>
    <x v="1"/>
    <d v="2025-06-04T00:00:00"/>
    <x v="1"/>
    <s v="No"/>
    <s v="No"/>
    <x v="0"/>
    <x v="0"/>
    <s v="No"/>
  </r>
  <r>
    <s v="C2544"/>
    <s v="Amit Kumar"/>
    <s v="Male"/>
    <n v="42"/>
    <x v="1"/>
    <x v="0"/>
    <x v="24"/>
    <n v="1199"/>
    <n v="3597"/>
    <x v="0"/>
    <d v="2025-06-07T00:00:00"/>
    <x v="1"/>
    <s v="No"/>
    <s v="No"/>
    <x v="0"/>
    <x v="0"/>
    <s v="No"/>
  </r>
  <r>
    <s v="C2545"/>
    <s v="Sneha Kapoor"/>
    <s v="Female"/>
    <n v="44"/>
    <x v="13"/>
    <x v="0"/>
    <x v="27"/>
    <n v="1149"/>
    <n v="8043"/>
    <x v="0"/>
    <d v="2025-02-10T00:00:00"/>
    <x v="0"/>
    <s v="No"/>
    <s v="No"/>
    <x v="0"/>
    <x v="0"/>
    <s v="No"/>
  </r>
  <r>
    <s v="C2546"/>
    <s v="Amit Agarwal"/>
    <s v="Male"/>
    <n v="41"/>
    <x v="0"/>
    <x v="1"/>
    <x v="47"/>
    <n v="749"/>
    <n v="23968"/>
    <x v="1"/>
    <d v="2023-02-06T00:00:00"/>
    <x v="0"/>
    <s v="No"/>
    <s v="No"/>
    <x v="0"/>
    <x v="1"/>
    <s v="No"/>
  </r>
  <r>
    <s v="C2547"/>
    <s v="Ankit Singh"/>
    <s v="Unknown"/>
    <n v="64"/>
    <x v="12"/>
    <x v="1"/>
    <x v="35"/>
    <n v="999"/>
    <n v="8991"/>
    <x v="0"/>
    <d v="2024-12-07T00:00:00"/>
    <x v="1"/>
    <s v="No"/>
    <s v="No"/>
    <x v="1"/>
    <x v="0"/>
    <s v="No"/>
  </r>
  <r>
    <s v="C2548"/>
    <s v="Gaurav Agarwal"/>
    <s v="Male"/>
    <n v="58"/>
    <x v="6"/>
    <x v="0"/>
    <x v="22"/>
    <n v="1149"/>
    <n v="2298"/>
    <x v="0"/>
    <d v="2025-07-06T00:00:00"/>
    <x v="2"/>
    <s v="No"/>
    <s v="No"/>
    <x v="0"/>
    <x v="1"/>
    <s v="Churn unknown"/>
  </r>
  <r>
    <s v="C2549"/>
    <s v="Priya Rao"/>
    <s v="Female"/>
    <n v="51"/>
    <x v="9"/>
    <x v="0"/>
    <x v="27"/>
    <n v="649"/>
    <n v="4543"/>
    <x v="1"/>
    <d v="2025-02-01T00:00:00"/>
    <x v="1"/>
    <s v="No"/>
    <s v="No"/>
    <x v="0"/>
    <x v="0"/>
    <s v="No"/>
  </r>
  <r>
    <s v="C2550"/>
    <s v="Nikhil Patel"/>
    <s v="Male"/>
    <n v="63"/>
    <x v="8"/>
    <x v="0"/>
    <x v="17"/>
    <n v="549"/>
    <n v="7137"/>
    <x v="2"/>
    <d v="2024-08-20T00:00:00"/>
    <x v="0"/>
    <s v="No"/>
    <s v="No"/>
    <x v="0"/>
    <x v="0"/>
    <s v="No"/>
  </r>
  <r>
    <s v="C2551"/>
    <s v="Sanjay Gupta"/>
    <s v="Male"/>
    <n v="61"/>
    <x v="4"/>
    <x v="0"/>
    <x v="17"/>
    <n v="599"/>
    <n v="7787"/>
    <x v="1"/>
    <d v="2024-08-18T00:00:00"/>
    <x v="1"/>
    <s v="No"/>
    <s v="No"/>
    <x v="0"/>
    <x v="0"/>
    <s v="No"/>
  </r>
  <r>
    <s v="C2552"/>
    <s v="Pooja Kapoor"/>
    <s v="Female"/>
    <n v="49"/>
    <x v="1"/>
    <x v="1"/>
    <x v="28"/>
    <n v="649"/>
    <n v="5192"/>
    <x v="1"/>
    <d v="2025-01-10T00:00:00"/>
    <x v="1"/>
    <s v="No"/>
    <s v="No"/>
    <x v="0"/>
    <x v="0"/>
    <s v="No"/>
  </r>
  <r>
    <s v="C2553"/>
    <s v="Aditi Malhotra"/>
    <s v="Female"/>
    <n v="55"/>
    <x v="3"/>
    <x v="1"/>
    <x v="7"/>
    <n v="699"/>
    <n v="26562"/>
    <x v="1"/>
    <d v="2022-08-06T00:00:00"/>
    <x v="0"/>
    <s v="No"/>
    <s v="No"/>
    <x v="0"/>
    <x v="0"/>
    <s v="No"/>
  </r>
  <r>
    <s v="C2554"/>
    <s v="Karan Tiwari"/>
    <s v="Male"/>
    <n v="35"/>
    <x v="5"/>
    <x v="2"/>
    <x v="19"/>
    <n v="849"/>
    <n v="22923"/>
    <x v="1"/>
    <d v="2023-06-24T00:00:00"/>
    <x v="0"/>
    <s v="No"/>
    <s v="No"/>
    <x v="0"/>
    <x v="0"/>
    <s v="No"/>
  </r>
  <r>
    <s v="C2555"/>
    <s v="Rohit Kapoor"/>
    <s v="Male"/>
    <n v="65"/>
    <x v="13"/>
    <x v="0"/>
    <x v="15"/>
    <n v="899"/>
    <n v="5394"/>
    <x v="0"/>
    <m/>
    <x v="0"/>
    <s v="No"/>
    <s v="No"/>
    <x v="0"/>
    <x v="0"/>
    <s v="Date missing"/>
  </r>
  <r>
    <s v="C2556"/>
    <s v="Tanvi Mishra"/>
    <s v="Female"/>
    <n v="70"/>
    <x v="10"/>
    <x v="0"/>
    <x v="10"/>
    <n v="749"/>
    <n v="12733"/>
    <x v="1"/>
    <d v="2024-04-13T00:00:00"/>
    <x v="0"/>
    <s v="No"/>
    <s v="No"/>
    <x v="0"/>
    <x v="0"/>
    <s v="No"/>
  </r>
  <r>
    <s v="C2557"/>
    <s v="Riya Kapoor"/>
    <s v="Female"/>
    <n v="32"/>
    <x v="13"/>
    <x v="0"/>
    <x v="30"/>
    <n v="549"/>
    <n v="9882"/>
    <x v="2"/>
    <d v="2024-03-16T00:00:00"/>
    <x v="1"/>
    <s v="No"/>
    <s v="No"/>
    <x v="0"/>
    <x v="1"/>
    <s v="No"/>
  </r>
  <r>
    <s v="C2558"/>
    <s v="Nisha Sharma"/>
    <s v="Female"/>
    <n v="39"/>
    <x v="0"/>
    <x v="1"/>
    <x v="22"/>
    <n v="1299"/>
    <n v="2598"/>
    <x v="0"/>
    <d v="2025-07-10T00:00:00"/>
    <x v="0"/>
    <s v="No"/>
    <s v="No"/>
    <x v="0"/>
    <x v="0"/>
    <s v="No"/>
  </r>
  <r>
    <s v="C2559"/>
    <s v="Divya Saxena"/>
    <s v="Female"/>
    <n v="25"/>
    <x v="7"/>
    <x v="0"/>
    <x v="36"/>
    <n v="649"/>
    <n v="10384"/>
    <x v="1"/>
    <d v="2024-06-01T00:00:00"/>
    <x v="0"/>
    <s v="No"/>
    <s v="No"/>
    <x v="0"/>
    <x v="0"/>
    <s v="No"/>
  </r>
  <r>
    <s v="C2560"/>
    <s v="Aman Sharma"/>
    <s v="Male"/>
    <n v="42"/>
    <x v="1"/>
    <x v="0"/>
    <x v="15"/>
    <n v="999"/>
    <n v="5994"/>
    <x v="0"/>
    <d v="2025-03-27T00:00:00"/>
    <x v="1"/>
    <s v="No"/>
    <s v="No"/>
    <x v="0"/>
    <x v="0"/>
    <s v="No"/>
  </r>
  <r>
    <s v="C2561"/>
    <s v="Deepak Saxena"/>
    <s v="Male"/>
    <n v="73"/>
    <x v="9"/>
    <x v="0"/>
    <x v="30"/>
    <n v="899"/>
    <n v="16182"/>
    <x v="0"/>
    <d v="2024-04-02T00:00:00"/>
    <x v="1"/>
    <s v="No"/>
    <s v="No"/>
    <x v="0"/>
    <x v="0"/>
    <s v="No"/>
  </r>
  <r>
    <s v="C2562"/>
    <s v="Unknown"/>
    <s v="Male"/>
    <n v="47"/>
    <x v="8"/>
    <x v="0"/>
    <x v="2"/>
    <n v="1099"/>
    <n v="12089"/>
    <x v="0"/>
    <d v="2024-11-01T00:00:00"/>
    <x v="0"/>
    <s v="Yes"/>
    <s v="No"/>
    <x v="0"/>
    <x v="1"/>
    <s v="No"/>
  </r>
  <r>
    <s v="C2563"/>
    <s v="Ritu Tiwari"/>
    <s v="Female"/>
    <n v="57"/>
    <x v="11"/>
    <x v="0"/>
    <x v="21"/>
    <n v="999"/>
    <n v="999"/>
    <x v="0"/>
    <d v="2025-08-04T00:00:00"/>
    <x v="0"/>
    <s v="No"/>
    <s v="No"/>
    <x v="0"/>
    <x v="1"/>
    <s v="No"/>
  </r>
  <r>
    <s v="C2564"/>
    <s v="Pankaj Pandey"/>
    <s v="Male"/>
    <n v="64"/>
    <x v="0"/>
    <x v="1"/>
    <x v="25"/>
    <n v="1199"/>
    <n v="46761"/>
    <x v="0"/>
    <d v="2022-07-07T00:00:00"/>
    <x v="0"/>
    <s v="No"/>
    <s v="No"/>
    <x v="0"/>
    <x v="0"/>
    <s v="No"/>
  </r>
  <r>
    <s v="C2565"/>
    <s v="Harsh Yadav"/>
    <s v="Male"/>
    <n v="39"/>
    <x v="6"/>
    <x v="1"/>
    <x v="13"/>
    <n v="899"/>
    <n v="4495"/>
    <x v="0"/>
    <d v="2025-04-11T00:00:00"/>
    <x v="1"/>
    <s v="No"/>
    <s v="No"/>
    <x v="0"/>
    <x v="0"/>
    <s v="No"/>
  </r>
  <r>
    <s v="C2566"/>
    <s v="Sneha Pandey"/>
    <s v="Female"/>
    <n v="59"/>
    <x v="7"/>
    <x v="0"/>
    <x v="28"/>
    <n v="499"/>
    <n v="3992"/>
    <x v="2"/>
    <d v="2025-01-25T00:00:00"/>
    <x v="1"/>
    <s v="No"/>
    <s v="No"/>
    <x v="0"/>
    <x v="0"/>
    <s v="No"/>
  </r>
  <r>
    <s v="C2567"/>
    <s v="Rahul Yadav"/>
    <s v="Male"/>
    <n v="46"/>
    <x v="10"/>
    <x v="0"/>
    <x v="11"/>
    <n v="599"/>
    <n v="11980"/>
    <x v="1"/>
    <d v="2024-01-20T00:00:00"/>
    <x v="0"/>
    <s v="No"/>
    <s v="Yes"/>
    <x v="0"/>
    <x v="0"/>
    <s v="No"/>
  </r>
  <r>
    <s v="C2568"/>
    <s v="Divya Mishra"/>
    <s v="Female"/>
    <n v="27"/>
    <x v="6"/>
    <x v="1"/>
    <x v="46"/>
    <n v="399"/>
    <n v="13167"/>
    <x v="2"/>
    <d v="2023-01-08T00:00:00"/>
    <x v="0"/>
    <s v="No"/>
    <s v="No"/>
    <x v="0"/>
    <x v="0"/>
    <s v="No"/>
  </r>
  <r>
    <s v="C2569"/>
    <s v="Payal Bose"/>
    <s v="Female"/>
    <n v="30"/>
    <x v="7"/>
    <x v="2"/>
    <x v="54"/>
    <n v="699"/>
    <n v="48231"/>
    <x v="1"/>
    <d v="2020-01-08T00:00:00"/>
    <x v="1"/>
    <s v="No"/>
    <s v="No"/>
    <x v="0"/>
    <x v="0"/>
    <s v="No"/>
  </r>
  <r>
    <s v="C2570"/>
    <s v="Manish Patel"/>
    <s v="Male"/>
    <n v="21"/>
    <x v="14"/>
    <x v="0"/>
    <x v="16"/>
    <n v="899"/>
    <n v="10788"/>
    <x v="1"/>
    <d v="2024-09-23T00:00:00"/>
    <x v="0"/>
    <s v="No"/>
    <s v="No"/>
    <x v="0"/>
    <x v="0"/>
    <s v="No"/>
  </r>
  <r>
    <s v="C2571"/>
    <s v="Tanvi Verma"/>
    <s v="Female"/>
    <n v="19"/>
    <x v="9"/>
    <x v="0"/>
    <x v="30"/>
    <n v="649"/>
    <n v="11682"/>
    <x v="1"/>
    <d v="2024-03-29T00:00:00"/>
    <x v="0"/>
    <s v="No"/>
    <s v="No"/>
    <x v="0"/>
    <x v="0"/>
    <s v="No"/>
  </r>
  <r>
    <s v="C2572"/>
    <s v="Meera Jain"/>
    <s v="Female"/>
    <n v="43"/>
    <x v="7"/>
    <x v="1"/>
    <x v="23"/>
    <n v="899"/>
    <n v="20677"/>
    <x v="1"/>
    <d v="2023-10-19T00:00:00"/>
    <x v="0"/>
    <s v="No"/>
    <s v="No"/>
    <x v="0"/>
    <x v="0"/>
    <s v="No"/>
  </r>
  <r>
    <s v="C2573"/>
    <s v="Rohit Saxena"/>
    <s v="Male"/>
    <n v="52"/>
    <x v="14"/>
    <x v="1"/>
    <x v="42"/>
    <n v="899"/>
    <n v="23374"/>
    <x v="1"/>
    <m/>
    <x v="0"/>
    <s v="No"/>
    <s v="No"/>
    <x v="0"/>
    <x v="0"/>
    <s v="Date missing"/>
  </r>
  <r>
    <s v="C2574"/>
    <s v="Nikhil Rao"/>
    <s v="Male"/>
    <n v="28"/>
    <x v="5"/>
    <x v="0"/>
    <x v="2"/>
    <n v="1149"/>
    <n v="12639"/>
    <x v="0"/>
    <d v="2024-10-04T00:00:00"/>
    <x v="0"/>
    <s v="No"/>
    <s v="No"/>
    <x v="1"/>
    <x v="0"/>
    <s v="No"/>
  </r>
  <r>
    <s v="C2575"/>
    <s v="Meera Joshi"/>
    <s v="Female"/>
    <n v="42"/>
    <x v="8"/>
    <x v="2"/>
    <x v="39"/>
    <n v="899"/>
    <n v="26071"/>
    <x v="1"/>
    <d v="2023-04-23T00:00:00"/>
    <x v="0"/>
    <s v="No"/>
    <s v="No"/>
    <x v="0"/>
    <x v="0"/>
    <s v="No"/>
  </r>
  <r>
    <s v="C2576"/>
    <s v="Anjali Nair"/>
    <s v="Female"/>
    <n v="47"/>
    <x v="1"/>
    <x v="0"/>
    <x v="16"/>
    <n v="899"/>
    <n v="10788"/>
    <x v="0"/>
    <d v="2024-09-21T00:00:00"/>
    <x v="0"/>
    <s v="Yes"/>
    <s v="No"/>
    <x v="0"/>
    <x v="0"/>
    <s v="No"/>
  </r>
  <r>
    <s v="C2577"/>
    <s v="Priya Yadav"/>
    <s v="Female"/>
    <n v="38"/>
    <x v="13"/>
    <x v="0"/>
    <x v="35"/>
    <n v="899"/>
    <n v="8091"/>
    <x v="0"/>
    <d v="2024-12-13T00:00:00"/>
    <x v="1"/>
    <s v="No"/>
    <s v="No"/>
    <x v="0"/>
    <x v="1"/>
    <s v="No"/>
  </r>
  <r>
    <s v="C2578"/>
    <s v="Mohit Bose"/>
    <s v="Male"/>
    <n v="47"/>
    <x v="6"/>
    <x v="0"/>
    <x v="36"/>
    <n v="899"/>
    <n v="14384"/>
    <x v="0"/>
    <d v="2024-05-14T00:00:00"/>
    <x v="0"/>
    <s v="Yes"/>
    <s v="No"/>
    <x v="0"/>
    <x v="0"/>
    <s v="No"/>
  </r>
  <r>
    <s v="C2579"/>
    <s v="Tanvi Nair"/>
    <s v="Female"/>
    <n v="35"/>
    <x v="13"/>
    <x v="0"/>
    <x v="27"/>
    <n v="349"/>
    <n v="2443"/>
    <x v="2"/>
    <m/>
    <x v="1"/>
    <s v="No"/>
    <s v="No"/>
    <x v="0"/>
    <x v="0"/>
    <s v="Date missing"/>
  </r>
  <r>
    <s v="C2580"/>
    <s v="Nikhil Joshi"/>
    <s v="Unknown"/>
    <n v="30"/>
    <x v="4"/>
    <x v="0"/>
    <x v="11"/>
    <n v="649"/>
    <n v="12980"/>
    <x v="1"/>
    <d v="2024-01-10T00:00:00"/>
    <x v="0"/>
    <s v="No"/>
    <s v="No"/>
    <x v="0"/>
    <x v="0"/>
    <s v="No"/>
  </r>
  <r>
    <s v="C2581"/>
    <s v="Manish Tiwari"/>
    <s v="Unknown"/>
    <n v="46"/>
    <x v="6"/>
    <x v="0"/>
    <x v="11"/>
    <n v="699"/>
    <n v="13980"/>
    <x v="1"/>
    <d v="2024-01-17T00:00:00"/>
    <x v="0"/>
    <s v="No"/>
    <s v="No"/>
    <x v="0"/>
    <x v="0"/>
    <s v="No"/>
  </r>
  <r>
    <s v="C2582"/>
    <s v="Harsh Kumar"/>
    <s v="Male"/>
    <n v="20"/>
    <x v="10"/>
    <x v="0"/>
    <x v="11"/>
    <n v="899"/>
    <n v="17980"/>
    <x v="0"/>
    <d v="2024-01-20T00:00:00"/>
    <x v="0"/>
    <s v="No"/>
    <s v="No"/>
    <x v="0"/>
    <x v="1"/>
    <s v="No"/>
  </r>
  <r>
    <s v="C2583"/>
    <s v="Pankaj Agarwal"/>
    <s v="Male"/>
    <n v="71"/>
    <x v="8"/>
    <x v="1"/>
    <x v="9"/>
    <n v="649"/>
    <n v="15576"/>
    <x v="1"/>
    <d v="2023-09-12T00:00:00"/>
    <x v="0"/>
    <s v="No"/>
    <s v="No"/>
    <x v="0"/>
    <x v="0"/>
    <s v="No"/>
  </r>
  <r>
    <s v="C2584"/>
    <s v="Divya Gupta"/>
    <s v="Female"/>
    <n v="74"/>
    <x v="8"/>
    <x v="2"/>
    <x v="50"/>
    <n v="899"/>
    <n v="49445"/>
    <x v="0"/>
    <d v="2021-03-05T00:00:00"/>
    <x v="0"/>
    <s v="No"/>
    <s v="No"/>
    <x v="0"/>
    <x v="1"/>
    <s v="No"/>
  </r>
  <r>
    <s v="C2585"/>
    <s v="Shreya Mishra"/>
    <s v="Unknown"/>
    <n v="46"/>
    <x v="5"/>
    <x v="0"/>
    <x v="36"/>
    <n v="849"/>
    <n v="13584"/>
    <x v="1"/>
    <d v="2024-05-13T00:00:00"/>
    <x v="1"/>
    <s v="No"/>
    <s v="No"/>
    <x v="0"/>
    <x v="0"/>
    <s v="No"/>
  </r>
  <r>
    <s v="C2586"/>
    <s v="Sonal Chopra"/>
    <s v="Female"/>
    <n v="39"/>
    <x v="14"/>
    <x v="1"/>
    <x v="26"/>
    <n v="549"/>
    <n v="11529"/>
    <x v="2"/>
    <m/>
    <x v="0"/>
    <s v="No"/>
    <s v="No"/>
    <x v="0"/>
    <x v="0"/>
    <s v="Date missing"/>
  </r>
  <r>
    <s v="C2587"/>
    <s v="Harsh Yadav"/>
    <s v="Male"/>
    <n v="25"/>
    <x v="4"/>
    <x v="2"/>
    <x v="65"/>
    <n v="999"/>
    <n v="42957"/>
    <x v="0"/>
    <d v="2022-03-17T00:00:00"/>
    <x v="0"/>
    <s v="No"/>
    <s v="No"/>
    <x v="0"/>
    <x v="0"/>
    <s v="No"/>
  </r>
  <r>
    <s v="C2588"/>
    <s v="Harsh Patel"/>
    <s v="Male"/>
    <n v="58"/>
    <x v="0"/>
    <x v="1"/>
    <x v="13"/>
    <n v="349"/>
    <n v="1745"/>
    <x v="2"/>
    <d v="2025-04-04T00:00:00"/>
    <x v="0"/>
    <s v="No"/>
    <s v="No"/>
    <x v="0"/>
    <x v="0"/>
    <s v="No"/>
  </r>
  <r>
    <s v="C2589"/>
    <s v="Neha Mehta"/>
    <s v="Female"/>
    <n v="18"/>
    <x v="2"/>
    <x v="0"/>
    <x v="27"/>
    <n v="849"/>
    <n v="5943"/>
    <x v="1"/>
    <d v="2025-02-25T00:00:00"/>
    <x v="0"/>
    <s v="No"/>
    <s v="No"/>
    <x v="0"/>
    <x v="0"/>
    <s v="No"/>
  </r>
  <r>
    <s v="C2590"/>
    <s v="Harsh Iyer"/>
    <s v="Male"/>
    <n v="36"/>
    <x v="6"/>
    <x v="0"/>
    <x v="17"/>
    <n v="1149"/>
    <n v="14937"/>
    <x v="0"/>
    <d v="2024-08-07T00:00:00"/>
    <x v="1"/>
    <s v="No"/>
    <s v="No"/>
    <x v="0"/>
    <x v="0"/>
    <s v="No"/>
  </r>
  <r>
    <s v="C2591"/>
    <s v="Vivek Kapoor"/>
    <s v="Unknown"/>
    <n v="75"/>
    <x v="9"/>
    <x v="1"/>
    <x v="6"/>
    <n v="1099"/>
    <n v="20881"/>
    <x v="0"/>
    <d v="2024-03-03T00:00:00"/>
    <x v="0"/>
    <s v="No"/>
    <s v="No"/>
    <x v="0"/>
    <x v="0"/>
    <s v="No"/>
  </r>
  <r>
    <s v="C2592"/>
    <s v="Payal Agarwal"/>
    <s v="Unknown"/>
    <n v="63"/>
    <x v="8"/>
    <x v="2"/>
    <x v="35"/>
    <n v="799"/>
    <n v="7191"/>
    <x v="1"/>
    <d v="2024-12-07T00:00:00"/>
    <x v="0"/>
    <s v="No"/>
    <s v="No"/>
    <x v="0"/>
    <x v="0"/>
    <s v="No"/>
  </r>
  <r>
    <s v="C2593"/>
    <s v="Rohit Mehta"/>
    <s v="Male"/>
    <n v="71"/>
    <x v="4"/>
    <x v="0"/>
    <x v="26"/>
    <n v="1199"/>
    <n v="25179"/>
    <x v="0"/>
    <d v="2024-01-06T00:00:00"/>
    <x v="0"/>
    <s v="No"/>
    <s v="No"/>
    <x v="0"/>
    <x v="0"/>
    <s v="No"/>
  </r>
  <r>
    <s v="C2594"/>
    <s v="Priya Kumar"/>
    <s v="Female"/>
    <n v="51"/>
    <x v="0"/>
    <x v="0"/>
    <x v="27"/>
    <n v="1149"/>
    <n v="8043"/>
    <x v="0"/>
    <d v="2025-02-13T00:00:00"/>
    <x v="1"/>
    <s v="No"/>
    <s v="No"/>
    <x v="0"/>
    <x v="0"/>
    <s v="No"/>
  </r>
  <r>
    <s v="C2595"/>
    <s v="Gaurav Rao"/>
    <s v="Male"/>
    <n v="51"/>
    <x v="14"/>
    <x v="0"/>
    <x v="15"/>
    <n v="1099"/>
    <n v="6594"/>
    <x v="0"/>
    <d v="2025-03-09T00:00:00"/>
    <x v="1"/>
    <s v="No"/>
    <s v="No"/>
    <x v="0"/>
    <x v="0"/>
    <s v="No"/>
  </r>
  <r>
    <s v="C2596"/>
    <s v="Sonal Chopra"/>
    <s v="Female"/>
    <n v="35"/>
    <x v="7"/>
    <x v="0"/>
    <x v="6"/>
    <n v="599"/>
    <n v="11381"/>
    <x v="1"/>
    <d v="2024-02-20T00:00:00"/>
    <x v="0"/>
    <s v="No"/>
    <s v="No"/>
    <x v="0"/>
    <x v="0"/>
    <s v="No"/>
  </r>
  <r>
    <s v="C2597"/>
    <s v="Divya Saxena"/>
    <s v="Female"/>
    <n v="53"/>
    <x v="0"/>
    <x v="1"/>
    <x v="37"/>
    <n v="999"/>
    <n v="35964"/>
    <x v="0"/>
    <d v="2022-09-24T00:00:00"/>
    <x v="0"/>
    <s v="No"/>
    <s v="No"/>
    <x v="0"/>
    <x v="0"/>
    <s v="No"/>
  </r>
  <r>
    <s v="C2598"/>
    <s v="Meera Kumar"/>
    <s v="Female"/>
    <n v="47"/>
    <x v="9"/>
    <x v="0"/>
    <x v="23"/>
    <n v="999"/>
    <n v="22977"/>
    <x v="0"/>
    <d v="2023-11-03T00:00:00"/>
    <x v="0"/>
    <s v="No"/>
    <s v="No"/>
    <x v="0"/>
    <x v="0"/>
    <s v="No"/>
  </r>
  <r>
    <s v="C2599"/>
    <s v="Nikhil Gupta"/>
    <s v="Male"/>
    <n v="29"/>
    <x v="8"/>
    <x v="1"/>
    <x v="64"/>
    <n v="1199"/>
    <n v="47960"/>
    <x v="0"/>
    <d v="2022-06-13T00:00:00"/>
    <x v="0"/>
    <s v="No"/>
    <s v="No"/>
    <x v="0"/>
    <x v="0"/>
    <s v="No"/>
  </r>
  <r>
    <s v="C2600"/>
    <s v="Swati Saxena"/>
    <s v="Female"/>
    <n v="72"/>
    <x v="11"/>
    <x v="3"/>
    <x v="30"/>
    <n v="799"/>
    <n v="14382"/>
    <x v="1"/>
    <d v="2024-03-27T00:00:00"/>
    <x v="0"/>
    <s v="No"/>
    <s v="No"/>
    <x v="0"/>
    <x v="0"/>
    <s v="No"/>
  </r>
  <r>
    <s v="C2601"/>
    <s v="Ritu Bose"/>
    <s v="Female"/>
    <n v="72"/>
    <x v="1"/>
    <x v="0"/>
    <x v="4"/>
    <n v="1099"/>
    <n v="10990"/>
    <x v="0"/>
    <d v="2024-11-12T00:00:00"/>
    <x v="0"/>
    <s v="No"/>
    <s v="No"/>
    <x v="0"/>
    <x v="0"/>
    <s v="No"/>
  </r>
  <r>
    <s v="C2602"/>
    <s v="Komal Nair"/>
    <s v="Female"/>
    <n v="28"/>
    <x v="10"/>
    <x v="0"/>
    <x v="21"/>
    <n v="799"/>
    <n v="799"/>
    <x v="1"/>
    <d v="2025-08-11T00:00:00"/>
    <x v="0"/>
    <s v="No"/>
    <s v="No"/>
    <x v="0"/>
    <x v="0"/>
    <s v="No"/>
  </r>
  <r>
    <s v="C2603"/>
    <s v="Riya Pandey"/>
    <s v="Female"/>
    <n v="64"/>
    <x v="4"/>
    <x v="0"/>
    <x v="6"/>
    <n v="899"/>
    <n v="17081"/>
    <x v="0"/>
    <d v="2024-02-22T00:00:00"/>
    <x v="0"/>
    <s v="No"/>
    <s v="No"/>
    <x v="0"/>
    <x v="0"/>
    <s v="No"/>
  </r>
  <r>
    <s v="C2604"/>
    <s v="Arjun Verma"/>
    <s v="Male"/>
    <n v="39"/>
    <x v="0"/>
    <x v="1"/>
    <x v="29"/>
    <n v="1199"/>
    <n v="40766"/>
    <x v="0"/>
    <d v="2022-11-21T00:00:00"/>
    <x v="0"/>
    <s v="No"/>
    <s v="No"/>
    <x v="0"/>
    <x v="0"/>
    <s v="No"/>
  </r>
  <r>
    <s v="C2605"/>
    <s v="Pooja Bose"/>
    <s v="Female"/>
    <n v="53"/>
    <x v="1"/>
    <x v="0"/>
    <x v="0"/>
    <n v="899"/>
    <n v="19778"/>
    <x v="1"/>
    <d v="2023-11-26T00:00:00"/>
    <x v="0"/>
    <s v="No"/>
    <s v="No"/>
    <x v="0"/>
    <x v="0"/>
    <s v="No"/>
  </r>
  <r>
    <s v="C2606"/>
    <s v="Sachin Mehta"/>
    <s v="Unknown"/>
    <n v="29"/>
    <x v="3"/>
    <x v="2"/>
    <x v="49"/>
    <n v="749"/>
    <n v="53179"/>
    <x v="1"/>
    <d v="2019-11-13T00:00:00"/>
    <x v="0"/>
    <s v="No"/>
    <s v="No"/>
    <x v="0"/>
    <x v="0"/>
    <s v="No"/>
  </r>
  <r>
    <s v="C2607"/>
    <s v="Isha Saxena"/>
    <s v="Female"/>
    <n v="31"/>
    <x v="14"/>
    <x v="1"/>
    <x v="9"/>
    <n v="1149"/>
    <n v="27576"/>
    <x v="0"/>
    <d v="2023-09-19T00:00:00"/>
    <x v="1"/>
    <s v="No"/>
    <s v="No"/>
    <x v="0"/>
    <x v="0"/>
    <s v="No"/>
  </r>
  <r>
    <s v="C2608"/>
    <s v="Sneha Verma"/>
    <s v="Female"/>
    <n v="30"/>
    <x v="3"/>
    <x v="0"/>
    <x v="17"/>
    <n v="849"/>
    <n v="11037"/>
    <x v="1"/>
    <d v="2024-08-16T00:00:00"/>
    <x v="0"/>
    <s v="No"/>
    <s v="No"/>
    <x v="0"/>
    <x v="0"/>
    <s v="No"/>
  </r>
  <r>
    <s v="C2609"/>
    <s v="Anjali Kapoor"/>
    <s v="Female"/>
    <n v="22"/>
    <x v="2"/>
    <x v="2"/>
    <x v="19"/>
    <n v="899"/>
    <n v="24273"/>
    <x v="1"/>
    <d v="2023-06-14T00:00:00"/>
    <x v="0"/>
    <s v="No"/>
    <s v="No"/>
    <x v="0"/>
    <x v="1"/>
    <s v="No"/>
  </r>
  <r>
    <s v="C2610"/>
    <s v="Rahul Singh"/>
    <s v="Male"/>
    <n v="59"/>
    <x v="11"/>
    <x v="0"/>
    <x v="6"/>
    <n v="349"/>
    <n v="6631"/>
    <x v="2"/>
    <d v="2024-03-01T00:00:00"/>
    <x v="1"/>
    <s v="No"/>
    <s v="No"/>
    <x v="0"/>
    <x v="0"/>
    <s v="No"/>
  </r>
  <r>
    <s v="C2611"/>
    <s v="Kavita Chopra"/>
    <s v="Unknown"/>
    <n v="73"/>
    <x v="14"/>
    <x v="0"/>
    <x v="27"/>
    <n v="599"/>
    <n v="4193"/>
    <x v="1"/>
    <d v="2025-02-28T00:00:00"/>
    <x v="0"/>
    <s v="No"/>
    <s v="No"/>
    <x v="0"/>
    <x v="0"/>
    <s v="No"/>
  </r>
  <r>
    <s v="C2612"/>
    <s v="Rajesh Desai"/>
    <s v="Male"/>
    <n v="23"/>
    <x v="11"/>
    <x v="2"/>
    <x v="27"/>
    <n v="849"/>
    <n v="5943"/>
    <x v="1"/>
    <d v="2025-02-25T00:00:00"/>
    <x v="0"/>
    <s v="No"/>
    <s v="No"/>
    <x v="0"/>
    <x v="0"/>
    <s v="No"/>
  </r>
  <r>
    <s v="C2613"/>
    <s v="Ankit Tiwari"/>
    <s v="Male"/>
    <n v="47"/>
    <x v="13"/>
    <x v="1"/>
    <x v="25"/>
    <n v="899"/>
    <n v="35061"/>
    <x v="1"/>
    <d v="2022-07-04T00:00:00"/>
    <x v="1"/>
    <s v="No"/>
    <s v="No"/>
    <x v="0"/>
    <x v="0"/>
    <s v="No"/>
  </r>
  <r>
    <s v="C2614"/>
    <s v="Anjali Singh"/>
    <s v="Female"/>
    <n v="29"/>
    <x v="3"/>
    <x v="0"/>
    <x v="8"/>
    <n v="1199"/>
    <n v="17985"/>
    <x v="0"/>
    <d v="2024-06-06T00:00:00"/>
    <x v="0"/>
    <s v="No"/>
    <s v="No"/>
    <x v="0"/>
    <x v="0"/>
    <s v="No"/>
  </r>
  <r>
    <s v="C2615"/>
    <s v="Ritu Mehta"/>
    <s v="Unknown"/>
    <n v="57"/>
    <x v="14"/>
    <x v="1"/>
    <x v="14"/>
    <n v="649"/>
    <n v="24013"/>
    <x v="1"/>
    <d v="2022-08-28T00:00:00"/>
    <x v="0"/>
    <s v="No"/>
    <s v="No"/>
    <x v="1"/>
    <x v="0"/>
    <s v="No"/>
  </r>
  <r>
    <s v="C2616"/>
    <s v="Arjun Kapoor"/>
    <s v="Male"/>
    <n v="59"/>
    <x v="9"/>
    <x v="2"/>
    <x v="33"/>
    <n v="1299"/>
    <n v="18186"/>
    <x v="0"/>
    <d v="2024-08-02T00:00:00"/>
    <x v="0"/>
    <s v="No"/>
    <s v="No"/>
    <x v="0"/>
    <x v="0"/>
    <s v="No"/>
  </r>
  <r>
    <s v="C2617"/>
    <s v="Priya Mishra"/>
    <s v="Female"/>
    <n v="61"/>
    <x v="12"/>
    <x v="1"/>
    <x v="0"/>
    <n v="899"/>
    <n v="19778"/>
    <x v="1"/>
    <d v="2023-12-04T00:00:00"/>
    <x v="0"/>
    <s v="No"/>
    <s v="No"/>
    <x v="0"/>
    <x v="0"/>
    <s v="No"/>
  </r>
  <r>
    <s v="C2618"/>
    <s v="Pankaj Iyer"/>
    <s v="Male"/>
    <n v="42"/>
    <x v="8"/>
    <x v="0"/>
    <x v="27"/>
    <n v="449"/>
    <n v="3143"/>
    <x v="2"/>
    <d v="2025-02-19T00:00:00"/>
    <x v="0"/>
    <s v="No"/>
    <s v="No"/>
    <x v="0"/>
    <x v="0"/>
    <s v="No"/>
  </r>
  <r>
    <s v="C2619"/>
    <s v="Neha Agarwal"/>
    <s v="Female"/>
    <n v="65"/>
    <x v="9"/>
    <x v="0"/>
    <x v="23"/>
    <n v="549"/>
    <n v="12627"/>
    <x v="2"/>
    <d v="2023-10-15T00:00:00"/>
    <x v="1"/>
    <s v="No"/>
    <s v="No"/>
    <x v="0"/>
    <x v="0"/>
    <s v="No"/>
  </r>
  <r>
    <s v="C2620"/>
    <s v="Priya Reddy"/>
    <s v="Female"/>
    <n v="32"/>
    <x v="7"/>
    <x v="0"/>
    <x v="33"/>
    <n v="699"/>
    <n v="9786"/>
    <x v="1"/>
    <d v="2024-07-23T00:00:00"/>
    <x v="0"/>
    <s v="No"/>
    <s v="No"/>
    <x v="1"/>
    <x v="0"/>
    <s v="No"/>
  </r>
  <r>
    <s v="C2621"/>
    <s v="Pooja Mehta"/>
    <s v="Female"/>
    <n v="72"/>
    <x v="3"/>
    <x v="0"/>
    <x v="9"/>
    <n v="899"/>
    <n v="21576"/>
    <x v="1"/>
    <d v="2023-09-24T00:00:00"/>
    <x v="1"/>
    <s v="No"/>
    <s v="No"/>
    <x v="0"/>
    <x v="0"/>
    <s v="No"/>
  </r>
  <r>
    <s v="C2622"/>
    <s v="Vivek Reddy"/>
    <s v="Male"/>
    <n v="41"/>
    <x v="11"/>
    <x v="0"/>
    <x v="36"/>
    <n v="699"/>
    <n v="11184"/>
    <x v="1"/>
    <d v="2024-06-04T00:00:00"/>
    <x v="0"/>
    <s v="No"/>
    <s v="No"/>
    <x v="1"/>
    <x v="0"/>
    <s v="No"/>
  </r>
  <r>
    <s v="C2623"/>
    <s v="Neha Tiwari"/>
    <s v="Female"/>
    <n v="47"/>
    <x v="6"/>
    <x v="1"/>
    <x v="35"/>
    <n v="1299"/>
    <n v="11691"/>
    <x v="0"/>
    <d v="2024-12-04T00:00:00"/>
    <x v="0"/>
    <s v="Yes"/>
    <s v="No"/>
    <x v="0"/>
    <x v="0"/>
    <s v="No"/>
  </r>
  <r>
    <s v="C2624"/>
    <s v="Nikhil Joshi"/>
    <s v="Male"/>
    <n v="34"/>
    <x v="6"/>
    <x v="0"/>
    <x v="26"/>
    <n v="399"/>
    <n v="8379"/>
    <x v="3"/>
    <d v="2023-12-11T00:00:00"/>
    <x v="0"/>
    <s v="No"/>
    <s v="No"/>
    <x v="0"/>
    <x v="0"/>
    <s v="No"/>
  </r>
  <r>
    <s v="C2625"/>
    <s v="Sneha Nair"/>
    <s v="Female"/>
    <n v="21"/>
    <x v="4"/>
    <x v="0"/>
    <x v="17"/>
    <n v="1149"/>
    <n v="14937"/>
    <x v="0"/>
    <d v="2024-08-06T00:00:00"/>
    <x v="1"/>
    <s v="No"/>
    <s v="No"/>
    <x v="0"/>
    <x v="0"/>
    <s v="No"/>
  </r>
  <r>
    <s v="C2626"/>
    <s v="Riya Kumar"/>
    <s v="Female"/>
    <n v="41"/>
    <x v="7"/>
    <x v="1"/>
    <x v="23"/>
    <n v="1049"/>
    <n v="24127"/>
    <x v="0"/>
    <d v="2023-11-01T00:00:00"/>
    <x v="0"/>
    <s v="No"/>
    <s v="No"/>
    <x v="1"/>
    <x v="0"/>
    <s v="No"/>
  </r>
  <r>
    <s v="C2627"/>
    <s v="Komal Reddy"/>
    <s v="Female"/>
    <n v="26"/>
    <x v="6"/>
    <x v="2"/>
    <x v="21"/>
    <n v="899"/>
    <n v="899"/>
    <x v="0"/>
    <d v="2025-08-26T00:00:00"/>
    <x v="1"/>
    <s v="No"/>
    <s v="No"/>
    <x v="0"/>
    <x v="0"/>
    <s v="No"/>
  </r>
  <r>
    <s v="C2628"/>
    <s v="Amit Mehta"/>
    <s v="Unknown"/>
    <n v="47"/>
    <x v="13"/>
    <x v="2"/>
    <x v="49"/>
    <n v="899"/>
    <n v="63829"/>
    <x v="0"/>
    <d v="2019-11-05T00:00:00"/>
    <x v="0"/>
    <s v="Yes"/>
    <s v="No"/>
    <x v="0"/>
    <x v="0"/>
    <s v="No"/>
  </r>
  <r>
    <s v="C2629"/>
    <s v="Gaurav Gupta"/>
    <s v="Male"/>
    <n v="45"/>
    <x v="1"/>
    <x v="0"/>
    <x v="12"/>
    <m/>
    <n v="3596"/>
    <x v="3"/>
    <d v="2025-05-27T00:00:00"/>
    <x v="1"/>
    <s v="No"/>
    <s v="No"/>
    <x v="0"/>
    <x v="0"/>
    <s v="Monthly missing; Tenure missing"/>
  </r>
  <r>
    <s v="C2630"/>
    <s v="Karan Joshi"/>
    <s v="Male"/>
    <n v="63"/>
    <x v="3"/>
    <x v="0"/>
    <x v="22"/>
    <n v="749"/>
    <n v="1498"/>
    <x v="1"/>
    <d v="2025-07-16T00:00:00"/>
    <x v="1"/>
    <s v="No"/>
    <s v="No"/>
    <x v="0"/>
    <x v="1"/>
    <s v="No"/>
  </r>
  <r>
    <s v="C2631"/>
    <s v="Nikhil Kumar"/>
    <s v="Male"/>
    <n v="21"/>
    <x v="6"/>
    <x v="2"/>
    <x v="60"/>
    <n v="1099"/>
    <n v="74732"/>
    <x v="0"/>
    <d v="2020-02-15T00:00:00"/>
    <x v="0"/>
    <s v="No"/>
    <s v="No"/>
    <x v="1"/>
    <x v="0"/>
    <s v="No"/>
  </r>
  <r>
    <s v="C2632"/>
    <s v="Karan Pandey"/>
    <s v="Male"/>
    <n v="30"/>
    <x v="3"/>
    <x v="0"/>
    <x v="16"/>
    <n v="1299"/>
    <n v="15588"/>
    <x v="0"/>
    <d v="2024-09-19T00:00:00"/>
    <x v="0"/>
    <s v="No"/>
    <s v="No"/>
    <x v="0"/>
    <x v="0"/>
    <s v="No"/>
  </r>
  <r>
    <s v="C2633"/>
    <s v="Nisha Yadav"/>
    <s v="Female"/>
    <n v="34"/>
    <x v="7"/>
    <x v="0"/>
    <x v="21"/>
    <n v="699"/>
    <n v="699"/>
    <x v="1"/>
    <d v="2025-08-24T00:00:00"/>
    <x v="0"/>
    <s v="No"/>
    <s v="No"/>
    <x v="0"/>
    <x v="0"/>
    <s v="No"/>
  </r>
  <r>
    <s v="C2634"/>
    <s v="Kavita Tiwari"/>
    <s v="Female"/>
    <n v="74"/>
    <x v="12"/>
    <x v="0"/>
    <x v="16"/>
    <n v="799"/>
    <n v="9588"/>
    <x v="1"/>
    <d v="2024-09-29T00:00:00"/>
    <x v="1"/>
    <s v="No"/>
    <s v="No"/>
    <x v="0"/>
    <x v="0"/>
    <s v="No"/>
  </r>
  <r>
    <s v="C2635"/>
    <s v="Priya Verma"/>
    <s v="Female"/>
    <n v="21"/>
    <x v="5"/>
    <x v="0"/>
    <x v="4"/>
    <n v="1199"/>
    <n v="11990"/>
    <x v="0"/>
    <d v="2024-11-30T00:00:00"/>
    <x v="1"/>
    <s v="No"/>
    <s v="No"/>
    <x v="0"/>
    <x v="0"/>
    <s v="No"/>
  </r>
  <r>
    <s v="C2636"/>
    <s v="Amit Kapoor"/>
    <s v="Male"/>
    <n v="55"/>
    <x v="7"/>
    <x v="1"/>
    <x v="10"/>
    <n v="599"/>
    <n v="10183"/>
    <x v="1"/>
    <d v="2024-04-19T00:00:00"/>
    <x v="0"/>
    <s v="No"/>
    <s v="No"/>
    <x v="0"/>
    <x v="0"/>
    <s v="No"/>
  </r>
  <r>
    <s v="C2637"/>
    <s v="Rajesh Pandey"/>
    <s v="Male"/>
    <n v="72"/>
    <x v="14"/>
    <x v="1"/>
    <x v="21"/>
    <n v="699"/>
    <n v="699"/>
    <x v="1"/>
    <d v="2025-08-24T00:00:00"/>
    <x v="0"/>
    <s v="No"/>
    <s v="No"/>
    <x v="0"/>
    <x v="0"/>
    <s v="No"/>
  </r>
  <r>
    <s v="C2638"/>
    <s v="Suresh Yadav"/>
    <s v="Male"/>
    <n v="56"/>
    <x v="1"/>
    <x v="0"/>
    <x v="26"/>
    <n v="1149"/>
    <n v="24129"/>
    <x v="3"/>
    <d v="2023-12-26T00:00:00"/>
    <x v="0"/>
    <s v="No"/>
    <s v="No"/>
    <x v="0"/>
    <x v="1"/>
    <s v="No"/>
  </r>
  <r>
    <s v="C2639"/>
    <s v="Ritu Chopra"/>
    <s v="Female"/>
    <n v="22"/>
    <x v="0"/>
    <x v="0"/>
    <x v="32"/>
    <n v="1099"/>
    <n v="4396"/>
    <x v="0"/>
    <d v="2025-05-08T00:00:00"/>
    <x v="1"/>
    <s v="No"/>
    <s v="No"/>
    <x v="0"/>
    <x v="0"/>
    <s v="No"/>
  </r>
  <r>
    <s v="C2640"/>
    <s v="Anjali Tiwari"/>
    <s v="Female"/>
    <n v="42"/>
    <x v="4"/>
    <x v="0"/>
    <x v="22"/>
    <n v="1099"/>
    <n v="2198"/>
    <x v="0"/>
    <d v="2025-07-23T00:00:00"/>
    <x v="1"/>
    <s v="No"/>
    <s v="No"/>
    <x v="0"/>
    <x v="1"/>
    <s v="No"/>
  </r>
  <r>
    <s v="C2641"/>
    <s v="Nikhil Tiwari"/>
    <s v="Male"/>
    <n v="29"/>
    <x v="10"/>
    <x v="1"/>
    <x v="7"/>
    <n v="549"/>
    <n v="20862"/>
    <x v="2"/>
    <d v="2022-08-12T00:00:00"/>
    <x v="0"/>
    <s v="No"/>
    <s v="No"/>
    <x v="0"/>
    <x v="0"/>
    <s v="No"/>
  </r>
  <r>
    <s v="C2642"/>
    <s v="Priya Kumar"/>
    <s v="Female"/>
    <n v="63"/>
    <x v="6"/>
    <x v="2"/>
    <x v="55"/>
    <n v="899"/>
    <n v="50344"/>
    <x v="1"/>
    <d v="2021-02-07T00:00:00"/>
    <x v="1"/>
    <s v="No"/>
    <s v="No"/>
    <x v="0"/>
    <x v="0"/>
    <s v="No"/>
  </r>
  <r>
    <s v="C2643"/>
    <s v="Mohit Kapoor"/>
    <s v="Male"/>
    <n v="70"/>
    <x v="1"/>
    <x v="2"/>
    <x v="62"/>
    <n v="599"/>
    <n v="31747"/>
    <x v="1"/>
    <d v="2021-05-01T00:00:00"/>
    <x v="0"/>
    <s v="No"/>
    <s v="No"/>
    <x v="0"/>
    <x v="0"/>
    <s v="No"/>
  </r>
  <r>
    <s v="C2644"/>
    <s v="Suresh Reddy"/>
    <s v="Male"/>
    <n v="72"/>
    <x v="1"/>
    <x v="2"/>
    <x v="45"/>
    <n v="1199"/>
    <n v="37169"/>
    <x v="0"/>
    <d v="2023-02-22T00:00:00"/>
    <x v="0"/>
    <s v="No"/>
    <s v="No"/>
    <x v="0"/>
    <x v="0"/>
    <s v="No"/>
  </r>
  <r>
    <s v="C2645"/>
    <s v="Pooja Reddy"/>
    <s v="Female"/>
    <n v="23"/>
    <x v="7"/>
    <x v="2"/>
    <x v="54"/>
    <n v="1199"/>
    <n v="82731"/>
    <x v="0"/>
    <d v="2019-12-30T00:00:00"/>
    <x v="0"/>
    <s v="No"/>
    <s v="No"/>
    <x v="0"/>
    <x v="0"/>
    <s v="No"/>
  </r>
  <r>
    <s v="C2646"/>
    <s v="Vikram Mishra"/>
    <s v="Male"/>
    <n v="43"/>
    <x v="5"/>
    <x v="0"/>
    <x v="32"/>
    <n v="749"/>
    <n v="2996"/>
    <x v="1"/>
    <d v="2025-05-02T00:00:00"/>
    <x v="1"/>
    <s v="No"/>
    <s v="No"/>
    <x v="0"/>
    <x v="0"/>
    <s v="No"/>
  </r>
  <r>
    <s v="C2647"/>
    <s v="Rajesh Kapoor"/>
    <s v="Male"/>
    <n v="50"/>
    <x v="2"/>
    <x v="0"/>
    <x v="15"/>
    <n v="599"/>
    <n v="3594"/>
    <x v="1"/>
    <d v="2025-03-31T00:00:00"/>
    <x v="1"/>
    <s v="No"/>
    <s v="No"/>
    <x v="1"/>
    <x v="0"/>
    <s v="No"/>
  </r>
  <r>
    <s v="C2648"/>
    <s v="Komal Joshi"/>
    <s v="Unknown"/>
    <n v="48"/>
    <x v="9"/>
    <x v="0"/>
    <x v="27"/>
    <n v="349"/>
    <n v="2443"/>
    <x v="2"/>
    <d v="2025-02-18T00:00:00"/>
    <x v="1"/>
    <s v="No"/>
    <s v="No"/>
    <x v="0"/>
    <x v="0"/>
    <s v="No"/>
  </r>
  <r>
    <s v="C2649"/>
    <s v="Vikram Gupta"/>
    <s v="Male"/>
    <n v="50"/>
    <x v="7"/>
    <x v="1"/>
    <x v="2"/>
    <n v="1199"/>
    <n v="13189"/>
    <x v="0"/>
    <d v="2024-10-17T00:00:00"/>
    <x v="0"/>
    <s v="No"/>
    <s v="No"/>
    <x v="1"/>
    <x v="0"/>
    <s v="No"/>
  </r>
  <r>
    <s v="C2650"/>
    <s v="Ankit Agarwal"/>
    <s v="Male"/>
    <n v="66"/>
    <x v="12"/>
    <x v="1"/>
    <x v="45"/>
    <n v="349"/>
    <n v="10819"/>
    <x v="2"/>
    <d v="2023-02-23T00:00:00"/>
    <x v="0"/>
    <s v="No"/>
    <s v="No"/>
    <x v="0"/>
    <x v="0"/>
    <s v="No"/>
  </r>
  <r>
    <s v="C2651"/>
    <s v="Ritu Pandey"/>
    <s v="Female"/>
    <n v="25"/>
    <x v="5"/>
    <x v="2"/>
    <x v="50"/>
    <n v="599"/>
    <n v="32945"/>
    <x v="1"/>
    <d v="2021-02-23T00:00:00"/>
    <x v="1"/>
    <s v="No"/>
    <s v="No"/>
    <x v="0"/>
    <x v="0"/>
    <s v="No"/>
  </r>
  <r>
    <s v="C2652"/>
    <s v="Arjun Desai"/>
    <s v="Male"/>
    <n v="47"/>
    <x v="9"/>
    <x v="2"/>
    <x v="5"/>
    <n v="1049"/>
    <n v="75528"/>
    <x v="0"/>
    <d v="2019-10-06T00:00:00"/>
    <x v="0"/>
    <s v="Yes"/>
    <s v="No"/>
    <x v="0"/>
    <x v="0"/>
    <s v="No"/>
  </r>
  <r>
    <s v="C2653"/>
    <s v="Tanvi Saxena"/>
    <s v="Female"/>
    <n v="60"/>
    <x v="9"/>
    <x v="0"/>
    <x v="22"/>
    <n v="799"/>
    <n v="1598"/>
    <x v="1"/>
    <d v="2025-07-18T00:00:00"/>
    <x v="0"/>
    <s v="No"/>
    <s v="No"/>
    <x v="0"/>
    <x v="1"/>
    <s v="No"/>
  </r>
  <r>
    <s v="C2654"/>
    <s v="Sonal Nair"/>
    <s v="Female"/>
    <n v="64"/>
    <x v="5"/>
    <x v="2"/>
    <x v="1"/>
    <n v="1149"/>
    <n v="40215"/>
    <x v="0"/>
    <d v="2022-10-30T00:00:00"/>
    <x v="0"/>
    <s v="No"/>
    <s v="No"/>
    <x v="0"/>
    <x v="0"/>
    <s v="No"/>
  </r>
  <r>
    <s v="C2655"/>
    <s v="Rohit Mishra"/>
    <s v="Male"/>
    <n v="39"/>
    <x v="4"/>
    <x v="0"/>
    <x v="16"/>
    <n v="799"/>
    <n v="9588"/>
    <x v="1"/>
    <d v="2024-09-20T00:00:00"/>
    <x v="0"/>
    <s v="No"/>
    <s v="No"/>
    <x v="0"/>
    <x v="0"/>
    <s v="No"/>
  </r>
  <r>
    <s v="C2656"/>
    <s v="Sonal Mishra"/>
    <s v="Female"/>
    <n v="26"/>
    <x v="3"/>
    <x v="0"/>
    <x v="28"/>
    <n v="1149"/>
    <n v="9192"/>
    <x v="0"/>
    <d v="2025-01-15T00:00:00"/>
    <x v="0"/>
    <s v="No"/>
    <s v="No"/>
    <x v="0"/>
    <x v="0"/>
    <s v="No"/>
  </r>
  <r>
    <s v="C2657"/>
    <s v="Pankaj Verma"/>
    <s v="Male"/>
    <n v="74"/>
    <x v="12"/>
    <x v="0"/>
    <x v="36"/>
    <n v="649"/>
    <n v="10384"/>
    <x v="1"/>
    <d v="2024-05-18T00:00:00"/>
    <x v="0"/>
    <s v="No"/>
    <s v="No"/>
    <x v="0"/>
    <x v="0"/>
    <s v="No"/>
  </r>
  <r>
    <s v="C2658"/>
    <s v="Vivek Sharma"/>
    <s v="Male"/>
    <n v="57"/>
    <x v="6"/>
    <x v="0"/>
    <x v="27"/>
    <n v="899"/>
    <n v="6293"/>
    <x v="1"/>
    <d v="2025-02-07T00:00:00"/>
    <x v="0"/>
    <s v="No"/>
    <s v="No"/>
    <x v="0"/>
    <x v="0"/>
    <s v="No"/>
  </r>
  <r>
    <s v="C2659"/>
    <s v="Aman Saxena"/>
    <s v="Male"/>
    <n v="66"/>
    <x v="11"/>
    <x v="1"/>
    <x v="33"/>
    <n v="849"/>
    <n v="11886"/>
    <x v="1"/>
    <d v="2024-07-20T00:00:00"/>
    <x v="0"/>
    <s v="No"/>
    <s v="No"/>
    <x v="0"/>
    <x v="0"/>
    <s v="No"/>
  </r>
  <r>
    <s v="C2660"/>
    <s v="Priya Joshi"/>
    <s v="Female"/>
    <n v="29"/>
    <x v="0"/>
    <x v="0"/>
    <x v="30"/>
    <n v="799"/>
    <n v="14382"/>
    <x v="3"/>
    <d v="2024-03-11T00:00:00"/>
    <x v="1"/>
    <s v="No"/>
    <s v="No"/>
    <x v="0"/>
    <x v="0"/>
    <s v="No"/>
  </r>
  <r>
    <s v="C2661"/>
    <s v="Arjun Patel"/>
    <s v="Male"/>
    <n v="35"/>
    <x v="13"/>
    <x v="0"/>
    <x v="32"/>
    <n v="799"/>
    <n v="3196"/>
    <x v="1"/>
    <d v="2025-05-30T00:00:00"/>
    <x v="1"/>
    <s v="No"/>
    <s v="No"/>
    <x v="0"/>
    <x v="0"/>
    <s v="No"/>
  </r>
  <r>
    <s v="C2662"/>
    <s v="Harsh Malhotra"/>
    <s v="Male"/>
    <n v="19"/>
    <x v="13"/>
    <x v="1"/>
    <x v="13"/>
    <n v="1299"/>
    <n v="6495"/>
    <x v="0"/>
    <d v="2025-04-02T00:00:00"/>
    <x v="0"/>
    <s v="No"/>
    <s v="No"/>
    <x v="1"/>
    <x v="0"/>
    <s v="No"/>
  </r>
  <r>
    <s v="C2663"/>
    <s v="Mohit Singh"/>
    <s v="Unknown"/>
    <n v="47"/>
    <x v="5"/>
    <x v="1"/>
    <x v="1"/>
    <n v="899"/>
    <n v="31465"/>
    <x v="0"/>
    <d v="2022-10-15T00:00:00"/>
    <x v="0"/>
    <s v="Yes"/>
    <s v="No"/>
    <x v="0"/>
    <x v="0"/>
    <s v="No"/>
  </r>
  <r>
    <s v="C2664"/>
    <s v="Deepak Kapoor"/>
    <s v="Male"/>
    <n v="71"/>
    <x v="1"/>
    <x v="0"/>
    <x v="8"/>
    <n v="699"/>
    <n v="10485"/>
    <x v="1"/>
    <d v="2024-07-02T00:00:00"/>
    <x v="0"/>
    <s v="No"/>
    <s v="No"/>
    <x v="0"/>
    <x v="1"/>
    <s v="No"/>
  </r>
  <r>
    <s v="C2665"/>
    <s v="Nikhil Yadav"/>
    <s v="Male"/>
    <n v="29"/>
    <x v="12"/>
    <x v="1"/>
    <x v="1"/>
    <n v="549"/>
    <n v="19215"/>
    <x v="2"/>
    <d v="2022-10-15T00:00:00"/>
    <x v="0"/>
    <s v="No"/>
    <s v="No"/>
    <x v="0"/>
    <x v="0"/>
    <s v="No"/>
  </r>
  <r>
    <s v="C2666"/>
    <s v="Rajesh Rao"/>
    <s v="Male"/>
    <n v="62"/>
    <x v="11"/>
    <x v="0"/>
    <x v="10"/>
    <n v="749"/>
    <n v="12733"/>
    <x v="1"/>
    <d v="2024-04-09T00:00:00"/>
    <x v="0"/>
    <s v="No"/>
    <s v="No"/>
    <x v="0"/>
    <x v="0"/>
    <s v="No"/>
  </r>
  <r>
    <s v="C2667"/>
    <s v="Nikhil Joshi"/>
    <s v="Unknown"/>
    <n v="55"/>
    <x v="5"/>
    <x v="2"/>
    <x v="27"/>
    <n v="549"/>
    <n v="3843"/>
    <x v="2"/>
    <d v="2025-02-11T00:00:00"/>
    <x v="0"/>
    <s v="No"/>
    <s v="No"/>
    <x v="1"/>
    <x v="0"/>
    <s v="No"/>
  </r>
  <r>
    <s v="C2668"/>
    <s v="Amit Saxena"/>
    <s v="Male"/>
    <n v="67"/>
    <x v="7"/>
    <x v="2"/>
    <x v="52"/>
    <n v="849"/>
    <n v="41601"/>
    <x v="1"/>
    <d v="2021-09-04T00:00:00"/>
    <x v="0"/>
    <s v="No"/>
    <s v="No"/>
    <x v="0"/>
    <x v="0"/>
    <s v="No"/>
  </r>
  <r>
    <s v="C2669"/>
    <s v="Vivek Saxena"/>
    <s v="Male"/>
    <n v="64"/>
    <x v="3"/>
    <x v="0"/>
    <x v="30"/>
    <n v="1099"/>
    <n v="19782"/>
    <x v="0"/>
    <d v="2024-03-30T00:00:00"/>
    <x v="1"/>
    <s v="No"/>
    <s v="No"/>
    <x v="0"/>
    <x v="0"/>
    <s v="No"/>
  </r>
  <r>
    <s v="C2670"/>
    <s v="Pooja Reddy"/>
    <s v="Female"/>
    <n v="50"/>
    <x v="11"/>
    <x v="0"/>
    <x v="22"/>
    <n v="1099"/>
    <n v="2198"/>
    <x v="0"/>
    <d v="2025-07-11T00:00:00"/>
    <x v="1"/>
    <s v="No"/>
    <s v="No"/>
    <x v="0"/>
    <x v="0"/>
    <s v="No"/>
  </r>
  <r>
    <s v="C2671"/>
    <s v="Pooja Iyer"/>
    <s v="Female"/>
    <n v="51"/>
    <x v="11"/>
    <x v="0"/>
    <x v="17"/>
    <n v="749"/>
    <n v="9737"/>
    <x v="1"/>
    <d v="2024-08-11T00:00:00"/>
    <x v="0"/>
    <s v="No"/>
    <s v="No"/>
    <x v="0"/>
    <x v="0"/>
    <s v="No"/>
  </r>
  <r>
    <s v="C2672"/>
    <s v="Nisha Desai"/>
    <s v="Female"/>
    <n v="44"/>
    <x v="3"/>
    <x v="0"/>
    <x v="15"/>
    <n v="1299"/>
    <n v="7794"/>
    <x v="0"/>
    <d v="2025-03-05T00:00:00"/>
    <x v="1"/>
    <s v="No"/>
    <s v="No"/>
    <x v="0"/>
    <x v="0"/>
    <s v="No"/>
  </r>
  <r>
    <s v="C2673"/>
    <s v="Komal Kapoor"/>
    <s v="Female"/>
    <n v="39"/>
    <x v="1"/>
    <x v="2"/>
    <x v="64"/>
    <n v="1049"/>
    <n v="41960"/>
    <x v="0"/>
    <d v="2022-05-31T00:00:00"/>
    <x v="0"/>
    <s v="No"/>
    <s v="No"/>
    <x v="0"/>
    <x v="0"/>
    <s v="No"/>
  </r>
  <r>
    <s v="C2674"/>
    <s v="Vivek Singh"/>
    <s v="Male"/>
    <n v="33"/>
    <x v="6"/>
    <x v="1"/>
    <x v="42"/>
    <n v="749"/>
    <n v="19474"/>
    <x v="1"/>
    <d v="2023-08-05T00:00:00"/>
    <x v="0"/>
    <s v="No"/>
    <s v="No"/>
    <x v="1"/>
    <x v="0"/>
    <s v="No"/>
  </r>
  <r>
    <s v="C2675"/>
    <s v="Swati Pandey"/>
    <s v="Female"/>
    <n v="36"/>
    <x v="3"/>
    <x v="0"/>
    <x v="11"/>
    <n v="1049"/>
    <n v="20980"/>
    <x v="0"/>
    <d v="2024-02-06T00:00:00"/>
    <x v="0"/>
    <s v="No"/>
    <s v="No"/>
    <x v="0"/>
    <x v="0"/>
    <s v="No"/>
  </r>
  <r>
    <s v="C2676"/>
    <s v="Meera Gupta"/>
    <s v="Unknown"/>
    <n v="25"/>
    <x v="8"/>
    <x v="0"/>
    <x v="8"/>
    <n v="749"/>
    <n v="11235"/>
    <x v="1"/>
    <d v="2024-07-01T00:00:00"/>
    <x v="1"/>
    <s v="No"/>
    <s v="No"/>
    <x v="0"/>
    <x v="0"/>
    <s v="No"/>
  </r>
  <r>
    <s v="C2677"/>
    <s v="Riya Kumar"/>
    <s v="Female"/>
    <n v="42"/>
    <x v="3"/>
    <x v="0"/>
    <x v="23"/>
    <n v="599"/>
    <n v="13777"/>
    <x v="1"/>
    <d v="2023-10-12T00:00:00"/>
    <x v="0"/>
    <s v="No"/>
    <s v="No"/>
    <x v="0"/>
    <x v="0"/>
    <s v="No"/>
  </r>
  <r>
    <s v="C2678"/>
    <s v="Sonal Jain"/>
    <s v="Female"/>
    <n v="58"/>
    <x v="12"/>
    <x v="3"/>
    <x v="54"/>
    <n v="599"/>
    <n v="41331"/>
    <x v="1"/>
    <d v="2020-01-16T00:00:00"/>
    <x v="0"/>
    <s v="No"/>
    <s v="No"/>
    <x v="0"/>
    <x v="0"/>
    <s v="No"/>
  </r>
  <r>
    <s v="C2679"/>
    <s v="Komal Mishra"/>
    <s v="Female"/>
    <n v="26"/>
    <x v="0"/>
    <x v="2"/>
    <x v="70"/>
    <n v="749"/>
    <n v="34454"/>
    <x v="1"/>
    <d v="2021-12-10T00:00:00"/>
    <x v="0"/>
    <s v="No"/>
    <s v="No"/>
    <x v="0"/>
    <x v="0"/>
    <s v="No"/>
  </r>
  <r>
    <s v="C2680"/>
    <s v="Pooja Pandey"/>
    <s v="Female"/>
    <n v="44"/>
    <x v="13"/>
    <x v="0"/>
    <x v="33"/>
    <n v="599"/>
    <n v="8386"/>
    <x v="1"/>
    <d v="2024-08-03T00:00:00"/>
    <x v="0"/>
    <s v="No"/>
    <s v="No"/>
    <x v="0"/>
    <x v="0"/>
    <s v="No"/>
  </r>
  <r>
    <s v="C2681"/>
    <s v="Mohit Malhotra"/>
    <s v="Male"/>
    <n v="32"/>
    <x v="14"/>
    <x v="1"/>
    <x v="8"/>
    <n v="1049"/>
    <n v="15735"/>
    <x v="0"/>
    <d v="2024-06-08T00:00:00"/>
    <x v="0"/>
    <s v="No"/>
    <s v="Yes"/>
    <x v="0"/>
    <x v="0"/>
    <s v="No"/>
  </r>
  <r>
    <s v="C2682"/>
    <s v="Ankit Mishra"/>
    <s v="Male"/>
    <n v="40"/>
    <x v="6"/>
    <x v="1"/>
    <x v="10"/>
    <n v="999"/>
    <n v="16983"/>
    <x v="0"/>
    <d v="2024-04-15T00:00:00"/>
    <x v="1"/>
    <s v="No"/>
    <s v="No"/>
    <x v="0"/>
    <x v="1"/>
    <s v="No"/>
  </r>
  <r>
    <s v="C2683"/>
    <s v="Mohit Joshi"/>
    <s v="Male"/>
    <n v="74"/>
    <x v="5"/>
    <x v="0"/>
    <x v="35"/>
    <n v="899"/>
    <n v="8091"/>
    <x v="0"/>
    <d v="2024-12-12T00:00:00"/>
    <x v="1"/>
    <s v="No"/>
    <s v="No"/>
    <x v="0"/>
    <x v="1"/>
    <s v="No"/>
  </r>
  <r>
    <s v="C2684"/>
    <s v="Aditi Chopra"/>
    <s v="Female"/>
    <n v="47"/>
    <x v="2"/>
    <x v="1"/>
    <x v="13"/>
    <n v="399"/>
    <n v="1995"/>
    <x v="2"/>
    <d v="2025-04-09T00:00:00"/>
    <x v="1"/>
    <s v="No"/>
    <s v="No"/>
    <x v="0"/>
    <x v="1"/>
    <s v="No"/>
  </r>
  <r>
    <s v="C2685"/>
    <s v="Aditi Mishra"/>
    <s v="Female"/>
    <n v="57"/>
    <x v="13"/>
    <x v="1"/>
    <x v="64"/>
    <n v="349"/>
    <n v="13960"/>
    <x v="2"/>
    <d v="2022-05-19T00:00:00"/>
    <x v="0"/>
    <s v="No"/>
    <s v="No"/>
    <x v="1"/>
    <x v="0"/>
    <s v="No"/>
  </r>
  <r>
    <s v="C2686"/>
    <s v="Deepika Nair"/>
    <s v="Female"/>
    <n v="60"/>
    <x v="5"/>
    <x v="1"/>
    <x v="2"/>
    <n v="999"/>
    <n v="10989"/>
    <x v="0"/>
    <d v="2024-10-07T00:00:00"/>
    <x v="1"/>
    <s v="No"/>
    <s v="No"/>
    <x v="0"/>
    <x v="0"/>
    <s v="No"/>
  </r>
  <r>
    <s v="C2687"/>
    <s v="Meera Kumar"/>
    <s v="Female"/>
    <n v="75"/>
    <x v="7"/>
    <x v="0"/>
    <x v="30"/>
    <n v="599"/>
    <n v="10782"/>
    <x v="1"/>
    <d v="2024-03-25T00:00:00"/>
    <x v="0"/>
    <s v="No"/>
    <s v="No"/>
    <x v="0"/>
    <x v="0"/>
    <s v="No"/>
  </r>
  <r>
    <s v="C2688"/>
    <s v="Amit Malhotra"/>
    <s v="Unknown"/>
    <n v="39"/>
    <x v="14"/>
    <x v="1"/>
    <x v="25"/>
    <n v="899"/>
    <n v="35061"/>
    <x v="1"/>
    <d v="2022-06-30T00:00:00"/>
    <x v="0"/>
    <s v="No"/>
    <s v="No"/>
    <x v="0"/>
    <x v="0"/>
    <s v="No"/>
  </r>
  <r>
    <s v="C2689"/>
    <s v="Suresh Yadav"/>
    <s v="Male"/>
    <n v="75"/>
    <x v="0"/>
    <x v="0"/>
    <x v="4"/>
    <n v="599"/>
    <n v="5990"/>
    <x v="1"/>
    <d v="2024-11-10T00:00:00"/>
    <x v="0"/>
    <s v="No"/>
    <s v="No"/>
    <x v="0"/>
    <x v="0"/>
    <s v="No"/>
  </r>
  <r>
    <s v="C2690"/>
    <s v="Shreya Desai"/>
    <s v="Female"/>
    <n v="50"/>
    <x v="5"/>
    <x v="0"/>
    <x v="33"/>
    <n v="699"/>
    <n v="9786"/>
    <x v="1"/>
    <d v="2024-07-06T00:00:00"/>
    <x v="1"/>
    <s v="No"/>
    <s v="No"/>
    <x v="0"/>
    <x v="0"/>
    <s v="No"/>
  </r>
  <r>
    <s v="C2691"/>
    <s v="Kavita Malhotra"/>
    <s v="Female"/>
    <n v="45"/>
    <x v="3"/>
    <x v="2"/>
    <x v="54"/>
    <n v="699"/>
    <n v="48231"/>
    <x v="1"/>
    <d v="2020-01-09T00:00:00"/>
    <x v="0"/>
    <s v="No"/>
    <s v="No"/>
    <x v="0"/>
    <x v="0"/>
    <s v="No"/>
  </r>
  <r>
    <s v="C2692"/>
    <s v="Ankit Pandey"/>
    <s v="Male"/>
    <n v="68"/>
    <x v="1"/>
    <x v="0"/>
    <x v="26"/>
    <n v="1299"/>
    <n v="27279"/>
    <x v="0"/>
    <d v="2023-12-19T00:00:00"/>
    <x v="1"/>
    <s v="No"/>
    <s v="No"/>
    <x v="0"/>
    <x v="0"/>
    <s v="No"/>
  </r>
  <r>
    <s v="C2693"/>
    <s v="Rohit Mishra"/>
    <s v="Male"/>
    <n v="47"/>
    <x v="1"/>
    <x v="0"/>
    <x v="30"/>
    <n v="849"/>
    <n v="15282"/>
    <x v="1"/>
    <d v="2024-03-24T00:00:00"/>
    <x v="0"/>
    <s v="No"/>
    <s v="No"/>
    <x v="0"/>
    <x v="0"/>
    <s v="No"/>
  </r>
  <r>
    <s v="C2694"/>
    <s v="Pankaj Verma"/>
    <s v="Male"/>
    <n v="47"/>
    <x v="2"/>
    <x v="0"/>
    <x v="36"/>
    <n v="1049"/>
    <n v="16784"/>
    <x v="0"/>
    <d v="2024-05-28T00:00:00"/>
    <x v="0"/>
    <s v="Yes"/>
    <s v="No"/>
    <x v="0"/>
    <x v="1"/>
    <s v="No"/>
  </r>
  <r>
    <s v="C2695"/>
    <s v="Ritu Verma"/>
    <s v="Female"/>
    <n v="69"/>
    <x v="4"/>
    <x v="2"/>
    <x v="18"/>
    <n v="449"/>
    <n v="31430"/>
    <x v="2"/>
    <d v="2019-12-25T00:00:00"/>
    <x v="0"/>
    <s v="No"/>
    <s v="No"/>
    <x v="0"/>
    <x v="0"/>
    <s v="No"/>
  </r>
  <r>
    <s v="C2696"/>
    <s v="Sachin Chopra"/>
    <s v="Male"/>
    <n v="32"/>
    <x v="11"/>
    <x v="0"/>
    <x v="28"/>
    <n v="1299"/>
    <n v="10392"/>
    <x v="0"/>
    <d v="2025-01-28T00:00:00"/>
    <x v="1"/>
    <s v="No"/>
    <s v="No"/>
    <x v="0"/>
    <x v="0"/>
    <s v="No"/>
  </r>
  <r>
    <s v="C2697"/>
    <s v="Priya Rao"/>
    <s v="Female"/>
    <n v="70"/>
    <x v="8"/>
    <x v="2"/>
    <x v="23"/>
    <n v="1299"/>
    <n v="29877"/>
    <x v="0"/>
    <d v="2023-10-17T00:00:00"/>
    <x v="0"/>
    <s v="No"/>
    <s v="No"/>
    <x v="0"/>
    <x v="0"/>
    <s v="No"/>
  </r>
  <r>
    <s v="C2698"/>
    <s v="Arjun Singh"/>
    <s v="Male"/>
    <n v="25"/>
    <x v="3"/>
    <x v="2"/>
    <x v="57"/>
    <n v="649"/>
    <n v="19470"/>
    <x v="1"/>
    <d v="2023-03-27T00:00:00"/>
    <x v="1"/>
    <s v="No"/>
    <s v="No"/>
    <x v="0"/>
    <x v="0"/>
    <s v="No"/>
  </r>
  <r>
    <s v="C2699"/>
    <s v="Shreya Tiwari"/>
    <s v="Female"/>
    <n v="42"/>
    <x v="4"/>
    <x v="0"/>
    <x v="26"/>
    <n v="799"/>
    <n v="16779"/>
    <x v="1"/>
    <d v="2023-12-17T00:00:00"/>
    <x v="0"/>
    <s v="No"/>
    <s v="No"/>
    <x v="0"/>
    <x v="0"/>
    <s v="No"/>
  </r>
  <r>
    <s v="C2700"/>
    <s v="Divya Reddy"/>
    <s v="Female"/>
    <n v="18"/>
    <x v="1"/>
    <x v="0"/>
    <x v="16"/>
    <n v="749"/>
    <n v="8988"/>
    <x v="1"/>
    <d v="2024-09-04T00:00:00"/>
    <x v="1"/>
    <s v="No"/>
    <s v="Yes"/>
    <x v="0"/>
    <x v="0"/>
    <s v="No"/>
  </r>
  <r>
    <s v="C2701"/>
    <s v="Sachin Iyer"/>
    <s v="Male"/>
    <n v="38"/>
    <x v="9"/>
    <x v="0"/>
    <x v="6"/>
    <n v="349"/>
    <n v="6631"/>
    <x v="2"/>
    <d v="2024-02-28T00:00:00"/>
    <x v="0"/>
    <s v="No"/>
    <s v="No"/>
    <x v="0"/>
    <x v="0"/>
    <s v="No"/>
  </r>
  <r>
    <s v="C2702"/>
    <s v="Sonal Chopra"/>
    <s v="Female"/>
    <n v="26"/>
    <x v="0"/>
    <x v="0"/>
    <x v="6"/>
    <n v="1299"/>
    <n v="24681"/>
    <x v="0"/>
    <d v="2024-03-01T00:00:00"/>
    <x v="1"/>
    <s v="No"/>
    <s v="No"/>
    <x v="0"/>
    <x v="0"/>
    <s v="No"/>
  </r>
  <r>
    <s v="C2703"/>
    <s v="Ankit Rao"/>
    <s v="Male"/>
    <n v="29"/>
    <x v="3"/>
    <x v="0"/>
    <x v="2"/>
    <n v="499"/>
    <n v="5489"/>
    <x v="2"/>
    <d v="2024-10-31T00:00:00"/>
    <x v="0"/>
    <s v="No"/>
    <s v="No"/>
    <x v="0"/>
    <x v="0"/>
    <s v="No"/>
  </r>
  <r>
    <s v="C2704"/>
    <s v="Priya Pandey"/>
    <s v="Female"/>
    <n v="20"/>
    <x v="12"/>
    <x v="3"/>
    <x v="17"/>
    <n v="349"/>
    <n v="4537"/>
    <x v="2"/>
    <d v="2024-08-06T00:00:00"/>
    <x v="1"/>
    <s v="No"/>
    <s v="No"/>
    <x v="0"/>
    <x v="0"/>
    <s v="No"/>
  </r>
  <r>
    <s v="C2705"/>
    <s v="Isha Iyer"/>
    <s v="Female"/>
    <n v="73"/>
    <x v="4"/>
    <x v="1"/>
    <x v="8"/>
    <n v="899"/>
    <n v="13485"/>
    <x v="0"/>
    <d v="2024-07-02T00:00:00"/>
    <x v="0"/>
    <s v="No"/>
    <s v="No"/>
    <x v="0"/>
    <x v="0"/>
    <s v="No"/>
  </r>
  <r>
    <s v="C2706"/>
    <s v="Riya Bose"/>
    <s v="Female"/>
    <n v="35"/>
    <x v="13"/>
    <x v="1"/>
    <x v="64"/>
    <n v="599"/>
    <n v="23960"/>
    <x v="1"/>
    <d v="2022-06-03T00:00:00"/>
    <x v="0"/>
    <s v="No"/>
    <s v="No"/>
    <x v="0"/>
    <x v="0"/>
    <s v="No"/>
  </r>
  <r>
    <s v="C2707"/>
    <s v="Sonal Mehta"/>
    <s v="Female"/>
    <n v="36"/>
    <x v="1"/>
    <x v="0"/>
    <x v="6"/>
    <n v="1149"/>
    <n v="21831"/>
    <x v="0"/>
    <d v="2024-02-17T00:00:00"/>
    <x v="1"/>
    <s v="No"/>
    <s v="No"/>
    <x v="0"/>
    <x v="0"/>
    <s v="No"/>
  </r>
  <r>
    <s v="C2708"/>
    <s v="Priya Jain"/>
    <s v="Female"/>
    <n v="32"/>
    <x v="1"/>
    <x v="0"/>
    <x v="26"/>
    <n v="899"/>
    <n v="18879"/>
    <x v="0"/>
    <d v="2023-12-17T00:00:00"/>
    <x v="0"/>
    <s v="No"/>
    <s v="No"/>
    <x v="0"/>
    <x v="0"/>
    <s v="No"/>
  </r>
  <r>
    <s v="C2709"/>
    <s v="Riya Kumar"/>
    <s v="Female"/>
    <n v="41"/>
    <x v="3"/>
    <x v="0"/>
    <x v="15"/>
    <n v="1099"/>
    <n v="6594"/>
    <x v="0"/>
    <d v="2025-03-04T00:00:00"/>
    <x v="0"/>
    <s v="No"/>
    <s v="No"/>
    <x v="0"/>
    <x v="1"/>
    <s v="No"/>
  </r>
  <r>
    <s v="C2710"/>
    <s v="Priya Pandey"/>
    <s v="Female"/>
    <n v="56"/>
    <x v="0"/>
    <x v="0"/>
    <x v="13"/>
    <n v="449"/>
    <n v="2245"/>
    <x v="2"/>
    <d v="2025-04-11T00:00:00"/>
    <x v="1"/>
    <s v="No"/>
    <s v="No"/>
    <x v="0"/>
    <x v="0"/>
    <s v="No"/>
  </r>
  <r>
    <s v="C2711"/>
    <s v="Deepak Sharma"/>
    <s v="Male"/>
    <n v="37"/>
    <x v="4"/>
    <x v="1"/>
    <x v="14"/>
    <n v="699"/>
    <n v="25863"/>
    <x v="1"/>
    <d v="2022-09-03T00:00:00"/>
    <x v="0"/>
    <s v="No"/>
    <s v="No"/>
    <x v="0"/>
    <x v="0"/>
    <s v="No"/>
  </r>
  <r>
    <s v="C2712"/>
    <s v="Payal Joshi"/>
    <s v="Female"/>
    <n v="25"/>
    <x v="7"/>
    <x v="0"/>
    <x v="24"/>
    <n v="849"/>
    <n v="2547"/>
    <x v="1"/>
    <d v="2025-06-18T00:00:00"/>
    <x v="1"/>
    <s v="No"/>
    <s v="No"/>
    <x v="0"/>
    <x v="0"/>
    <s v="No"/>
  </r>
  <r>
    <s v="C2713"/>
    <s v="Vikram Reddy"/>
    <s v="Male"/>
    <n v="52"/>
    <x v="9"/>
    <x v="1"/>
    <x v="4"/>
    <n v="899"/>
    <n v="8990"/>
    <x v="0"/>
    <d v="2024-11-20T00:00:00"/>
    <x v="0"/>
    <s v="No"/>
    <s v="No"/>
    <x v="0"/>
    <x v="0"/>
    <s v="No"/>
  </r>
  <r>
    <s v="C2714"/>
    <s v="Vivek Malhotra"/>
    <s v="Male"/>
    <n v="29"/>
    <x v="8"/>
    <x v="0"/>
    <x v="2"/>
    <n v="349"/>
    <n v="3839"/>
    <x v="2"/>
    <d v="2024-10-08T00:00:00"/>
    <x v="0"/>
    <s v="No"/>
    <s v="No"/>
    <x v="0"/>
    <x v="0"/>
    <s v="No"/>
  </r>
  <r>
    <s v="C2715"/>
    <s v="Isha Malhotra"/>
    <s v="Female"/>
    <n v="26"/>
    <x v="4"/>
    <x v="2"/>
    <x v="7"/>
    <n v="699"/>
    <n v="26562"/>
    <x v="1"/>
    <d v="2022-07-22T00:00:00"/>
    <x v="0"/>
    <s v="No"/>
    <s v="No"/>
    <x v="0"/>
    <x v="0"/>
    <s v="No"/>
  </r>
  <r>
    <s v="C2716"/>
    <s v="Unknown"/>
    <s v="Male"/>
    <n v="27"/>
    <x v="8"/>
    <x v="2"/>
    <x v="21"/>
    <n v="1149"/>
    <n v="1149"/>
    <x v="0"/>
    <d v="2025-08-28T00:00:00"/>
    <x v="0"/>
    <s v="No"/>
    <s v="No"/>
    <x v="0"/>
    <x v="0"/>
    <s v="No"/>
  </r>
  <r>
    <s v="C2717"/>
    <s v="Deepak Nair"/>
    <s v="Male"/>
    <n v="63"/>
    <x v="2"/>
    <x v="0"/>
    <x v="8"/>
    <n v="399"/>
    <n v="5985"/>
    <x v="2"/>
    <d v="2024-06-08T00:00:00"/>
    <x v="1"/>
    <s v="No"/>
    <s v="No"/>
    <x v="0"/>
    <x v="0"/>
    <s v="No"/>
  </r>
  <r>
    <s v="C2718"/>
    <s v="Meera Jain"/>
    <s v="Female"/>
    <n v="28"/>
    <x v="1"/>
    <x v="1"/>
    <x v="30"/>
    <n v="349"/>
    <n v="6282"/>
    <x v="2"/>
    <d v="2024-03-17T00:00:00"/>
    <x v="0"/>
    <s v="No"/>
    <s v="No"/>
    <x v="0"/>
    <x v="0"/>
    <s v="No"/>
  </r>
  <r>
    <s v="C2719"/>
    <s v="Arjun Pandey"/>
    <s v="Male"/>
    <n v="34"/>
    <x v="14"/>
    <x v="0"/>
    <x v="33"/>
    <n v="599"/>
    <n v="8386"/>
    <x v="1"/>
    <d v="2024-07-10T00:00:00"/>
    <x v="0"/>
    <s v="No"/>
    <s v="No"/>
    <x v="0"/>
    <x v="0"/>
    <s v="No"/>
  </r>
  <r>
    <s v="C2720"/>
    <s v="Priya Desai"/>
    <s v="Female"/>
    <n v="22"/>
    <x v="3"/>
    <x v="1"/>
    <x v="32"/>
    <n v="549"/>
    <n v="2196"/>
    <x v="2"/>
    <d v="2025-05-31T00:00:00"/>
    <x v="0"/>
    <s v="No"/>
    <s v="No"/>
    <x v="0"/>
    <x v="0"/>
    <s v="No"/>
  </r>
  <r>
    <s v="C2721"/>
    <s v="Ankit Reddy"/>
    <s v="Male"/>
    <n v="70"/>
    <x v="9"/>
    <x v="0"/>
    <x v="24"/>
    <n v="849"/>
    <n v="2547"/>
    <x v="1"/>
    <d v="2025-06-04T00:00:00"/>
    <x v="1"/>
    <s v="No"/>
    <s v="No"/>
    <x v="0"/>
    <x v="0"/>
    <s v="No"/>
  </r>
  <r>
    <s v="C2722"/>
    <s v="Sneha Bose"/>
    <s v="Female"/>
    <n v="26"/>
    <x v="0"/>
    <x v="0"/>
    <x v="33"/>
    <n v="1049"/>
    <n v="14686"/>
    <x v="0"/>
    <d v="2024-07-20T00:00:00"/>
    <x v="1"/>
    <s v="No"/>
    <s v="No"/>
    <x v="0"/>
    <x v="0"/>
    <s v="No"/>
  </r>
  <r>
    <s v="C2723"/>
    <s v="Neha Jain"/>
    <s v="Female"/>
    <n v="54"/>
    <x v="13"/>
    <x v="0"/>
    <x v="23"/>
    <n v="999"/>
    <n v="22977"/>
    <x v="0"/>
    <d v="2023-10-23T00:00:00"/>
    <x v="0"/>
    <s v="No"/>
    <s v="No"/>
    <x v="0"/>
    <x v="0"/>
    <s v="No"/>
  </r>
  <r>
    <s v="C2724"/>
    <s v="Nisha Bose"/>
    <s v="Female"/>
    <n v="53"/>
    <x v="11"/>
    <x v="0"/>
    <x v="16"/>
    <n v="449"/>
    <n v="5388"/>
    <x v="2"/>
    <d v="2024-09-18T00:00:00"/>
    <x v="1"/>
    <s v="No"/>
    <s v="No"/>
    <x v="0"/>
    <x v="0"/>
    <s v="No"/>
  </r>
  <r>
    <s v="C2725"/>
    <s v="Vivek Agarwal"/>
    <s v="Male"/>
    <n v="23"/>
    <x v="11"/>
    <x v="1"/>
    <x v="4"/>
    <n v="999"/>
    <n v="9990"/>
    <x v="0"/>
    <d v="2024-11-30T00:00:00"/>
    <x v="0"/>
    <s v="No"/>
    <s v="No"/>
    <x v="1"/>
    <x v="0"/>
    <s v="No"/>
  </r>
  <r>
    <s v="C2726"/>
    <s v="Vikram Verma"/>
    <s v="Male"/>
    <n v="34"/>
    <x v="2"/>
    <x v="0"/>
    <x v="30"/>
    <n v="1149"/>
    <n v="20682"/>
    <x v="0"/>
    <d v="2024-04-01T00:00:00"/>
    <x v="1"/>
    <s v="No"/>
    <s v="No"/>
    <x v="0"/>
    <x v="0"/>
    <s v="No"/>
  </r>
  <r>
    <s v="C2727"/>
    <s v="Ankit Iyer"/>
    <s v="Male"/>
    <n v="31"/>
    <x v="13"/>
    <x v="1"/>
    <x v="10"/>
    <n v="1299"/>
    <n v="22083"/>
    <x v="0"/>
    <d v="2024-04-07T00:00:00"/>
    <x v="0"/>
    <s v="No"/>
    <s v="No"/>
    <x v="0"/>
    <x v="0"/>
    <s v="No"/>
  </r>
  <r>
    <s v="C2728"/>
    <s v="Vivek Jain"/>
    <s v="Male"/>
    <n v="21"/>
    <x v="12"/>
    <x v="2"/>
    <x v="55"/>
    <n v="499"/>
    <n v="27944"/>
    <x v="2"/>
    <d v="2021-02-03T00:00:00"/>
    <x v="0"/>
    <s v="No"/>
    <s v="No"/>
    <x v="0"/>
    <x v="0"/>
    <s v="No"/>
  </r>
  <r>
    <s v="C2729"/>
    <s v="Suresh Iyer"/>
    <s v="Male"/>
    <n v="52"/>
    <x v="1"/>
    <x v="0"/>
    <x v="15"/>
    <n v="699"/>
    <n v="4194"/>
    <x v="1"/>
    <d v="2025-03-07T00:00:00"/>
    <x v="1"/>
    <s v="No"/>
    <s v="No"/>
    <x v="0"/>
    <x v="0"/>
    <s v="No"/>
  </r>
  <r>
    <s v="C2730"/>
    <s v="Divya Singh"/>
    <s v="Female"/>
    <n v="52"/>
    <x v="3"/>
    <x v="0"/>
    <x v="8"/>
    <n v="699"/>
    <n v="10485"/>
    <x v="1"/>
    <d v="2024-06-21T00:00:00"/>
    <x v="1"/>
    <s v="No"/>
    <s v="No"/>
    <x v="0"/>
    <x v="0"/>
    <s v="No"/>
  </r>
  <r>
    <s v="C2731"/>
    <s v="Isha Kumar"/>
    <s v="Female"/>
    <n v="41"/>
    <x v="12"/>
    <x v="0"/>
    <x v="9"/>
    <n v="899"/>
    <n v="21576"/>
    <x v="0"/>
    <d v="2023-09-10T00:00:00"/>
    <x v="1"/>
    <s v="No"/>
    <s v="No"/>
    <x v="0"/>
    <x v="0"/>
    <s v="No"/>
  </r>
  <r>
    <s v="C2732"/>
    <s v="Swati Reddy"/>
    <s v="Female"/>
    <n v="20"/>
    <x v="7"/>
    <x v="1"/>
    <x v="22"/>
    <n v="849"/>
    <n v="1698"/>
    <x v="1"/>
    <d v="2025-07-27T00:00:00"/>
    <x v="0"/>
    <s v="No"/>
    <s v="No"/>
    <x v="0"/>
    <x v="0"/>
    <s v="No"/>
  </r>
  <r>
    <s v="C2733"/>
    <s v="Karan Kapoor"/>
    <s v="Male"/>
    <n v="67"/>
    <x v="1"/>
    <x v="2"/>
    <x v="24"/>
    <n v="649"/>
    <n v="1947"/>
    <x v="1"/>
    <d v="2025-06-16T00:00:00"/>
    <x v="0"/>
    <s v="No"/>
    <s v="No"/>
    <x v="0"/>
    <x v="1"/>
    <s v="No"/>
  </r>
  <r>
    <s v="C2734"/>
    <s v="Sneha Saxena"/>
    <s v="Female"/>
    <n v="62"/>
    <x v="8"/>
    <x v="0"/>
    <x v="23"/>
    <n v="799"/>
    <n v="18377"/>
    <x v="1"/>
    <d v="2023-10-10T00:00:00"/>
    <x v="1"/>
    <s v="No"/>
    <s v="No"/>
    <x v="0"/>
    <x v="0"/>
    <s v="No"/>
  </r>
  <r>
    <s v="C2735"/>
    <s v="Neha Saxena"/>
    <s v="Female"/>
    <n v="29"/>
    <x v="3"/>
    <x v="2"/>
    <x v="9"/>
    <n v="1049"/>
    <n v="25176"/>
    <x v="0"/>
    <d v="2023-10-08T00:00:00"/>
    <x v="0"/>
    <s v="No"/>
    <s v="No"/>
    <x v="0"/>
    <x v="0"/>
    <s v="No"/>
  </r>
  <r>
    <s v="C2736"/>
    <s v="Arjun Tiwari"/>
    <s v="Male"/>
    <n v="66"/>
    <x v="13"/>
    <x v="1"/>
    <x v="26"/>
    <n v="599"/>
    <n v="12579"/>
    <x v="1"/>
    <d v="2023-12-09T00:00:00"/>
    <x v="0"/>
    <s v="No"/>
    <s v="No"/>
    <x v="0"/>
    <x v="0"/>
    <s v="No"/>
  </r>
  <r>
    <s v="C2737"/>
    <s v="Aman Chopra"/>
    <s v="Male"/>
    <n v="61"/>
    <x v="9"/>
    <x v="1"/>
    <x v="64"/>
    <n v="899"/>
    <n v="35960"/>
    <x v="0"/>
    <d v="2022-05-21T00:00:00"/>
    <x v="0"/>
    <s v="No"/>
    <s v="No"/>
    <x v="0"/>
    <x v="1"/>
    <s v="No"/>
  </r>
  <r>
    <s v="C2738"/>
    <s v="Anjali Kapoor"/>
    <s v="Female"/>
    <n v="63"/>
    <x v="0"/>
    <x v="2"/>
    <x v="49"/>
    <n v="1049"/>
    <n v="74479"/>
    <x v="0"/>
    <d v="2019-11-09T00:00:00"/>
    <x v="0"/>
    <s v="No"/>
    <s v="No"/>
    <x v="0"/>
    <x v="0"/>
    <s v="No"/>
  </r>
  <r>
    <s v="C2739"/>
    <s v="Manish Saxena"/>
    <s v="Male"/>
    <n v="66"/>
    <x v="6"/>
    <x v="0"/>
    <x v="17"/>
    <n v="699"/>
    <n v="9087"/>
    <x v="1"/>
    <d v="2024-08-25T00:00:00"/>
    <x v="1"/>
    <s v="No"/>
    <s v="No"/>
    <x v="0"/>
    <x v="0"/>
    <s v="No"/>
  </r>
  <r>
    <s v="C2740"/>
    <s v="Sanjay Pandey"/>
    <s v="Male"/>
    <n v="75"/>
    <x v="11"/>
    <x v="0"/>
    <x v="13"/>
    <n v="599"/>
    <n v="2995"/>
    <x v="1"/>
    <d v="2025-04-12T00:00:00"/>
    <x v="1"/>
    <s v="No"/>
    <s v="No"/>
    <x v="0"/>
    <x v="0"/>
    <s v="No"/>
  </r>
  <r>
    <s v="C2741"/>
    <s v="Neha Kumar"/>
    <s v="Female"/>
    <n v="52"/>
    <x v="5"/>
    <x v="1"/>
    <x v="8"/>
    <n v="549"/>
    <n v="8235"/>
    <x v="2"/>
    <d v="2024-06-30T00:00:00"/>
    <x v="0"/>
    <s v="No"/>
    <s v="No"/>
    <x v="0"/>
    <x v="0"/>
    <s v="No"/>
  </r>
  <r>
    <s v="C2742"/>
    <s v="Isha Nair"/>
    <s v="Female"/>
    <n v="41"/>
    <x v="9"/>
    <x v="1"/>
    <x v="9"/>
    <n v="749"/>
    <n v="17976"/>
    <x v="1"/>
    <m/>
    <x v="1"/>
    <s v="No"/>
    <s v="No"/>
    <x v="0"/>
    <x v="0"/>
    <s v="Date missing"/>
  </r>
  <r>
    <s v="C2743"/>
    <s v="Rahul Rao"/>
    <s v="Male"/>
    <n v="54"/>
    <x v="12"/>
    <x v="2"/>
    <x v="49"/>
    <n v="549"/>
    <n v="38979"/>
    <x v="2"/>
    <m/>
    <x v="0"/>
    <s v="No"/>
    <s v="No"/>
    <x v="0"/>
    <x v="0"/>
    <s v="Date missing"/>
  </r>
  <r>
    <s v="C2744"/>
    <s v="Kavita Verma"/>
    <s v="Female"/>
    <n v="67"/>
    <x v="14"/>
    <x v="2"/>
    <x v="72"/>
    <n v="399"/>
    <n v="25935"/>
    <x v="2"/>
    <d v="2020-05-21T00:00:00"/>
    <x v="0"/>
    <s v="No"/>
    <s v="No"/>
    <x v="0"/>
    <x v="1"/>
    <s v="No"/>
  </r>
  <r>
    <s v="C2745"/>
    <s v="Rajesh Iyer"/>
    <s v="Male"/>
    <n v="37"/>
    <x v="11"/>
    <x v="1"/>
    <x v="8"/>
    <n v="499"/>
    <n v="7485"/>
    <x v="2"/>
    <d v="2024-06-23T00:00:00"/>
    <x v="0"/>
    <s v="No"/>
    <s v="No"/>
    <x v="0"/>
    <x v="0"/>
    <s v="No"/>
  </r>
  <r>
    <s v="C2746"/>
    <s v="Nikhil Joshi"/>
    <s v="Male"/>
    <n v="18"/>
    <x v="0"/>
    <x v="0"/>
    <x v="21"/>
    <n v="599"/>
    <n v="599"/>
    <x v="1"/>
    <d v="2025-08-19T00:00:00"/>
    <x v="0"/>
    <s v="No"/>
    <s v="No"/>
    <x v="0"/>
    <x v="0"/>
    <s v="No"/>
  </r>
  <r>
    <s v="C2747"/>
    <s v="Pooja Rao"/>
    <s v="Female"/>
    <n v="29"/>
    <x v="5"/>
    <x v="0"/>
    <x v="15"/>
    <n v="899"/>
    <n v="5394"/>
    <x v="0"/>
    <d v="2025-03-14T00:00:00"/>
    <x v="0"/>
    <s v="No"/>
    <s v="No"/>
    <x v="0"/>
    <x v="0"/>
    <s v="No"/>
  </r>
  <r>
    <s v="C2748"/>
    <s v="Manish Nair"/>
    <s v="Male"/>
    <n v="37"/>
    <x v="2"/>
    <x v="2"/>
    <x v="13"/>
    <n v="799"/>
    <n v="3995"/>
    <x v="1"/>
    <d v="2025-04-30T00:00:00"/>
    <x v="0"/>
    <s v="No"/>
    <s v="No"/>
    <x v="0"/>
    <x v="0"/>
    <s v="No"/>
  </r>
  <r>
    <s v="C2749"/>
    <s v="Ritu Sharma"/>
    <s v="Female"/>
    <n v="58"/>
    <x v="13"/>
    <x v="2"/>
    <x v="62"/>
    <n v="1049"/>
    <n v="55597"/>
    <x v="0"/>
    <d v="2021-04-24T00:00:00"/>
    <x v="1"/>
    <s v="No"/>
    <s v="No"/>
    <x v="0"/>
    <x v="0"/>
    <s v="No"/>
  </r>
  <r>
    <s v="C2750"/>
    <s v="Vikram Rao"/>
    <s v="Male"/>
    <n v="43"/>
    <x v="7"/>
    <x v="0"/>
    <x v="21"/>
    <n v="699"/>
    <n v="699"/>
    <x v="1"/>
    <d v="2025-07-31T00:00:00"/>
    <x v="0"/>
    <s v="No"/>
    <s v="No"/>
    <x v="0"/>
    <x v="0"/>
    <s v="No"/>
  </r>
  <r>
    <s v="C2751"/>
    <s v="Swati Bose"/>
    <s v="Female"/>
    <n v="53"/>
    <x v="13"/>
    <x v="2"/>
    <x v="9"/>
    <n v="999"/>
    <n v="23976"/>
    <x v="0"/>
    <d v="2023-09-15T00:00:00"/>
    <x v="0"/>
    <s v="No"/>
    <s v="No"/>
    <x v="0"/>
    <x v="0"/>
    <s v="No"/>
  </r>
  <r>
    <s v="C2752"/>
    <s v="Aditi Gupta"/>
    <s v="Female"/>
    <n v="43"/>
    <x v="3"/>
    <x v="0"/>
    <x v="33"/>
    <n v="399"/>
    <n v="5586"/>
    <x v="2"/>
    <d v="2024-07-07T00:00:00"/>
    <x v="0"/>
    <s v="No"/>
    <s v="No"/>
    <x v="0"/>
    <x v="0"/>
    <s v="No"/>
  </r>
  <r>
    <s v="C2753"/>
    <s v="Ankit Patel"/>
    <s v="Male"/>
    <n v="40"/>
    <x v="1"/>
    <x v="0"/>
    <x v="8"/>
    <n v="599"/>
    <n v="8985"/>
    <x v="1"/>
    <d v="2024-06-06T00:00:00"/>
    <x v="1"/>
    <s v="No"/>
    <s v="No"/>
    <x v="0"/>
    <x v="1"/>
    <s v="No"/>
  </r>
  <r>
    <s v="C2754"/>
    <s v="Anjali Kumar"/>
    <s v="Female"/>
    <n v="69"/>
    <x v="2"/>
    <x v="2"/>
    <x v="49"/>
    <n v="599"/>
    <n v="42529"/>
    <x v="1"/>
    <d v="2019-11-24T00:00:00"/>
    <x v="0"/>
    <s v="No"/>
    <s v="No"/>
    <x v="0"/>
    <x v="0"/>
    <s v="No"/>
  </r>
  <r>
    <s v="C2755"/>
    <s v="Pankaj Agarwal"/>
    <s v="Male"/>
    <n v="60"/>
    <x v="8"/>
    <x v="0"/>
    <x v="10"/>
    <n v="549"/>
    <n v="9333"/>
    <x v="2"/>
    <d v="2024-04-21T00:00:00"/>
    <x v="0"/>
    <s v="No"/>
    <s v="No"/>
    <x v="0"/>
    <x v="0"/>
    <s v="No"/>
  </r>
  <r>
    <s v="C2756"/>
    <s v="Aman Bose"/>
    <s v="Male"/>
    <n v="24"/>
    <x v="12"/>
    <x v="0"/>
    <x v="33"/>
    <n v="649"/>
    <n v="9086"/>
    <x v="1"/>
    <d v="2024-07-18T00:00:00"/>
    <x v="1"/>
    <s v="No"/>
    <s v="No"/>
    <x v="0"/>
    <x v="0"/>
    <s v="No"/>
  </r>
  <r>
    <s v="C2757"/>
    <s v="Rajesh Joshi"/>
    <s v="Unknown"/>
    <n v="54"/>
    <x v="14"/>
    <x v="0"/>
    <x v="15"/>
    <n v="349"/>
    <n v="2094"/>
    <x v="2"/>
    <d v="2025-03-16T00:00:00"/>
    <x v="1"/>
    <s v="No"/>
    <s v="No"/>
    <x v="0"/>
    <x v="0"/>
    <s v="No"/>
  </r>
  <r>
    <s v="C2758"/>
    <s v="Amit Joshi"/>
    <s v="Male"/>
    <n v="33"/>
    <x v="7"/>
    <x v="0"/>
    <x v="11"/>
    <n v="349"/>
    <n v="6980"/>
    <x v="2"/>
    <d v="2024-01-25T00:00:00"/>
    <x v="0"/>
    <s v="No"/>
    <s v="No"/>
    <x v="0"/>
    <x v="0"/>
    <s v="No"/>
  </r>
  <r>
    <s v="C2759"/>
    <s v="Mohit Bose"/>
    <s v="Male"/>
    <n v="48"/>
    <x v="8"/>
    <x v="2"/>
    <x v="64"/>
    <n v="899"/>
    <n v="35960"/>
    <x v="1"/>
    <d v="2022-06-12T00:00:00"/>
    <x v="0"/>
    <s v="No"/>
    <s v="No"/>
    <x v="0"/>
    <x v="0"/>
    <s v="No"/>
  </r>
  <r>
    <s v="C2760"/>
    <s v="Gaurav Gupta"/>
    <s v="Male"/>
    <n v="18"/>
    <x v="3"/>
    <x v="0"/>
    <x v="4"/>
    <n v="799"/>
    <n v="7990"/>
    <x v="1"/>
    <d v="2024-11-28T00:00:00"/>
    <x v="1"/>
    <s v="No"/>
    <s v="No"/>
    <x v="0"/>
    <x v="0"/>
    <s v="No"/>
  </r>
  <r>
    <s v="C2761"/>
    <s v="Suresh Kumar"/>
    <s v="Male"/>
    <n v="35"/>
    <x v="5"/>
    <x v="0"/>
    <x v="27"/>
    <n v="849"/>
    <n v="5943"/>
    <x v="1"/>
    <m/>
    <x v="0"/>
    <s v="No"/>
    <s v="No"/>
    <x v="0"/>
    <x v="0"/>
    <s v="Date missing"/>
  </r>
  <r>
    <s v="C2762"/>
    <s v="Isha Bose"/>
    <s v="Female"/>
    <n v="56"/>
    <x v="14"/>
    <x v="0"/>
    <x v="13"/>
    <n v="849"/>
    <n v="4245"/>
    <x v="1"/>
    <d v="2025-04-11T00:00:00"/>
    <x v="1"/>
    <s v="No"/>
    <s v="No"/>
    <x v="0"/>
    <x v="0"/>
    <s v="No"/>
  </r>
  <r>
    <s v="C2763"/>
    <s v="Amit Malhotra"/>
    <s v="Male"/>
    <n v="63"/>
    <x v="14"/>
    <x v="0"/>
    <x v="13"/>
    <n v="499"/>
    <n v="2495"/>
    <x v="2"/>
    <d v="2025-04-02T00:00:00"/>
    <x v="1"/>
    <s v="No"/>
    <s v="No"/>
    <x v="1"/>
    <x v="0"/>
    <s v="No"/>
  </r>
  <r>
    <s v="C2764"/>
    <s v="Karan Nair"/>
    <s v="Male"/>
    <n v="41"/>
    <x v="14"/>
    <x v="0"/>
    <x v="13"/>
    <n v="499"/>
    <n v="2495"/>
    <x v="2"/>
    <d v="2025-04-30T00:00:00"/>
    <x v="1"/>
    <s v="No"/>
    <s v="No"/>
    <x v="0"/>
    <x v="0"/>
    <s v="No"/>
  </r>
  <r>
    <s v="C2765"/>
    <s v="Kavita Rao"/>
    <s v="Female"/>
    <n v="30"/>
    <x v="3"/>
    <x v="1"/>
    <x v="23"/>
    <n v="549"/>
    <n v="12627"/>
    <x v="3"/>
    <d v="2023-10-13T00:00:00"/>
    <x v="0"/>
    <s v="No"/>
    <s v="No"/>
    <x v="1"/>
    <x v="0"/>
    <s v="No"/>
  </r>
  <r>
    <s v="C2766"/>
    <s v="Shreya Kapoor"/>
    <s v="Female"/>
    <n v="40"/>
    <x v="12"/>
    <x v="2"/>
    <x v="54"/>
    <n v="649"/>
    <n v="44781"/>
    <x v="1"/>
    <d v="2020-01-08T00:00:00"/>
    <x v="0"/>
    <s v="No"/>
    <s v="No"/>
    <x v="0"/>
    <x v="0"/>
    <s v="No"/>
  </r>
  <r>
    <s v="C2767"/>
    <s v="Pankaj Kumar"/>
    <s v="Male"/>
    <n v="44"/>
    <x v="9"/>
    <x v="2"/>
    <x v="4"/>
    <n v="1049"/>
    <n v="10490"/>
    <x v="0"/>
    <d v="2024-12-01T00:00:00"/>
    <x v="0"/>
    <s v="No"/>
    <s v="No"/>
    <x v="0"/>
    <x v="0"/>
    <s v="No"/>
  </r>
  <r>
    <s v="C2768"/>
    <s v="Rajesh Agarwal"/>
    <s v="Male"/>
    <n v="51"/>
    <x v="0"/>
    <x v="0"/>
    <x v="35"/>
    <n v="1299"/>
    <n v="11691"/>
    <x v="0"/>
    <d v="2024-12-30T00:00:00"/>
    <x v="0"/>
    <s v="No"/>
    <s v="No"/>
    <x v="0"/>
    <x v="0"/>
    <s v="No"/>
  </r>
  <r>
    <s v="C2769"/>
    <s v="Divya Gupta"/>
    <s v="Female"/>
    <n v="27"/>
    <x v="11"/>
    <x v="0"/>
    <x v="32"/>
    <n v="349"/>
    <n v="1396"/>
    <x v="2"/>
    <d v="2025-05-20T00:00:00"/>
    <x v="1"/>
    <s v="No"/>
    <s v="No"/>
    <x v="0"/>
    <x v="0"/>
    <s v="No"/>
  </r>
  <r>
    <s v="C2770"/>
    <s v="Sonal Patel"/>
    <s v="Female"/>
    <n v="71"/>
    <x v="12"/>
    <x v="2"/>
    <x v="31"/>
    <n v="499"/>
    <n v="29441"/>
    <x v="2"/>
    <d v="2020-11-11T00:00:00"/>
    <x v="0"/>
    <s v="No"/>
    <s v="No"/>
    <x v="0"/>
    <x v="0"/>
    <s v="No"/>
  </r>
  <r>
    <s v="C2771"/>
    <s v="Vikram Bose"/>
    <s v="Male"/>
    <n v="47"/>
    <x v="13"/>
    <x v="0"/>
    <x v="4"/>
    <n v="1049"/>
    <n v="10490"/>
    <x v="0"/>
    <d v="2024-12-01T00:00:00"/>
    <x v="1"/>
    <s v="Yes"/>
    <s v="No"/>
    <x v="0"/>
    <x v="0"/>
    <s v="No"/>
  </r>
  <r>
    <s v="C2772"/>
    <s v="Nisha Rao"/>
    <s v="Female"/>
    <n v="30"/>
    <x v="9"/>
    <x v="0"/>
    <x v="23"/>
    <n v="1149"/>
    <n v="26427"/>
    <x v="0"/>
    <d v="2023-10-30T00:00:00"/>
    <x v="1"/>
    <s v="No"/>
    <s v="No"/>
    <x v="0"/>
    <x v="0"/>
    <s v="No"/>
  </r>
  <r>
    <s v="C2773"/>
    <s v="Meera Kapoor"/>
    <s v="Female"/>
    <n v="30"/>
    <x v="8"/>
    <x v="2"/>
    <x v="55"/>
    <n v="899"/>
    <n v="50344"/>
    <x v="0"/>
    <d v="2021-02-17T00:00:00"/>
    <x v="0"/>
    <s v="No"/>
    <s v="No"/>
    <x v="0"/>
    <x v="0"/>
    <s v="No"/>
  </r>
  <r>
    <s v="C2774"/>
    <s v="Deepika Tiwari"/>
    <s v="Female"/>
    <n v="60"/>
    <x v="8"/>
    <x v="2"/>
    <x v="5"/>
    <n v="1049"/>
    <n v="75528"/>
    <x v="0"/>
    <d v="2019-10-27T00:00:00"/>
    <x v="0"/>
    <s v="No"/>
    <s v="No"/>
    <x v="0"/>
    <x v="0"/>
    <s v="No"/>
  </r>
  <r>
    <s v="C2775"/>
    <s v="Sachin Agarwal"/>
    <s v="Male"/>
    <n v="49"/>
    <x v="11"/>
    <x v="2"/>
    <x v="62"/>
    <n v="1199"/>
    <n v="63547"/>
    <x v="0"/>
    <d v="2021-04-23T00:00:00"/>
    <x v="0"/>
    <s v="No"/>
    <s v="No"/>
    <x v="0"/>
    <x v="0"/>
    <s v="No"/>
  </r>
  <r>
    <s v="C2776"/>
    <s v="Pankaj Bose"/>
    <s v="Male"/>
    <n v="61"/>
    <x v="12"/>
    <x v="0"/>
    <x v="2"/>
    <n v="899"/>
    <n v="9889"/>
    <x v="1"/>
    <d v="2024-10-24T00:00:00"/>
    <x v="0"/>
    <s v="No"/>
    <s v="No"/>
    <x v="0"/>
    <x v="0"/>
    <s v="No"/>
  </r>
  <r>
    <s v="C2777"/>
    <s v="Meera Patel"/>
    <s v="Female"/>
    <n v="60"/>
    <x v="3"/>
    <x v="0"/>
    <x v="28"/>
    <n v="699"/>
    <n v="5592"/>
    <x v="1"/>
    <d v="2025-01-24T00:00:00"/>
    <x v="0"/>
    <s v="No"/>
    <s v="No"/>
    <x v="0"/>
    <x v="0"/>
    <s v="No"/>
  </r>
  <r>
    <s v="C2778"/>
    <s v="Vikram Pandey"/>
    <s v="Male"/>
    <n v="71"/>
    <x v="2"/>
    <x v="2"/>
    <x v="38"/>
    <n v="1049"/>
    <n v="54548"/>
    <x v="0"/>
    <d v="2021-06-07T00:00:00"/>
    <x v="0"/>
    <s v="No"/>
    <s v="No"/>
    <x v="0"/>
    <x v="1"/>
    <s v="No"/>
  </r>
  <r>
    <s v="C2779"/>
    <s v="Tanvi Saxena"/>
    <s v="Female"/>
    <n v="35"/>
    <x v="7"/>
    <x v="0"/>
    <x v="6"/>
    <n v="1199"/>
    <n v="22781"/>
    <x v="0"/>
    <d v="2024-02-08T00:00:00"/>
    <x v="0"/>
    <s v="No"/>
    <s v="No"/>
    <x v="0"/>
    <x v="0"/>
    <s v="No"/>
  </r>
  <r>
    <s v="C2780"/>
    <s v="Deepika Patel"/>
    <s v="Female"/>
    <n v="33"/>
    <x v="12"/>
    <x v="0"/>
    <x v="35"/>
    <n v="1099"/>
    <n v="9891"/>
    <x v="0"/>
    <d v="2024-12-20T00:00:00"/>
    <x v="0"/>
    <s v="No"/>
    <s v="No"/>
    <x v="0"/>
    <x v="1"/>
    <s v="No"/>
  </r>
  <r>
    <s v="C2781"/>
    <s v="Vivek Mehta"/>
    <s v="Male"/>
    <n v="75"/>
    <x v="5"/>
    <x v="0"/>
    <x v="4"/>
    <n v="699"/>
    <n v="6990"/>
    <x v="1"/>
    <d v="2024-12-02T00:00:00"/>
    <x v="0"/>
    <s v="No"/>
    <s v="No"/>
    <x v="0"/>
    <x v="0"/>
    <s v="No"/>
  </r>
  <r>
    <s v="C2782"/>
    <s v="Riya Iyer"/>
    <s v="Female"/>
    <n v="50"/>
    <x v="4"/>
    <x v="2"/>
    <x v="38"/>
    <n v="799"/>
    <n v="41548"/>
    <x v="1"/>
    <d v="2021-06-10T00:00:00"/>
    <x v="0"/>
    <s v="No"/>
    <s v="No"/>
    <x v="0"/>
    <x v="1"/>
    <s v="No"/>
  </r>
  <r>
    <s v="C2783"/>
    <s v="Divya Iyer"/>
    <s v="Female"/>
    <n v="72"/>
    <x v="7"/>
    <x v="0"/>
    <x v="28"/>
    <n v="449"/>
    <n v="3592"/>
    <x v="2"/>
    <d v="2025-01-20T00:00:00"/>
    <x v="1"/>
    <s v="No"/>
    <s v="No"/>
    <x v="0"/>
    <x v="0"/>
    <s v="No"/>
  </r>
  <r>
    <s v="C2784"/>
    <s v="Suresh Gupta"/>
    <s v="Male"/>
    <n v="42"/>
    <x v="4"/>
    <x v="2"/>
    <x v="29"/>
    <n v="849"/>
    <n v="28866"/>
    <x v="1"/>
    <d v="2022-11-18T00:00:00"/>
    <x v="0"/>
    <s v="No"/>
    <s v="No"/>
    <x v="0"/>
    <x v="0"/>
    <s v="No"/>
  </r>
  <r>
    <s v="C2785"/>
    <s v="Vivek Reddy"/>
    <s v="Male"/>
    <n v="37"/>
    <x v="13"/>
    <x v="0"/>
    <x v="23"/>
    <n v="899"/>
    <n v="20677"/>
    <x v="1"/>
    <m/>
    <x v="2"/>
    <s v="No"/>
    <s v="No"/>
    <x v="0"/>
    <x v="0"/>
    <s v="Date missing; Churn unknown"/>
  </r>
  <r>
    <s v="C2786"/>
    <s v="Ritu Reddy"/>
    <s v="Female"/>
    <n v="61"/>
    <x v="3"/>
    <x v="0"/>
    <x v="9"/>
    <n v="1099"/>
    <n v="26376"/>
    <x v="0"/>
    <d v="2023-09-10T00:00:00"/>
    <x v="0"/>
    <s v="No"/>
    <s v="No"/>
    <x v="0"/>
    <x v="0"/>
    <s v="No"/>
  </r>
  <r>
    <s v="C2787"/>
    <s v="Rohit Reddy"/>
    <s v="Male"/>
    <n v="23"/>
    <x v="2"/>
    <x v="1"/>
    <x v="37"/>
    <n v="1049"/>
    <n v="37764"/>
    <x v="0"/>
    <d v="2022-09-18T00:00:00"/>
    <x v="0"/>
    <s v="No"/>
    <s v="No"/>
    <x v="0"/>
    <x v="0"/>
    <s v="No"/>
  </r>
  <r>
    <s v="C2788"/>
    <s v="Meera Tiwari"/>
    <s v="Female"/>
    <n v="74"/>
    <x v="1"/>
    <x v="1"/>
    <x v="47"/>
    <n v="599"/>
    <n v="19168"/>
    <x v="1"/>
    <d v="2023-02-06T00:00:00"/>
    <x v="0"/>
    <s v="No"/>
    <s v="No"/>
    <x v="0"/>
    <x v="0"/>
    <s v="No"/>
  </r>
  <r>
    <s v="C2789"/>
    <s v="Mohit Tiwari"/>
    <s v="Male"/>
    <n v="68"/>
    <x v="2"/>
    <x v="2"/>
    <x v="39"/>
    <n v="499"/>
    <n v="14471"/>
    <x v="2"/>
    <d v="2023-04-29T00:00:00"/>
    <x v="0"/>
    <s v="No"/>
    <s v="No"/>
    <x v="0"/>
    <x v="0"/>
    <s v="No"/>
  </r>
  <r>
    <s v="C2790"/>
    <s v="Swati Tiwari"/>
    <s v="Female"/>
    <n v="30"/>
    <x v="0"/>
    <x v="0"/>
    <x v="22"/>
    <n v="849"/>
    <n v="1698"/>
    <x v="1"/>
    <d v="2025-07-10T00:00:00"/>
    <x v="0"/>
    <s v="No"/>
    <s v="No"/>
    <x v="0"/>
    <x v="0"/>
    <s v="No"/>
  </r>
  <r>
    <s v="C2791"/>
    <s v="Pooja Kapoor"/>
    <s v="Female"/>
    <n v="52"/>
    <x v="4"/>
    <x v="0"/>
    <x v="2"/>
    <n v="349"/>
    <n v="3839"/>
    <x v="2"/>
    <d v="2024-10-04T00:00:00"/>
    <x v="1"/>
    <s v="No"/>
    <s v="No"/>
    <x v="0"/>
    <x v="0"/>
    <s v="No"/>
  </r>
  <r>
    <s v="C2792"/>
    <s v="Gaurav Saxena"/>
    <s v="Male"/>
    <n v="29"/>
    <x v="14"/>
    <x v="0"/>
    <x v="2"/>
    <n v="749"/>
    <n v="8239"/>
    <x v="1"/>
    <d v="2024-11-02T00:00:00"/>
    <x v="1"/>
    <s v="No"/>
    <s v="No"/>
    <x v="0"/>
    <x v="0"/>
    <s v="No"/>
  </r>
  <r>
    <s v="C2793"/>
    <s v="Ritu Bose"/>
    <s v="Female"/>
    <n v="62"/>
    <x v="13"/>
    <x v="0"/>
    <x v="17"/>
    <n v="349"/>
    <n v="4537"/>
    <x v="2"/>
    <d v="2024-08-29T00:00:00"/>
    <x v="0"/>
    <s v="No"/>
    <s v="No"/>
    <x v="0"/>
    <x v="0"/>
    <s v="No"/>
  </r>
  <r>
    <s v="C2794"/>
    <s v="Sanjay Reddy"/>
    <s v="Male"/>
    <n v="30"/>
    <x v="12"/>
    <x v="1"/>
    <x v="4"/>
    <n v="1299"/>
    <n v="12990"/>
    <x v="0"/>
    <d v="2024-11-09T00:00:00"/>
    <x v="1"/>
    <s v="No"/>
    <s v="No"/>
    <x v="0"/>
    <x v="0"/>
    <s v="No"/>
  </r>
  <r>
    <s v="C2795"/>
    <s v="Pankaj Chopra"/>
    <s v="Male"/>
    <n v="29"/>
    <x v="11"/>
    <x v="1"/>
    <x v="36"/>
    <n v="449"/>
    <n v="7184"/>
    <x v="2"/>
    <d v="2024-05-25T00:00:00"/>
    <x v="0"/>
    <s v="No"/>
    <s v="No"/>
    <x v="0"/>
    <x v="0"/>
    <s v="No"/>
  </r>
  <r>
    <s v="C2796"/>
    <s v="Manish Singh"/>
    <s v="Male"/>
    <n v="28"/>
    <x v="8"/>
    <x v="1"/>
    <x v="39"/>
    <n v="1199"/>
    <n v="34771"/>
    <x v="0"/>
    <d v="2023-04-26T00:00:00"/>
    <x v="1"/>
    <s v="No"/>
    <s v="No"/>
    <x v="0"/>
    <x v="0"/>
    <s v="No"/>
  </r>
  <r>
    <s v="C2797"/>
    <s v="Rahul Iyer"/>
    <s v="Male"/>
    <n v="41"/>
    <x v="6"/>
    <x v="0"/>
    <x v="28"/>
    <n v="1049"/>
    <n v="8392"/>
    <x v="0"/>
    <d v="2025-01-18T00:00:00"/>
    <x v="1"/>
    <s v="No"/>
    <s v="No"/>
    <x v="0"/>
    <x v="0"/>
    <s v="No"/>
  </r>
  <r>
    <s v="C2798"/>
    <s v="Neha Jain"/>
    <s v="Female"/>
    <n v="40"/>
    <x v="3"/>
    <x v="0"/>
    <x v="22"/>
    <n v="799"/>
    <n v="1598"/>
    <x v="1"/>
    <d v="2025-07-18T00:00:00"/>
    <x v="1"/>
    <s v="No"/>
    <s v="No"/>
    <x v="0"/>
    <x v="0"/>
    <s v="No"/>
  </r>
  <r>
    <s v="C2799"/>
    <s v="Anjali Jain"/>
    <s v="Female"/>
    <n v="69"/>
    <x v="8"/>
    <x v="2"/>
    <x v="13"/>
    <n v="599"/>
    <n v="2995"/>
    <x v="1"/>
    <d v="2025-04-19T00:00:00"/>
    <x v="1"/>
    <s v="No"/>
    <s v="Yes"/>
    <x v="0"/>
    <x v="0"/>
    <s v="No"/>
  </r>
  <r>
    <s v="C2800"/>
    <s v="Aman Chopra"/>
    <s v="Male"/>
    <n v="72"/>
    <x v="6"/>
    <x v="2"/>
    <x v="5"/>
    <n v="849"/>
    <n v="61128"/>
    <x v="1"/>
    <d v="2019-10-03T00:00:00"/>
    <x v="0"/>
    <s v="No"/>
    <s v="No"/>
    <x v="0"/>
    <x v="0"/>
    <s v="No"/>
  </r>
  <r>
    <s v="C2801"/>
    <s v="Nisha Pandey"/>
    <s v="Female"/>
    <n v="66"/>
    <x v="5"/>
    <x v="0"/>
    <x v="17"/>
    <n v="749"/>
    <n v="9737"/>
    <x v="1"/>
    <d v="2024-08-26T00:00:00"/>
    <x v="0"/>
    <s v="No"/>
    <s v="No"/>
    <x v="1"/>
    <x v="0"/>
    <s v="No"/>
  </r>
  <r>
    <s v="C2802"/>
    <s v="Rohit Mehta"/>
    <s v="Male"/>
    <n v="31"/>
    <x v="14"/>
    <x v="2"/>
    <x v="26"/>
    <n v="849"/>
    <n v="17829"/>
    <x v="1"/>
    <d v="2023-12-14T00:00:00"/>
    <x v="0"/>
    <s v="No"/>
    <s v="No"/>
    <x v="0"/>
    <x v="0"/>
    <s v="No"/>
  </r>
  <r>
    <s v="C2803"/>
    <s v="Kavita Singh"/>
    <s v="Female"/>
    <n v="40"/>
    <x v="1"/>
    <x v="2"/>
    <x v="11"/>
    <n v="399"/>
    <n v="7980"/>
    <x v="2"/>
    <d v="2024-01-26T00:00:00"/>
    <x v="0"/>
    <s v="No"/>
    <s v="No"/>
    <x v="1"/>
    <x v="0"/>
    <s v="No"/>
  </r>
  <r>
    <s v="C2804"/>
    <s v="Sneha Rao"/>
    <s v="Female"/>
    <n v="29"/>
    <x v="6"/>
    <x v="2"/>
    <x v="69"/>
    <n v="349"/>
    <n v="15356"/>
    <x v="2"/>
    <d v="2022-02-09T00:00:00"/>
    <x v="0"/>
    <s v="No"/>
    <s v="No"/>
    <x v="0"/>
    <x v="0"/>
    <s v="No"/>
  </r>
  <r>
    <s v="C2805"/>
    <s v="Ritu Kumar"/>
    <s v="Female"/>
    <n v="72"/>
    <x v="9"/>
    <x v="0"/>
    <x v="17"/>
    <n v="849"/>
    <n v="11037"/>
    <x v="1"/>
    <d v="2024-08-08T00:00:00"/>
    <x v="1"/>
    <s v="No"/>
    <s v="Yes"/>
    <x v="0"/>
    <x v="0"/>
    <s v="No"/>
  </r>
  <r>
    <s v="C2806"/>
    <s v="Rahul Desai"/>
    <s v="Male"/>
    <n v="60"/>
    <x v="2"/>
    <x v="0"/>
    <x v="4"/>
    <n v="899"/>
    <n v="8990"/>
    <x v="0"/>
    <d v="2024-12-02T00:00:00"/>
    <x v="1"/>
    <s v="No"/>
    <s v="No"/>
    <x v="0"/>
    <x v="0"/>
    <s v="No"/>
  </r>
  <r>
    <s v="C2807"/>
    <s v="Manish Rao"/>
    <s v="Unknown"/>
    <n v="29"/>
    <x v="12"/>
    <x v="1"/>
    <x v="6"/>
    <n v="1099"/>
    <n v="20881"/>
    <x v="3"/>
    <d v="2024-02-13T00:00:00"/>
    <x v="0"/>
    <s v="No"/>
    <s v="No"/>
    <x v="0"/>
    <x v="0"/>
    <s v="No"/>
  </r>
  <r>
    <s v="C2808"/>
    <s v="Isha Rao"/>
    <s v="Female"/>
    <n v="22"/>
    <x v="2"/>
    <x v="1"/>
    <x v="24"/>
    <n v="1049"/>
    <n v="3147"/>
    <x v="0"/>
    <d v="2025-06-05T00:00:00"/>
    <x v="0"/>
    <s v="No"/>
    <s v="No"/>
    <x v="0"/>
    <x v="1"/>
    <s v="No"/>
  </r>
  <r>
    <s v="C2809"/>
    <s v="Vikram Patel"/>
    <s v="Male"/>
    <n v="23"/>
    <x v="12"/>
    <x v="2"/>
    <x v="4"/>
    <n v="799"/>
    <n v="7990"/>
    <x v="3"/>
    <d v="2024-11-24T00:00:00"/>
    <x v="0"/>
    <s v="No"/>
    <s v="No"/>
    <x v="0"/>
    <x v="0"/>
    <s v="No"/>
  </r>
  <r>
    <s v="C2810"/>
    <s v="Rajesh Saxena"/>
    <s v="Male"/>
    <n v="23"/>
    <x v="11"/>
    <x v="1"/>
    <x v="33"/>
    <n v="1049"/>
    <n v="14686"/>
    <x v="0"/>
    <d v="2024-07-24T00:00:00"/>
    <x v="0"/>
    <s v="No"/>
    <s v="No"/>
    <x v="0"/>
    <x v="0"/>
    <s v="No"/>
  </r>
  <r>
    <s v="C2811"/>
    <s v="Amit Desai"/>
    <s v="Male"/>
    <n v="69"/>
    <x v="3"/>
    <x v="2"/>
    <x v="0"/>
    <n v="749"/>
    <n v="16478"/>
    <x v="1"/>
    <d v="2023-11-11T00:00:00"/>
    <x v="0"/>
    <s v="No"/>
    <s v="No"/>
    <x v="0"/>
    <x v="0"/>
    <s v="No"/>
  </r>
  <r>
    <s v="C2812"/>
    <s v="Anjali Singh"/>
    <s v="Female"/>
    <n v="64"/>
    <x v="9"/>
    <x v="0"/>
    <x v="27"/>
    <n v="799"/>
    <n v="5593"/>
    <x v="1"/>
    <m/>
    <x v="0"/>
    <s v="No"/>
    <s v="No"/>
    <x v="0"/>
    <x v="0"/>
    <s v="Date missing"/>
  </r>
  <r>
    <s v="C2813"/>
    <s v="Shreya Mishra"/>
    <s v="Female"/>
    <n v="54"/>
    <x v="9"/>
    <x v="0"/>
    <x v="10"/>
    <n v="749"/>
    <n v="12733"/>
    <x v="1"/>
    <d v="2024-04-21T00:00:00"/>
    <x v="1"/>
    <s v="No"/>
    <s v="No"/>
    <x v="0"/>
    <x v="0"/>
    <s v="No"/>
  </r>
  <r>
    <s v="C2814"/>
    <s v="Ritu Kumar"/>
    <s v="Female"/>
    <n v="69"/>
    <x v="11"/>
    <x v="2"/>
    <x v="71"/>
    <n v="849"/>
    <n v="48393"/>
    <x v="1"/>
    <d v="2021-01-12T00:00:00"/>
    <x v="0"/>
    <s v="No"/>
    <s v="No"/>
    <x v="0"/>
    <x v="0"/>
    <s v="No"/>
  </r>
  <r>
    <s v="C2815"/>
    <s v="Sonal Tiwari"/>
    <s v="Female"/>
    <n v="40"/>
    <x v="0"/>
    <x v="2"/>
    <x v="64"/>
    <n v="549"/>
    <n v="21960"/>
    <x v="2"/>
    <d v="2022-05-23T00:00:00"/>
    <x v="0"/>
    <s v="No"/>
    <s v="No"/>
    <x v="0"/>
    <x v="0"/>
    <s v="No"/>
  </r>
  <r>
    <s v="C2816"/>
    <s v="Swati Iyer"/>
    <s v="Female"/>
    <n v="30"/>
    <x v="3"/>
    <x v="2"/>
    <x v="65"/>
    <n v="999"/>
    <n v="42957"/>
    <x v="0"/>
    <d v="2022-03-13T00:00:00"/>
    <x v="0"/>
    <s v="No"/>
    <s v="No"/>
    <x v="0"/>
    <x v="0"/>
    <s v="No"/>
  </r>
  <r>
    <s v="C2817"/>
    <s v="Rajesh Kumar"/>
    <s v="Male"/>
    <n v="40"/>
    <x v="6"/>
    <x v="0"/>
    <x v="17"/>
    <n v="699"/>
    <n v="9087"/>
    <x v="1"/>
    <d v="2024-08-09T00:00:00"/>
    <x v="0"/>
    <s v="No"/>
    <s v="No"/>
    <x v="0"/>
    <x v="1"/>
    <s v="No"/>
  </r>
  <r>
    <s v="C2818"/>
    <s v="Komal Sharma"/>
    <s v="Female"/>
    <n v="63"/>
    <x v="3"/>
    <x v="0"/>
    <x v="30"/>
    <n v="1099"/>
    <n v="19782"/>
    <x v="0"/>
    <d v="2024-03-16T00:00:00"/>
    <x v="1"/>
    <s v="No"/>
    <s v="No"/>
    <x v="0"/>
    <x v="0"/>
    <s v="No"/>
  </r>
  <r>
    <s v="C2819"/>
    <s v="Komal Rao"/>
    <s v="Female"/>
    <n v="37"/>
    <x v="11"/>
    <x v="0"/>
    <x v="4"/>
    <n v="1099"/>
    <n v="10990"/>
    <x v="0"/>
    <d v="2024-11-21T00:00:00"/>
    <x v="1"/>
    <s v="No"/>
    <s v="No"/>
    <x v="0"/>
    <x v="0"/>
    <s v="No"/>
  </r>
  <r>
    <s v="C2820"/>
    <s v="Sneha Malhotra"/>
    <s v="Female"/>
    <n v="72"/>
    <x v="2"/>
    <x v="0"/>
    <x v="16"/>
    <n v="1199"/>
    <n v="14388"/>
    <x v="0"/>
    <d v="2024-10-02T00:00:00"/>
    <x v="0"/>
    <s v="No"/>
    <s v="No"/>
    <x v="0"/>
    <x v="0"/>
    <s v="No"/>
  </r>
  <r>
    <s v="C2821"/>
    <s v="Kavita Bose"/>
    <s v="Female"/>
    <n v="45"/>
    <x v="11"/>
    <x v="0"/>
    <x v="12"/>
    <n v="1199"/>
    <m/>
    <x v="0"/>
    <d v="2025-06-26T00:00:00"/>
    <x v="0"/>
    <s v="No"/>
    <s v="No"/>
    <x v="0"/>
    <x v="0"/>
    <s v="Total missing; Tenure missing"/>
  </r>
  <r>
    <s v="C2822"/>
    <s v="Ritu Joshi"/>
    <s v="Female"/>
    <n v="31"/>
    <x v="3"/>
    <x v="1"/>
    <x v="21"/>
    <n v="1049"/>
    <n v="1049"/>
    <x v="0"/>
    <d v="2025-08-13T00:00:00"/>
    <x v="1"/>
    <s v="No"/>
    <s v="No"/>
    <x v="0"/>
    <x v="0"/>
    <s v="No"/>
  </r>
  <r>
    <s v="C2823"/>
    <s v="Ankit Tiwari"/>
    <s v="Male"/>
    <n v="61"/>
    <x v="0"/>
    <x v="0"/>
    <x v="24"/>
    <n v="899"/>
    <n v="2697"/>
    <x v="1"/>
    <d v="2025-06-14T00:00:00"/>
    <x v="1"/>
    <s v="No"/>
    <s v="No"/>
    <x v="0"/>
    <x v="0"/>
    <s v="No"/>
  </r>
  <r>
    <s v="C2824"/>
    <s v="Riya Rao"/>
    <s v="Female"/>
    <n v="40"/>
    <x v="5"/>
    <x v="0"/>
    <x v="4"/>
    <n v="1299"/>
    <n v="12990"/>
    <x v="0"/>
    <d v="2024-11-03T00:00:00"/>
    <x v="0"/>
    <s v="No"/>
    <s v="No"/>
    <x v="0"/>
    <x v="0"/>
    <s v="No"/>
  </r>
  <r>
    <s v="C2825"/>
    <s v="Ritu Iyer"/>
    <s v="Female"/>
    <n v="47"/>
    <x v="5"/>
    <x v="1"/>
    <x v="11"/>
    <n v="899"/>
    <n v="17980"/>
    <x v="0"/>
    <d v="2024-01-18T00:00:00"/>
    <x v="0"/>
    <s v="Yes"/>
    <s v="No"/>
    <x v="0"/>
    <x v="0"/>
    <s v="No"/>
  </r>
  <r>
    <s v="C2826"/>
    <s v="Pankaj Nair"/>
    <s v="Male"/>
    <n v="71"/>
    <x v="14"/>
    <x v="2"/>
    <x v="40"/>
    <n v="699"/>
    <n v="40542"/>
    <x v="1"/>
    <d v="2020-11-25T00:00:00"/>
    <x v="0"/>
    <s v="No"/>
    <s v="No"/>
    <x v="0"/>
    <x v="1"/>
    <s v="No"/>
  </r>
  <r>
    <s v="C2827"/>
    <s v="Kavita Sharma"/>
    <s v="Female"/>
    <n v="51"/>
    <x v="13"/>
    <x v="1"/>
    <x v="37"/>
    <n v="999"/>
    <n v="35964"/>
    <x v="0"/>
    <d v="2022-10-04T00:00:00"/>
    <x v="1"/>
    <s v="No"/>
    <s v="No"/>
    <x v="0"/>
    <x v="1"/>
    <s v="No"/>
  </r>
  <r>
    <s v="C2828"/>
    <s v="Pooja Yadav"/>
    <s v="Female"/>
    <n v="47"/>
    <x v="7"/>
    <x v="1"/>
    <x v="14"/>
    <n v="849"/>
    <n v="31413"/>
    <x v="1"/>
    <d v="2022-08-17T00:00:00"/>
    <x v="0"/>
    <s v="Yes"/>
    <s v="No"/>
    <x v="0"/>
    <x v="0"/>
    <s v="No"/>
  </r>
  <r>
    <s v="C2829"/>
    <s v="Anjali Nair"/>
    <s v="Female"/>
    <n v="28"/>
    <x v="4"/>
    <x v="2"/>
    <x v="40"/>
    <n v="399"/>
    <n v="23142"/>
    <x v="2"/>
    <d v="2020-12-08T00:00:00"/>
    <x v="0"/>
    <s v="No"/>
    <s v="No"/>
    <x v="0"/>
    <x v="0"/>
    <s v="No"/>
  </r>
  <r>
    <s v="C2830"/>
    <s v="Gaurav Joshi"/>
    <s v="Male"/>
    <n v="37"/>
    <x v="6"/>
    <x v="0"/>
    <x v="26"/>
    <n v="849"/>
    <n v="17829"/>
    <x v="1"/>
    <d v="2023-12-23T00:00:00"/>
    <x v="1"/>
    <s v="No"/>
    <s v="Yes"/>
    <x v="0"/>
    <x v="0"/>
    <s v="No"/>
  </r>
  <r>
    <s v="C2831"/>
    <s v="Rohit Verma"/>
    <s v="Male"/>
    <n v="33"/>
    <x v="3"/>
    <x v="0"/>
    <x v="33"/>
    <n v="899"/>
    <n v="12586"/>
    <x v="1"/>
    <d v="2024-07-31T00:00:00"/>
    <x v="0"/>
    <s v="No"/>
    <s v="No"/>
    <x v="0"/>
    <x v="0"/>
    <s v="No"/>
  </r>
  <r>
    <s v="C2832"/>
    <s v="Rajesh Verma"/>
    <s v="Male"/>
    <n v="70"/>
    <x v="3"/>
    <x v="0"/>
    <x v="16"/>
    <n v="999"/>
    <n v="11988"/>
    <x v="0"/>
    <d v="2024-09-06T00:00:00"/>
    <x v="2"/>
    <s v="No"/>
    <s v="No"/>
    <x v="0"/>
    <x v="0"/>
    <s v="Churn unknown"/>
  </r>
  <r>
    <s v="C2833"/>
    <s v="Swati Rao"/>
    <s v="Female"/>
    <n v="47"/>
    <x v="2"/>
    <x v="0"/>
    <x v="27"/>
    <n v="1149"/>
    <n v="8043"/>
    <x v="0"/>
    <d v="2025-02-04T00:00:00"/>
    <x v="0"/>
    <s v="Yes"/>
    <s v="No"/>
    <x v="0"/>
    <x v="0"/>
    <s v="No"/>
  </r>
  <r>
    <s v="C2834"/>
    <s v="Priya Mishra"/>
    <s v="Unknown"/>
    <n v="45"/>
    <x v="13"/>
    <x v="3"/>
    <x v="27"/>
    <n v="1049"/>
    <n v="7343"/>
    <x v="0"/>
    <d v="2025-02-24T00:00:00"/>
    <x v="0"/>
    <s v="No"/>
    <s v="No"/>
    <x v="0"/>
    <x v="0"/>
    <s v="No"/>
  </r>
  <r>
    <s v="C2835"/>
    <s v="Swati Rao"/>
    <s v="Female"/>
    <n v="42"/>
    <x v="0"/>
    <x v="0"/>
    <x v="30"/>
    <n v="799"/>
    <n v="14382"/>
    <x v="1"/>
    <d v="2024-03-28T00:00:00"/>
    <x v="0"/>
    <s v="No"/>
    <s v="No"/>
    <x v="1"/>
    <x v="0"/>
    <s v="No"/>
  </r>
  <r>
    <s v="C2836"/>
    <s v="Sanjay Tiwari"/>
    <s v="Male"/>
    <n v="28"/>
    <x v="9"/>
    <x v="1"/>
    <x v="36"/>
    <n v="649"/>
    <n v="10384"/>
    <x v="1"/>
    <d v="2024-05-28T00:00:00"/>
    <x v="0"/>
    <s v="No"/>
    <s v="No"/>
    <x v="1"/>
    <x v="0"/>
    <s v="No"/>
  </r>
  <r>
    <s v="C2837"/>
    <s v="Deepika Chopra"/>
    <s v="Female"/>
    <n v="24"/>
    <x v="3"/>
    <x v="0"/>
    <x v="23"/>
    <n v="1099"/>
    <n v="25277"/>
    <x v="0"/>
    <d v="2023-10-18T00:00:00"/>
    <x v="0"/>
    <s v="No"/>
    <s v="No"/>
    <x v="0"/>
    <x v="1"/>
    <s v="No"/>
  </r>
  <r>
    <s v="C2838"/>
    <s v="Sonal Sharma"/>
    <s v="Female"/>
    <n v="20"/>
    <x v="1"/>
    <x v="1"/>
    <x v="26"/>
    <n v="399"/>
    <n v="8379"/>
    <x v="2"/>
    <d v="2023-12-30T00:00:00"/>
    <x v="0"/>
    <s v="No"/>
    <s v="No"/>
    <x v="0"/>
    <x v="0"/>
    <s v="No"/>
  </r>
  <r>
    <s v="C2839"/>
    <s v="Tanvi Verma"/>
    <s v="Female"/>
    <n v="27"/>
    <x v="13"/>
    <x v="1"/>
    <x v="47"/>
    <n v="1049"/>
    <n v="33568"/>
    <x v="0"/>
    <d v="2023-02-05T00:00:00"/>
    <x v="0"/>
    <s v="No"/>
    <s v="No"/>
    <x v="0"/>
    <x v="0"/>
    <s v="No"/>
  </r>
  <r>
    <s v="C2840"/>
    <s v="Harsh Mehta"/>
    <s v="Unknown"/>
    <n v="71"/>
    <x v="2"/>
    <x v="0"/>
    <x v="16"/>
    <n v="599"/>
    <n v="7188"/>
    <x v="1"/>
    <d v="2024-09-14T00:00:00"/>
    <x v="0"/>
    <s v="No"/>
    <s v="No"/>
    <x v="0"/>
    <x v="0"/>
    <s v="No"/>
  </r>
  <r>
    <s v="C2841"/>
    <s v="Nisha Rao"/>
    <s v="Female"/>
    <n v="39"/>
    <x v="8"/>
    <x v="0"/>
    <x v="15"/>
    <n v="649"/>
    <n v="3894"/>
    <x v="1"/>
    <d v="2025-03-28T00:00:00"/>
    <x v="0"/>
    <s v="No"/>
    <s v="No"/>
    <x v="0"/>
    <x v="1"/>
    <s v="No"/>
  </r>
  <r>
    <s v="C2842"/>
    <s v="Rahul Singh"/>
    <s v="Male"/>
    <n v="19"/>
    <x v="8"/>
    <x v="0"/>
    <x v="32"/>
    <n v="999"/>
    <n v="3996"/>
    <x v="0"/>
    <d v="2025-05-24T00:00:00"/>
    <x v="1"/>
    <s v="No"/>
    <s v="No"/>
    <x v="0"/>
    <x v="0"/>
    <s v="No"/>
  </r>
  <r>
    <s v="C2843"/>
    <s v="Suresh Tiwari"/>
    <s v="Male"/>
    <n v="47"/>
    <x v="7"/>
    <x v="0"/>
    <x v="0"/>
    <n v="1299"/>
    <n v="28578"/>
    <x v="0"/>
    <d v="2023-11-12T00:00:00"/>
    <x v="1"/>
    <s v="No"/>
    <s v="No"/>
    <x v="0"/>
    <x v="0"/>
    <s v="No"/>
  </r>
  <r>
    <s v="C2844"/>
    <s v="Ankit Tiwari"/>
    <s v="Male"/>
    <n v="27"/>
    <x v="13"/>
    <x v="0"/>
    <x v="2"/>
    <n v="1199"/>
    <n v="13189"/>
    <x v="0"/>
    <d v="2024-10-13T00:00:00"/>
    <x v="1"/>
    <s v="No"/>
    <s v="No"/>
    <x v="0"/>
    <x v="0"/>
    <s v="No"/>
  </r>
  <r>
    <s v="C2845"/>
    <s v="Unknown"/>
    <s v="Unknown"/>
    <n v="23"/>
    <x v="8"/>
    <x v="2"/>
    <x v="5"/>
    <n v="1049"/>
    <n v="75528"/>
    <x v="0"/>
    <d v="2019-10-30T00:00:00"/>
    <x v="2"/>
    <s v="No"/>
    <s v="No"/>
    <x v="0"/>
    <x v="0"/>
    <s v="Churn unknown"/>
  </r>
  <r>
    <s v="C2846"/>
    <s v="Suresh Pandey"/>
    <s v="Male"/>
    <n v="47"/>
    <x v="8"/>
    <x v="0"/>
    <x v="8"/>
    <n v="1299"/>
    <n v="19485"/>
    <x v="0"/>
    <d v="2024-06-10T00:00:00"/>
    <x v="0"/>
    <s v="Yes"/>
    <s v="No"/>
    <x v="0"/>
    <x v="0"/>
    <s v="No"/>
  </r>
  <r>
    <s v="C2847"/>
    <s v="Vikram Kapoor"/>
    <s v="Male"/>
    <n v="63"/>
    <x v="8"/>
    <x v="2"/>
    <x v="10"/>
    <n v="899"/>
    <n v="15283"/>
    <x v="0"/>
    <d v="2024-04-10T00:00:00"/>
    <x v="1"/>
    <s v="No"/>
    <s v="No"/>
    <x v="0"/>
    <x v="0"/>
    <s v="No"/>
  </r>
  <r>
    <s v="C2848"/>
    <s v="Kavita Saxena"/>
    <s v="Female"/>
    <n v="74"/>
    <x v="1"/>
    <x v="0"/>
    <x v="32"/>
    <n v="1099"/>
    <n v="4396"/>
    <x v="0"/>
    <d v="2025-05-23T00:00:00"/>
    <x v="1"/>
    <s v="No"/>
    <s v="No"/>
    <x v="0"/>
    <x v="0"/>
    <s v="No"/>
  </r>
  <r>
    <s v="C2849"/>
    <s v="Anjali Yadav"/>
    <s v="Female"/>
    <n v="68"/>
    <x v="6"/>
    <x v="1"/>
    <x v="10"/>
    <n v="449"/>
    <n v="7633"/>
    <x v="2"/>
    <d v="2024-04-29T00:00:00"/>
    <x v="0"/>
    <s v="No"/>
    <s v="No"/>
    <x v="0"/>
    <x v="0"/>
    <s v="No"/>
  </r>
  <r>
    <s v="C2850"/>
    <s v="Pooja Saxena"/>
    <s v="Female"/>
    <n v="48"/>
    <x v="9"/>
    <x v="0"/>
    <x v="24"/>
    <n v="999"/>
    <n v="2997"/>
    <x v="0"/>
    <d v="2025-06-05T00:00:00"/>
    <x v="1"/>
    <s v="No"/>
    <s v="No"/>
    <x v="0"/>
    <x v="0"/>
    <s v="No"/>
  </r>
  <r>
    <s v="C2851"/>
    <s v="Divya Rao"/>
    <s v="Female"/>
    <n v="66"/>
    <x v="1"/>
    <x v="0"/>
    <x v="10"/>
    <n v="849"/>
    <n v="14433"/>
    <x v="1"/>
    <d v="2024-04-21T00:00:00"/>
    <x v="0"/>
    <s v="No"/>
    <s v="No"/>
    <x v="0"/>
    <x v="0"/>
    <s v="No"/>
  </r>
  <r>
    <s v="C2852"/>
    <s v="Sanjay Kapoor"/>
    <s v="Male"/>
    <n v="54"/>
    <x v="13"/>
    <x v="2"/>
    <x v="17"/>
    <n v="899"/>
    <n v="11687"/>
    <x v="0"/>
    <d v="2024-08-31T00:00:00"/>
    <x v="0"/>
    <s v="No"/>
    <s v="No"/>
    <x v="0"/>
    <x v="0"/>
    <s v="No"/>
  </r>
  <r>
    <s v="C2853"/>
    <s v="Payal Verma"/>
    <s v="Female"/>
    <n v="33"/>
    <x v="14"/>
    <x v="0"/>
    <x v="33"/>
    <n v="1199"/>
    <n v="16786"/>
    <x v="0"/>
    <d v="2024-07-06T00:00:00"/>
    <x v="1"/>
    <s v="No"/>
    <s v="No"/>
    <x v="0"/>
    <x v="0"/>
    <s v="No"/>
  </r>
  <r>
    <s v="C2854"/>
    <s v="Ankit Verma"/>
    <s v="Male"/>
    <n v="73"/>
    <x v="6"/>
    <x v="0"/>
    <x v="26"/>
    <n v="1149"/>
    <n v="24129"/>
    <x v="0"/>
    <d v="2023-12-20T00:00:00"/>
    <x v="1"/>
    <s v="No"/>
    <s v="No"/>
    <x v="0"/>
    <x v="0"/>
    <s v="No"/>
  </r>
  <r>
    <s v="C2855"/>
    <s v="Isha Gupta"/>
    <s v="Female"/>
    <n v="56"/>
    <x v="2"/>
    <x v="1"/>
    <x v="28"/>
    <n v="399"/>
    <n v="3192"/>
    <x v="2"/>
    <d v="2025-01-03T00:00:00"/>
    <x v="0"/>
    <s v="No"/>
    <s v="Yes"/>
    <x v="0"/>
    <x v="0"/>
    <s v="No"/>
  </r>
  <r>
    <s v="C2856"/>
    <s v="Divya Agarwal"/>
    <s v="Female"/>
    <n v="34"/>
    <x v="0"/>
    <x v="0"/>
    <x v="15"/>
    <n v="1049"/>
    <n v="6294"/>
    <x v="0"/>
    <d v="2025-03-29T00:00:00"/>
    <x v="1"/>
    <s v="No"/>
    <s v="No"/>
    <x v="0"/>
    <x v="0"/>
    <s v="No"/>
  </r>
  <r>
    <s v="C2857"/>
    <s v="Meera Rao"/>
    <s v="Female"/>
    <n v="47"/>
    <x v="2"/>
    <x v="1"/>
    <x v="3"/>
    <n v="899"/>
    <n v="22475"/>
    <x v="1"/>
    <d v="2023-09-09T00:00:00"/>
    <x v="0"/>
    <s v="Yes"/>
    <s v="No"/>
    <x v="0"/>
    <x v="0"/>
    <s v="No"/>
  </r>
  <r>
    <s v="C2858"/>
    <s v="Sanjay Iyer"/>
    <s v="Male"/>
    <n v="36"/>
    <x v="5"/>
    <x v="0"/>
    <x v="21"/>
    <n v="549"/>
    <n v="549"/>
    <x v="2"/>
    <d v="2025-08-10T00:00:00"/>
    <x v="1"/>
    <s v="No"/>
    <s v="No"/>
    <x v="0"/>
    <x v="0"/>
    <s v="No"/>
  </r>
  <r>
    <s v="C2859"/>
    <s v="Priya Malhotra"/>
    <s v="Female"/>
    <n v="47"/>
    <x v="3"/>
    <x v="2"/>
    <x v="53"/>
    <n v="799"/>
    <n v="38352"/>
    <x v="1"/>
    <d v="2021-09-28T00:00:00"/>
    <x v="0"/>
    <s v="No"/>
    <s v="No"/>
    <x v="0"/>
    <x v="0"/>
    <s v="No"/>
  </r>
  <r>
    <s v="C2860"/>
    <s v="Neha Yadav"/>
    <s v="Female"/>
    <n v="67"/>
    <x v="6"/>
    <x v="0"/>
    <x v="8"/>
    <n v="1049"/>
    <n v="15735"/>
    <x v="0"/>
    <d v="2024-06-30T00:00:00"/>
    <x v="0"/>
    <s v="No"/>
    <s v="No"/>
    <x v="0"/>
    <x v="0"/>
    <s v="No"/>
  </r>
  <r>
    <s v="C2861"/>
    <s v="Nisha Chopra"/>
    <s v="Female"/>
    <n v="60"/>
    <x v="0"/>
    <x v="0"/>
    <x v="9"/>
    <n v="399"/>
    <n v="9576"/>
    <x v="2"/>
    <d v="2023-09-25T00:00:00"/>
    <x v="1"/>
    <s v="No"/>
    <s v="No"/>
    <x v="0"/>
    <x v="0"/>
    <s v="No"/>
  </r>
  <r>
    <s v="C2862"/>
    <s v="Komal Joshi"/>
    <s v="Female"/>
    <n v="68"/>
    <x v="8"/>
    <x v="0"/>
    <x v="13"/>
    <n v="1099"/>
    <n v="5495"/>
    <x v="0"/>
    <d v="2025-04-20T00:00:00"/>
    <x v="0"/>
    <s v="No"/>
    <s v="No"/>
    <x v="0"/>
    <x v="0"/>
    <s v="No"/>
  </r>
  <r>
    <s v="C2863"/>
    <s v="Rohit Yadav"/>
    <s v="Male"/>
    <n v="26"/>
    <x v="3"/>
    <x v="1"/>
    <x v="2"/>
    <n v="1149"/>
    <n v="12639"/>
    <x v="0"/>
    <m/>
    <x v="1"/>
    <s v="No"/>
    <s v="No"/>
    <x v="0"/>
    <x v="0"/>
    <s v="Date missing"/>
  </r>
  <r>
    <s v="C2864"/>
    <s v="Deepika Verma"/>
    <s v="Female"/>
    <n v="27"/>
    <x v="11"/>
    <x v="0"/>
    <x v="23"/>
    <n v="1099"/>
    <n v="25277"/>
    <x v="0"/>
    <d v="2023-10-25T00:00:00"/>
    <x v="1"/>
    <s v="No"/>
    <s v="No"/>
    <x v="0"/>
    <x v="1"/>
    <s v="No"/>
  </r>
  <r>
    <s v="C2865"/>
    <s v="Vivek Gupta"/>
    <s v="Male"/>
    <n v="70"/>
    <x v="11"/>
    <x v="1"/>
    <x v="16"/>
    <n v="1099"/>
    <n v="13188"/>
    <x v="0"/>
    <d v="2024-09-12T00:00:00"/>
    <x v="1"/>
    <s v="No"/>
    <s v="No"/>
    <x v="0"/>
    <x v="0"/>
    <s v="No"/>
  </r>
  <r>
    <s v="C2866"/>
    <s v="Riya Jain"/>
    <s v="Female"/>
    <n v="19"/>
    <x v="9"/>
    <x v="1"/>
    <x v="17"/>
    <n v="649"/>
    <n v="8437"/>
    <x v="1"/>
    <d v="2024-08-17T00:00:00"/>
    <x v="0"/>
    <s v="No"/>
    <s v="No"/>
    <x v="0"/>
    <x v="0"/>
    <s v="No"/>
  </r>
  <r>
    <s v="C2867"/>
    <s v="Amit Malhotra"/>
    <s v="Male"/>
    <n v="54"/>
    <x v="1"/>
    <x v="2"/>
    <x v="26"/>
    <n v="599"/>
    <n v="12579"/>
    <x v="1"/>
    <d v="2024-01-03T00:00:00"/>
    <x v="0"/>
    <s v="No"/>
    <s v="No"/>
    <x v="0"/>
    <x v="0"/>
    <s v="No"/>
  </r>
  <r>
    <s v="C2868"/>
    <s v="Arjun Kumar"/>
    <s v="Male"/>
    <n v="41"/>
    <x v="14"/>
    <x v="0"/>
    <x v="32"/>
    <n v="1049"/>
    <n v="4196"/>
    <x v="0"/>
    <d v="2025-05-18T00:00:00"/>
    <x v="1"/>
    <s v="No"/>
    <s v="No"/>
    <x v="0"/>
    <x v="0"/>
    <s v="No"/>
  </r>
  <r>
    <s v="C2869"/>
    <s v="Sonal Desai"/>
    <s v="Female"/>
    <n v="43"/>
    <x v="5"/>
    <x v="2"/>
    <x v="8"/>
    <n v="799"/>
    <n v="11985"/>
    <x v="1"/>
    <d v="2024-07-04T00:00:00"/>
    <x v="0"/>
    <s v="No"/>
    <s v="No"/>
    <x v="1"/>
    <x v="0"/>
    <s v="No"/>
  </r>
  <r>
    <s v="C2870"/>
    <s v="Aditi Iyer"/>
    <s v="Female"/>
    <n v="66"/>
    <x v="8"/>
    <x v="2"/>
    <x v="15"/>
    <n v="1099"/>
    <n v="6594"/>
    <x v="0"/>
    <d v="2025-03-16T00:00:00"/>
    <x v="0"/>
    <s v="No"/>
    <s v="No"/>
    <x v="0"/>
    <x v="0"/>
    <s v="No"/>
  </r>
  <r>
    <s v="C2871"/>
    <s v="Unknown"/>
    <s v="Female"/>
    <n v="51"/>
    <x v="7"/>
    <x v="0"/>
    <x v="2"/>
    <n v="899"/>
    <n v="9889"/>
    <x v="1"/>
    <d v="2024-10-24T00:00:00"/>
    <x v="0"/>
    <s v="No"/>
    <s v="No"/>
    <x v="0"/>
    <x v="0"/>
    <s v="No"/>
  </r>
  <r>
    <s v="C2872"/>
    <s v="Aditi Agarwal"/>
    <s v="Female"/>
    <n v="25"/>
    <x v="11"/>
    <x v="0"/>
    <x v="4"/>
    <n v="849"/>
    <n v="8490"/>
    <x v="1"/>
    <d v="2024-11-10T00:00:00"/>
    <x v="0"/>
    <s v="No"/>
    <s v="No"/>
    <x v="0"/>
    <x v="0"/>
    <s v="No"/>
  </r>
  <r>
    <s v="C2873"/>
    <s v="Pooja Gupta"/>
    <s v="Female"/>
    <n v="22"/>
    <x v="0"/>
    <x v="0"/>
    <x v="24"/>
    <n v="599"/>
    <n v="1797"/>
    <x v="1"/>
    <d v="2025-06-13T00:00:00"/>
    <x v="0"/>
    <s v="No"/>
    <s v="No"/>
    <x v="0"/>
    <x v="0"/>
    <s v="No"/>
  </r>
  <r>
    <s v="C2874"/>
    <s v="Karan Iyer"/>
    <s v="Male"/>
    <n v="64"/>
    <x v="7"/>
    <x v="2"/>
    <x v="8"/>
    <n v="549"/>
    <n v="8235"/>
    <x v="2"/>
    <d v="2024-06-09T00:00:00"/>
    <x v="0"/>
    <s v="No"/>
    <s v="No"/>
    <x v="0"/>
    <x v="0"/>
    <s v="No"/>
  </r>
  <r>
    <s v="C2875"/>
    <s v="Tanvi Yadav"/>
    <s v="Female"/>
    <n v="56"/>
    <x v="11"/>
    <x v="0"/>
    <x v="32"/>
    <n v="999"/>
    <n v="3996"/>
    <x v="0"/>
    <d v="2025-05-28T00:00:00"/>
    <x v="0"/>
    <s v="No"/>
    <s v="No"/>
    <x v="0"/>
    <x v="0"/>
    <s v="No"/>
  </r>
  <r>
    <s v="C2876"/>
    <s v="Amit Nair"/>
    <s v="Unknown"/>
    <n v="74"/>
    <x v="12"/>
    <x v="0"/>
    <x v="23"/>
    <n v="849"/>
    <n v="19527"/>
    <x v="1"/>
    <d v="2023-10-28T00:00:00"/>
    <x v="1"/>
    <s v="No"/>
    <s v="No"/>
    <x v="0"/>
    <x v="0"/>
    <s v="No"/>
  </r>
  <r>
    <s v="C2877"/>
    <s v="Arjun Mishra"/>
    <s v="Male"/>
    <n v="39"/>
    <x v="0"/>
    <x v="0"/>
    <x v="32"/>
    <n v="599"/>
    <n v="2396"/>
    <x v="1"/>
    <d v="2025-05-26T00:00:00"/>
    <x v="1"/>
    <s v="No"/>
    <s v="No"/>
    <x v="1"/>
    <x v="0"/>
    <s v="No"/>
  </r>
  <r>
    <s v="C2878"/>
    <s v="Ritu Jain"/>
    <s v="Female"/>
    <n v="75"/>
    <x v="0"/>
    <x v="0"/>
    <x v="16"/>
    <n v="799"/>
    <n v="9588"/>
    <x v="1"/>
    <d v="2024-09-07T00:00:00"/>
    <x v="0"/>
    <s v="No"/>
    <s v="No"/>
    <x v="0"/>
    <x v="0"/>
    <s v="No"/>
  </r>
  <r>
    <s v="C2879"/>
    <s v="Rajesh Yadav"/>
    <s v="Male"/>
    <n v="21"/>
    <x v="3"/>
    <x v="0"/>
    <x v="33"/>
    <n v="1299"/>
    <n v="18186"/>
    <x v="0"/>
    <d v="2024-07-06T00:00:00"/>
    <x v="0"/>
    <s v="No"/>
    <s v="No"/>
    <x v="0"/>
    <x v="0"/>
    <s v="No"/>
  </r>
  <r>
    <s v="C2880"/>
    <s v="Manish Gupta"/>
    <s v="Male"/>
    <n v="72"/>
    <x v="1"/>
    <x v="2"/>
    <x v="72"/>
    <n v="799"/>
    <n v="51935"/>
    <x v="1"/>
    <d v="2020-05-12T00:00:00"/>
    <x v="0"/>
    <s v="No"/>
    <s v="No"/>
    <x v="0"/>
    <x v="0"/>
    <s v="No"/>
  </r>
  <r>
    <s v="C2881"/>
    <s v="Neha Jain"/>
    <s v="Female"/>
    <n v="39"/>
    <x v="9"/>
    <x v="0"/>
    <x v="30"/>
    <n v="1299"/>
    <n v="23382"/>
    <x v="0"/>
    <d v="2024-03-23T00:00:00"/>
    <x v="1"/>
    <s v="No"/>
    <s v="No"/>
    <x v="0"/>
    <x v="0"/>
    <s v="No"/>
  </r>
  <r>
    <s v="C2882"/>
    <s v="Manish Tiwari"/>
    <s v="Male"/>
    <n v="53"/>
    <x v="5"/>
    <x v="2"/>
    <x v="4"/>
    <n v="649"/>
    <n v="6490"/>
    <x v="1"/>
    <d v="2024-11-26T00:00:00"/>
    <x v="0"/>
    <s v="No"/>
    <s v="No"/>
    <x v="0"/>
    <x v="0"/>
    <s v="No"/>
  </r>
  <r>
    <s v="C2883"/>
    <s v="Pankaj Singh"/>
    <s v="Male"/>
    <n v="24"/>
    <x v="9"/>
    <x v="0"/>
    <x v="28"/>
    <n v="999"/>
    <n v="7992"/>
    <x v="0"/>
    <d v="2025-01-08T00:00:00"/>
    <x v="0"/>
    <s v="No"/>
    <s v="No"/>
    <x v="0"/>
    <x v="0"/>
    <s v="No"/>
  </r>
  <r>
    <s v="C2884"/>
    <s v="Mohit Desai"/>
    <s v="Male"/>
    <n v="38"/>
    <x v="14"/>
    <x v="2"/>
    <x v="24"/>
    <n v="1099"/>
    <n v="3297"/>
    <x v="0"/>
    <d v="2025-06-10T00:00:00"/>
    <x v="0"/>
    <s v="No"/>
    <s v="No"/>
    <x v="0"/>
    <x v="0"/>
    <s v="No"/>
  </r>
  <r>
    <s v="C2885"/>
    <s v="Vivek Chopra"/>
    <s v="Male"/>
    <n v="64"/>
    <x v="2"/>
    <x v="2"/>
    <x v="54"/>
    <n v="799"/>
    <n v="55131"/>
    <x v="1"/>
    <d v="2020-01-26T00:00:00"/>
    <x v="0"/>
    <s v="No"/>
    <s v="No"/>
    <x v="0"/>
    <x v="0"/>
    <s v="No"/>
  </r>
  <r>
    <s v="C2886"/>
    <s v="Ankit Yadav"/>
    <s v="Male"/>
    <n v="47"/>
    <x v="12"/>
    <x v="0"/>
    <x v="23"/>
    <n v="549"/>
    <n v="12627"/>
    <x v="2"/>
    <d v="2023-10-12T00:00:00"/>
    <x v="1"/>
    <s v="Yes"/>
    <s v="No"/>
    <x v="0"/>
    <x v="0"/>
    <s v="No"/>
  </r>
  <r>
    <s v="C2887"/>
    <s v="Sachin Pandey"/>
    <s v="Male"/>
    <n v="37"/>
    <x v="2"/>
    <x v="1"/>
    <x v="22"/>
    <n v="849"/>
    <n v="1698"/>
    <x v="1"/>
    <d v="2025-07-18T00:00:00"/>
    <x v="0"/>
    <s v="No"/>
    <s v="No"/>
    <x v="0"/>
    <x v="0"/>
    <s v="No"/>
  </r>
  <r>
    <s v="C2888"/>
    <s v="Divya Mishra"/>
    <s v="Female"/>
    <n v="42"/>
    <x v="13"/>
    <x v="0"/>
    <x v="6"/>
    <n v="399"/>
    <n v="7581"/>
    <x v="2"/>
    <d v="2024-03-01T00:00:00"/>
    <x v="1"/>
    <s v="No"/>
    <s v="No"/>
    <x v="0"/>
    <x v="1"/>
    <s v="No"/>
  </r>
  <r>
    <s v="C2889"/>
    <s v="Riya Jain"/>
    <s v="Female"/>
    <n v="55"/>
    <x v="11"/>
    <x v="2"/>
    <x v="63"/>
    <n v="649"/>
    <n v="27258"/>
    <x v="1"/>
    <d v="2022-03-28T00:00:00"/>
    <x v="0"/>
    <s v="No"/>
    <s v="No"/>
    <x v="0"/>
    <x v="1"/>
    <s v="No"/>
  </r>
  <r>
    <s v="C2890"/>
    <s v="Ankit Agarwal"/>
    <s v="Male"/>
    <n v="37"/>
    <x v="8"/>
    <x v="1"/>
    <x v="39"/>
    <n v="1199"/>
    <n v="34771"/>
    <x v="0"/>
    <d v="2023-04-23T00:00:00"/>
    <x v="1"/>
    <s v="No"/>
    <s v="No"/>
    <x v="0"/>
    <x v="0"/>
    <s v="No"/>
  </r>
  <r>
    <s v="C2891"/>
    <s v="Nisha Bose"/>
    <s v="Female"/>
    <n v="37"/>
    <x v="4"/>
    <x v="1"/>
    <x v="42"/>
    <n v="899"/>
    <n v="23374"/>
    <x v="0"/>
    <d v="2023-07-16T00:00:00"/>
    <x v="1"/>
    <s v="No"/>
    <s v="No"/>
    <x v="0"/>
    <x v="0"/>
    <s v="No"/>
  </r>
  <r>
    <s v="C2892"/>
    <s v="Aditi Saxena"/>
    <s v="Female"/>
    <n v="61"/>
    <x v="7"/>
    <x v="0"/>
    <x v="11"/>
    <n v="1149"/>
    <n v="22980"/>
    <x v="0"/>
    <d v="2024-02-04T00:00:00"/>
    <x v="1"/>
    <s v="No"/>
    <s v="No"/>
    <x v="0"/>
    <x v="0"/>
    <s v="No"/>
  </r>
  <r>
    <s v="C2893"/>
    <s v="Pankaj Jain"/>
    <s v="Male"/>
    <n v="47"/>
    <x v="5"/>
    <x v="0"/>
    <x v="4"/>
    <n v="1099"/>
    <n v="10990"/>
    <x v="0"/>
    <d v="2024-11-22T00:00:00"/>
    <x v="0"/>
    <s v="Yes"/>
    <s v="No"/>
    <x v="0"/>
    <x v="1"/>
    <s v="No"/>
  </r>
  <r>
    <s v="C2894"/>
    <s v="Deepak Agarwal"/>
    <s v="Male"/>
    <n v="55"/>
    <x v="1"/>
    <x v="2"/>
    <x v="52"/>
    <n v="699"/>
    <n v="34251"/>
    <x v="1"/>
    <d v="2021-09-11T00:00:00"/>
    <x v="0"/>
    <s v="No"/>
    <s v="No"/>
    <x v="0"/>
    <x v="0"/>
    <s v="No"/>
  </r>
  <r>
    <s v="C2895"/>
    <s v="Swati Sharma"/>
    <s v="Female"/>
    <n v="68"/>
    <x v="11"/>
    <x v="0"/>
    <x v="17"/>
    <n v="1049"/>
    <n v="13637"/>
    <x v="0"/>
    <d v="2024-08-06T00:00:00"/>
    <x v="1"/>
    <s v="No"/>
    <s v="No"/>
    <x v="0"/>
    <x v="0"/>
    <s v="No"/>
  </r>
  <r>
    <s v="C2896"/>
    <s v="Arjun Rao"/>
    <s v="Male"/>
    <n v="26"/>
    <x v="7"/>
    <x v="0"/>
    <x v="30"/>
    <n v="899"/>
    <n v="16182"/>
    <x v="0"/>
    <d v="2024-04-01T00:00:00"/>
    <x v="0"/>
    <s v="No"/>
    <s v="No"/>
    <x v="0"/>
    <x v="0"/>
    <s v="No"/>
  </r>
  <r>
    <s v="C2897"/>
    <s v="Sonal Malhotra"/>
    <s v="Female"/>
    <n v="40"/>
    <x v="1"/>
    <x v="0"/>
    <x v="30"/>
    <n v="799"/>
    <n v="14382"/>
    <x v="1"/>
    <d v="2024-03-16T00:00:00"/>
    <x v="1"/>
    <s v="No"/>
    <s v="No"/>
    <x v="0"/>
    <x v="0"/>
    <s v="No"/>
  </r>
  <r>
    <s v="C2898"/>
    <s v="Nikhil Desai"/>
    <s v="Male"/>
    <n v="37"/>
    <x v="9"/>
    <x v="2"/>
    <x v="51"/>
    <n v="1299"/>
    <n v="79239"/>
    <x v="0"/>
    <d v="2020-09-11T00:00:00"/>
    <x v="0"/>
    <s v="No"/>
    <s v="No"/>
    <x v="0"/>
    <x v="0"/>
    <s v="No"/>
  </r>
  <r>
    <s v="C2899"/>
    <s v="Rahul Singh"/>
    <s v="Male"/>
    <n v="46"/>
    <x v="13"/>
    <x v="0"/>
    <x v="21"/>
    <n v="649"/>
    <n v="649"/>
    <x v="1"/>
    <d v="2025-08-05T00:00:00"/>
    <x v="0"/>
    <s v="No"/>
    <s v="No"/>
    <x v="0"/>
    <x v="0"/>
    <s v="No"/>
  </r>
  <r>
    <s v="C2900"/>
    <s v="Anjali Bose"/>
    <s v="Female"/>
    <n v="74"/>
    <x v="6"/>
    <x v="1"/>
    <x v="33"/>
    <n v="1049"/>
    <n v="14686"/>
    <x v="0"/>
    <d v="2024-07-18T00:00:00"/>
    <x v="0"/>
    <s v="No"/>
    <s v="No"/>
    <x v="0"/>
    <x v="0"/>
    <s v="No"/>
  </r>
  <r>
    <s v="C2901"/>
    <s v="Unknown"/>
    <s v="Female"/>
    <n v="70"/>
    <x v="7"/>
    <x v="2"/>
    <x v="7"/>
    <n v="1099"/>
    <n v="41762"/>
    <x v="0"/>
    <d v="2022-07-22T00:00:00"/>
    <x v="1"/>
    <s v="No"/>
    <s v="No"/>
    <x v="0"/>
    <x v="0"/>
    <s v="No"/>
  </r>
  <r>
    <s v="C2902"/>
    <s v="Priya Chopra"/>
    <s v="Female"/>
    <n v="25"/>
    <x v="1"/>
    <x v="0"/>
    <x v="26"/>
    <n v="899"/>
    <n v="18879"/>
    <x v="0"/>
    <d v="2023-12-14T00:00:00"/>
    <x v="1"/>
    <s v="No"/>
    <s v="No"/>
    <x v="0"/>
    <x v="0"/>
    <s v="No"/>
  </r>
  <r>
    <s v="C2903"/>
    <s v="Vivek Patel"/>
    <s v="Male"/>
    <n v="74"/>
    <x v="14"/>
    <x v="0"/>
    <x v="4"/>
    <n v="699"/>
    <n v="6990"/>
    <x v="1"/>
    <d v="2024-12-01T00:00:00"/>
    <x v="0"/>
    <s v="No"/>
    <s v="No"/>
    <x v="1"/>
    <x v="0"/>
    <s v="No"/>
  </r>
  <r>
    <s v="C2904"/>
    <s v="Komal Malhotra"/>
    <s v="Unknown"/>
    <n v="60"/>
    <x v="2"/>
    <x v="2"/>
    <x v="38"/>
    <n v="1049"/>
    <n v="54548"/>
    <x v="0"/>
    <d v="2021-06-20T00:00:00"/>
    <x v="0"/>
    <s v="No"/>
    <s v="No"/>
    <x v="0"/>
    <x v="0"/>
    <s v="No"/>
  </r>
  <r>
    <s v="C2905"/>
    <s v="Pooja Singh"/>
    <s v="Female"/>
    <n v="25"/>
    <x v="2"/>
    <x v="2"/>
    <x v="55"/>
    <n v="1099"/>
    <n v="61544"/>
    <x v="0"/>
    <d v="2021-02-08T00:00:00"/>
    <x v="0"/>
    <s v="No"/>
    <s v="No"/>
    <x v="0"/>
    <x v="0"/>
    <s v="No"/>
  </r>
  <r>
    <s v="C2906"/>
    <s v="Arjun Gupta"/>
    <s v="Male"/>
    <n v="25"/>
    <x v="11"/>
    <x v="0"/>
    <x v="26"/>
    <n v="849"/>
    <n v="17829"/>
    <x v="1"/>
    <d v="2024-01-07T00:00:00"/>
    <x v="0"/>
    <s v="No"/>
    <s v="No"/>
    <x v="0"/>
    <x v="0"/>
    <s v="No"/>
  </r>
  <r>
    <s v="C2907"/>
    <s v="Komal Iyer"/>
    <s v="Female"/>
    <n v="48"/>
    <x v="12"/>
    <x v="0"/>
    <x v="2"/>
    <n v="699"/>
    <n v="7689"/>
    <x v="1"/>
    <d v="2024-10-23T00:00:00"/>
    <x v="0"/>
    <s v="No"/>
    <s v="No"/>
    <x v="0"/>
    <x v="0"/>
    <s v="No"/>
  </r>
  <r>
    <s v="C2908"/>
    <s v="Karan Nair"/>
    <s v="Male"/>
    <n v="52"/>
    <x v="0"/>
    <x v="0"/>
    <x v="24"/>
    <n v="1049"/>
    <n v="3147"/>
    <x v="0"/>
    <d v="2025-06-24T00:00:00"/>
    <x v="0"/>
    <s v="No"/>
    <s v="No"/>
    <x v="0"/>
    <x v="0"/>
    <s v="No"/>
  </r>
  <r>
    <s v="C2909"/>
    <s v="Arjun Pandey"/>
    <s v="Male"/>
    <n v="71"/>
    <x v="6"/>
    <x v="2"/>
    <x v="47"/>
    <n v="749"/>
    <n v="23968"/>
    <x v="1"/>
    <d v="2023-01-13T00:00:00"/>
    <x v="0"/>
    <s v="No"/>
    <s v="No"/>
    <x v="0"/>
    <x v="0"/>
    <s v="No"/>
  </r>
  <r>
    <s v="C2910"/>
    <s v="Gaurav Nair"/>
    <s v="Male"/>
    <n v="67"/>
    <x v="9"/>
    <x v="0"/>
    <x v="36"/>
    <n v="449"/>
    <n v="7184"/>
    <x v="2"/>
    <d v="2024-05-19T00:00:00"/>
    <x v="0"/>
    <s v="No"/>
    <s v="No"/>
    <x v="0"/>
    <x v="0"/>
    <s v="No"/>
  </r>
  <r>
    <s v="C2911"/>
    <s v="Pankaj Patel"/>
    <s v="Male"/>
    <n v="53"/>
    <x v="2"/>
    <x v="1"/>
    <x v="26"/>
    <n v="649"/>
    <n v="13629"/>
    <x v="1"/>
    <d v="2024-01-02T00:00:00"/>
    <x v="0"/>
    <s v="No"/>
    <s v="No"/>
    <x v="0"/>
    <x v="0"/>
    <s v="No"/>
  </r>
  <r>
    <s v="C2912"/>
    <s v="Pooja Pandey"/>
    <s v="Female"/>
    <n v="72"/>
    <x v="2"/>
    <x v="0"/>
    <x v="10"/>
    <n v="699"/>
    <n v="11883"/>
    <x v="1"/>
    <d v="2024-04-22T00:00:00"/>
    <x v="0"/>
    <s v="No"/>
    <s v="No"/>
    <x v="0"/>
    <x v="0"/>
    <s v="No"/>
  </r>
  <r>
    <s v="C2913"/>
    <s v="Amit Joshi"/>
    <s v="Male"/>
    <n v="21"/>
    <x v="1"/>
    <x v="2"/>
    <x v="64"/>
    <n v="799"/>
    <n v="31960"/>
    <x v="1"/>
    <d v="2022-06-07T00:00:00"/>
    <x v="0"/>
    <s v="No"/>
    <s v="No"/>
    <x v="0"/>
    <x v="0"/>
    <s v="No"/>
  </r>
  <r>
    <s v="C2914"/>
    <s v="Komal Nair"/>
    <s v="Female"/>
    <n v="66"/>
    <x v="2"/>
    <x v="1"/>
    <x v="4"/>
    <n v="1099"/>
    <n v="10990"/>
    <x v="0"/>
    <d v="2024-11-05T00:00:00"/>
    <x v="0"/>
    <s v="No"/>
    <s v="No"/>
    <x v="0"/>
    <x v="0"/>
    <s v="No"/>
  </r>
  <r>
    <s v="C2915"/>
    <s v="Anjali Kapoor"/>
    <s v="Female"/>
    <n v="25"/>
    <x v="2"/>
    <x v="1"/>
    <x v="14"/>
    <n v="999"/>
    <n v="36963"/>
    <x v="0"/>
    <d v="2022-08-17T00:00:00"/>
    <x v="0"/>
    <s v="No"/>
    <s v="No"/>
    <x v="0"/>
    <x v="0"/>
    <s v="No"/>
  </r>
  <r>
    <s v="C2916"/>
    <s v="Amit Joshi"/>
    <s v="Male"/>
    <n v="32"/>
    <x v="7"/>
    <x v="0"/>
    <x v="27"/>
    <n v="599"/>
    <n v="4193"/>
    <x v="1"/>
    <d v="2025-02-03T00:00:00"/>
    <x v="0"/>
    <s v="No"/>
    <s v="No"/>
    <x v="0"/>
    <x v="0"/>
    <s v="No"/>
  </r>
  <r>
    <s v="C2917"/>
    <s v="Sanjay Nair"/>
    <s v="Male"/>
    <n v="70"/>
    <x v="9"/>
    <x v="0"/>
    <x v="15"/>
    <n v="899"/>
    <n v="5394"/>
    <x v="0"/>
    <d v="2025-03-15T00:00:00"/>
    <x v="0"/>
    <s v="No"/>
    <s v="Yes"/>
    <x v="0"/>
    <x v="0"/>
    <s v="No"/>
  </r>
  <r>
    <s v="C2918"/>
    <s v="Sachin Kumar"/>
    <s v="Male"/>
    <n v="40"/>
    <x v="13"/>
    <x v="0"/>
    <x v="27"/>
    <n v="1049"/>
    <n v="7343"/>
    <x v="0"/>
    <d v="2025-02-20T00:00:00"/>
    <x v="1"/>
    <s v="No"/>
    <s v="No"/>
    <x v="0"/>
    <x v="0"/>
    <s v="No"/>
  </r>
  <r>
    <s v="C2919"/>
    <s v="Nikhil Gupta"/>
    <s v="Male"/>
    <n v="25"/>
    <x v="7"/>
    <x v="1"/>
    <x v="33"/>
    <n v="1199"/>
    <n v="16786"/>
    <x v="0"/>
    <d v="2024-07-10T00:00:00"/>
    <x v="0"/>
    <s v="No"/>
    <s v="No"/>
    <x v="0"/>
    <x v="0"/>
    <s v="No"/>
  </r>
  <r>
    <s v="C2920"/>
    <s v="Karan Jain"/>
    <s v="Male"/>
    <n v="54"/>
    <x v="6"/>
    <x v="0"/>
    <x v="36"/>
    <n v="1049"/>
    <n v="16784"/>
    <x v="0"/>
    <d v="2024-05-21T00:00:00"/>
    <x v="0"/>
    <s v="No"/>
    <s v="No"/>
    <x v="0"/>
    <x v="0"/>
    <s v="No"/>
  </r>
  <r>
    <s v="C2921"/>
    <s v="Gaurav Kapoor"/>
    <s v="Male"/>
    <n v="65"/>
    <x v="12"/>
    <x v="2"/>
    <x v="58"/>
    <n v="899"/>
    <n v="45849"/>
    <x v="0"/>
    <d v="2021-06-25T00:00:00"/>
    <x v="0"/>
    <s v="No"/>
    <s v="No"/>
    <x v="1"/>
    <x v="0"/>
    <s v="No"/>
  </r>
  <r>
    <s v="C2922"/>
    <s v="Pooja Bose"/>
    <s v="Female"/>
    <n v="56"/>
    <x v="11"/>
    <x v="0"/>
    <x v="33"/>
    <n v="1049"/>
    <n v="14686"/>
    <x v="0"/>
    <d v="2024-07-17T00:00:00"/>
    <x v="0"/>
    <s v="No"/>
    <s v="No"/>
    <x v="0"/>
    <x v="0"/>
    <s v="No"/>
  </r>
  <r>
    <s v="C2923"/>
    <s v="Amit Reddy"/>
    <s v="Male"/>
    <n v="21"/>
    <x v="1"/>
    <x v="1"/>
    <x v="8"/>
    <n v="799"/>
    <n v="11985"/>
    <x v="1"/>
    <d v="2024-06-09T00:00:00"/>
    <x v="0"/>
    <s v="No"/>
    <s v="No"/>
    <x v="0"/>
    <x v="0"/>
    <s v="No"/>
  </r>
  <r>
    <s v="C2924"/>
    <s v="Meera Reddy"/>
    <s v="Female"/>
    <n v="63"/>
    <x v="4"/>
    <x v="0"/>
    <x v="10"/>
    <n v="1049"/>
    <n v="17833"/>
    <x v="0"/>
    <d v="2024-04-24T00:00:00"/>
    <x v="0"/>
    <s v="No"/>
    <s v="No"/>
    <x v="0"/>
    <x v="0"/>
    <s v="No"/>
  </r>
  <r>
    <s v="C2925"/>
    <s v="Payal Jain"/>
    <s v="Female"/>
    <n v="37"/>
    <x v="11"/>
    <x v="1"/>
    <x v="64"/>
    <n v="549"/>
    <n v="21960"/>
    <x v="2"/>
    <d v="2022-06-11T00:00:00"/>
    <x v="0"/>
    <s v="No"/>
    <s v="No"/>
    <x v="0"/>
    <x v="0"/>
    <s v="No"/>
  </r>
  <r>
    <s v="C2926"/>
    <s v="Komal Joshi"/>
    <s v="Female"/>
    <n v="58"/>
    <x v="14"/>
    <x v="1"/>
    <x v="35"/>
    <n v="1199"/>
    <n v="10791"/>
    <x v="0"/>
    <d v="2024-12-31T00:00:00"/>
    <x v="0"/>
    <s v="No"/>
    <s v="No"/>
    <x v="0"/>
    <x v="0"/>
    <s v="No"/>
  </r>
  <r>
    <s v="C2927"/>
    <s v="Rohit Kumar"/>
    <s v="Male"/>
    <n v="46"/>
    <x v="14"/>
    <x v="1"/>
    <x v="25"/>
    <n v="1199"/>
    <n v="46761"/>
    <x v="0"/>
    <d v="2022-07-07T00:00:00"/>
    <x v="0"/>
    <s v="No"/>
    <s v="No"/>
    <x v="0"/>
    <x v="0"/>
    <s v="No"/>
  </r>
  <r>
    <s v="C2928"/>
    <s v="Pankaj Kapoor"/>
    <s v="Male"/>
    <n v="75"/>
    <x v="4"/>
    <x v="0"/>
    <x v="6"/>
    <n v="449"/>
    <n v="8531"/>
    <x v="2"/>
    <d v="2024-02-11T00:00:00"/>
    <x v="0"/>
    <s v="No"/>
    <s v="No"/>
    <x v="0"/>
    <x v="0"/>
    <s v="No"/>
  </r>
  <r>
    <s v="C2929"/>
    <s v="Suresh Mehta"/>
    <s v="Male"/>
    <n v="45"/>
    <x v="7"/>
    <x v="1"/>
    <x v="42"/>
    <n v="799"/>
    <n v="20774"/>
    <x v="1"/>
    <d v="2023-08-04T00:00:00"/>
    <x v="0"/>
    <s v="No"/>
    <s v="No"/>
    <x v="0"/>
    <x v="0"/>
    <s v="No"/>
  </r>
  <r>
    <s v="C2930"/>
    <s v="Sanjay Jain"/>
    <s v="Male"/>
    <n v="50"/>
    <x v="2"/>
    <x v="1"/>
    <x v="28"/>
    <n v="549"/>
    <n v="4392"/>
    <x v="2"/>
    <d v="2025-01-16T00:00:00"/>
    <x v="0"/>
    <s v="No"/>
    <s v="No"/>
    <x v="0"/>
    <x v="0"/>
    <s v="No"/>
  </r>
  <r>
    <s v="C2931"/>
    <s v="Suresh Joshi"/>
    <s v="Male"/>
    <n v="54"/>
    <x v="3"/>
    <x v="2"/>
    <x v="0"/>
    <n v="899"/>
    <n v="19778"/>
    <x v="1"/>
    <d v="2023-12-07T00:00:00"/>
    <x v="0"/>
    <s v="No"/>
    <s v="No"/>
    <x v="0"/>
    <x v="0"/>
    <s v="No"/>
  </r>
  <r>
    <s v="C2932"/>
    <s v="Swati Singh"/>
    <s v="Unknown"/>
    <n v="53"/>
    <x v="6"/>
    <x v="0"/>
    <x v="27"/>
    <n v="1299"/>
    <n v="9093"/>
    <x v="0"/>
    <d v="2025-02-04T00:00:00"/>
    <x v="1"/>
    <s v="No"/>
    <s v="No"/>
    <x v="0"/>
    <x v="0"/>
    <s v="No"/>
  </r>
  <r>
    <s v="C2933"/>
    <s v="Payal Mishra"/>
    <s v="Female"/>
    <n v="66"/>
    <x v="3"/>
    <x v="1"/>
    <x v="21"/>
    <n v="1299"/>
    <n v="1299"/>
    <x v="0"/>
    <d v="2025-08-08T00:00:00"/>
    <x v="1"/>
    <s v="No"/>
    <s v="No"/>
    <x v="0"/>
    <x v="1"/>
    <s v="No"/>
  </r>
  <r>
    <s v="C2934"/>
    <s v="Priya Agarwal"/>
    <s v="Female"/>
    <n v="65"/>
    <x v="4"/>
    <x v="0"/>
    <x v="6"/>
    <n v="599"/>
    <n v="11381"/>
    <x v="1"/>
    <d v="2024-02-19T00:00:00"/>
    <x v="0"/>
    <s v="No"/>
    <s v="No"/>
    <x v="0"/>
    <x v="0"/>
    <s v="No"/>
  </r>
  <r>
    <s v="C2935"/>
    <s v="Rajesh Desai"/>
    <s v="Male"/>
    <n v="37"/>
    <x v="8"/>
    <x v="1"/>
    <x v="28"/>
    <n v="649"/>
    <n v="5192"/>
    <x v="1"/>
    <d v="2025-01-30T00:00:00"/>
    <x v="1"/>
    <s v="No"/>
    <s v="No"/>
    <x v="0"/>
    <x v="0"/>
    <s v="No"/>
  </r>
  <r>
    <s v="C2936"/>
    <s v="Unknown"/>
    <s v="Female"/>
    <n v="72"/>
    <x v="1"/>
    <x v="1"/>
    <x v="26"/>
    <n v="599"/>
    <n v="12579"/>
    <x v="1"/>
    <m/>
    <x v="0"/>
    <s v="No"/>
    <s v="No"/>
    <x v="0"/>
    <x v="0"/>
    <s v="Date missing"/>
  </r>
  <r>
    <s v="C2937"/>
    <s v="Deepak Kumar"/>
    <s v="Male"/>
    <n v="75"/>
    <x v="2"/>
    <x v="2"/>
    <x v="60"/>
    <n v="999"/>
    <n v="67932"/>
    <x v="0"/>
    <d v="2020-02-23T00:00:00"/>
    <x v="0"/>
    <s v="No"/>
    <s v="No"/>
    <x v="0"/>
    <x v="0"/>
    <s v="No"/>
  </r>
  <r>
    <s v="C2938"/>
    <s v="Neha Mehta"/>
    <s v="Unknown"/>
    <n v="62"/>
    <x v="2"/>
    <x v="0"/>
    <x v="6"/>
    <n v="999"/>
    <n v="18981"/>
    <x v="0"/>
    <d v="2024-02-17T00:00:00"/>
    <x v="1"/>
    <s v="No"/>
    <s v="No"/>
    <x v="0"/>
    <x v="0"/>
    <s v="No"/>
  </r>
  <r>
    <s v="C2939"/>
    <s v="Rahul Chopra"/>
    <s v="Male"/>
    <n v="39"/>
    <x v="1"/>
    <x v="0"/>
    <x v="33"/>
    <n v="449"/>
    <n v="6286"/>
    <x v="2"/>
    <d v="2024-07-28T00:00:00"/>
    <x v="0"/>
    <s v="No"/>
    <s v="No"/>
    <x v="0"/>
    <x v="0"/>
    <s v="No"/>
  </r>
  <r>
    <s v="C2940"/>
    <s v="Nikhil Rao"/>
    <s v="Male"/>
    <n v="70"/>
    <x v="12"/>
    <x v="0"/>
    <x v="15"/>
    <n v="1049"/>
    <n v="6294"/>
    <x v="0"/>
    <d v="2025-03-23T00:00:00"/>
    <x v="1"/>
    <s v="No"/>
    <s v="No"/>
    <x v="0"/>
    <x v="0"/>
    <s v="No"/>
  </r>
  <r>
    <s v="C2941"/>
    <s v="Deepak Saxena"/>
    <s v="Male"/>
    <n v="57"/>
    <x v="3"/>
    <x v="1"/>
    <x v="36"/>
    <n v="399"/>
    <n v="6384"/>
    <x v="2"/>
    <d v="2024-05-09T00:00:00"/>
    <x v="0"/>
    <s v="No"/>
    <s v="Yes"/>
    <x v="0"/>
    <x v="0"/>
    <s v="No"/>
  </r>
  <r>
    <s v="C2942"/>
    <s v="Sachin Yadav"/>
    <s v="Male"/>
    <n v="44"/>
    <x v="13"/>
    <x v="1"/>
    <x v="0"/>
    <n v="1049"/>
    <n v="23078"/>
    <x v="0"/>
    <d v="2023-11-26T00:00:00"/>
    <x v="0"/>
    <s v="No"/>
    <s v="No"/>
    <x v="0"/>
    <x v="0"/>
    <s v="No"/>
  </r>
  <r>
    <s v="C2943"/>
    <s v="Kavita Kumar"/>
    <s v="Female"/>
    <n v="70"/>
    <x v="14"/>
    <x v="1"/>
    <x v="27"/>
    <n v="799"/>
    <n v="5593"/>
    <x v="1"/>
    <d v="2025-02-20T00:00:00"/>
    <x v="0"/>
    <s v="No"/>
    <s v="No"/>
    <x v="0"/>
    <x v="1"/>
    <s v="No"/>
  </r>
  <r>
    <s v="C2944"/>
    <s v="Nikhil Mishra"/>
    <s v="Male"/>
    <n v="73"/>
    <x v="6"/>
    <x v="1"/>
    <x v="10"/>
    <n v="599"/>
    <n v="10183"/>
    <x v="1"/>
    <d v="2024-04-15T00:00:00"/>
    <x v="1"/>
    <s v="No"/>
    <s v="No"/>
    <x v="0"/>
    <x v="0"/>
    <s v="No"/>
  </r>
  <r>
    <s v="C2945"/>
    <s v="Rohit Desai"/>
    <s v="Male"/>
    <n v="31"/>
    <x v="3"/>
    <x v="0"/>
    <x v="27"/>
    <n v="999"/>
    <n v="6993"/>
    <x v="0"/>
    <d v="2025-02-22T00:00:00"/>
    <x v="0"/>
    <s v="No"/>
    <s v="No"/>
    <x v="0"/>
    <x v="0"/>
    <s v="No"/>
  </r>
  <r>
    <s v="C2946"/>
    <s v="Kavita Kapoor"/>
    <s v="Female"/>
    <n v="25"/>
    <x v="1"/>
    <x v="1"/>
    <x v="26"/>
    <n v="899"/>
    <n v="18879"/>
    <x v="1"/>
    <d v="2023-12-20T00:00:00"/>
    <x v="0"/>
    <s v="No"/>
    <s v="No"/>
    <x v="0"/>
    <x v="0"/>
    <s v="No"/>
  </r>
  <r>
    <s v="C2947"/>
    <s v="Vivek Desai"/>
    <s v="Male"/>
    <n v="43"/>
    <x v="5"/>
    <x v="1"/>
    <x v="25"/>
    <n v="349"/>
    <n v="13611"/>
    <x v="2"/>
    <d v="2022-07-11T00:00:00"/>
    <x v="0"/>
    <s v="No"/>
    <s v="No"/>
    <x v="0"/>
    <x v="0"/>
    <s v="No"/>
  </r>
  <r>
    <s v="C2948"/>
    <s v="Riya Jain"/>
    <s v="Female"/>
    <n v="47"/>
    <x v="13"/>
    <x v="0"/>
    <x v="16"/>
    <n v="599"/>
    <n v="7188"/>
    <x v="3"/>
    <d v="2024-09-09T00:00:00"/>
    <x v="0"/>
    <s v="No"/>
    <s v="No"/>
    <x v="0"/>
    <x v="0"/>
    <s v="No"/>
  </r>
  <r>
    <s v="C2949"/>
    <s v="Sonal Agarwal"/>
    <s v="Female"/>
    <n v="75"/>
    <x v="7"/>
    <x v="0"/>
    <x v="8"/>
    <n v="999"/>
    <n v="14985"/>
    <x v="0"/>
    <d v="2024-06-22T00:00:00"/>
    <x v="0"/>
    <s v="No"/>
    <s v="No"/>
    <x v="0"/>
    <x v="1"/>
    <s v="No"/>
  </r>
  <r>
    <s v="C2950"/>
    <s v="Karan Rao"/>
    <s v="Male"/>
    <n v="71"/>
    <x v="6"/>
    <x v="2"/>
    <x v="13"/>
    <n v="1049"/>
    <n v="5245"/>
    <x v="0"/>
    <d v="2025-04-07T00:00:00"/>
    <x v="0"/>
    <s v="No"/>
    <s v="No"/>
    <x v="0"/>
    <x v="0"/>
    <s v="No"/>
  </r>
  <r>
    <s v="C2951"/>
    <s v="Mohit Desai"/>
    <s v="Male"/>
    <n v="31"/>
    <x v="10"/>
    <x v="0"/>
    <x v="16"/>
    <n v="999"/>
    <n v="11988"/>
    <x v="0"/>
    <d v="2024-09-24T00:00:00"/>
    <x v="1"/>
    <s v="No"/>
    <s v="No"/>
    <x v="0"/>
    <x v="0"/>
    <s v="No"/>
  </r>
  <r>
    <s v="C2952"/>
    <s v="Shreya Sharma"/>
    <s v="Female"/>
    <n v="71"/>
    <x v="5"/>
    <x v="0"/>
    <x v="11"/>
    <m/>
    <m/>
    <x v="0"/>
    <d v="2024-01-26T00:00:00"/>
    <x v="0"/>
    <s v="No"/>
    <s v="No"/>
    <x v="0"/>
    <x v="0"/>
    <s v="Monthly missing; Total missing"/>
  </r>
  <r>
    <s v="C2953"/>
    <s v="Mohit Chopra"/>
    <s v="Male"/>
    <n v="73"/>
    <x v="12"/>
    <x v="2"/>
    <x v="10"/>
    <n v="749"/>
    <n v="12733"/>
    <x v="1"/>
    <d v="2024-05-01T00:00:00"/>
    <x v="0"/>
    <s v="No"/>
    <s v="No"/>
    <x v="0"/>
    <x v="0"/>
    <s v="No"/>
  </r>
  <r>
    <s v="C2954"/>
    <s v="Unknown"/>
    <s v="Male"/>
    <n v="59"/>
    <x v="6"/>
    <x v="0"/>
    <x v="24"/>
    <n v="449"/>
    <n v="1347"/>
    <x v="2"/>
    <d v="2025-06-26T00:00:00"/>
    <x v="1"/>
    <s v="No"/>
    <s v="No"/>
    <x v="0"/>
    <x v="0"/>
    <s v="No"/>
  </r>
  <r>
    <s v="C2955"/>
    <s v="Suresh Malhotra"/>
    <s v="Male"/>
    <n v="22"/>
    <x v="3"/>
    <x v="0"/>
    <x v="23"/>
    <n v="1299"/>
    <n v="29877"/>
    <x v="0"/>
    <d v="2023-11-02T00:00:00"/>
    <x v="1"/>
    <s v="No"/>
    <s v="No"/>
    <x v="0"/>
    <x v="0"/>
    <s v="No"/>
  </r>
  <r>
    <s v="C2956"/>
    <s v="Suresh Patel"/>
    <s v="Male"/>
    <n v="67"/>
    <x v="0"/>
    <x v="2"/>
    <x v="28"/>
    <n v="1099"/>
    <n v="8792"/>
    <x v="0"/>
    <d v="2025-01-11T00:00:00"/>
    <x v="0"/>
    <s v="No"/>
    <s v="No"/>
    <x v="0"/>
    <x v="0"/>
    <s v="No"/>
  </r>
  <r>
    <s v="C2957"/>
    <s v="Rohit Malhotra"/>
    <s v="Male"/>
    <n v="52"/>
    <x v="7"/>
    <x v="0"/>
    <x v="30"/>
    <n v="999"/>
    <n v="17982"/>
    <x v="3"/>
    <d v="2024-03-10T00:00:00"/>
    <x v="0"/>
    <s v="No"/>
    <s v="No"/>
    <x v="0"/>
    <x v="0"/>
    <s v="No"/>
  </r>
  <r>
    <s v="C2958"/>
    <s v="Deepika Gupta"/>
    <s v="Female"/>
    <n v="29"/>
    <x v="2"/>
    <x v="0"/>
    <x v="4"/>
    <n v="999"/>
    <n v="9990"/>
    <x v="0"/>
    <d v="2024-11-24T00:00:00"/>
    <x v="1"/>
    <s v="No"/>
    <s v="No"/>
    <x v="0"/>
    <x v="0"/>
    <s v="No"/>
  </r>
  <r>
    <s v="C2959"/>
    <s v="Arjun Tiwari"/>
    <s v="Male"/>
    <n v="24"/>
    <x v="4"/>
    <x v="0"/>
    <x v="22"/>
    <n v="1049"/>
    <n v="2098"/>
    <x v="0"/>
    <d v="2025-07-27T00:00:00"/>
    <x v="1"/>
    <s v="No"/>
    <s v="No"/>
    <x v="1"/>
    <x v="0"/>
    <s v="No"/>
  </r>
  <r>
    <s v="C2960"/>
    <s v="Deepika Verma"/>
    <s v="Female"/>
    <n v="48"/>
    <x v="3"/>
    <x v="0"/>
    <x v="23"/>
    <n v="999"/>
    <n v="22977"/>
    <x v="0"/>
    <d v="2023-11-04T00:00:00"/>
    <x v="0"/>
    <s v="No"/>
    <s v="No"/>
    <x v="0"/>
    <x v="0"/>
    <s v="No"/>
  </r>
  <r>
    <s v="C2961"/>
    <s v="Amit Yadav"/>
    <s v="Male"/>
    <n v="39"/>
    <x v="13"/>
    <x v="1"/>
    <x v="19"/>
    <n v="999"/>
    <n v="26973"/>
    <x v="0"/>
    <d v="2023-07-05T00:00:00"/>
    <x v="0"/>
    <s v="No"/>
    <s v="Yes"/>
    <x v="0"/>
    <x v="0"/>
    <s v="No"/>
  </r>
  <r>
    <s v="C2962"/>
    <s v="Sonal Bose"/>
    <s v="Female"/>
    <n v="19"/>
    <x v="3"/>
    <x v="0"/>
    <x v="2"/>
    <n v="899"/>
    <n v="9889"/>
    <x v="0"/>
    <d v="2024-10-29T00:00:00"/>
    <x v="0"/>
    <s v="No"/>
    <s v="No"/>
    <x v="0"/>
    <x v="0"/>
    <s v="No"/>
  </r>
  <r>
    <s v="C2963"/>
    <s v="Tanvi Sharma"/>
    <s v="Female"/>
    <n v="19"/>
    <x v="13"/>
    <x v="0"/>
    <x v="24"/>
    <n v="1299"/>
    <n v="3897"/>
    <x v="0"/>
    <d v="2025-06-25T00:00:00"/>
    <x v="0"/>
    <s v="No"/>
    <s v="No"/>
    <x v="0"/>
    <x v="0"/>
    <s v="No"/>
  </r>
  <r>
    <s v="C2964"/>
    <s v="Vikram Reddy"/>
    <s v="Male"/>
    <n v="31"/>
    <x v="1"/>
    <x v="2"/>
    <x v="48"/>
    <n v="899"/>
    <n v="59334"/>
    <x v="0"/>
    <d v="2020-04-22T00:00:00"/>
    <x v="0"/>
    <s v="No"/>
    <s v="No"/>
    <x v="0"/>
    <x v="0"/>
    <s v="No"/>
  </r>
  <r>
    <s v="C2965"/>
    <s v="Rahul Malhotra"/>
    <s v="Male"/>
    <n v="38"/>
    <x v="6"/>
    <x v="2"/>
    <x v="62"/>
    <n v="899"/>
    <n v="47647"/>
    <x v="0"/>
    <d v="2021-05-17T00:00:00"/>
    <x v="1"/>
    <s v="No"/>
    <s v="No"/>
    <x v="0"/>
    <x v="0"/>
    <s v="No"/>
  </r>
  <r>
    <s v="C2966"/>
    <s v="Gaurav Sharma"/>
    <s v="Male"/>
    <n v="47"/>
    <x v="5"/>
    <x v="0"/>
    <x v="13"/>
    <n v="999"/>
    <n v="4995"/>
    <x v="0"/>
    <d v="2025-04-06T00:00:00"/>
    <x v="1"/>
    <s v="No"/>
    <s v="No"/>
    <x v="0"/>
    <x v="0"/>
    <s v="No"/>
  </r>
  <r>
    <s v="C2967"/>
    <s v="Arjun Patel"/>
    <s v="Unknown"/>
    <n v="27"/>
    <x v="4"/>
    <x v="1"/>
    <x v="0"/>
    <n v="649"/>
    <n v="14278"/>
    <x v="3"/>
    <d v="2023-12-06T00:00:00"/>
    <x v="0"/>
    <s v="No"/>
    <s v="No"/>
    <x v="0"/>
    <x v="0"/>
    <s v="No"/>
  </r>
  <r>
    <s v="C2968"/>
    <s v="Rahul Bose"/>
    <s v="Male"/>
    <n v="35"/>
    <x v="5"/>
    <x v="1"/>
    <x v="45"/>
    <n v="1099"/>
    <n v="34069"/>
    <x v="0"/>
    <d v="2023-02-20T00:00:00"/>
    <x v="1"/>
    <s v="No"/>
    <s v="No"/>
    <x v="0"/>
    <x v="0"/>
    <s v="No"/>
  </r>
  <r>
    <s v="C2969"/>
    <s v="Vivek Chopra"/>
    <s v="Male"/>
    <n v="58"/>
    <x v="2"/>
    <x v="0"/>
    <x v="13"/>
    <n v="749"/>
    <n v="3745"/>
    <x v="1"/>
    <d v="2025-04-12T00:00:00"/>
    <x v="0"/>
    <s v="No"/>
    <s v="No"/>
    <x v="0"/>
    <x v="0"/>
    <s v="No"/>
  </r>
  <r>
    <s v="C2970"/>
    <s v="Sonal Sharma"/>
    <s v="Female"/>
    <n v="61"/>
    <x v="8"/>
    <x v="0"/>
    <x v="23"/>
    <n v="699"/>
    <n v="16077"/>
    <x v="1"/>
    <d v="2023-10-27T00:00:00"/>
    <x v="2"/>
    <s v="No"/>
    <s v="No"/>
    <x v="0"/>
    <x v="0"/>
    <s v="Churn unknown"/>
  </r>
  <r>
    <s v="C2971"/>
    <s v="Rohit Reddy"/>
    <s v="Male"/>
    <n v="24"/>
    <x v="11"/>
    <x v="1"/>
    <x v="1"/>
    <n v="799"/>
    <n v="27965"/>
    <x v="1"/>
    <d v="2022-10-31T00:00:00"/>
    <x v="0"/>
    <s v="No"/>
    <s v="No"/>
    <x v="0"/>
    <x v="0"/>
    <s v="No"/>
  </r>
  <r>
    <s v="C2972"/>
    <s v="Aditi Agarwal"/>
    <s v="Female"/>
    <n v="56"/>
    <x v="13"/>
    <x v="0"/>
    <x v="36"/>
    <n v="1099"/>
    <n v="17584"/>
    <x v="0"/>
    <d v="2024-06-01T00:00:00"/>
    <x v="0"/>
    <s v="No"/>
    <s v="No"/>
    <x v="0"/>
    <x v="1"/>
    <s v="No"/>
  </r>
  <r>
    <s v="C2973"/>
    <s v="Ankit Rao"/>
    <s v="Male"/>
    <n v="21"/>
    <x v="3"/>
    <x v="0"/>
    <x v="8"/>
    <n v="699"/>
    <n v="10485"/>
    <x v="1"/>
    <d v="2024-06-21T00:00:00"/>
    <x v="0"/>
    <s v="No"/>
    <s v="No"/>
    <x v="0"/>
    <x v="0"/>
    <s v="No"/>
  </r>
  <r>
    <s v="C2974"/>
    <s v="Rajesh Reddy"/>
    <s v="Male"/>
    <n v="54"/>
    <x v="3"/>
    <x v="0"/>
    <x v="6"/>
    <n v="899"/>
    <n v="17081"/>
    <x v="0"/>
    <d v="2024-03-06T00:00:00"/>
    <x v="1"/>
    <s v="No"/>
    <s v="No"/>
    <x v="0"/>
    <x v="0"/>
    <s v="No"/>
  </r>
  <r>
    <s v="C2975"/>
    <s v="Tanvi Agarwal"/>
    <s v="Female"/>
    <n v="64"/>
    <x v="13"/>
    <x v="0"/>
    <x v="27"/>
    <n v="399"/>
    <n v="2793"/>
    <x v="2"/>
    <d v="2025-02-05T00:00:00"/>
    <x v="0"/>
    <s v="No"/>
    <s v="No"/>
    <x v="0"/>
    <x v="0"/>
    <s v="No"/>
  </r>
  <r>
    <s v="C2976"/>
    <s v="Ritu Malhotra"/>
    <s v="Female"/>
    <n v="52"/>
    <x v="5"/>
    <x v="0"/>
    <x v="22"/>
    <n v="799"/>
    <n v="1598"/>
    <x v="1"/>
    <d v="2025-07-14T00:00:00"/>
    <x v="1"/>
    <s v="No"/>
    <s v="No"/>
    <x v="0"/>
    <x v="0"/>
    <s v="No"/>
  </r>
  <r>
    <s v="C2977"/>
    <s v="Swati Malhotra"/>
    <s v="Female"/>
    <n v="45"/>
    <x v="8"/>
    <x v="0"/>
    <x v="15"/>
    <n v="399"/>
    <n v="2394"/>
    <x v="2"/>
    <d v="2025-03-17T00:00:00"/>
    <x v="0"/>
    <s v="No"/>
    <s v="No"/>
    <x v="0"/>
    <x v="0"/>
    <s v="No"/>
  </r>
  <r>
    <s v="C2978"/>
    <s v="Rahul Patel"/>
    <s v="Male"/>
    <n v="75"/>
    <x v="2"/>
    <x v="0"/>
    <x v="27"/>
    <n v="599"/>
    <n v="4193"/>
    <x v="1"/>
    <d v="2025-02-14T00:00:00"/>
    <x v="1"/>
    <s v="No"/>
    <s v="No"/>
    <x v="0"/>
    <x v="1"/>
    <s v="No"/>
  </r>
  <r>
    <s v="C2979"/>
    <s v="Ritu Iyer"/>
    <s v="Female"/>
    <n v="65"/>
    <x v="14"/>
    <x v="2"/>
    <x v="8"/>
    <n v="899"/>
    <n v="13485"/>
    <x v="0"/>
    <d v="2024-06-17T00:00:00"/>
    <x v="0"/>
    <s v="No"/>
    <s v="No"/>
    <x v="0"/>
    <x v="0"/>
    <s v="No"/>
  </r>
  <r>
    <s v="C2980"/>
    <s v="Karan Malhotra"/>
    <s v="Male"/>
    <n v="47"/>
    <x v="12"/>
    <x v="1"/>
    <x v="15"/>
    <n v="749"/>
    <n v="4494"/>
    <x v="1"/>
    <d v="2025-03-28T00:00:00"/>
    <x v="0"/>
    <s v="Yes"/>
    <s v="No"/>
    <x v="0"/>
    <x v="0"/>
    <s v="No"/>
  </r>
  <r>
    <s v="C2981"/>
    <s v="Deepika Kapoor"/>
    <s v="Female"/>
    <n v="65"/>
    <x v="6"/>
    <x v="1"/>
    <x v="14"/>
    <n v="1099"/>
    <n v="40663"/>
    <x v="0"/>
    <d v="2022-09-14T00:00:00"/>
    <x v="1"/>
    <s v="No"/>
    <s v="No"/>
    <x v="0"/>
    <x v="0"/>
    <s v="No"/>
  </r>
  <r>
    <s v="C2982"/>
    <s v="Aditi Mishra"/>
    <s v="Female"/>
    <n v="71"/>
    <x v="4"/>
    <x v="2"/>
    <x v="49"/>
    <n v="449"/>
    <n v="31879"/>
    <x v="2"/>
    <d v="2019-11-28T00:00:00"/>
    <x v="0"/>
    <s v="No"/>
    <s v="Yes"/>
    <x v="0"/>
    <x v="0"/>
    <s v="No"/>
  </r>
  <r>
    <s v="C2983"/>
    <s v="Rahul Yadav"/>
    <s v="Male"/>
    <n v="70"/>
    <x v="6"/>
    <x v="2"/>
    <x v="39"/>
    <n v="1099"/>
    <n v="31871"/>
    <x v="0"/>
    <d v="2023-04-19T00:00:00"/>
    <x v="0"/>
    <s v="No"/>
    <s v="No"/>
    <x v="0"/>
    <x v="0"/>
    <s v="No"/>
  </r>
  <r>
    <s v="C2984"/>
    <s v="Ankit Kumar"/>
    <s v="Male"/>
    <n v="24"/>
    <x v="1"/>
    <x v="2"/>
    <x v="5"/>
    <n v="849"/>
    <n v="61128"/>
    <x v="1"/>
    <d v="2019-10-26T00:00:00"/>
    <x v="0"/>
    <s v="No"/>
    <s v="No"/>
    <x v="0"/>
    <x v="0"/>
    <s v="No"/>
  </r>
  <r>
    <s v="C2985"/>
    <s v="Pooja Sharma"/>
    <s v="Female"/>
    <n v="47"/>
    <x v="9"/>
    <x v="0"/>
    <x v="21"/>
    <n v="399"/>
    <n v="399"/>
    <x v="2"/>
    <d v="2025-08-22T00:00:00"/>
    <x v="1"/>
    <s v="Yes"/>
    <s v="No"/>
    <x v="0"/>
    <x v="0"/>
    <s v="No"/>
  </r>
  <r>
    <s v="C2986"/>
    <s v="Nisha Tiwari"/>
    <s v="Female"/>
    <n v="19"/>
    <x v="7"/>
    <x v="0"/>
    <x v="11"/>
    <n v="449"/>
    <n v="8980"/>
    <x v="2"/>
    <m/>
    <x v="0"/>
    <s v="No"/>
    <s v="Yes"/>
    <x v="0"/>
    <x v="0"/>
    <s v="Date missing"/>
  </r>
  <r>
    <s v="C2987"/>
    <s v="Divya Tiwari"/>
    <s v="Female"/>
    <n v="46"/>
    <x v="8"/>
    <x v="1"/>
    <x v="37"/>
    <n v="649"/>
    <n v="23364"/>
    <x v="1"/>
    <d v="2022-09-22T00:00:00"/>
    <x v="0"/>
    <s v="No"/>
    <s v="No"/>
    <x v="0"/>
    <x v="0"/>
    <s v="No"/>
  </r>
  <r>
    <s v="C2988"/>
    <s v="Mohit Singh"/>
    <s v="Male"/>
    <n v="26"/>
    <x v="9"/>
    <x v="0"/>
    <x v="4"/>
    <n v="999"/>
    <n v="9990"/>
    <x v="0"/>
    <d v="2024-11-16T00:00:00"/>
    <x v="1"/>
    <s v="No"/>
    <s v="No"/>
    <x v="1"/>
    <x v="0"/>
    <s v="No"/>
  </r>
  <r>
    <s v="C2989"/>
    <s v="Payal Kumar"/>
    <s v="Unknown"/>
    <n v="49"/>
    <x v="5"/>
    <x v="1"/>
    <x v="57"/>
    <n v="449"/>
    <n v="13470"/>
    <x v="2"/>
    <d v="2023-04-06T00:00:00"/>
    <x v="0"/>
    <s v="No"/>
    <s v="No"/>
    <x v="0"/>
    <x v="0"/>
    <s v="No"/>
  </r>
  <r>
    <s v="C2990"/>
    <s v="Unknown"/>
    <s v="Unknown"/>
    <n v="32"/>
    <x v="2"/>
    <x v="2"/>
    <x v="7"/>
    <n v="599"/>
    <n v="22762"/>
    <x v="1"/>
    <d v="2022-07-22T00:00:00"/>
    <x v="0"/>
    <s v="No"/>
    <s v="No"/>
    <x v="0"/>
    <x v="1"/>
    <s v="No"/>
  </r>
  <r>
    <s v="C2991"/>
    <s v="Sachin Pandey"/>
    <s v="Male"/>
    <n v="39"/>
    <x v="4"/>
    <x v="3"/>
    <x v="24"/>
    <n v="999"/>
    <n v="2997"/>
    <x v="0"/>
    <d v="2025-06-30T00:00:00"/>
    <x v="1"/>
    <s v="No"/>
    <s v="Yes"/>
    <x v="0"/>
    <x v="0"/>
    <s v="No"/>
  </r>
  <r>
    <s v="C2992"/>
    <s v="Divya Reddy"/>
    <s v="Female"/>
    <n v="74"/>
    <x v="3"/>
    <x v="0"/>
    <x v="28"/>
    <n v="1049"/>
    <n v="8392"/>
    <x v="0"/>
    <d v="2025-01-30T00:00:00"/>
    <x v="1"/>
    <s v="No"/>
    <s v="No"/>
    <x v="1"/>
    <x v="0"/>
    <s v="No"/>
  </r>
  <r>
    <s v="C2993"/>
    <s v="Rohit Mishra"/>
    <s v="Male"/>
    <n v="33"/>
    <x v="1"/>
    <x v="0"/>
    <x v="24"/>
    <n v="849"/>
    <n v="2547"/>
    <x v="1"/>
    <d v="2025-06-02T00:00:00"/>
    <x v="1"/>
    <s v="No"/>
    <s v="No"/>
    <x v="0"/>
    <x v="1"/>
    <s v="No"/>
  </r>
  <r>
    <s v="C2994"/>
    <s v="Rajesh Agarwal"/>
    <s v="Male"/>
    <n v="58"/>
    <x v="12"/>
    <x v="0"/>
    <x v="21"/>
    <n v="849"/>
    <n v="849"/>
    <x v="1"/>
    <m/>
    <x v="0"/>
    <s v="No"/>
    <s v="No"/>
    <x v="1"/>
    <x v="0"/>
    <s v="Date missing"/>
  </r>
  <r>
    <s v="C2995"/>
    <s v="Nisha Tiwari"/>
    <s v="Female"/>
    <n v="66"/>
    <x v="2"/>
    <x v="0"/>
    <x v="9"/>
    <n v="449"/>
    <n v="10776"/>
    <x v="2"/>
    <d v="2023-10-08T00:00:00"/>
    <x v="1"/>
    <s v="No"/>
    <s v="No"/>
    <x v="0"/>
    <x v="0"/>
    <s v="No"/>
  </r>
  <r>
    <s v="C2996"/>
    <s v="Meera Singh"/>
    <s v="Female"/>
    <n v="46"/>
    <x v="12"/>
    <x v="2"/>
    <x v="25"/>
    <n v="349"/>
    <n v="13611"/>
    <x v="2"/>
    <d v="2022-07-14T00:00:00"/>
    <x v="0"/>
    <s v="No"/>
    <s v="No"/>
    <x v="0"/>
    <x v="0"/>
    <s v="No"/>
  </r>
  <r>
    <s v="C2997"/>
    <s v="Ritu Sharma"/>
    <s v="Female"/>
    <n v="41"/>
    <x v="7"/>
    <x v="1"/>
    <x v="33"/>
    <n v="1049"/>
    <n v="14686"/>
    <x v="0"/>
    <d v="2024-07-27T00:00:00"/>
    <x v="0"/>
    <s v="No"/>
    <s v="No"/>
    <x v="0"/>
    <x v="0"/>
    <s v="No"/>
  </r>
  <r>
    <s v="C2998"/>
    <s v="Aman Mishra"/>
    <s v="Male"/>
    <n v="44"/>
    <x v="4"/>
    <x v="0"/>
    <x v="15"/>
    <n v="1049"/>
    <n v="6294"/>
    <x v="0"/>
    <d v="2025-03-28T00:00:00"/>
    <x v="0"/>
    <s v="No"/>
    <s v="No"/>
    <x v="0"/>
    <x v="0"/>
    <s v="No"/>
  </r>
  <r>
    <s v="C2999"/>
    <s v="Meera Rao"/>
    <s v="Female"/>
    <n v="46"/>
    <x v="3"/>
    <x v="0"/>
    <x v="23"/>
    <n v="449"/>
    <n v="10327"/>
    <x v="2"/>
    <d v="2023-10-14T00:00:00"/>
    <x v="0"/>
    <s v="No"/>
    <s v="No"/>
    <x v="0"/>
    <x v="0"/>
    <s v="No"/>
  </r>
  <r>
    <s v="C3000"/>
    <s v="Pooja Singh"/>
    <s v="Female"/>
    <n v="35"/>
    <x v="4"/>
    <x v="2"/>
    <x v="71"/>
    <n v="1299"/>
    <n v="74043"/>
    <x v="0"/>
    <d v="2020-12-26T00:00:00"/>
    <x v="0"/>
    <s v="No"/>
    <s v="No"/>
    <x v="0"/>
    <x v="0"/>
    <s v="No"/>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C1001"/>
    <s v="Rahul Agarwal"/>
    <s v="Male"/>
    <n v="35"/>
    <x v="0"/>
    <x v="0"/>
    <s v="Month-to-month"/>
    <n v="22"/>
    <x v="0"/>
    <n v="1149"/>
    <n v="25278"/>
    <s v="Fiber"/>
    <d v="2023-12-07T00:00:00"/>
    <s v="No"/>
    <n v="0"/>
    <s v="No"/>
    <s v="No"/>
    <s v="No"/>
    <s v="No"/>
    <s v="No"/>
  </r>
  <r>
    <s v="C1002"/>
    <s v="Vikram Mehta"/>
    <s v="Male"/>
    <n v="32"/>
    <x v="0"/>
    <x v="1"/>
    <s v="One year"/>
    <n v="35"/>
    <x v="1"/>
    <n v="999"/>
    <n v="34965"/>
    <s v="Fiber"/>
    <d v="2022-10-19T00:00:00"/>
    <s v="No"/>
    <n v="0"/>
    <s v="No"/>
    <s v="No"/>
    <s v="No"/>
    <s v="No"/>
    <s v="No"/>
  </r>
  <r>
    <s v="C1003"/>
    <s v="Arjun Pandey"/>
    <s v="Male"/>
    <n v="47"/>
    <x v="1"/>
    <x v="2"/>
    <s v="Month-to-month"/>
    <n v="11"/>
    <x v="2"/>
    <n v="599"/>
    <n v="6589"/>
    <s v="DSL"/>
    <d v="2024-10-06T00:00:00"/>
    <s v="Yes"/>
    <n v="1"/>
    <s v="Yes"/>
    <s v="No"/>
    <s v="No"/>
    <s v="No"/>
    <s v="No"/>
  </r>
  <r>
    <s v="C1004"/>
    <s v="Riya Malhotra"/>
    <s v="Female"/>
    <n v="69"/>
    <x v="2"/>
    <x v="3"/>
    <s v="One year"/>
    <n v="25"/>
    <x v="1"/>
    <n v="1149"/>
    <n v="28725"/>
    <s v="Fiber"/>
    <d v="2023-08-21T00:00:00"/>
    <s v="Unknown"/>
    <s v=""/>
    <s v="No"/>
    <s v="No"/>
    <s v="No"/>
    <s v="No"/>
    <s v="Churn unknown"/>
  </r>
  <r>
    <s v="C1005"/>
    <s v="Tanvi Mehta"/>
    <s v="Female"/>
    <n v="63"/>
    <x v="2"/>
    <x v="4"/>
    <s v="Month-to-month"/>
    <n v="10"/>
    <x v="2"/>
    <n v="599"/>
    <n v="5990"/>
    <s v="DSL"/>
    <d v="2024-11-20T00:00:00"/>
    <s v="No"/>
    <n v="0"/>
    <s v="No"/>
    <s v="No"/>
    <s v="No"/>
    <s v="No"/>
    <s v="No"/>
  </r>
  <r>
    <s v="C1006"/>
    <s v="Shreya Chopra"/>
    <s v="Female"/>
    <n v="71"/>
    <x v="2"/>
    <x v="2"/>
    <s v="Month-to-month"/>
    <n v="22"/>
    <x v="0"/>
    <n v="1199"/>
    <n v="26378"/>
    <s v="Fiber"/>
    <d v="2023-12-03T00:00:00"/>
    <s v="No"/>
    <n v="0"/>
    <s v="No"/>
    <s v="No"/>
    <s v="No"/>
    <s v="No"/>
    <s v="No"/>
  </r>
  <r>
    <s v="C1007"/>
    <s v="Arjun Kapoor"/>
    <s v="Male"/>
    <n v="42"/>
    <x v="3"/>
    <x v="5"/>
    <s v="Two year"/>
    <n v="72"/>
    <x v="3"/>
    <n v="1199"/>
    <n v="86328"/>
    <s v="Fiber"/>
    <d v="2019-10-06T00:00:00"/>
    <s v="No"/>
    <n v="0"/>
    <s v="No"/>
    <s v="No"/>
    <s v="No"/>
    <s v="No"/>
    <s v="No"/>
  </r>
  <r>
    <s v="C1008"/>
    <s v="Manish Verma"/>
    <s v="Male"/>
    <n v="69"/>
    <x v="2"/>
    <x v="2"/>
    <s v="Month-to-month"/>
    <n v="19"/>
    <x v="0"/>
    <n v="849"/>
    <n v="16131"/>
    <s v="DSL"/>
    <d v="2024-02-24T00:00:00"/>
    <s v="No"/>
    <n v="0"/>
    <s v="No"/>
    <s v="No"/>
    <s v="No"/>
    <s v="No"/>
    <s v="No"/>
  </r>
  <r>
    <s v="C1009"/>
    <s v="Pooja Malhotra"/>
    <s v="Female"/>
    <n v="26"/>
    <x v="0"/>
    <x v="0"/>
    <s v="One year"/>
    <n v="38"/>
    <x v="1"/>
    <n v="1149"/>
    <n v="43662"/>
    <s v="Fiber"/>
    <d v="2022-08-11T00:00:00"/>
    <s v="No"/>
    <n v="0"/>
    <s v="No"/>
    <s v="No"/>
    <s v="No"/>
    <s v="Yes"/>
    <s v="No"/>
  </r>
  <r>
    <s v="C1010"/>
    <s v="Neha Verma"/>
    <s v="Female"/>
    <n v="73"/>
    <x v="2"/>
    <x v="4"/>
    <s v="Month-to-month"/>
    <n v="22"/>
    <x v="0"/>
    <n v="749"/>
    <n v="16478"/>
    <s v="DSL"/>
    <m/>
    <s v="Yes"/>
    <n v="1"/>
    <s v="No"/>
    <s v="No"/>
    <s v="No"/>
    <s v="No"/>
    <s v="Date missing"/>
  </r>
  <r>
    <s v="C1011"/>
    <s v="Payal Malhotra"/>
    <s v="Female"/>
    <n v="53"/>
    <x v="1"/>
    <x v="6"/>
    <s v="Two year"/>
    <n v="15"/>
    <x v="0"/>
    <n v="1149"/>
    <n v="17235"/>
    <s v="Fiber"/>
    <d v="2024-06-25T00:00:00"/>
    <s v="No"/>
    <n v="0"/>
    <s v="No"/>
    <s v="No"/>
    <s v="No"/>
    <s v="No"/>
    <s v="No"/>
  </r>
  <r>
    <s v="C1012"/>
    <s v="Harsh Tiwari"/>
    <s v="Male"/>
    <n v="28"/>
    <x v="0"/>
    <x v="7"/>
    <s v="Month-to-month"/>
    <n v="24"/>
    <x v="0"/>
    <n v="1149"/>
    <n v="27576"/>
    <s v="Fiber"/>
    <d v="2023-10-06T00:00:00"/>
    <s v="No"/>
    <n v="0"/>
    <s v="No"/>
    <s v="No"/>
    <s v="No"/>
    <s v="No"/>
    <s v="No"/>
  </r>
  <r>
    <s v="C1013"/>
    <s v="Payal Yadav"/>
    <s v="Unknown"/>
    <n v="30"/>
    <x v="0"/>
    <x v="8"/>
    <s v="Month-to-month"/>
    <n v="17"/>
    <x v="0"/>
    <n v="599"/>
    <n v="10183"/>
    <s v="DSL"/>
    <d v="2024-05-03T00:00:00"/>
    <s v="No"/>
    <n v="0"/>
    <s v="No"/>
    <s v="No"/>
    <s v="No"/>
    <s v="No"/>
    <s v="No"/>
  </r>
  <r>
    <s v="C1014"/>
    <s v="Aditi Nair"/>
    <s v="Female"/>
    <n v="21"/>
    <x v="4"/>
    <x v="0"/>
    <s v="Two year"/>
    <n v="11"/>
    <x v="2"/>
    <n v="349"/>
    <n v="3839"/>
    <s v="No Internet"/>
    <d v="2024-10-16T00:00:00"/>
    <s v="No"/>
    <n v="0"/>
    <s v="No"/>
    <s v="No"/>
    <s v="No"/>
    <s v="No"/>
    <s v="No"/>
  </r>
  <r>
    <s v="C1015"/>
    <s v="Rohit Saxena"/>
    <s v="Unknown"/>
    <n v="48"/>
    <x v="1"/>
    <x v="1"/>
    <s v="Month-to-month"/>
    <n v="20"/>
    <x v="0"/>
    <n v="999"/>
    <n v="19980"/>
    <s v="Fiber"/>
    <d v="2024-01-15T00:00:00"/>
    <s v="No"/>
    <n v="0"/>
    <s v="No"/>
    <s v="No"/>
    <s v="No"/>
    <s v="No"/>
    <s v="No"/>
  </r>
  <r>
    <s v="C1016"/>
    <s v="Harsh Rao"/>
    <s v="Male"/>
    <n v="60"/>
    <x v="1"/>
    <x v="9"/>
    <s v="Month-to-month"/>
    <m/>
    <x v="4"/>
    <m/>
    <n v="5985"/>
    <s v="No Internet"/>
    <d v="2024-07-05T00:00:00"/>
    <s v="Yes"/>
    <n v="1"/>
    <s v="No"/>
    <s v="No"/>
    <s v="No"/>
    <s v="No"/>
    <s v="Monthly missing; Tenure missing"/>
  </r>
  <r>
    <s v="C1017"/>
    <s v="Rajesh Nair"/>
    <s v="Male"/>
    <n v="18"/>
    <x v="4"/>
    <x v="4"/>
    <s v="One year"/>
    <n v="5"/>
    <x v="4"/>
    <n v="599"/>
    <n v="2995"/>
    <s v="DSL"/>
    <d v="2025-04-24T00:00:00"/>
    <s v="Yes"/>
    <n v="1"/>
    <s v="No"/>
    <s v="No"/>
    <s v="No"/>
    <s v="No"/>
    <s v="No"/>
  </r>
  <r>
    <s v="C1018"/>
    <s v="Komal Mehta"/>
    <s v="Female"/>
    <n v="52"/>
    <x v="1"/>
    <x v="8"/>
    <s v="One year"/>
    <n v="37"/>
    <x v="1"/>
    <n v="499"/>
    <n v="18463"/>
    <s v="No Internet"/>
    <d v="2022-09-08T00:00:00"/>
    <s v="No"/>
    <n v="0"/>
    <s v="No"/>
    <s v="No"/>
    <s v="No"/>
    <s v="No"/>
    <s v="No"/>
  </r>
  <r>
    <s v="C1019"/>
    <s v="Karan Saxena"/>
    <s v="Male"/>
    <n v="45"/>
    <x v="3"/>
    <x v="2"/>
    <s v="Month-to-month"/>
    <n v="24"/>
    <x v="0"/>
    <n v="1199"/>
    <n v="28776"/>
    <s v="Fiber"/>
    <d v="2023-09-16T00:00:00"/>
    <s v="Yes"/>
    <n v="1"/>
    <s v="No"/>
    <s v="No"/>
    <s v="No"/>
    <s v="No"/>
    <s v="No"/>
  </r>
  <r>
    <s v="C1020"/>
    <s v="Anjali Nair"/>
    <s v="Female"/>
    <n v="30"/>
    <x v="0"/>
    <x v="0"/>
    <s v="Month-to-month"/>
    <n v="6"/>
    <x v="4"/>
    <n v="699"/>
    <n v="4194"/>
    <s v="DSL"/>
    <d v="2025-03-30T00:00:00"/>
    <s v="No"/>
    <n v="0"/>
    <s v="No"/>
    <s v="No"/>
    <s v="No"/>
    <s v="Yes"/>
    <s v="No"/>
  </r>
  <r>
    <s v="C1021"/>
    <s v="Sonal Reddy"/>
    <s v="Female"/>
    <n v="21"/>
    <x v="4"/>
    <x v="9"/>
    <s v="Two year"/>
    <n v="12"/>
    <x v="2"/>
    <n v="399"/>
    <n v="4788"/>
    <s v="No Internet"/>
    <d v="2024-09-18T00:00:00"/>
    <s v="No"/>
    <n v="0"/>
    <s v="No"/>
    <s v="No"/>
    <s v="No"/>
    <s v="Yes"/>
    <s v="No"/>
  </r>
  <r>
    <s v="C1022"/>
    <s v="Deepika Rao"/>
    <s v="Female"/>
    <n v="75"/>
    <x v="2"/>
    <x v="3"/>
    <s v="Month-to-month"/>
    <n v="13"/>
    <x v="0"/>
    <n v="699"/>
    <n v="9087"/>
    <s v="DSL"/>
    <d v="2024-08-12T00:00:00"/>
    <s v="Yes"/>
    <n v="1"/>
    <s v="No"/>
    <s v="No"/>
    <s v="No"/>
    <s v="No"/>
    <s v="No"/>
  </r>
  <r>
    <s v="C1023"/>
    <s v="Pooja Mehta"/>
    <s v="Female"/>
    <n v="36"/>
    <x v="3"/>
    <x v="0"/>
    <s v="Two year"/>
    <n v="70"/>
    <x v="3"/>
    <n v="1199"/>
    <n v="83930"/>
    <s v="Fiber"/>
    <d v="2019-12-11T00:00:00"/>
    <s v="Yes"/>
    <n v="1"/>
    <s v="No"/>
    <s v="No"/>
    <s v="No"/>
    <s v="No"/>
    <s v="No"/>
  </r>
  <r>
    <s v="C1024"/>
    <s v="Payal Jain"/>
    <s v="Female"/>
    <n v="28"/>
    <x v="0"/>
    <x v="10"/>
    <s v="Two year"/>
    <n v="24"/>
    <x v="0"/>
    <n v="599"/>
    <n v="14376"/>
    <s v="DSL"/>
    <d v="2023-10-02T00:00:00"/>
    <s v="No"/>
    <n v="0"/>
    <s v="No"/>
    <s v="No"/>
    <s v="No"/>
    <s v="No"/>
    <s v="No"/>
  </r>
  <r>
    <s v="C1025"/>
    <s v="Anjali Bose"/>
    <s v="Female"/>
    <n v="33"/>
    <x v="0"/>
    <x v="11"/>
    <s v="One year"/>
    <n v="27"/>
    <x v="1"/>
    <n v="1149"/>
    <n v="31023"/>
    <s v="Fiber"/>
    <d v="2023-06-12T00:00:00"/>
    <s v="No"/>
    <n v="0"/>
    <s v="No"/>
    <s v="No"/>
    <s v="No"/>
    <s v="No"/>
    <s v="No"/>
  </r>
  <r>
    <s v="C1026"/>
    <s v="Deepika Saxena"/>
    <s v="Female"/>
    <n v="63"/>
    <x v="2"/>
    <x v="2"/>
    <s v="Month-to-month"/>
    <n v="22"/>
    <x v="0"/>
    <n v="1049"/>
    <n v="23078"/>
    <s v="Fiber"/>
    <m/>
    <s v="Yes"/>
    <n v="1"/>
    <s v="No"/>
    <s v="No"/>
    <s v="No"/>
    <s v="No"/>
    <s v="Date missing"/>
  </r>
  <r>
    <s v="C1027"/>
    <s v="Rahul Kapoor"/>
    <s v="Male"/>
    <n v="57"/>
    <x v="1"/>
    <x v="11"/>
    <s v="Two year"/>
    <n v="28"/>
    <x v="1"/>
    <n v="799"/>
    <n v="22372"/>
    <s v="DSL"/>
    <d v="2023-05-14T00:00:00"/>
    <s v="No"/>
    <n v="0"/>
    <s v="No"/>
    <s v="No"/>
    <s v="No"/>
    <s v="No"/>
    <s v="No"/>
  </r>
  <r>
    <s v="C1028"/>
    <s v="Unknown"/>
    <s v="Male"/>
    <n v="36"/>
    <x v="3"/>
    <x v="8"/>
    <s v="Month-to-month"/>
    <n v="10"/>
    <x v="2"/>
    <n v="1299"/>
    <n v="12990"/>
    <s v="Fiber"/>
    <d v="2024-11-06T00:00:00"/>
    <s v="Yes"/>
    <n v="1"/>
    <s v="No"/>
    <s v="No"/>
    <s v="No"/>
    <s v="No"/>
    <s v="No"/>
  </r>
  <r>
    <s v="C1029"/>
    <s v="Anjali Singh"/>
    <s v="Female"/>
    <n v="34"/>
    <x v="0"/>
    <x v="4"/>
    <s v="Two year"/>
    <n v="20"/>
    <x v="0"/>
    <n v="1049"/>
    <n v="20980"/>
    <s v="Fiber"/>
    <m/>
    <s v="No"/>
    <n v="0"/>
    <s v="No"/>
    <s v="Yes"/>
    <s v="No"/>
    <s v="No"/>
    <s v="Date missing"/>
  </r>
  <r>
    <s v="C1030"/>
    <s v="Suresh Jain"/>
    <s v="Male"/>
    <n v="49"/>
    <x v="1"/>
    <x v="5"/>
    <s v="Unknown"/>
    <n v="12"/>
    <x v="2"/>
    <n v="449"/>
    <n v="5388"/>
    <s v="No Internet"/>
    <d v="2024-09-23T00:00:00"/>
    <s v="Yes"/>
    <n v="1"/>
    <s v="No"/>
    <s v="No"/>
    <s v="No"/>
    <s v="No"/>
    <s v="No"/>
  </r>
  <r>
    <s v="C1031"/>
    <s v="Suresh Gupta"/>
    <s v="Male"/>
    <n v="65"/>
    <x v="2"/>
    <x v="7"/>
    <s v="One year"/>
    <n v="1"/>
    <x v="4"/>
    <n v="899"/>
    <n v="899"/>
    <s v="Fiber"/>
    <d v="2025-08-03T00:00:00"/>
    <s v="No"/>
    <n v="0"/>
    <s v="No"/>
    <s v="No"/>
    <s v="No"/>
    <s v="Yes"/>
    <s v="No"/>
  </r>
  <r>
    <s v="C1032"/>
    <s v="Tanvi Mishra"/>
    <s v="Female"/>
    <n v="27"/>
    <x v="0"/>
    <x v="12"/>
    <s v="Month-to-month"/>
    <n v="2"/>
    <x v="4"/>
    <n v="699"/>
    <n v="1398"/>
    <s v="DSL"/>
    <d v="2025-07-19T00:00:00"/>
    <s v="No"/>
    <n v="0"/>
    <s v="No"/>
    <s v="No"/>
    <s v="No"/>
    <s v="No"/>
    <s v="No"/>
  </r>
  <r>
    <s v="C1033"/>
    <s v="Riya Agarwal"/>
    <s v="Female"/>
    <n v="27"/>
    <x v="0"/>
    <x v="0"/>
    <s v="Two year"/>
    <n v="23"/>
    <x v="0"/>
    <n v="399"/>
    <n v="9177"/>
    <s v="No Internet"/>
    <d v="2023-10-29T00:00:00"/>
    <s v="No"/>
    <n v="0"/>
    <s v="No"/>
    <s v="No"/>
    <s v="No"/>
    <s v="No"/>
    <s v="No"/>
  </r>
  <r>
    <s v="C1034"/>
    <s v="Ritu Malhotra"/>
    <s v="Female"/>
    <n v="28"/>
    <x v="0"/>
    <x v="13"/>
    <s v="One year"/>
    <n v="3"/>
    <x v="4"/>
    <n v="1099"/>
    <n v="3297"/>
    <s v="Fiber"/>
    <d v="2025-06-01T00:00:00"/>
    <s v="Yes"/>
    <n v="1"/>
    <s v="No"/>
    <s v="No"/>
    <s v="No"/>
    <s v="No"/>
    <s v="No"/>
  </r>
  <r>
    <s v="C1035"/>
    <s v="Isha Iyer"/>
    <s v="Female"/>
    <n v="70"/>
    <x v="2"/>
    <x v="13"/>
    <s v="Two year"/>
    <n v="25"/>
    <x v="1"/>
    <n v="749"/>
    <n v="18725"/>
    <s v="DSL"/>
    <d v="2023-08-16T00:00:00"/>
    <s v="No"/>
    <n v="0"/>
    <s v="No"/>
    <s v="No"/>
    <s v="No"/>
    <s v="No"/>
    <s v="No"/>
  </r>
  <r>
    <s v="C1036"/>
    <s v="Isha Chopra"/>
    <s v="Female"/>
    <n v="50"/>
    <x v="1"/>
    <x v="12"/>
    <s v="One year"/>
    <n v="22"/>
    <x v="0"/>
    <n v="449"/>
    <n v="9878"/>
    <s v="No Internet"/>
    <d v="2023-11-30T00:00:00"/>
    <s v="No"/>
    <n v="0"/>
    <s v="No"/>
    <s v="No"/>
    <s v="No"/>
    <s v="No"/>
    <s v="No"/>
  </r>
  <r>
    <s v="C1037"/>
    <s v="Karan Yadav"/>
    <s v="Male"/>
    <n v="45"/>
    <x v="3"/>
    <x v="2"/>
    <s v="One year"/>
    <n v="39"/>
    <x v="1"/>
    <n v="799"/>
    <n v="31161"/>
    <s v="DSL"/>
    <d v="2022-07-10T00:00:00"/>
    <s v="No"/>
    <n v="0"/>
    <s v="No"/>
    <s v="No"/>
    <s v="No"/>
    <s v="No"/>
    <s v="No"/>
  </r>
  <r>
    <s v="C1038"/>
    <s v="Sneha Pandey"/>
    <s v="Female"/>
    <n v="45"/>
    <x v="3"/>
    <x v="3"/>
    <s v="Month-to-month"/>
    <n v="22"/>
    <x v="0"/>
    <n v="399"/>
    <n v="8778"/>
    <s v="No Internet"/>
    <d v="2023-12-06T00:00:00"/>
    <s v="Yes"/>
    <n v="1"/>
    <s v="No"/>
    <s v="No"/>
    <s v="Yes"/>
    <s v="No"/>
    <s v="No"/>
  </r>
  <r>
    <s v="C1039"/>
    <s v="Riya Joshi"/>
    <s v="Female"/>
    <n v="60"/>
    <x v="1"/>
    <x v="6"/>
    <s v="Month-to-month"/>
    <n v="17"/>
    <x v="0"/>
    <n v="499"/>
    <n v="8483"/>
    <s v="No Internet"/>
    <d v="2024-04-14T00:00:00"/>
    <s v="Yes"/>
    <n v="1"/>
    <s v="No"/>
    <s v="Yes"/>
    <s v="No"/>
    <s v="No"/>
    <s v="No"/>
  </r>
  <r>
    <s v="C1040"/>
    <s v="Sonal Singh"/>
    <s v="Female"/>
    <n v="30"/>
    <x v="0"/>
    <x v="12"/>
    <s v="One year"/>
    <n v="12"/>
    <x v="2"/>
    <n v="1149"/>
    <n v="13788"/>
    <s v="Fiber"/>
    <d v="2024-09-07T00:00:00"/>
    <s v="No"/>
    <n v="0"/>
    <s v="No"/>
    <s v="Yes"/>
    <s v="No"/>
    <s v="No"/>
    <s v="No"/>
  </r>
  <r>
    <s v="C1041"/>
    <s v="Harsh Iyer"/>
    <s v="Male"/>
    <n v="31"/>
    <x v="0"/>
    <x v="12"/>
    <s v="One year"/>
    <n v="21"/>
    <x v="0"/>
    <n v="1099"/>
    <n v="23079"/>
    <s v="Fiber"/>
    <d v="2023-12-22T00:00:00"/>
    <s v="No"/>
    <n v="0"/>
    <s v="No"/>
    <s v="No"/>
    <s v="No"/>
    <s v="No"/>
    <s v="No"/>
  </r>
  <r>
    <s v="C1042"/>
    <s v="Meera Saxena"/>
    <s v="Female"/>
    <n v="23"/>
    <x v="4"/>
    <x v="5"/>
    <s v="Month-to-month"/>
    <n v="11"/>
    <x v="2"/>
    <n v="1299"/>
    <n v="14289"/>
    <s v="Fiber"/>
    <d v="2024-10-26T00:00:00"/>
    <s v="No"/>
    <n v="0"/>
    <s v="No"/>
    <s v="No"/>
    <s v="No"/>
    <s v="No"/>
    <s v="No"/>
  </r>
  <r>
    <s v="C1043"/>
    <s v="Rohit Sharma"/>
    <s v="Male"/>
    <n v="20"/>
    <x v="4"/>
    <x v="0"/>
    <s v="Two year"/>
    <n v="10"/>
    <x v="2"/>
    <n v="1099"/>
    <n v="10990"/>
    <s v="Fiber"/>
    <d v="2024-11-10T00:00:00"/>
    <s v="No"/>
    <n v="0"/>
    <s v="No"/>
    <s v="No"/>
    <s v="No"/>
    <s v="No"/>
    <s v="No"/>
  </r>
  <r>
    <s v="C1044"/>
    <s v="Komal Rao"/>
    <s v="Female"/>
    <n v="33"/>
    <x v="0"/>
    <x v="8"/>
    <s v="One year"/>
    <n v="7"/>
    <x v="2"/>
    <n v="899"/>
    <n v="6293"/>
    <s v="DSL"/>
    <d v="2025-02-08T00:00:00"/>
    <s v="No"/>
    <n v="0"/>
    <s v="No"/>
    <s v="No"/>
    <s v="No"/>
    <s v="No"/>
    <s v="No"/>
  </r>
  <r>
    <s v="C1045"/>
    <s v="Sneha Mishra"/>
    <s v="Female"/>
    <n v="33"/>
    <x v="0"/>
    <x v="6"/>
    <s v="Month-to-month"/>
    <n v="15"/>
    <x v="0"/>
    <n v="849"/>
    <n v="12735"/>
    <s v="DSL"/>
    <d v="2024-06-11T00:00:00"/>
    <s v="No"/>
    <n v="0"/>
    <s v="No"/>
    <s v="No"/>
    <s v="No"/>
    <s v="No"/>
    <s v="No"/>
  </r>
  <r>
    <s v="C1046"/>
    <s v="Riya Agarwal"/>
    <s v="Female"/>
    <n v="75"/>
    <x v="2"/>
    <x v="1"/>
    <s v="Month-to-month"/>
    <n v="15"/>
    <x v="0"/>
    <n v="499"/>
    <n v="7485"/>
    <s v="No Internet"/>
    <d v="2024-06-11T00:00:00"/>
    <s v="No"/>
    <n v="0"/>
    <s v="No"/>
    <s v="No"/>
    <s v="No"/>
    <s v="No"/>
    <s v="No"/>
  </r>
  <r>
    <s v="C1047"/>
    <s v="Suresh Jain"/>
    <s v="Male"/>
    <n v="49"/>
    <x v="1"/>
    <x v="9"/>
    <s v="Month-to-month"/>
    <n v="23"/>
    <x v="0"/>
    <n v="999"/>
    <n v="22977"/>
    <s v="Fiber"/>
    <d v="2023-10-11T00:00:00"/>
    <s v="Yes"/>
    <n v="1"/>
    <s v="No"/>
    <s v="Yes"/>
    <s v="No"/>
    <s v="No"/>
    <s v="No"/>
  </r>
  <r>
    <s v="C1048"/>
    <s v="Rohit Singh"/>
    <s v="Male"/>
    <n v="32"/>
    <x v="0"/>
    <x v="12"/>
    <s v="One year"/>
    <n v="5"/>
    <x v="4"/>
    <n v="1099"/>
    <n v="5495"/>
    <s v="Fiber"/>
    <d v="2025-04-18T00:00:00"/>
    <s v="No"/>
    <n v="0"/>
    <s v="No"/>
    <s v="No"/>
    <s v="No"/>
    <s v="No"/>
    <s v="No"/>
  </r>
  <r>
    <s v="C1049"/>
    <s v="Sanjay Tiwari"/>
    <s v="Male"/>
    <n v="42"/>
    <x v="3"/>
    <x v="13"/>
    <s v="One year"/>
    <n v="37"/>
    <x v="1"/>
    <n v="1099"/>
    <n v="40663"/>
    <s v="Fiber"/>
    <d v="2022-09-05T00:00:00"/>
    <s v="No"/>
    <n v="0"/>
    <s v="No"/>
    <s v="No"/>
    <s v="No"/>
    <s v="No"/>
    <s v="No"/>
  </r>
  <r>
    <s v="C1050"/>
    <s v="Nisha Mishra"/>
    <s v="Female"/>
    <n v="65"/>
    <x v="2"/>
    <x v="14"/>
    <s v="Month-to-month"/>
    <n v="8"/>
    <x v="2"/>
    <n v="999"/>
    <n v="7992"/>
    <s v="Fiber"/>
    <d v="2025-01-31T00:00:00"/>
    <s v="Yes"/>
    <n v="1"/>
    <s v="No"/>
    <s v="No"/>
    <s v="No"/>
    <s v="No"/>
    <s v="No"/>
  </r>
  <r>
    <s v="C1051"/>
    <s v="Swati Saxena"/>
    <s v="Female"/>
    <n v="61"/>
    <x v="2"/>
    <x v="13"/>
    <s v="Month-to-month"/>
    <m/>
    <x v="4"/>
    <m/>
    <n v="9735"/>
    <s v="DSL"/>
    <d v="2024-06-23T00:00:00"/>
    <s v="Yes"/>
    <n v="1"/>
    <s v="No"/>
    <s v="No"/>
    <s v="No"/>
    <s v="No"/>
    <s v="Monthly missing; Tenure missing"/>
  </r>
  <r>
    <s v="C1052"/>
    <s v="Vikram Chopra"/>
    <s v="Male"/>
    <n v="45"/>
    <x v="3"/>
    <x v="8"/>
    <s v="Two year"/>
    <n v="34"/>
    <x v="1"/>
    <n v="749"/>
    <n v="25466"/>
    <s v="DSL"/>
    <d v="2022-12-03T00:00:00"/>
    <s v="No"/>
    <n v="0"/>
    <s v="No"/>
    <s v="No"/>
    <s v="No"/>
    <s v="No"/>
    <s v="No"/>
  </r>
  <r>
    <s v="C1053"/>
    <s v="Kavita Tiwari"/>
    <s v="Female"/>
    <n v="34"/>
    <x v="0"/>
    <x v="6"/>
    <s v="Month-to-month"/>
    <n v="18"/>
    <x v="0"/>
    <n v="599"/>
    <n v="10782"/>
    <s v="DSL"/>
    <d v="2024-03-13T00:00:00"/>
    <s v="No"/>
    <n v="0"/>
    <s v="No"/>
    <s v="No"/>
    <s v="No"/>
    <s v="No"/>
    <s v="No"/>
  </r>
  <r>
    <s v="C1054"/>
    <s v="Rahul Nair"/>
    <s v="Male"/>
    <n v="30"/>
    <x v="0"/>
    <x v="6"/>
    <s v="Month-to-month"/>
    <n v="5"/>
    <x v="4"/>
    <n v="749"/>
    <n v="3745"/>
    <s v="DSL"/>
    <d v="2025-04-25T00:00:00"/>
    <s v="Yes"/>
    <n v="1"/>
    <s v="No"/>
    <s v="No"/>
    <s v="No"/>
    <s v="No"/>
    <s v="No"/>
  </r>
  <r>
    <s v="C1055"/>
    <s v="Kavita Patel"/>
    <s v="Unknown"/>
    <n v="28"/>
    <x v="0"/>
    <x v="11"/>
    <s v="One year"/>
    <n v="8"/>
    <x v="2"/>
    <n v="1299"/>
    <n v="10392"/>
    <s v="Fiber"/>
    <d v="2025-01-28T00:00:00"/>
    <s v="Unknown"/>
    <s v=""/>
    <s v="No"/>
    <s v="No"/>
    <s v="No"/>
    <s v="No"/>
    <s v="Churn unknown"/>
  </r>
  <r>
    <s v="C1056"/>
    <s v="Harsh Bose"/>
    <s v="Male"/>
    <n v="61"/>
    <x v="2"/>
    <x v="12"/>
    <s v="Month-to-month"/>
    <n v="3"/>
    <x v="4"/>
    <n v="1199"/>
    <n v="3597"/>
    <s v="Fiber"/>
    <d v="2025-06-06T00:00:00"/>
    <s v="Yes"/>
    <n v="1"/>
    <s v="No"/>
    <s v="No"/>
    <s v="No"/>
    <s v="Yes"/>
    <s v="No"/>
  </r>
  <r>
    <s v="C1057"/>
    <s v="Riya Reddy"/>
    <s v="Female"/>
    <n v="68"/>
    <x v="2"/>
    <x v="11"/>
    <s v="One year"/>
    <n v="28"/>
    <x v="1"/>
    <n v="849"/>
    <n v="23772"/>
    <s v="DSL"/>
    <d v="2023-06-01T00:00:00"/>
    <s v="No"/>
    <n v="0"/>
    <s v="No"/>
    <s v="No"/>
    <s v="No"/>
    <s v="No"/>
    <s v="No"/>
  </r>
  <r>
    <s v="C1058"/>
    <s v="Vivek Desai"/>
    <s v="Male"/>
    <n v="24"/>
    <x v="4"/>
    <x v="12"/>
    <s v="Two year"/>
    <n v="59"/>
    <x v="3"/>
    <n v="999"/>
    <n v="58941"/>
    <s v="Fiber"/>
    <d v="2020-11-07T00:00:00"/>
    <s v="No"/>
    <n v="0"/>
    <s v="No"/>
    <s v="No"/>
    <s v="No"/>
    <s v="No"/>
    <s v="No"/>
  </r>
  <r>
    <s v="C1059"/>
    <s v="Riya Mishra"/>
    <s v="Female"/>
    <n v="67"/>
    <x v="2"/>
    <x v="7"/>
    <s v="Month-to-month"/>
    <n v="19"/>
    <x v="0"/>
    <n v="399"/>
    <n v="7581"/>
    <s v="No Internet"/>
    <d v="2024-03-05T00:00:00"/>
    <s v="No"/>
    <n v="0"/>
    <s v="No"/>
    <s v="No"/>
    <s v="No"/>
    <s v="No"/>
    <s v="No"/>
  </r>
  <r>
    <s v="C1060"/>
    <s v="Shreya Nair"/>
    <s v="Female"/>
    <n v="66"/>
    <x v="2"/>
    <x v="7"/>
    <s v="One year"/>
    <n v="22"/>
    <x v="0"/>
    <n v="1099"/>
    <n v="24178"/>
    <s v="Fiber"/>
    <d v="2023-12-02T00:00:00"/>
    <s v="Yes"/>
    <n v="1"/>
    <s v="No"/>
    <s v="No"/>
    <s v="Yes"/>
    <s v="No"/>
    <s v="No"/>
  </r>
  <r>
    <s v="C1061"/>
    <s v="Unknown"/>
    <s v="Unknown"/>
    <n v="35"/>
    <x v="0"/>
    <x v="11"/>
    <s v="One year"/>
    <n v="1"/>
    <x v="4"/>
    <n v="799"/>
    <n v="799"/>
    <s v="DSL"/>
    <d v="2025-08-16T00:00:00"/>
    <s v="Yes"/>
    <n v="1"/>
    <s v="No"/>
    <s v="No"/>
    <s v="No"/>
    <s v="No"/>
    <s v="No"/>
  </r>
  <r>
    <s v="C1062"/>
    <s v="Sonal Nair"/>
    <s v="Female"/>
    <n v="62"/>
    <x v="2"/>
    <x v="7"/>
    <s v="One year"/>
    <n v="2"/>
    <x v="4"/>
    <n v="1049"/>
    <n v="2098"/>
    <s v="Fiber"/>
    <d v="2025-07-23T00:00:00"/>
    <s v="No"/>
    <n v="0"/>
    <s v="No"/>
    <s v="No"/>
    <s v="No"/>
    <s v="No"/>
    <s v="No"/>
  </r>
  <r>
    <s v="C1063"/>
    <s v="Tanvi Patel"/>
    <s v="Female"/>
    <n v="48"/>
    <x v="1"/>
    <x v="1"/>
    <s v="Month-to-month"/>
    <n v="24"/>
    <x v="0"/>
    <n v="1049"/>
    <n v="25176"/>
    <s v="Fiber"/>
    <d v="2023-10-01T00:00:00"/>
    <s v="No"/>
    <n v="0"/>
    <s v="No"/>
    <s v="No"/>
    <s v="No"/>
    <s v="No"/>
    <s v="No"/>
  </r>
  <r>
    <s v="C1064"/>
    <s v="Kavita Nair"/>
    <s v="Female"/>
    <n v="25"/>
    <x v="4"/>
    <x v="14"/>
    <s v="Month-to-month"/>
    <n v="18"/>
    <x v="0"/>
    <n v="899"/>
    <n v="16182"/>
    <s v="DSL"/>
    <d v="2024-03-14T00:00:00"/>
    <s v="Yes"/>
    <n v="1"/>
    <s v="No"/>
    <s v="No"/>
    <s v="No"/>
    <s v="No"/>
    <s v="No"/>
  </r>
  <r>
    <s v="C1065"/>
    <s v="Kavita Agarwal"/>
    <s v="Female"/>
    <n v="47"/>
    <x v="1"/>
    <x v="13"/>
    <s v="Month-to-month"/>
    <n v="4"/>
    <x v="4"/>
    <n v="899"/>
    <n v="3596"/>
    <s v="DSL"/>
    <d v="2025-05-26T00:00:00"/>
    <s v="Yes"/>
    <n v="1"/>
    <s v="Yes"/>
    <s v="No"/>
    <s v="No"/>
    <s v="No"/>
    <s v="No"/>
  </r>
  <r>
    <s v="C1066"/>
    <s v="Priya Pandey"/>
    <s v="Female"/>
    <n v="52"/>
    <x v="1"/>
    <x v="8"/>
    <s v="Unknown"/>
    <n v="18"/>
    <x v="0"/>
    <n v="399"/>
    <n v="7182"/>
    <s v="No Internet"/>
    <d v="2024-03-13T00:00:00"/>
    <s v="No"/>
    <n v="0"/>
    <s v="No"/>
    <s v="No"/>
    <s v="No"/>
    <s v="No"/>
    <s v="No"/>
  </r>
  <r>
    <s v="C1067"/>
    <s v="Anjali Sharma"/>
    <s v="Female"/>
    <n v="54"/>
    <x v="1"/>
    <x v="5"/>
    <s v="Month-to-month"/>
    <n v="6"/>
    <x v="4"/>
    <n v="1049"/>
    <n v="6294"/>
    <s v="Fiber"/>
    <d v="2025-03-30T00:00:00"/>
    <s v="Yes"/>
    <n v="1"/>
    <s v="No"/>
    <s v="No"/>
    <s v="No"/>
    <s v="No"/>
    <s v="No"/>
  </r>
  <r>
    <s v="C1068"/>
    <s v="Komal Kumar"/>
    <s v="Female"/>
    <n v="54"/>
    <x v="1"/>
    <x v="9"/>
    <s v="One year"/>
    <n v="37"/>
    <x v="1"/>
    <n v="699"/>
    <n v="25863"/>
    <s v="DSL"/>
    <d v="2022-08-21T00:00:00"/>
    <s v="Yes"/>
    <n v="1"/>
    <s v="No"/>
    <s v="No"/>
    <s v="No"/>
    <s v="No"/>
    <s v="No"/>
  </r>
  <r>
    <s v="C1069"/>
    <s v="Riya Yadav"/>
    <s v="Female"/>
    <n v="68"/>
    <x v="2"/>
    <x v="11"/>
    <s v="Month-to-month"/>
    <n v="15"/>
    <x v="0"/>
    <n v="1049"/>
    <n v="15735"/>
    <s v="Fiber"/>
    <d v="2024-06-26T00:00:00"/>
    <s v="No"/>
    <n v="0"/>
    <s v="No"/>
    <s v="No"/>
    <s v="No"/>
    <s v="No"/>
    <s v="No"/>
  </r>
  <r>
    <s v="C1070"/>
    <s v="Pankaj Agarwal"/>
    <s v="Male"/>
    <n v="24"/>
    <x v="4"/>
    <x v="13"/>
    <s v="Month-to-month"/>
    <n v="22"/>
    <x v="0"/>
    <n v="599"/>
    <n v="13178"/>
    <s v="DSL"/>
    <m/>
    <s v="Yes"/>
    <n v="1"/>
    <s v="No"/>
    <s v="No"/>
    <s v="No"/>
    <s v="Yes"/>
    <s v="Date missing"/>
  </r>
  <r>
    <s v="C1071"/>
    <s v="Rahul Tiwari"/>
    <s v="Male"/>
    <n v="46"/>
    <x v="1"/>
    <x v="14"/>
    <s v="One year"/>
    <n v="15"/>
    <x v="0"/>
    <n v="699"/>
    <n v="10485"/>
    <s v="DSL"/>
    <d v="2024-06-21T00:00:00"/>
    <s v="No"/>
    <n v="0"/>
    <s v="No"/>
    <s v="No"/>
    <s v="No"/>
    <s v="No"/>
    <s v="No"/>
  </r>
  <r>
    <s v="C1072"/>
    <s v="Manish Malhotra"/>
    <s v="Male"/>
    <n v="68"/>
    <x v="2"/>
    <x v="13"/>
    <s v="One year"/>
    <n v="13"/>
    <x v="0"/>
    <n v="899"/>
    <n v="11687"/>
    <s v="Fiber"/>
    <d v="2024-08-30T00:00:00"/>
    <s v="No"/>
    <n v="0"/>
    <s v="No"/>
    <s v="No"/>
    <s v="No"/>
    <s v="No"/>
    <s v="No"/>
  </r>
  <r>
    <s v="C1073"/>
    <s v="Pooja Kumar"/>
    <s v="Female"/>
    <n v="21"/>
    <x v="4"/>
    <x v="10"/>
    <s v="One year"/>
    <n v="37"/>
    <x v="1"/>
    <n v="1099"/>
    <n v="40663"/>
    <s v="Fiber"/>
    <d v="2022-09-05T00:00:00"/>
    <s v="No"/>
    <n v="0"/>
    <s v="No"/>
    <s v="No"/>
    <s v="No"/>
    <s v="No"/>
    <s v="No"/>
  </r>
  <r>
    <s v="C1074"/>
    <s v="Kavita Jain"/>
    <s v="Female"/>
    <n v="52"/>
    <x v="1"/>
    <x v="7"/>
    <s v="Month-to-month"/>
    <n v="14"/>
    <x v="0"/>
    <n v="1049"/>
    <n v="14686"/>
    <s v="Fiber"/>
    <m/>
    <s v="Yes"/>
    <n v="1"/>
    <s v="No"/>
    <s v="No"/>
    <s v="No"/>
    <s v="No"/>
    <s v="Date missing"/>
  </r>
  <r>
    <s v="C1075"/>
    <s v="Rajesh Bose"/>
    <s v="Male"/>
    <n v="19"/>
    <x v="4"/>
    <x v="13"/>
    <s v="One year"/>
    <n v="3"/>
    <x v="4"/>
    <n v="899"/>
    <n v="2697"/>
    <s v="DSL"/>
    <d v="2025-06-10T00:00:00"/>
    <s v="No"/>
    <n v="0"/>
    <s v="No"/>
    <s v="No"/>
    <s v="No"/>
    <s v="No"/>
    <s v="No"/>
  </r>
  <r>
    <s v="C1076"/>
    <s v="Kavita Gupta"/>
    <s v="Female"/>
    <n v="55"/>
    <x v="1"/>
    <x v="12"/>
    <s v="One year"/>
    <n v="6"/>
    <x v="4"/>
    <n v="1049"/>
    <n v="6294"/>
    <s v="Fiber"/>
    <d v="2025-03-11T00:00:00"/>
    <s v="No"/>
    <n v="0"/>
    <s v="No"/>
    <s v="No"/>
    <s v="No"/>
    <s v="No"/>
    <s v="No"/>
  </r>
  <r>
    <s v="C1077"/>
    <s v="Arjun Joshi"/>
    <s v="Male"/>
    <n v="44"/>
    <x v="3"/>
    <x v="14"/>
    <s v="Month-to-month"/>
    <n v="13"/>
    <x v="0"/>
    <n v="1299"/>
    <n v="16887"/>
    <s v="Fiber"/>
    <d v="2024-09-01T00:00:00"/>
    <s v="Yes"/>
    <n v="1"/>
    <s v="No"/>
    <s v="No"/>
    <s v="No"/>
    <s v="No"/>
    <s v="No"/>
  </r>
  <r>
    <s v="C1078"/>
    <s v="Kavita Joshi"/>
    <s v="Female"/>
    <n v="25"/>
    <x v="4"/>
    <x v="13"/>
    <s v="Month-to-month"/>
    <n v="1"/>
    <x v="4"/>
    <n v="1299"/>
    <n v="1299"/>
    <s v="Fiber"/>
    <d v="2025-08-28T00:00:00"/>
    <s v="Yes"/>
    <n v="1"/>
    <s v="No"/>
    <s v="No"/>
    <s v="No"/>
    <s v="No"/>
    <s v="No"/>
  </r>
  <r>
    <s v="C1079"/>
    <s v="Mohit Patel"/>
    <s v="Unknown"/>
    <n v="57"/>
    <x v="1"/>
    <x v="13"/>
    <s v="Month-to-month"/>
    <n v="2"/>
    <x v="4"/>
    <n v="1049"/>
    <n v="2098"/>
    <s v="Fiber"/>
    <d v="2025-07-21T00:00:00"/>
    <s v="Yes"/>
    <n v="1"/>
    <s v="No"/>
    <s v="No"/>
    <s v="No"/>
    <s v="No"/>
    <s v="No"/>
  </r>
  <r>
    <s v="C1080"/>
    <s v="Komal Reddy"/>
    <s v="Female"/>
    <n v="47"/>
    <x v="1"/>
    <x v="9"/>
    <s v="One year"/>
    <n v="11"/>
    <x v="2"/>
    <n v="699"/>
    <n v="7689"/>
    <s v="DSL"/>
    <d v="2024-10-31T00:00:00"/>
    <s v="No"/>
    <n v="0"/>
    <s v="Yes"/>
    <s v="No"/>
    <s v="Yes"/>
    <s v="No"/>
    <s v="No"/>
  </r>
  <r>
    <s v="C1081"/>
    <s v="Karan Kapoor"/>
    <s v="Male"/>
    <n v="25"/>
    <x v="4"/>
    <x v="9"/>
    <s v="Two year"/>
    <n v="38"/>
    <x v="1"/>
    <n v="1199"/>
    <n v="45562"/>
    <s v="Fiber"/>
    <d v="2022-07-31T00:00:00"/>
    <s v="No"/>
    <n v="0"/>
    <s v="No"/>
    <s v="No"/>
    <s v="No"/>
    <s v="No"/>
    <s v="No"/>
  </r>
  <r>
    <s v="C1082"/>
    <s v="Ritu Kapoor"/>
    <s v="Unknown"/>
    <n v="53"/>
    <x v="1"/>
    <x v="8"/>
    <s v="Month-to-month"/>
    <n v="17"/>
    <x v="0"/>
    <n v="349"/>
    <n v="5933"/>
    <s v="No Internet"/>
    <d v="2024-04-11T00:00:00"/>
    <s v="Yes"/>
    <n v="1"/>
    <s v="No"/>
    <s v="No"/>
    <s v="No"/>
    <s v="No"/>
    <s v="No"/>
  </r>
  <r>
    <s v="C1083"/>
    <s v="Swati Jain"/>
    <s v="Female"/>
    <n v="35"/>
    <x v="0"/>
    <x v="6"/>
    <s v="Month-to-month"/>
    <n v="19"/>
    <x v="0"/>
    <n v="1199"/>
    <n v="22781"/>
    <s v="Fiber"/>
    <d v="2024-02-22T00:00:00"/>
    <s v="No"/>
    <n v="0"/>
    <s v="No"/>
    <s v="No"/>
    <s v="No"/>
    <s v="No"/>
    <s v="No"/>
  </r>
  <r>
    <s v="C1084"/>
    <s v="Isha Joshi"/>
    <s v="Female"/>
    <n v="53"/>
    <x v="1"/>
    <x v="13"/>
    <s v="Month-to-month"/>
    <n v="11"/>
    <x v="2"/>
    <n v="999"/>
    <n v="10989"/>
    <s v="Fiber"/>
    <d v="2024-10-26T00:00:00"/>
    <s v="No"/>
    <n v="0"/>
    <s v="No"/>
    <s v="No"/>
    <s v="No"/>
    <s v="No"/>
    <s v="No"/>
  </r>
  <r>
    <s v="C1085"/>
    <s v="Sneha Joshi"/>
    <s v="Female"/>
    <n v="65"/>
    <x v="2"/>
    <x v="7"/>
    <s v="One year"/>
    <n v="25"/>
    <x v="1"/>
    <n v="399"/>
    <n v="9975"/>
    <s v="No Internet"/>
    <d v="2023-09-08T00:00:00"/>
    <s v="No"/>
    <n v="0"/>
    <s v="No"/>
    <s v="No"/>
    <s v="No"/>
    <s v="No"/>
    <s v="No"/>
  </r>
  <r>
    <s v="C1086"/>
    <s v="Mohit Bose"/>
    <s v="Male"/>
    <n v="39"/>
    <x v="3"/>
    <x v="6"/>
    <s v="Month-to-month"/>
    <n v="4"/>
    <x v="4"/>
    <n v="349"/>
    <n v="1396"/>
    <s v="No Internet"/>
    <d v="2025-05-18T00:00:00"/>
    <s v="No"/>
    <n v="0"/>
    <s v="No"/>
    <s v="No"/>
    <s v="No"/>
    <s v="No"/>
    <s v="No"/>
  </r>
  <r>
    <s v="C1087"/>
    <s v="Unknown"/>
    <s v="Male"/>
    <n v="68"/>
    <x v="2"/>
    <x v="5"/>
    <s v="Month-to-month"/>
    <m/>
    <x v="4"/>
    <n v="1299"/>
    <m/>
    <s v="Fiber"/>
    <d v="2023-12-11T00:00:00"/>
    <s v="No"/>
    <n v="0"/>
    <s v="No"/>
    <s v="No"/>
    <s v="No"/>
    <s v="No"/>
    <s v="Total missing; Tenure missing"/>
  </r>
  <r>
    <s v="C1088"/>
    <s v="Swati Chopra"/>
    <s v="Female"/>
    <n v="63"/>
    <x v="2"/>
    <x v="13"/>
    <s v="Month-to-month"/>
    <n v="20"/>
    <x v="0"/>
    <n v="999"/>
    <n v="19980"/>
    <s v="Fiber"/>
    <d v="2024-01-14T00:00:00"/>
    <s v="No"/>
    <n v="0"/>
    <s v="No"/>
    <s v="No"/>
    <s v="No"/>
    <s v="No"/>
    <s v="No"/>
  </r>
  <r>
    <s v="C1089"/>
    <s v="Vivek Reddy"/>
    <s v="Male"/>
    <n v="66"/>
    <x v="2"/>
    <x v="9"/>
    <s v="One year"/>
    <n v="11"/>
    <x v="2"/>
    <n v="849"/>
    <n v="9339"/>
    <s v="DSL"/>
    <d v="2024-10-08T00:00:00"/>
    <s v="Yes"/>
    <n v="1"/>
    <s v="No"/>
    <s v="No"/>
    <s v="No"/>
    <s v="No"/>
    <s v="No"/>
  </r>
  <r>
    <s v="C1090"/>
    <s v="Harsh Patel"/>
    <s v="Male"/>
    <n v="47"/>
    <x v="1"/>
    <x v="12"/>
    <s v="Month-to-month"/>
    <n v="19"/>
    <x v="0"/>
    <n v="1299"/>
    <n v="24681"/>
    <s v="Fiber"/>
    <d v="2024-03-05T00:00:00"/>
    <s v="Yes"/>
    <n v="1"/>
    <s v="Yes"/>
    <s v="No"/>
    <s v="No"/>
    <s v="No"/>
    <s v="No"/>
  </r>
  <r>
    <s v="C1091"/>
    <s v="Unknown"/>
    <s v="Female"/>
    <n v="33"/>
    <x v="0"/>
    <x v="7"/>
    <s v="Two year"/>
    <n v="60"/>
    <x v="3"/>
    <n v="849"/>
    <n v="50940"/>
    <s v="DSL"/>
    <d v="2020-10-24T00:00:00"/>
    <s v="No"/>
    <n v="0"/>
    <s v="No"/>
    <s v="No"/>
    <s v="No"/>
    <s v="No"/>
    <s v="No"/>
  </r>
  <r>
    <s v="C1092"/>
    <s v="Aditi Saxena"/>
    <s v="Female"/>
    <n v="47"/>
    <x v="1"/>
    <x v="8"/>
    <s v="Month-to-month"/>
    <n v="19"/>
    <x v="0"/>
    <n v="499"/>
    <n v="9481"/>
    <s v="No Internet"/>
    <d v="2024-02-22T00:00:00"/>
    <s v="No"/>
    <n v="0"/>
    <s v="Yes"/>
    <s v="No"/>
    <s v="No"/>
    <s v="No"/>
    <s v="No"/>
  </r>
  <r>
    <s v="C1093"/>
    <s v="Unknown"/>
    <s v="Female"/>
    <n v="72"/>
    <x v="2"/>
    <x v="7"/>
    <s v="Month-to-month"/>
    <n v="12"/>
    <x v="2"/>
    <n v="1049"/>
    <n v="12588"/>
    <s v="Fiber"/>
    <d v="2024-09-07T00:00:00"/>
    <s v="Yes"/>
    <n v="1"/>
    <s v="No"/>
    <s v="Yes"/>
    <s v="No"/>
    <s v="No"/>
    <s v="No"/>
  </r>
  <r>
    <s v="C1094"/>
    <s v="Kavita Sharma"/>
    <s v="Female"/>
    <n v="54"/>
    <x v="1"/>
    <x v="6"/>
    <s v="One year"/>
    <n v="4"/>
    <x v="4"/>
    <n v="1199"/>
    <n v="4796"/>
    <s v="Fiber"/>
    <d v="2025-05-03T00:00:00"/>
    <s v="No"/>
    <n v="0"/>
    <s v="No"/>
    <s v="No"/>
    <s v="No"/>
    <s v="No"/>
    <s v="No"/>
  </r>
  <r>
    <s v="C1095"/>
    <s v="Ritu Yadav"/>
    <s v="Unknown"/>
    <n v="69"/>
    <x v="2"/>
    <x v="2"/>
    <s v="Month-to-month"/>
    <n v="9"/>
    <x v="2"/>
    <n v="849"/>
    <n v="7641"/>
    <s v="DSL"/>
    <d v="2024-12-04T00:00:00"/>
    <s v="No"/>
    <n v="0"/>
    <s v="No"/>
    <s v="No"/>
    <s v="No"/>
    <s v="No"/>
    <s v="No"/>
  </r>
  <r>
    <s v="C1096"/>
    <s v="Harsh Kapoor"/>
    <s v="Male"/>
    <n v="20"/>
    <x v="4"/>
    <x v="11"/>
    <s v="Month-to-month"/>
    <n v="10"/>
    <x v="2"/>
    <n v="699"/>
    <n v="6990"/>
    <s v="DSL"/>
    <d v="2024-11-28T00:00:00"/>
    <s v="Yes"/>
    <n v="1"/>
    <s v="No"/>
    <s v="No"/>
    <s v="No"/>
    <s v="No"/>
    <s v="No"/>
  </r>
  <r>
    <s v="C1097"/>
    <s v="Payal Jain"/>
    <s v="Female"/>
    <n v="35"/>
    <x v="0"/>
    <x v="6"/>
    <s v="Month-to-month"/>
    <n v="16"/>
    <x v="0"/>
    <n v="449"/>
    <n v="7184"/>
    <s v="No Internet"/>
    <d v="2024-05-22T00:00:00"/>
    <s v="No"/>
    <n v="0"/>
    <s v="No"/>
    <s v="No"/>
    <s v="No"/>
    <s v="No"/>
    <s v="No"/>
  </r>
  <r>
    <s v="C1098"/>
    <s v="Rohit Nair"/>
    <s v="Male"/>
    <n v="73"/>
    <x v="2"/>
    <x v="9"/>
    <s v="One year"/>
    <n v="36"/>
    <x v="1"/>
    <n v="499"/>
    <n v="17964"/>
    <s v="No Internet"/>
    <m/>
    <s v="Yes"/>
    <n v="1"/>
    <s v="No"/>
    <s v="No"/>
    <s v="No"/>
    <s v="No"/>
    <s v="Date missing"/>
  </r>
  <r>
    <s v="C1099"/>
    <s v="Ankit Patel"/>
    <s v="Male"/>
    <n v="61"/>
    <x v="2"/>
    <x v="14"/>
    <s v="One year"/>
    <n v="24"/>
    <x v="0"/>
    <n v="1199"/>
    <n v="28776"/>
    <s v="Fiber"/>
    <d v="2023-09-20T00:00:00"/>
    <s v="No"/>
    <n v="0"/>
    <s v="No"/>
    <s v="No"/>
    <s v="No"/>
    <s v="No"/>
    <s v="No"/>
  </r>
  <r>
    <s v="C1100"/>
    <s v="Riya Nair"/>
    <s v="Female"/>
    <n v="59"/>
    <x v="1"/>
    <x v="4"/>
    <s v="One year"/>
    <n v="20"/>
    <x v="0"/>
    <n v="1099"/>
    <n v="21980"/>
    <s v="Fiber"/>
    <d v="2024-02-05T00:00:00"/>
    <s v="Yes"/>
    <n v="1"/>
    <s v="No"/>
    <s v="No"/>
    <s v="No"/>
    <s v="Yes"/>
    <s v="No"/>
  </r>
  <r>
    <s v="C1101"/>
    <s v="Komal Reddy"/>
    <s v="Female"/>
    <n v="24"/>
    <x v="4"/>
    <x v="0"/>
    <s v="Two year"/>
    <n v="59"/>
    <x v="3"/>
    <n v="699"/>
    <n v="41241"/>
    <s v="DSL"/>
    <d v="2020-10-31T00:00:00"/>
    <s v="No"/>
    <n v="0"/>
    <s v="No"/>
    <s v="No"/>
    <s v="No"/>
    <s v="No"/>
    <s v="No"/>
  </r>
  <r>
    <s v="C1102"/>
    <s v="Vivek Chopra"/>
    <s v="Male"/>
    <n v="24"/>
    <x v="4"/>
    <x v="6"/>
    <s v="Month-to-month"/>
    <n v="9"/>
    <x v="2"/>
    <n v="1199"/>
    <n v="10791"/>
    <s v="Fiber"/>
    <d v="2024-12-18T00:00:00"/>
    <s v="Yes"/>
    <n v="1"/>
    <s v="No"/>
    <s v="No"/>
    <s v="No"/>
    <s v="No"/>
    <s v="No"/>
  </r>
  <r>
    <s v="C1103"/>
    <s v="Aman Reddy"/>
    <s v="Male"/>
    <n v="61"/>
    <x v="2"/>
    <x v="10"/>
    <s v="Month-to-month"/>
    <n v="12"/>
    <x v="2"/>
    <n v="449"/>
    <n v="5388"/>
    <s v="No Internet"/>
    <d v="2024-09-30T00:00:00"/>
    <s v="Yes"/>
    <n v="1"/>
    <s v="No"/>
    <s v="No"/>
    <s v="No"/>
    <s v="No"/>
    <s v="No"/>
  </r>
  <r>
    <s v="C1104"/>
    <s v="Neha Saxena"/>
    <s v="Female"/>
    <n v="31"/>
    <x v="0"/>
    <x v="9"/>
    <s v="One year"/>
    <n v="4"/>
    <x v="4"/>
    <n v="399"/>
    <n v="1596"/>
    <s v="No Internet"/>
    <d v="2025-05-06T00:00:00"/>
    <s v="No"/>
    <n v="0"/>
    <s v="No"/>
    <s v="No"/>
    <s v="No"/>
    <s v="No"/>
    <s v="No"/>
  </r>
  <r>
    <s v="C1105"/>
    <s v="Vikram Mishra"/>
    <s v="Male"/>
    <n v="47"/>
    <x v="1"/>
    <x v="11"/>
    <s v="Month-to-month"/>
    <n v="11"/>
    <x v="2"/>
    <n v="549"/>
    <n v="6039"/>
    <s v="Unknown"/>
    <d v="2024-10-06T00:00:00"/>
    <s v="Yes"/>
    <n v="1"/>
    <s v="Yes"/>
    <s v="No"/>
    <s v="No"/>
    <s v="No"/>
    <s v="No"/>
  </r>
  <r>
    <s v="C1106"/>
    <s v="Rohit Mishra"/>
    <s v="Male"/>
    <n v="34"/>
    <x v="0"/>
    <x v="13"/>
    <s v="Month-to-month"/>
    <n v="1"/>
    <x v="4"/>
    <n v="899"/>
    <n v="899"/>
    <s v="Fiber"/>
    <d v="2025-08-22T00:00:00"/>
    <s v="No"/>
    <n v="0"/>
    <s v="No"/>
    <s v="No"/>
    <s v="No"/>
    <s v="No"/>
    <s v="No"/>
  </r>
  <r>
    <s v="C1107"/>
    <s v="Priya Gupta"/>
    <s v="Female"/>
    <n v="34"/>
    <x v="0"/>
    <x v="3"/>
    <s v="Month-to-month"/>
    <n v="4"/>
    <x v="4"/>
    <n v="899"/>
    <n v="3596"/>
    <s v="Fiber"/>
    <d v="2025-05-20T00:00:00"/>
    <s v="Yes"/>
    <n v="1"/>
    <s v="No"/>
    <s v="No"/>
    <s v="No"/>
    <s v="No"/>
    <s v="No"/>
  </r>
  <r>
    <s v="C1108"/>
    <s v="Ankit Jain"/>
    <s v="Male"/>
    <n v="32"/>
    <x v="0"/>
    <x v="11"/>
    <s v="Month-to-month"/>
    <n v="22"/>
    <x v="0"/>
    <n v="1049"/>
    <n v="23078"/>
    <s v="Fiber"/>
    <d v="2023-12-08T00:00:00"/>
    <s v="No"/>
    <n v="0"/>
    <s v="No"/>
    <s v="No"/>
    <s v="No"/>
    <s v="No"/>
    <s v="No"/>
  </r>
  <r>
    <s v="C1109"/>
    <s v="Gaurav Rao"/>
    <s v="Male"/>
    <n v="45"/>
    <x v="3"/>
    <x v="9"/>
    <s v="Month-to-month"/>
    <n v="15"/>
    <x v="0"/>
    <n v="899"/>
    <n v="13485"/>
    <s v="Fiber"/>
    <d v="2024-07-03T00:00:00"/>
    <s v="No"/>
    <n v="0"/>
    <s v="No"/>
    <s v="No"/>
    <s v="No"/>
    <s v="No"/>
    <s v="No"/>
  </r>
  <r>
    <s v="C1110"/>
    <s v="Suresh Yadav"/>
    <s v="Male"/>
    <n v="58"/>
    <x v="1"/>
    <x v="11"/>
    <s v="Month-to-month"/>
    <n v="20"/>
    <x v="0"/>
    <n v="799"/>
    <n v="15980"/>
    <s v="DSL"/>
    <d v="2024-01-24T00:00:00"/>
    <s v="No"/>
    <n v="0"/>
    <s v="No"/>
    <s v="No"/>
    <s v="No"/>
    <s v="No"/>
    <s v="No"/>
  </r>
  <r>
    <s v="C1111"/>
    <s v="Karan Chopra"/>
    <s v="Male"/>
    <n v="59"/>
    <x v="1"/>
    <x v="13"/>
    <s v="One year"/>
    <n v="28"/>
    <x v="1"/>
    <n v="499"/>
    <n v="13972"/>
    <s v="No Internet"/>
    <d v="2023-05-28T00:00:00"/>
    <s v="No"/>
    <n v="0"/>
    <s v="No"/>
    <s v="No"/>
    <s v="No"/>
    <s v="No"/>
    <s v="No"/>
  </r>
  <r>
    <s v="C1112"/>
    <s v="Nisha Agarwal"/>
    <s v="Female"/>
    <n v="24"/>
    <x v="4"/>
    <x v="2"/>
    <s v="Month-to-month"/>
    <n v="12"/>
    <x v="2"/>
    <n v="1199"/>
    <n v="14388"/>
    <s v="Fiber"/>
    <d v="2024-09-07T00:00:00"/>
    <s v="Yes"/>
    <n v="1"/>
    <s v="No"/>
    <s v="No"/>
    <s v="No"/>
    <s v="No"/>
    <s v="No"/>
  </r>
  <r>
    <s v="C1113"/>
    <s v="Vikram Tiwari"/>
    <s v="Male"/>
    <n v="24"/>
    <x v="4"/>
    <x v="14"/>
    <s v="One year"/>
    <n v="36"/>
    <x v="1"/>
    <n v="549"/>
    <n v="19764"/>
    <s v="Unknown"/>
    <d v="2022-09-23T00:00:00"/>
    <s v="No"/>
    <n v="0"/>
    <s v="No"/>
    <s v="No"/>
    <s v="No"/>
    <s v="No"/>
    <s v="No"/>
  </r>
  <r>
    <s v="C1114"/>
    <s v="Vivek Patel"/>
    <s v="Male"/>
    <n v="73"/>
    <x v="2"/>
    <x v="9"/>
    <s v="Two year"/>
    <n v="7"/>
    <x v="2"/>
    <n v="1149"/>
    <n v="8043"/>
    <s v="Fiber"/>
    <d v="2025-02-12T00:00:00"/>
    <s v="No"/>
    <n v="0"/>
    <s v="No"/>
    <s v="No"/>
    <s v="No"/>
    <s v="No"/>
    <s v="No"/>
  </r>
  <r>
    <s v="C1115"/>
    <s v="Rohit Saxena"/>
    <s v="Male"/>
    <n v="48"/>
    <x v="1"/>
    <x v="0"/>
    <s v="Two year"/>
    <n v="72"/>
    <x v="3"/>
    <n v="899"/>
    <n v="64728"/>
    <s v="Fiber"/>
    <d v="2019-10-05T00:00:00"/>
    <s v="No"/>
    <n v="0"/>
    <s v="No"/>
    <s v="No"/>
    <s v="No"/>
    <s v="No"/>
    <s v="No"/>
  </r>
  <r>
    <s v="C1116"/>
    <s v="Sonal Yadav"/>
    <s v="Female"/>
    <n v="57"/>
    <x v="1"/>
    <x v="9"/>
    <s v="One year"/>
    <n v="18"/>
    <x v="0"/>
    <n v="599"/>
    <n v="10782"/>
    <s v="DSL"/>
    <d v="2024-03-28T00:00:00"/>
    <s v="No"/>
    <n v="0"/>
    <s v="No"/>
    <s v="No"/>
    <s v="No"/>
    <s v="No"/>
    <s v="No"/>
  </r>
  <r>
    <s v="C1117"/>
    <s v="Isha Sharma"/>
    <s v="Female"/>
    <n v="29"/>
    <x v="0"/>
    <x v="6"/>
    <s v="Month-to-month"/>
    <n v="3"/>
    <x v="4"/>
    <n v="1199"/>
    <n v="3597"/>
    <s v="Fiber"/>
    <d v="2025-06-14T00:00:00"/>
    <s v="Yes"/>
    <n v="1"/>
    <s v="No"/>
    <s v="No"/>
    <s v="No"/>
    <s v="No"/>
    <s v="No"/>
  </r>
  <r>
    <s v="C1118"/>
    <s v="Deepak Tiwari"/>
    <s v="Male"/>
    <n v="47"/>
    <x v="1"/>
    <x v="2"/>
    <s v="Month-to-month"/>
    <n v="11"/>
    <x v="2"/>
    <n v="899"/>
    <n v="9889"/>
    <s v="DSL"/>
    <d v="2024-11-01T00:00:00"/>
    <s v="Yes"/>
    <n v="1"/>
    <s v="No"/>
    <s v="No"/>
    <s v="No"/>
    <s v="No"/>
    <s v="No"/>
  </r>
  <r>
    <s v="C1119"/>
    <s v="Arjun Yadav"/>
    <s v="Male"/>
    <n v="21"/>
    <x v="4"/>
    <x v="9"/>
    <s v="Month-to-month"/>
    <n v="14"/>
    <x v="0"/>
    <n v="1149"/>
    <n v="16086"/>
    <s v="Fiber"/>
    <d v="2024-07-29T00:00:00"/>
    <s v="Yes"/>
    <n v="1"/>
    <s v="No"/>
    <s v="No"/>
    <s v="No"/>
    <s v="No"/>
    <s v="No"/>
  </r>
  <r>
    <s v="C1120"/>
    <s v="Aman Tiwari"/>
    <s v="Male"/>
    <n v="25"/>
    <x v="4"/>
    <x v="5"/>
    <s v="One year"/>
    <n v="34"/>
    <x v="1"/>
    <n v="1049"/>
    <n v="35666"/>
    <s v="Fiber"/>
    <d v="2022-11-24T00:00:00"/>
    <s v="No"/>
    <n v="0"/>
    <s v="No"/>
    <s v="No"/>
    <s v="No"/>
    <s v="No"/>
    <s v="No"/>
  </r>
  <r>
    <s v="C1121"/>
    <s v="Rahul Mehta"/>
    <s v="Male"/>
    <n v="47"/>
    <x v="1"/>
    <x v="0"/>
    <s v="One year"/>
    <n v="19"/>
    <x v="0"/>
    <n v="899"/>
    <n v="17081"/>
    <s v="Fiber"/>
    <d v="2024-02-23T00:00:00"/>
    <s v="No"/>
    <n v="0"/>
    <s v="Yes"/>
    <s v="No"/>
    <s v="No"/>
    <s v="No"/>
    <s v="No"/>
  </r>
  <r>
    <s v="C1122"/>
    <s v="Rohit Rao"/>
    <s v="Male"/>
    <n v="52"/>
    <x v="1"/>
    <x v="14"/>
    <s v="Month-to-month"/>
    <n v="22"/>
    <x v="0"/>
    <n v="1049"/>
    <n v="23078"/>
    <s v="Fiber"/>
    <d v="2023-11-15T00:00:00"/>
    <s v="Yes"/>
    <n v="1"/>
    <s v="No"/>
    <s v="No"/>
    <s v="No"/>
    <s v="No"/>
    <s v="No"/>
  </r>
  <r>
    <s v="C1123"/>
    <s v="Vivek Sharma"/>
    <s v="Male"/>
    <n v="47"/>
    <x v="1"/>
    <x v="4"/>
    <s v="Two year"/>
    <n v="52"/>
    <x v="3"/>
    <n v="1199"/>
    <n v="62348"/>
    <s v="Fiber"/>
    <d v="2021-06-09T00:00:00"/>
    <s v="No"/>
    <n v="0"/>
    <s v="No"/>
    <s v="No"/>
    <s v="No"/>
    <s v="No"/>
    <s v="No"/>
  </r>
  <r>
    <s v="C1124"/>
    <s v="Nikhil Gupta"/>
    <s v="Male"/>
    <n v="69"/>
    <x v="2"/>
    <x v="11"/>
    <s v="Month-to-month"/>
    <n v="12"/>
    <x v="2"/>
    <n v="1099"/>
    <n v="13188"/>
    <s v="Fiber"/>
    <d v="2024-09-15T00:00:00"/>
    <s v="Yes"/>
    <n v="1"/>
    <s v="No"/>
    <s v="No"/>
    <s v="No"/>
    <s v="No"/>
    <s v="No"/>
  </r>
  <r>
    <s v="C1125"/>
    <s v="Payal Kumar"/>
    <s v="Female"/>
    <n v="43"/>
    <x v="3"/>
    <x v="6"/>
    <s v="Month-to-month"/>
    <n v="11"/>
    <x v="2"/>
    <n v="899"/>
    <n v="9889"/>
    <s v="DSL"/>
    <d v="2024-10-30T00:00:00"/>
    <s v="No"/>
    <n v="0"/>
    <s v="No"/>
    <s v="No"/>
    <s v="No"/>
    <s v="No"/>
    <s v="No"/>
  </r>
  <r>
    <s v="C1126"/>
    <s v="Aman Patel"/>
    <s v="Male"/>
    <n v="64"/>
    <x v="2"/>
    <x v="6"/>
    <s v="One year"/>
    <n v="7"/>
    <x v="2"/>
    <n v="649"/>
    <n v="4543"/>
    <s v="DSL"/>
    <d v="2025-02-26T00:00:00"/>
    <s v="No"/>
    <n v="0"/>
    <s v="No"/>
    <s v="No"/>
    <s v="No"/>
    <s v="No"/>
    <s v="No"/>
  </r>
  <r>
    <s v="C1127"/>
    <s v="Arjun Chopra"/>
    <s v="Male"/>
    <n v="49"/>
    <x v="1"/>
    <x v="7"/>
    <s v="Unknown"/>
    <n v="29"/>
    <x v="1"/>
    <n v="1149"/>
    <n v="33321"/>
    <s v="Fiber"/>
    <d v="2023-04-22T00:00:00"/>
    <s v="No"/>
    <n v="0"/>
    <s v="No"/>
    <s v="No"/>
    <s v="No"/>
    <s v="No"/>
    <s v="No"/>
  </r>
  <r>
    <s v="C1128"/>
    <s v="Pooja Kapoor"/>
    <s v="Female"/>
    <n v="22"/>
    <x v="4"/>
    <x v="7"/>
    <s v="Month-to-month"/>
    <n v="9"/>
    <x v="2"/>
    <n v="799"/>
    <n v="7191"/>
    <s v="DSL"/>
    <d v="2024-12-23T00:00:00"/>
    <s v="No"/>
    <n v="0"/>
    <s v="No"/>
    <s v="No"/>
    <s v="No"/>
    <s v="No"/>
    <s v="No"/>
  </r>
  <r>
    <s v="C1129"/>
    <s v="Shreya Verma"/>
    <s v="Female"/>
    <n v="21"/>
    <x v="4"/>
    <x v="2"/>
    <s v="Two year"/>
    <n v="12"/>
    <x v="2"/>
    <n v="799"/>
    <n v="9588"/>
    <s v="DSL"/>
    <d v="2024-09-15T00:00:00"/>
    <s v="No"/>
    <n v="0"/>
    <s v="No"/>
    <s v="No"/>
    <s v="No"/>
    <s v="No"/>
    <s v="No"/>
  </r>
  <r>
    <s v="C1130"/>
    <s v="Ankit Bose"/>
    <s v="Male"/>
    <n v="59"/>
    <x v="1"/>
    <x v="0"/>
    <s v="Month-to-month"/>
    <n v="5"/>
    <x v="4"/>
    <n v="1099"/>
    <n v="5495"/>
    <s v="Fiber"/>
    <d v="2025-04-05T00:00:00"/>
    <s v="No"/>
    <n v="0"/>
    <s v="No"/>
    <s v="No"/>
    <s v="No"/>
    <s v="Yes"/>
    <s v="No"/>
  </r>
  <r>
    <s v="C1131"/>
    <s v="Neha Jain"/>
    <s v="Female"/>
    <n v="59"/>
    <x v="1"/>
    <x v="8"/>
    <s v="Month-to-month"/>
    <n v="15"/>
    <x v="0"/>
    <n v="1149"/>
    <n v="17235"/>
    <s v="Fiber"/>
    <d v="2024-06-24T00:00:00"/>
    <s v="Yes"/>
    <n v="1"/>
    <s v="No"/>
    <s v="No"/>
    <s v="No"/>
    <s v="No"/>
    <s v="No"/>
  </r>
  <r>
    <s v="C1132"/>
    <s v="Divya Tiwari"/>
    <s v="Female"/>
    <n v="67"/>
    <x v="2"/>
    <x v="2"/>
    <s v="One year"/>
    <n v="22"/>
    <x v="0"/>
    <n v="599"/>
    <n v="13178"/>
    <s v="DSL"/>
    <d v="2023-11-26T00:00:00"/>
    <s v="No"/>
    <n v="0"/>
    <s v="No"/>
    <s v="No"/>
    <s v="No"/>
    <s v="No"/>
    <s v="No"/>
  </r>
  <r>
    <s v="C1133"/>
    <s v="Kavita Agarwal"/>
    <s v="Female"/>
    <n v="72"/>
    <x v="2"/>
    <x v="9"/>
    <s v="Two year"/>
    <n v="20"/>
    <x v="0"/>
    <n v="899"/>
    <n v="17980"/>
    <s v="Fiber"/>
    <d v="2024-01-08T00:00:00"/>
    <s v="No"/>
    <n v="0"/>
    <s v="No"/>
    <s v="No"/>
    <s v="No"/>
    <s v="No"/>
    <s v="No"/>
  </r>
  <r>
    <s v="C1134"/>
    <s v="Aditi Chopra"/>
    <s v="Female"/>
    <n v="62"/>
    <x v="2"/>
    <x v="9"/>
    <s v="Month-to-month"/>
    <n v="3"/>
    <x v="4"/>
    <n v="1149"/>
    <n v="3447"/>
    <s v="Fiber"/>
    <d v="2025-06-20T00:00:00"/>
    <s v="No"/>
    <n v="0"/>
    <s v="No"/>
    <s v="No"/>
    <s v="No"/>
    <s v="No"/>
    <s v="No"/>
  </r>
  <r>
    <s v="C1135"/>
    <s v="Mohit Kumar"/>
    <s v="Male"/>
    <n v="59"/>
    <x v="1"/>
    <x v="9"/>
    <s v="Month-to-month"/>
    <n v="12"/>
    <x v="2"/>
    <n v="999"/>
    <n v="11988"/>
    <s v="Fiber"/>
    <d v="2024-09-09T00:00:00"/>
    <s v="Yes"/>
    <n v="1"/>
    <s v="No"/>
    <s v="No"/>
    <s v="No"/>
    <s v="No"/>
    <s v="No"/>
  </r>
  <r>
    <s v="C1136"/>
    <s v="Deepika Nair"/>
    <s v="Female"/>
    <n v="26"/>
    <x v="0"/>
    <x v="8"/>
    <s v="Month-to-month"/>
    <n v="4"/>
    <x v="4"/>
    <n v="549"/>
    <n v="2196"/>
    <s v="No Internet"/>
    <d v="2025-05-03T00:00:00"/>
    <s v="No"/>
    <n v="0"/>
    <s v="No"/>
    <s v="No"/>
    <s v="No"/>
    <s v="No"/>
    <s v="No"/>
  </r>
  <r>
    <s v="C1137"/>
    <s v="Nikhil Yadav"/>
    <s v="Male"/>
    <n v="26"/>
    <x v="0"/>
    <x v="11"/>
    <s v="Month-to-month"/>
    <n v="23"/>
    <x v="0"/>
    <n v="899"/>
    <n v="20677"/>
    <s v="DSL"/>
    <d v="2023-11-07T00:00:00"/>
    <s v="No"/>
    <n v="0"/>
    <s v="No"/>
    <s v="No"/>
    <s v="No"/>
    <s v="No"/>
    <s v="No"/>
  </r>
  <r>
    <s v="C1138"/>
    <s v="Isha Saxena"/>
    <s v="Female"/>
    <n v="64"/>
    <x v="2"/>
    <x v="0"/>
    <s v="Two year"/>
    <n v="58"/>
    <x v="3"/>
    <n v="1149"/>
    <n v="66642"/>
    <s v="Fiber"/>
    <d v="2020-11-28T00:00:00"/>
    <s v="No"/>
    <n v="0"/>
    <s v="No"/>
    <s v="No"/>
    <s v="No"/>
    <s v="No"/>
    <s v="No"/>
  </r>
  <r>
    <s v="C1139"/>
    <s v="Deepika Patel"/>
    <s v="Female"/>
    <n v="61"/>
    <x v="2"/>
    <x v="11"/>
    <s v="Two year"/>
    <n v="37"/>
    <x v="1"/>
    <n v="1099"/>
    <n v="40663"/>
    <s v="Fiber"/>
    <d v="2022-09-09T00:00:00"/>
    <s v="No"/>
    <n v="0"/>
    <s v="No"/>
    <s v="No"/>
    <s v="No"/>
    <s v="No"/>
    <s v="No"/>
  </r>
  <r>
    <s v="C1140"/>
    <s v="Pankaj Singh"/>
    <s v="Male"/>
    <n v="73"/>
    <x v="2"/>
    <x v="5"/>
    <s v="Month-to-month"/>
    <n v="12"/>
    <x v="2"/>
    <n v="899"/>
    <n v="10788"/>
    <s v="Fiber"/>
    <d v="2024-09-24T00:00:00"/>
    <s v="No"/>
    <n v="0"/>
    <s v="No"/>
    <s v="No"/>
    <s v="No"/>
    <s v="No"/>
    <s v="No"/>
  </r>
  <r>
    <s v="C1141"/>
    <s v="Arjun Malhotra"/>
    <s v="Male"/>
    <n v="46"/>
    <x v="1"/>
    <x v="1"/>
    <s v="Month-to-month"/>
    <n v="8"/>
    <x v="2"/>
    <n v="1099"/>
    <n v="8792"/>
    <s v="Fiber"/>
    <d v="2025-01-18T00:00:00"/>
    <s v="No"/>
    <n v="0"/>
    <s v="No"/>
    <s v="No"/>
    <s v="No"/>
    <s v="No"/>
    <s v="No"/>
  </r>
  <r>
    <s v="C1142"/>
    <s v="Deepak Jain"/>
    <s v="Male"/>
    <n v="41"/>
    <x v="3"/>
    <x v="0"/>
    <s v="Month-to-month"/>
    <n v="8"/>
    <x v="2"/>
    <n v="599"/>
    <n v="4792"/>
    <s v="DSL"/>
    <d v="2025-01-11T00:00:00"/>
    <s v="No"/>
    <n v="0"/>
    <s v="No"/>
    <s v="No"/>
    <s v="No"/>
    <s v="No"/>
    <s v="No"/>
  </r>
  <r>
    <s v="C1143"/>
    <s v="Pooja Singh"/>
    <s v="Female"/>
    <n v="20"/>
    <x v="4"/>
    <x v="5"/>
    <s v="Two year"/>
    <n v="18"/>
    <x v="0"/>
    <n v="1199"/>
    <n v="21582"/>
    <s v="Fiber"/>
    <d v="2024-04-06T00:00:00"/>
    <s v="No"/>
    <n v="0"/>
    <s v="No"/>
    <s v="No"/>
    <s v="No"/>
    <s v="No"/>
    <s v="No"/>
  </r>
  <r>
    <s v="C1144"/>
    <s v="Rahul Malhotra"/>
    <s v="Male"/>
    <n v="31"/>
    <x v="0"/>
    <x v="6"/>
    <s v="Month-to-month"/>
    <n v="20"/>
    <x v="0"/>
    <n v="349"/>
    <n v="6980"/>
    <s v="No Internet"/>
    <d v="2024-01-30T00:00:00"/>
    <s v="No"/>
    <n v="0"/>
    <s v="No"/>
    <s v="No"/>
    <s v="No"/>
    <s v="No"/>
    <s v="No"/>
  </r>
  <r>
    <s v="C1145"/>
    <s v="Anjali Verma"/>
    <s v="Female"/>
    <n v="33"/>
    <x v="0"/>
    <x v="12"/>
    <s v="One year"/>
    <n v="5"/>
    <x v="4"/>
    <n v="1299"/>
    <n v="6495"/>
    <s v="Fiber"/>
    <d v="2025-05-01T00:00:00"/>
    <s v="No"/>
    <n v="0"/>
    <s v="No"/>
    <s v="No"/>
    <s v="No"/>
    <s v="No"/>
    <s v="No"/>
  </r>
  <r>
    <s v="C1146"/>
    <s v="Rohit Iyer"/>
    <s v="Male"/>
    <n v="45"/>
    <x v="3"/>
    <x v="3"/>
    <s v="One year"/>
    <n v="27"/>
    <x v="1"/>
    <n v="649"/>
    <n v="17523"/>
    <s v="DSL"/>
    <d v="2023-06-30T00:00:00"/>
    <s v="No"/>
    <n v="0"/>
    <s v="No"/>
    <s v="No"/>
    <s v="No"/>
    <s v="No"/>
    <s v="No"/>
  </r>
  <r>
    <s v="C1147"/>
    <s v="Mohit Mishra"/>
    <s v="Male"/>
    <n v="50"/>
    <x v="1"/>
    <x v="13"/>
    <s v="Two year"/>
    <n v="50"/>
    <x v="3"/>
    <n v="1099"/>
    <n v="54950"/>
    <s v="Fiber"/>
    <d v="2021-08-09T00:00:00"/>
    <s v="No"/>
    <n v="0"/>
    <s v="No"/>
    <s v="No"/>
    <s v="No"/>
    <s v="No"/>
    <s v="No"/>
  </r>
  <r>
    <s v="C1148"/>
    <s v="Priya Patel"/>
    <s v="Female"/>
    <n v="68"/>
    <x v="2"/>
    <x v="4"/>
    <s v="Month-to-month"/>
    <n v="21"/>
    <x v="0"/>
    <n v="1299"/>
    <n v="27279"/>
    <s v="Fiber"/>
    <d v="2023-12-28T00:00:00"/>
    <s v="No"/>
    <n v="0"/>
    <s v="No"/>
    <s v="No"/>
    <s v="No"/>
    <s v="No"/>
    <s v="No"/>
  </r>
  <r>
    <s v="C1149"/>
    <s v="Amit Patel"/>
    <s v="Male"/>
    <n v="52"/>
    <x v="1"/>
    <x v="2"/>
    <s v="Two year"/>
    <n v="60"/>
    <x v="3"/>
    <n v="849"/>
    <n v="50940"/>
    <s v="DSL"/>
    <d v="2020-10-22T00:00:00"/>
    <s v="No"/>
    <n v="0"/>
    <s v="No"/>
    <s v="No"/>
    <s v="No"/>
    <s v="No"/>
    <s v="No"/>
  </r>
  <r>
    <s v="C1150"/>
    <s v="Sneha Iyer"/>
    <s v="Female"/>
    <n v="30"/>
    <x v="0"/>
    <x v="3"/>
    <s v="One year"/>
    <n v="21"/>
    <x v="0"/>
    <n v="499"/>
    <n v="10479"/>
    <s v="No Internet"/>
    <d v="2023-12-21T00:00:00"/>
    <s v="No"/>
    <n v="0"/>
    <s v="No"/>
    <s v="No"/>
    <s v="No"/>
    <s v="No"/>
    <s v="No"/>
  </r>
  <r>
    <s v="C1151"/>
    <s v="Kavita Verma"/>
    <s v="Female"/>
    <n v="66"/>
    <x v="2"/>
    <x v="9"/>
    <s v="Unknown"/>
    <n v="2"/>
    <x v="4"/>
    <n v="1199"/>
    <n v="2398"/>
    <s v="Fiber"/>
    <d v="2025-07-05T00:00:00"/>
    <s v="Yes"/>
    <n v="1"/>
    <s v="No"/>
    <s v="No"/>
    <s v="No"/>
    <s v="No"/>
    <s v="No"/>
  </r>
  <r>
    <s v="C1152"/>
    <s v="Nisha Rao"/>
    <s v="Female"/>
    <n v="65"/>
    <x v="2"/>
    <x v="7"/>
    <s v="Two year"/>
    <n v="24"/>
    <x v="0"/>
    <n v="1199"/>
    <n v="28776"/>
    <s v="Fiber"/>
    <m/>
    <s v="No"/>
    <n v="0"/>
    <s v="No"/>
    <s v="Yes"/>
    <s v="No"/>
    <s v="No"/>
    <s v="Date missing"/>
  </r>
  <r>
    <s v="C1153"/>
    <s v="Neha Agarwal"/>
    <s v="Female"/>
    <n v="45"/>
    <x v="3"/>
    <x v="4"/>
    <s v="Month-to-month"/>
    <n v="6"/>
    <x v="4"/>
    <n v="449"/>
    <n v="2694"/>
    <s v="No Internet"/>
    <d v="2025-03-22T00:00:00"/>
    <s v="Yes"/>
    <n v="1"/>
    <s v="No"/>
    <s v="No"/>
    <s v="No"/>
    <s v="No"/>
    <s v="No"/>
  </r>
  <r>
    <s v="C1154"/>
    <s v="Aditi Kapoor"/>
    <s v="Female"/>
    <n v="56"/>
    <x v="1"/>
    <x v="14"/>
    <s v="Month-to-month"/>
    <n v="12"/>
    <x v="2"/>
    <n v="899"/>
    <n v="10788"/>
    <s v="Fiber"/>
    <d v="2024-09-20T00:00:00"/>
    <s v="No"/>
    <n v="0"/>
    <s v="No"/>
    <s v="No"/>
    <s v="Yes"/>
    <s v="No"/>
    <s v="No"/>
  </r>
  <r>
    <s v="C1155"/>
    <s v="Sneha Kumar"/>
    <s v="Female"/>
    <n v="60"/>
    <x v="1"/>
    <x v="9"/>
    <s v="Month-to-month"/>
    <n v="24"/>
    <x v="0"/>
    <n v="999"/>
    <n v="23976"/>
    <s v="Fiber"/>
    <d v="2023-09-20T00:00:00"/>
    <s v="Yes"/>
    <n v="1"/>
    <s v="No"/>
    <s v="No"/>
    <s v="No"/>
    <s v="No"/>
    <s v="No"/>
  </r>
  <r>
    <s v="C1156"/>
    <s v="Sneha Singh"/>
    <s v="Female"/>
    <n v="22"/>
    <x v="4"/>
    <x v="0"/>
    <s v="One year"/>
    <n v="25"/>
    <x v="1"/>
    <n v="899"/>
    <n v="22475"/>
    <s v="Fiber"/>
    <d v="2023-08-26T00:00:00"/>
    <s v="Yes"/>
    <n v="1"/>
    <s v="No"/>
    <s v="No"/>
    <s v="No"/>
    <s v="No"/>
    <s v="No"/>
  </r>
  <r>
    <s v="C1157"/>
    <s v="Isha Kapoor"/>
    <s v="Female"/>
    <n v="47"/>
    <x v="1"/>
    <x v="4"/>
    <s v="One year"/>
    <n v="26"/>
    <x v="1"/>
    <n v="1199"/>
    <n v="31174"/>
    <s v="Fiber"/>
    <d v="2023-08-07T00:00:00"/>
    <s v="No"/>
    <n v="0"/>
    <s v="Yes"/>
    <s v="No"/>
    <s v="No"/>
    <s v="No"/>
    <s v="No"/>
  </r>
  <r>
    <s v="C1158"/>
    <s v="Arjun Desai"/>
    <s v="Male"/>
    <n v="51"/>
    <x v="1"/>
    <x v="12"/>
    <s v="Two year"/>
    <n v="34"/>
    <x v="1"/>
    <n v="849"/>
    <n v="28866"/>
    <s v="DSL"/>
    <d v="2022-12-04T00:00:00"/>
    <s v="No"/>
    <n v="0"/>
    <s v="No"/>
    <s v="No"/>
    <s v="No"/>
    <s v="No"/>
    <s v="No"/>
  </r>
  <r>
    <s v="C1159"/>
    <s v="Deepika Reddy"/>
    <s v="Female"/>
    <n v="26"/>
    <x v="0"/>
    <x v="6"/>
    <s v="Month-to-month"/>
    <n v="23"/>
    <x v="0"/>
    <n v="749"/>
    <n v="17227"/>
    <s v="DSL"/>
    <d v="2023-10-17T00:00:00"/>
    <s v="No"/>
    <n v="0"/>
    <s v="No"/>
    <s v="No"/>
    <s v="Yes"/>
    <s v="No"/>
    <s v="No"/>
  </r>
  <r>
    <s v="C1160"/>
    <s v="Sachin Mishra"/>
    <s v="Male"/>
    <n v="36"/>
    <x v="3"/>
    <x v="5"/>
    <s v="Two year"/>
    <n v="23"/>
    <x v="0"/>
    <n v="1049"/>
    <n v="24127"/>
    <s v="Fiber"/>
    <d v="2023-11-02T00:00:00"/>
    <s v="No"/>
    <n v="0"/>
    <s v="No"/>
    <s v="No"/>
    <s v="No"/>
    <s v="No"/>
    <s v="No"/>
  </r>
  <r>
    <s v="C1161"/>
    <s v="Manish Desai"/>
    <s v="Male"/>
    <n v="19"/>
    <x v="4"/>
    <x v="2"/>
    <s v="One year"/>
    <n v="36"/>
    <x v="1"/>
    <n v="1149"/>
    <n v="41364"/>
    <s v="Fiber"/>
    <d v="2022-10-02T00:00:00"/>
    <s v="Yes"/>
    <n v="1"/>
    <s v="No"/>
    <s v="No"/>
    <s v="No"/>
    <s v="No"/>
    <s v="No"/>
  </r>
  <r>
    <s v="C1162"/>
    <s v="Payal Tiwari"/>
    <s v="Unknown"/>
    <n v="67"/>
    <x v="2"/>
    <x v="12"/>
    <s v="Two year"/>
    <n v="41"/>
    <x v="1"/>
    <n v="849"/>
    <n v="34809"/>
    <s v="DSL"/>
    <d v="2022-05-01T00:00:00"/>
    <s v="No"/>
    <n v="0"/>
    <s v="No"/>
    <s v="No"/>
    <s v="No"/>
    <s v="No"/>
    <s v="No"/>
  </r>
  <r>
    <s v="C1163"/>
    <s v="Pooja Mishra"/>
    <s v="Female"/>
    <n v="58"/>
    <x v="1"/>
    <x v="11"/>
    <s v="Month-to-month"/>
    <n v="14"/>
    <x v="0"/>
    <n v="349"/>
    <n v="4886"/>
    <s v="No Internet"/>
    <d v="2024-07-19T00:00:00"/>
    <s v="No"/>
    <n v="0"/>
    <s v="No"/>
    <s v="No"/>
    <s v="No"/>
    <s v="No"/>
    <s v="No"/>
  </r>
  <r>
    <s v="C1164"/>
    <s v="Harsh Gupta"/>
    <s v="Male"/>
    <n v="28"/>
    <x v="0"/>
    <x v="2"/>
    <s v="Two year"/>
    <n v="67"/>
    <x v="3"/>
    <n v="699"/>
    <n v="46833"/>
    <s v="DSL"/>
    <d v="2020-03-08T00:00:00"/>
    <s v="No"/>
    <n v="0"/>
    <s v="No"/>
    <s v="No"/>
    <s v="No"/>
    <s v="No"/>
    <s v="No"/>
  </r>
  <r>
    <s v="C1165"/>
    <s v="Pooja Chopra"/>
    <s v="Female"/>
    <n v="37"/>
    <x v="3"/>
    <x v="11"/>
    <s v="Month-to-month"/>
    <n v="6"/>
    <x v="4"/>
    <n v="1149"/>
    <n v="6894"/>
    <s v="Fiber"/>
    <d v="2025-03-13T00:00:00"/>
    <s v="Yes"/>
    <n v="1"/>
    <s v="No"/>
    <s v="No"/>
    <s v="No"/>
    <s v="No"/>
    <s v="No"/>
  </r>
  <r>
    <s v="C1166"/>
    <s v="Tanvi Verma"/>
    <s v="Female"/>
    <n v="70"/>
    <x v="2"/>
    <x v="6"/>
    <s v="Month-to-month"/>
    <n v="21"/>
    <x v="0"/>
    <n v="899"/>
    <n v="18879"/>
    <s v="DSL"/>
    <d v="2023-12-14T00:00:00"/>
    <s v="No"/>
    <n v="0"/>
    <s v="No"/>
    <s v="No"/>
    <s v="No"/>
    <s v="No"/>
    <s v="No"/>
  </r>
  <r>
    <s v="C1167"/>
    <s v="Riya Chopra"/>
    <s v="Female"/>
    <n v="19"/>
    <x v="4"/>
    <x v="7"/>
    <s v="Two year"/>
    <n v="39"/>
    <x v="1"/>
    <n v="999"/>
    <n v="38961"/>
    <s v="Fiber"/>
    <d v="2022-07-14T00:00:00"/>
    <s v="No"/>
    <n v="0"/>
    <s v="No"/>
    <s v="No"/>
    <s v="No"/>
    <s v="Yes"/>
    <s v="No"/>
  </r>
  <r>
    <s v="C1168"/>
    <s v="Arjun Kapoor"/>
    <s v="Male"/>
    <n v="44"/>
    <x v="3"/>
    <x v="7"/>
    <s v="Month-to-month"/>
    <n v="5"/>
    <x v="4"/>
    <n v="699"/>
    <n v="3495"/>
    <s v="DSL"/>
    <d v="2025-04-04T00:00:00"/>
    <s v="No"/>
    <n v="0"/>
    <s v="No"/>
    <s v="No"/>
    <s v="No"/>
    <s v="Yes"/>
    <s v="No"/>
  </r>
  <r>
    <s v="C1169"/>
    <s v="Divya Singh"/>
    <s v="Female"/>
    <n v="66"/>
    <x v="2"/>
    <x v="2"/>
    <s v="Month-to-month"/>
    <n v="8"/>
    <x v="2"/>
    <n v="749"/>
    <n v="5992"/>
    <s v="DSL"/>
    <d v="2025-01-27T00:00:00"/>
    <s v="No"/>
    <n v="0"/>
    <s v="No"/>
    <s v="No"/>
    <s v="No"/>
    <s v="No"/>
    <s v="No"/>
  </r>
  <r>
    <s v="C1170"/>
    <s v="Amit Iyer"/>
    <s v="Male"/>
    <n v="42"/>
    <x v="3"/>
    <x v="6"/>
    <s v="One year"/>
    <n v="11"/>
    <x v="2"/>
    <n v="899"/>
    <n v="9889"/>
    <s v="DSL"/>
    <d v="2024-10-27T00:00:00"/>
    <s v="No"/>
    <n v="0"/>
    <s v="No"/>
    <s v="No"/>
    <s v="Yes"/>
    <s v="No"/>
    <s v="No"/>
  </r>
  <r>
    <s v="C1171"/>
    <s v="Gaurav Jain"/>
    <s v="Male"/>
    <n v="47"/>
    <x v="1"/>
    <x v="7"/>
    <s v="Two year"/>
    <n v="12"/>
    <x v="2"/>
    <n v="1149"/>
    <n v="13788"/>
    <s v="Fiber"/>
    <m/>
    <s v="No"/>
    <n v="0"/>
    <s v="No"/>
    <s v="No"/>
    <s v="No"/>
    <s v="No"/>
    <s v="Date missing"/>
  </r>
  <r>
    <s v="C1172"/>
    <s v="Sneha Verma"/>
    <s v="Female"/>
    <n v="36"/>
    <x v="3"/>
    <x v="7"/>
    <s v="One year"/>
    <n v="31"/>
    <x v="1"/>
    <n v="349"/>
    <n v="10819"/>
    <s v="No Internet"/>
    <d v="2023-02-28T00:00:00"/>
    <s v="No"/>
    <n v="0"/>
    <s v="No"/>
    <s v="No"/>
    <s v="No"/>
    <s v="No"/>
    <s v="No"/>
  </r>
  <r>
    <s v="C1173"/>
    <s v="Suresh Agarwal"/>
    <s v="Male"/>
    <n v="41"/>
    <x v="3"/>
    <x v="13"/>
    <s v="Month-to-month"/>
    <n v="2"/>
    <x v="4"/>
    <n v="799"/>
    <n v="1598"/>
    <s v="DSL"/>
    <d v="2025-07-21T00:00:00"/>
    <s v="Yes"/>
    <n v="1"/>
    <s v="No"/>
    <s v="No"/>
    <s v="No"/>
    <s v="No"/>
    <s v="No"/>
  </r>
  <r>
    <s v="C1174"/>
    <s v="Deepak Jain"/>
    <s v="Male"/>
    <n v="46"/>
    <x v="1"/>
    <x v="13"/>
    <s v="Month-to-month"/>
    <n v="20"/>
    <x v="0"/>
    <n v="349"/>
    <n v="6980"/>
    <s v="No Internet"/>
    <d v="2024-02-03T00:00:00"/>
    <s v="Yes"/>
    <n v="1"/>
    <s v="No"/>
    <s v="No"/>
    <s v="No"/>
    <s v="No"/>
    <s v="No"/>
  </r>
  <r>
    <s v="C1175"/>
    <s v="Isha Joshi"/>
    <s v="Female"/>
    <n v="53"/>
    <x v="1"/>
    <x v="2"/>
    <s v="One year"/>
    <n v="33"/>
    <x v="1"/>
    <n v="749"/>
    <n v="24717"/>
    <s v="DSL"/>
    <d v="2023-01-08T00:00:00"/>
    <s v="Yes"/>
    <n v="1"/>
    <s v="No"/>
    <s v="No"/>
    <s v="No"/>
    <s v="Yes"/>
    <s v="No"/>
  </r>
  <r>
    <s v="C1176"/>
    <s v="Komal Jain"/>
    <s v="Female"/>
    <n v="47"/>
    <x v="1"/>
    <x v="8"/>
    <s v="Unknown"/>
    <n v="21"/>
    <x v="0"/>
    <n v="1049"/>
    <n v="22029"/>
    <s v="Fiber"/>
    <d v="2023-12-19T00:00:00"/>
    <s v="No"/>
    <n v="0"/>
    <s v="No"/>
    <s v="No"/>
    <s v="Yes"/>
    <s v="No"/>
    <s v="No"/>
  </r>
  <r>
    <s v="C1177"/>
    <s v="Tanvi Joshi"/>
    <s v="Female"/>
    <n v="50"/>
    <x v="1"/>
    <x v="6"/>
    <s v="Month-to-month"/>
    <n v="19"/>
    <x v="0"/>
    <n v="1099"/>
    <n v="20881"/>
    <s v="Fiber"/>
    <d v="2024-02-15T00:00:00"/>
    <s v="Yes"/>
    <n v="1"/>
    <s v="No"/>
    <s v="No"/>
    <s v="No"/>
    <s v="No"/>
    <s v="No"/>
  </r>
  <r>
    <s v="C1178"/>
    <s v="Vivek Bose"/>
    <s v="Male"/>
    <n v="37"/>
    <x v="3"/>
    <x v="13"/>
    <s v="Unknown"/>
    <n v="4"/>
    <x v="4"/>
    <n v="449"/>
    <n v="1796"/>
    <s v="No Internet"/>
    <d v="2025-05-06T00:00:00"/>
    <s v="No"/>
    <n v="0"/>
    <s v="No"/>
    <s v="No"/>
    <s v="No"/>
    <s v="No"/>
    <s v="No"/>
  </r>
  <r>
    <s v="C1179"/>
    <s v="Amit Bose"/>
    <s v="Male"/>
    <n v="48"/>
    <x v="1"/>
    <x v="8"/>
    <s v="Month-to-month"/>
    <n v="13"/>
    <x v="0"/>
    <n v="1299"/>
    <n v="16887"/>
    <s v="Fiber"/>
    <d v="2024-08-12T00:00:00"/>
    <s v="Yes"/>
    <n v="1"/>
    <s v="No"/>
    <s v="No"/>
    <s v="No"/>
    <s v="No"/>
    <s v="No"/>
  </r>
  <r>
    <s v="C1180"/>
    <s v="Sanjay Sharma"/>
    <s v="Male"/>
    <n v="46"/>
    <x v="1"/>
    <x v="2"/>
    <s v="Month-to-month"/>
    <n v="7"/>
    <x v="2"/>
    <n v="1149"/>
    <n v="8043"/>
    <s v="Fiber"/>
    <d v="2025-02-03T00:00:00"/>
    <s v="No"/>
    <n v="0"/>
    <s v="No"/>
    <s v="No"/>
    <s v="No"/>
    <s v="No"/>
    <s v="No"/>
  </r>
  <r>
    <s v="C1181"/>
    <s v="Rohit Jain"/>
    <s v="Male"/>
    <n v="31"/>
    <x v="0"/>
    <x v="1"/>
    <s v="Month-to-month"/>
    <n v="17"/>
    <x v="0"/>
    <n v="1049"/>
    <n v="17833"/>
    <s v="Fiber"/>
    <d v="2024-04-19T00:00:00"/>
    <s v="Yes"/>
    <n v="1"/>
    <s v="No"/>
    <s v="No"/>
    <s v="No"/>
    <s v="No"/>
    <s v="No"/>
  </r>
  <r>
    <s v="C1182"/>
    <s v="Sonal Patel"/>
    <s v="Female"/>
    <n v="61"/>
    <x v="2"/>
    <x v="13"/>
    <s v="Two year"/>
    <n v="34"/>
    <x v="1"/>
    <n v="1099"/>
    <n v="37366"/>
    <s v="Fiber"/>
    <d v="2022-12-05T00:00:00"/>
    <s v="No"/>
    <n v="0"/>
    <s v="No"/>
    <s v="No"/>
    <s v="No"/>
    <s v="No"/>
    <s v="No"/>
  </r>
  <r>
    <s v="C1183"/>
    <s v="Ritu Iyer"/>
    <s v="Female"/>
    <n v="67"/>
    <x v="2"/>
    <x v="5"/>
    <s v="One year"/>
    <n v="32"/>
    <x v="1"/>
    <n v="1099"/>
    <n v="35168"/>
    <s v="Fiber"/>
    <d v="2023-01-13T00:00:00"/>
    <s v="No"/>
    <n v="0"/>
    <s v="No"/>
    <s v="No"/>
    <s v="No"/>
    <s v="Yes"/>
    <s v="No"/>
  </r>
  <r>
    <s v="C1184"/>
    <s v="Aditi Reddy"/>
    <s v="Female"/>
    <n v="54"/>
    <x v="1"/>
    <x v="9"/>
    <s v="Month-to-month"/>
    <n v="13"/>
    <x v="0"/>
    <n v="399"/>
    <n v="5187"/>
    <s v="No Internet"/>
    <d v="2024-08-25T00:00:00"/>
    <s v="Yes"/>
    <n v="1"/>
    <s v="No"/>
    <s v="No"/>
    <s v="No"/>
    <s v="No"/>
    <s v="No"/>
  </r>
  <r>
    <s v="C1185"/>
    <s v="Aman Kapoor"/>
    <s v="Male"/>
    <n v="59"/>
    <x v="1"/>
    <x v="5"/>
    <s v="One year"/>
    <n v="35"/>
    <x v="1"/>
    <n v="699"/>
    <n v="24465"/>
    <s v="DSL"/>
    <d v="2022-10-25T00:00:00"/>
    <s v="Unknown"/>
    <s v=""/>
    <s v="No"/>
    <s v="No"/>
    <s v="No"/>
    <s v="No"/>
    <s v="Churn unknown"/>
  </r>
  <r>
    <s v="C1186"/>
    <s v="Manish Verma"/>
    <s v="Male"/>
    <n v="60"/>
    <x v="1"/>
    <x v="1"/>
    <s v="Month-to-month"/>
    <n v="4"/>
    <x v="4"/>
    <n v="749"/>
    <n v="2996"/>
    <s v="DSL"/>
    <d v="2025-05-07T00:00:00"/>
    <s v="Unknown"/>
    <s v=""/>
    <s v="No"/>
    <s v="No"/>
    <s v="No"/>
    <s v="No"/>
    <s v="Churn unknown"/>
  </r>
  <r>
    <s v="C1187"/>
    <s v="Rahul Mishra"/>
    <s v="Male"/>
    <n v="28"/>
    <x v="0"/>
    <x v="12"/>
    <s v="One year"/>
    <n v="31"/>
    <x v="1"/>
    <n v="399"/>
    <n v="12369"/>
    <s v="No Internet"/>
    <d v="2023-03-04T00:00:00"/>
    <s v="No"/>
    <n v="0"/>
    <s v="No"/>
    <s v="No"/>
    <s v="No"/>
    <s v="No"/>
    <s v="No"/>
  </r>
  <r>
    <s v="C1188"/>
    <s v="Aditi Chopra"/>
    <s v="Female"/>
    <n v="21"/>
    <x v="4"/>
    <x v="13"/>
    <s v="Month-to-month"/>
    <n v="18"/>
    <x v="0"/>
    <n v="1199"/>
    <n v="21582"/>
    <s v="Fiber"/>
    <d v="2024-04-01T00:00:00"/>
    <s v="No"/>
    <n v="0"/>
    <s v="No"/>
    <s v="No"/>
    <s v="No"/>
    <s v="No"/>
    <s v="No"/>
  </r>
  <r>
    <s v="C1189"/>
    <s v="Meera Verma"/>
    <s v="Female"/>
    <n v="71"/>
    <x v="2"/>
    <x v="12"/>
    <s v="One year"/>
    <n v="19"/>
    <x v="0"/>
    <n v="599"/>
    <n v="11381"/>
    <s v="DSL"/>
    <d v="2024-03-04T00:00:00"/>
    <s v="No"/>
    <n v="0"/>
    <s v="No"/>
    <s v="No"/>
    <s v="No"/>
    <s v="No"/>
    <s v="No"/>
  </r>
  <r>
    <s v="C1190"/>
    <s v="Aditi Kapoor"/>
    <s v="Female"/>
    <n v="59"/>
    <x v="1"/>
    <x v="1"/>
    <s v="Month-to-month"/>
    <n v="5"/>
    <x v="4"/>
    <n v="499"/>
    <n v="2495"/>
    <s v="No Internet"/>
    <d v="2025-04-06T00:00:00"/>
    <s v="Yes"/>
    <n v="1"/>
    <s v="No"/>
    <s v="No"/>
    <s v="No"/>
    <s v="No"/>
    <s v="No"/>
  </r>
  <r>
    <s v="C1191"/>
    <s v="Nikhil Gupta"/>
    <s v="Male"/>
    <n v="64"/>
    <x v="2"/>
    <x v="7"/>
    <s v="One year"/>
    <n v="1"/>
    <x v="4"/>
    <n v="1049"/>
    <n v="1049"/>
    <s v="Fiber"/>
    <d v="2025-08-05T00:00:00"/>
    <s v="No"/>
    <n v="0"/>
    <s v="No"/>
    <s v="No"/>
    <s v="No"/>
    <s v="No"/>
    <s v="No"/>
  </r>
  <r>
    <s v="C1192"/>
    <s v="Arjun Yadav"/>
    <s v="Male"/>
    <n v="72"/>
    <x v="2"/>
    <x v="9"/>
    <s v="Two year"/>
    <n v="66"/>
    <x v="3"/>
    <n v="499"/>
    <n v="32934"/>
    <s v="No Internet"/>
    <d v="2020-04-22T00:00:00"/>
    <s v="No"/>
    <n v="0"/>
    <s v="No"/>
    <s v="No"/>
    <s v="No"/>
    <s v="No"/>
    <s v="No"/>
  </r>
  <r>
    <s v="C1193"/>
    <s v="Gaurav Joshi"/>
    <s v="Male"/>
    <n v="33"/>
    <x v="0"/>
    <x v="3"/>
    <s v="Month-to-month"/>
    <n v="9"/>
    <x v="2"/>
    <n v="699"/>
    <n v="6291"/>
    <s v="DSL"/>
    <d v="2025-01-01T00:00:00"/>
    <s v="No"/>
    <n v="0"/>
    <s v="No"/>
    <s v="No"/>
    <s v="No"/>
    <s v="No"/>
    <s v="No"/>
  </r>
  <r>
    <s v="C1194"/>
    <s v="Isha Pandey"/>
    <s v="Female"/>
    <n v="33"/>
    <x v="0"/>
    <x v="3"/>
    <s v="One year"/>
    <n v="11"/>
    <x v="2"/>
    <n v="1199"/>
    <n v="13189"/>
    <s v="Fiber"/>
    <d v="2024-10-05T00:00:00"/>
    <s v="No"/>
    <n v="0"/>
    <s v="No"/>
    <s v="No"/>
    <s v="No"/>
    <s v="No"/>
    <s v="No"/>
  </r>
  <r>
    <s v="C1195"/>
    <s v="Anjali Chopra"/>
    <s v="Female"/>
    <n v="36"/>
    <x v="3"/>
    <x v="2"/>
    <s v="One year"/>
    <n v="9"/>
    <x v="2"/>
    <n v="749"/>
    <n v="6741"/>
    <s v="DSL"/>
    <d v="2024-12-13T00:00:00"/>
    <s v="No"/>
    <n v="0"/>
    <s v="No"/>
    <s v="No"/>
    <s v="No"/>
    <s v="No"/>
    <s v="No"/>
  </r>
  <r>
    <s v="C1196"/>
    <s v="Nisha Pandey"/>
    <s v="Female"/>
    <n v="53"/>
    <x v="1"/>
    <x v="7"/>
    <s v="One year"/>
    <n v="14"/>
    <x v="0"/>
    <n v="549"/>
    <n v="7686"/>
    <s v="No Internet"/>
    <d v="2024-08-02T00:00:00"/>
    <s v="No"/>
    <n v="0"/>
    <s v="No"/>
    <s v="No"/>
    <s v="No"/>
    <s v="No"/>
    <s v="No"/>
  </r>
  <r>
    <s v="C1197"/>
    <s v="Payal Pandey"/>
    <s v="Female"/>
    <n v="41"/>
    <x v="3"/>
    <x v="4"/>
    <s v="Two year"/>
    <n v="71"/>
    <x v="3"/>
    <n v="799"/>
    <n v="56729"/>
    <s v="DSL"/>
    <d v="2019-11-24T00:00:00"/>
    <s v="No"/>
    <n v="0"/>
    <s v="No"/>
    <s v="No"/>
    <s v="No"/>
    <s v="Yes"/>
    <s v="No"/>
  </r>
  <r>
    <s v="C1198"/>
    <s v="Payal Kapoor"/>
    <s v="Female"/>
    <n v="25"/>
    <x v="4"/>
    <x v="9"/>
    <s v="Month-to-month"/>
    <n v="3"/>
    <x v="4"/>
    <n v="1099"/>
    <n v="3297"/>
    <s v="Fiber"/>
    <d v="2025-06-14T00:00:00"/>
    <s v="Yes"/>
    <n v="1"/>
    <s v="No"/>
    <s v="No"/>
    <s v="No"/>
    <s v="No"/>
    <s v="No"/>
  </r>
  <r>
    <s v="C1199"/>
    <s v="Shreya Bose"/>
    <s v="Female"/>
    <n v="21"/>
    <x v="4"/>
    <x v="10"/>
    <s v="Month-to-month"/>
    <n v="24"/>
    <x v="0"/>
    <n v="449"/>
    <n v="10776"/>
    <s v="No Internet"/>
    <d v="2023-09-16T00:00:00"/>
    <s v="No"/>
    <n v="0"/>
    <s v="No"/>
    <s v="No"/>
    <s v="No"/>
    <s v="No"/>
    <s v="No"/>
  </r>
  <r>
    <s v="C1200"/>
    <s v="Rajesh Kumar"/>
    <s v="Male"/>
    <n v="20"/>
    <x v="4"/>
    <x v="12"/>
    <s v="Month-to-month"/>
    <n v="2"/>
    <x v="4"/>
    <n v="599"/>
    <n v="1198"/>
    <s v="DSL"/>
    <d v="2025-07-25T00:00:00"/>
    <s v="Yes"/>
    <n v="1"/>
    <s v="No"/>
    <s v="No"/>
    <s v="No"/>
    <s v="No"/>
    <s v="No"/>
  </r>
  <r>
    <s v="C1201"/>
    <s v="Vivek Patel"/>
    <s v="Male"/>
    <n v="75"/>
    <x v="2"/>
    <x v="12"/>
    <s v="Month-to-month"/>
    <n v="13"/>
    <x v="0"/>
    <n v="549"/>
    <n v="7137"/>
    <s v="No Internet"/>
    <d v="2024-08-07T00:00:00"/>
    <s v="Yes"/>
    <n v="1"/>
    <s v="No"/>
    <s v="No"/>
    <s v="No"/>
    <s v="No"/>
    <s v="No"/>
  </r>
  <r>
    <s v="C1202"/>
    <s v="Anjali Gupta"/>
    <s v="Female"/>
    <n v="52"/>
    <x v="1"/>
    <x v="12"/>
    <s v="Month-to-month"/>
    <n v="8"/>
    <x v="2"/>
    <n v="899"/>
    <n v="7192"/>
    <s v="Fiber"/>
    <d v="2025-01-17T00:00:00"/>
    <s v="No"/>
    <n v="0"/>
    <s v="No"/>
    <s v="No"/>
    <s v="No"/>
    <s v="No"/>
    <s v="No"/>
  </r>
  <r>
    <s v="C1203"/>
    <s v="Sonal Rao"/>
    <s v="Female"/>
    <n v="70"/>
    <x v="2"/>
    <x v="0"/>
    <s v="Month-to-month"/>
    <n v="9"/>
    <x v="2"/>
    <n v="649"/>
    <n v="5841"/>
    <s v="DSL"/>
    <d v="2024-12-11T00:00:00"/>
    <s v="Yes"/>
    <n v="1"/>
    <s v="No"/>
    <s v="No"/>
    <s v="Yes"/>
    <s v="No"/>
    <s v="No"/>
  </r>
  <r>
    <s v="C1204"/>
    <s v="Riya Sharma"/>
    <s v="Female"/>
    <n v="33"/>
    <x v="0"/>
    <x v="0"/>
    <s v="Month-to-month"/>
    <n v="15"/>
    <x v="0"/>
    <n v="1199"/>
    <n v="17985"/>
    <s v="Fiber"/>
    <d v="2024-07-04T00:00:00"/>
    <s v="Yes"/>
    <n v="1"/>
    <s v="No"/>
    <s v="No"/>
    <s v="No"/>
    <s v="No"/>
    <s v="No"/>
  </r>
  <r>
    <s v="C1205"/>
    <s v="Shreya Nair"/>
    <s v="Female"/>
    <n v="52"/>
    <x v="1"/>
    <x v="0"/>
    <s v="One year"/>
    <n v="9"/>
    <x v="2"/>
    <n v="1049"/>
    <n v="9441"/>
    <s v="Fiber"/>
    <d v="2024-12-09T00:00:00"/>
    <s v="No"/>
    <n v="0"/>
    <s v="No"/>
    <s v="No"/>
    <s v="Yes"/>
    <s v="No"/>
    <s v="No"/>
  </r>
  <r>
    <s v="C1206"/>
    <s v="Tanvi Yadav"/>
    <s v="Female"/>
    <n v="67"/>
    <x v="2"/>
    <x v="9"/>
    <s v="Two year"/>
    <n v="19"/>
    <x v="0"/>
    <n v="849"/>
    <n v="16131"/>
    <s v="DSL"/>
    <d v="2024-02-28T00:00:00"/>
    <s v="No"/>
    <n v="0"/>
    <s v="No"/>
    <s v="No"/>
    <s v="No"/>
    <s v="No"/>
    <s v="No"/>
  </r>
  <r>
    <s v="C1207"/>
    <s v="Sachin Bose"/>
    <s v="Unknown"/>
    <n v="47"/>
    <x v="1"/>
    <x v="14"/>
    <s v="Two year"/>
    <n v="55"/>
    <x v="3"/>
    <n v="1099"/>
    <n v="60445"/>
    <s v="Fiber"/>
    <d v="2021-03-03T00:00:00"/>
    <s v="No"/>
    <n v="0"/>
    <s v="Yes"/>
    <s v="No"/>
    <s v="No"/>
    <s v="No"/>
    <s v="No"/>
  </r>
  <r>
    <s v="C1208"/>
    <s v="Payal Joshi"/>
    <s v="Female"/>
    <n v="62"/>
    <x v="2"/>
    <x v="12"/>
    <s v="Month-to-month"/>
    <n v="6"/>
    <x v="4"/>
    <n v="899"/>
    <n v="5394"/>
    <s v="DSL"/>
    <d v="2025-03-25T00:00:00"/>
    <s v="Yes"/>
    <n v="1"/>
    <s v="No"/>
    <s v="No"/>
    <s v="No"/>
    <s v="No"/>
    <s v="No"/>
  </r>
  <r>
    <s v="C1209"/>
    <s v="Pooja Kapoor"/>
    <s v="Female"/>
    <n v="21"/>
    <x v="4"/>
    <x v="1"/>
    <s v="Month-to-month"/>
    <n v="17"/>
    <x v="0"/>
    <n v="1099"/>
    <n v="18683"/>
    <s v="Unknown"/>
    <d v="2024-04-26T00:00:00"/>
    <s v="Yes"/>
    <n v="1"/>
    <s v="No"/>
    <s v="Yes"/>
    <s v="No"/>
    <s v="No"/>
    <s v="No"/>
  </r>
  <r>
    <s v="C1210"/>
    <s v="Ankit Patel"/>
    <s v="Male"/>
    <n v="23"/>
    <x v="4"/>
    <x v="1"/>
    <s v="One year"/>
    <n v="18"/>
    <x v="0"/>
    <n v="749"/>
    <n v="13482"/>
    <s v="DSL"/>
    <d v="2024-03-10T00:00:00"/>
    <s v="No"/>
    <n v="0"/>
    <s v="No"/>
    <s v="No"/>
    <s v="No"/>
    <s v="No"/>
    <s v="No"/>
  </r>
  <r>
    <s v="C1211"/>
    <s v="Sanjay Bose"/>
    <s v="Unknown"/>
    <n v="64"/>
    <x v="2"/>
    <x v="9"/>
    <s v="One year"/>
    <n v="22"/>
    <x v="0"/>
    <n v="899"/>
    <n v="19778"/>
    <s v="Fiber"/>
    <d v="2023-11-15T00:00:00"/>
    <s v="No"/>
    <n v="0"/>
    <s v="No"/>
    <s v="No"/>
    <s v="No"/>
    <s v="No"/>
    <s v="No"/>
  </r>
  <r>
    <s v="C1212"/>
    <s v="Gaurav Nair"/>
    <s v="Male"/>
    <n v="62"/>
    <x v="2"/>
    <x v="11"/>
    <s v="One year"/>
    <n v="16"/>
    <x v="0"/>
    <n v="1049"/>
    <n v="16784"/>
    <s v="Fiber"/>
    <d v="2024-05-19T00:00:00"/>
    <s v="No"/>
    <n v="0"/>
    <s v="No"/>
    <s v="No"/>
    <s v="No"/>
    <s v="No"/>
    <s v="No"/>
  </r>
  <r>
    <s v="C1213"/>
    <s v="Aditi Malhotra"/>
    <s v="Female"/>
    <n v="41"/>
    <x v="3"/>
    <x v="1"/>
    <s v="Two year"/>
    <n v="61"/>
    <x v="3"/>
    <n v="1299"/>
    <n v="79239"/>
    <s v="Fiber"/>
    <d v="2020-09-13T00:00:00"/>
    <s v="No"/>
    <n v="0"/>
    <s v="No"/>
    <s v="No"/>
    <s v="No"/>
    <s v="No"/>
    <s v="No"/>
  </r>
  <r>
    <s v="C1214"/>
    <s v="Nisha Verma"/>
    <s v="Female"/>
    <n v="54"/>
    <x v="1"/>
    <x v="6"/>
    <s v="Month-to-month"/>
    <n v="9"/>
    <x v="2"/>
    <n v="799"/>
    <n v="7191"/>
    <s v="DSL"/>
    <d v="2024-12-23T00:00:00"/>
    <s v="No"/>
    <n v="0"/>
    <s v="No"/>
    <s v="No"/>
    <s v="No"/>
    <s v="No"/>
    <s v="No"/>
  </r>
  <r>
    <s v="C1215"/>
    <s v="Sanjay Joshi"/>
    <s v="Male"/>
    <n v="32"/>
    <x v="0"/>
    <x v="12"/>
    <s v="One year"/>
    <n v="36"/>
    <x v="1"/>
    <n v="849"/>
    <n v="30564"/>
    <s v="DSL"/>
    <d v="2022-09-18T00:00:00"/>
    <s v="No"/>
    <n v="0"/>
    <s v="No"/>
    <s v="No"/>
    <s v="No"/>
    <s v="No"/>
    <s v="No"/>
  </r>
  <r>
    <s v="C1216"/>
    <s v="Komal Kapoor"/>
    <s v="Unknown"/>
    <n v="28"/>
    <x v="0"/>
    <x v="14"/>
    <s v="One year"/>
    <n v="35"/>
    <x v="1"/>
    <n v="749"/>
    <n v="26215"/>
    <s v="DSL"/>
    <d v="2022-11-12T00:00:00"/>
    <s v="No"/>
    <n v="0"/>
    <s v="No"/>
    <s v="No"/>
    <s v="No"/>
    <s v="Yes"/>
    <s v="No"/>
  </r>
  <r>
    <s v="C1217"/>
    <s v="Vikram Saxena"/>
    <s v="Male"/>
    <n v="21"/>
    <x v="4"/>
    <x v="13"/>
    <s v="Month-to-month"/>
    <n v="21"/>
    <x v="0"/>
    <n v="649"/>
    <n v="13629"/>
    <s v="DSL"/>
    <d v="2023-12-22T00:00:00"/>
    <s v="Yes"/>
    <n v="1"/>
    <s v="No"/>
    <s v="No"/>
    <s v="No"/>
    <s v="No"/>
    <s v="No"/>
  </r>
  <r>
    <s v="C1218"/>
    <s v="Isha Verma"/>
    <s v="Female"/>
    <n v="57"/>
    <x v="1"/>
    <x v="9"/>
    <s v="One year"/>
    <n v="31"/>
    <x v="1"/>
    <n v="1099"/>
    <n v="34069"/>
    <s v="Fiber"/>
    <d v="2023-02-24T00:00:00"/>
    <s v="Yes"/>
    <n v="1"/>
    <s v="No"/>
    <s v="No"/>
    <s v="No"/>
    <s v="No"/>
    <s v="No"/>
  </r>
  <r>
    <s v="C1219"/>
    <s v="Priya Sharma"/>
    <s v="Female"/>
    <n v="51"/>
    <x v="1"/>
    <x v="14"/>
    <s v="Month-to-month"/>
    <n v="1"/>
    <x v="4"/>
    <n v="499"/>
    <n v="499"/>
    <s v="No Internet"/>
    <d v="2025-07-31T00:00:00"/>
    <s v="No"/>
    <n v="0"/>
    <s v="No"/>
    <s v="No"/>
    <s v="No"/>
    <s v="No"/>
    <s v="No"/>
  </r>
  <r>
    <s v="C1220"/>
    <s v="Karan Reddy"/>
    <s v="Male"/>
    <n v="51"/>
    <x v="1"/>
    <x v="8"/>
    <s v="Month-to-month"/>
    <n v="9"/>
    <x v="2"/>
    <n v="1049"/>
    <n v="9441"/>
    <s v="Fiber"/>
    <d v="2024-12-30T00:00:00"/>
    <s v="No"/>
    <n v="0"/>
    <s v="No"/>
    <s v="No"/>
    <s v="No"/>
    <s v="No"/>
    <s v="No"/>
  </r>
  <r>
    <s v="C1221"/>
    <s v="Divya Kapoor"/>
    <s v="Female"/>
    <n v="54"/>
    <x v="1"/>
    <x v="0"/>
    <s v="Two year"/>
    <n v="11"/>
    <x v="2"/>
    <n v="849"/>
    <n v="9339"/>
    <s v="DSL"/>
    <d v="2024-10-21T00:00:00"/>
    <s v="No"/>
    <n v="0"/>
    <s v="No"/>
    <s v="No"/>
    <s v="No"/>
    <s v="No"/>
    <s v="No"/>
  </r>
  <r>
    <s v="C1222"/>
    <s v="Sonal Desai"/>
    <s v="Female"/>
    <n v="47"/>
    <x v="1"/>
    <x v="9"/>
    <s v="Month-to-month"/>
    <n v="16"/>
    <x v="0"/>
    <n v="899"/>
    <n v="14384"/>
    <s v="DSL"/>
    <d v="2024-05-09T00:00:00"/>
    <s v="No"/>
    <n v="0"/>
    <s v="Yes"/>
    <s v="No"/>
    <s v="No"/>
    <s v="No"/>
    <s v="No"/>
  </r>
  <r>
    <s v="C1223"/>
    <s v="Mohit Verma"/>
    <s v="Male"/>
    <n v="32"/>
    <x v="0"/>
    <x v="0"/>
    <s v="Two year"/>
    <n v="61"/>
    <x v="3"/>
    <n v="899"/>
    <n v="54839"/>
    <s v="Fiber"/>
    <d v="2020-09-16T00:00:00"/>
    <s v="No"/>
    <n v="0"/>
    <s v="No"/>
    <s v="No"/>
    <s v="No"/>
    <s v="Yes"/>
    <s v="No"/>
  </r>
  <r>
    <s v="C1224"/>
    <s v="Unknown"/>
    <s v="Male"/>
    <n v="19"/>
    <x v="4"/>
    <x v="0"/>
    <s v="One year"/>
    <n v="26"/>
    <x v="1"/>
    <n v="1049"/>
    <n v="27274"/>
    <s v="Fiber"/>
    <d v="2023-07-23T00:00:00"/>
    <s v="No"/>
    <n v="0"/>
    <s v="No"/>
    <s v="No"/>
    <s v="No"/>
    <s v="No"/>
    <s v="No"/>
  </r>
  <r>
    <s v="C1225"/>
    <s v="Sonal Joshi"/>
    <s v="Female"/>
    <n v="42"/>
    <x v="3"/>
    <x v="13"/>
    <s v="One year"/>
    <n v="6"/>
    <x v="4"/>
    <n v="1199"/>
    <n v="7194"/>
    <s v="Fiber"/>
    <d v="2025-03-19T00:00:00"/>
    <s v="Yes"/>
    <n v="1"/>
    <s v="No"/>
    <s v="No"/>
    <s v="No"/>
    <s v="No"/>
    <s v="No"/>
  </r>
  <r>
    <s v="C1226"/>
    <s v="Vikram Joshi"/>
    <s v="Male"/>
    <n v="56"/>
    <x v="1"/>
    <x v="13"/>
    <s v="One year"/>
    <n v="21"/>
    <x v="0"/>
    <n v="1199"/>
    <n v="25179"/>
    <s v="Fiber"/>
    <d v="2023-12-24T00:00:00"/>
    <s v="No"/>
    <n v="0"/>
    <s v="No"/>
    <s v="No"/>
    <s v="No"/>
    <s v="No"/>
    <s v="No"/>
  </r>
  <r>
    <s v="C1227"/>
    <s v="Ritu Patel"/>
    <s v="Female"/>
    <n v="53"/>
    <x v="1"/>
    <x v="12"/>
    <s v="Month-to-month"/>
    <n v="22"/>
    <x v="0"/>
    <n v="899"/>
    <n v="19778"/>
    <s v="Fiber"/>
    <d v="2023-12-01T00:00:00"/>
    <s v="Yes"/>
    <n v="1"/>
    <s v="No"/>
    <s v="No"/>
    <s v="No"/>
    <s v="No"/>
    <s v="No"/>
  </r>
  <r>
    <s v="C1228"/>
    <s v="Vikram Malhotra"/>
    <s v="Male"/>
    <n v="27"/>
    <x v="0"/>
    <x v="12"/>
    <s v="One year"/>
    <n v="25"/>
    <x v="1"/>
    <n v="1049"/>
    <n v="26225"/>
    <s v="Fiber"/>
    <d v="2023-08-31T00:00:00"/>
    <s v="Yes"/>
    <n v="1"/>
    <s v="No"/>
    <s v="Yes"/>
    <s v="No"/>
    <s v="No"/>
    <s v="No"/>
  </r>
  <r>
    <s v="C1229"/>
    <s v="Isha Malhotra"/>
    <s v="Female"/>
    <n v="24"/>
    <x v="4"/>
    <x v="8"/>
    <s v="Month-to-month"/>
    <n v="18"/>
    <x v="0"/>
    <n v="1149"/>
    <n v="20682"/>
    <s v="Fiber"/>
    <d v="2024-04-04T00:00:00"/>
    <s v="Yes"/>
    <n v="1"/>
    <s v="No"/>
    <s v="No"/>
    <s v="No"/>
    <s v="No"/>
    <s v="No"/>
  </r>
  <r>
    <s v="C1230"/>
    <s v="Sonal Kumar"/>
    <s v="Female"/>
    <n v="56"/>
    <x v="1"/>
    <x v="11"/>
    <s v="One year"/>
    <n v="1"/>
    <x v="4"/>
    <n v="499"/>
    <n v="499"/>
    <s v="No Internet"/>
    <d v="2025-08-06T00:00:00"/>
    <s v="No"/>
    <n v="0"/>
    <s v="No"/>
    <s v="No"/>
    <s v="No"/>
    <s v="No"/>
    <s v="No"/>
  </r>
  <r>
    <s v="C1231"/>
    <s v="Rajesh Jain"/>
    <s v="Male"/>
    <n v="28"/>
    <x v="0"/>
    <x v="9"/>
    <s v="Month-to-month"/>
    <n v="10"/>
    <x v="2"/>
    <n v="699"/>
    <n v="6990"/>
    <s v="DSL"/>
    <d v="2024-11-19T00:00:00"/>
    <s v="Yes"/>
    <n v="1"/>
    <s v="No"/>
    <s v="No"/>
    <s v="No"/>
    <s v="No"/>
    <s v="No"/>
  </r>
  <r>
    <s v="C1232"/>
    <s v="Nisha Iyer"/>
    <s v="Unknown"/>
    <n v="48"/>
    <x v="1"/>
    <x v="13"/>
    <s v="Month-to-month"/>
    <n v="8"/>
    <x v="2"/>
    <n v="849"/>
    <n v="6792"/>
    <s v="DSL"/>
    <d v="2025-01-25T00:00:00"/>
    <s v="No"/>
    <n v="0"/>
    <s v="No"/>
    <s v="No"/>
    <s v="No"/>
    <s v="No"/>
    <s v="No"/>
  </r>
  <r>
    <s v="C1233"/>
    <s v="Anjali Singh"/>
    <s v="Female"/>
    <n v="37"/>
    <x v="3"/>
    <x v="3"/>
    <s v="Two year"/>
    <n v="49"/>
    <x v="3"/>
    <n v="899"/>
    <n v="44051"/>
    <s v="DSL"/>
    <d v="2021-09-06T00:00:00"/>
    <s v="No"/>
    <n v="0"/>
    <s v="No"/>
    <s v="No"/>
    <s v="No"/>
    <s v="No"/>
    <s v="No"/>
  </r>
  <r>
    <s v="C1234"/>
    <s v="Harsh Joshi"/>
    <s v="Male"/>
    <n v="56"/>
    <x v="1"/>
    <x v="14"/>
    <s v="Month-to-month"/>
    <n v="13"/>
    <x v="0"/>
    <n v="699"/>
    <n v="9087"/>
    <s v="DSL"/>
    <d v="2024-08-09T00:00:00"/>
    <s v="No"/>
    <n v="0"/>
    <s v="No"/>
    <s v="No"/>
    <s v="No"/>
    <s v="No"/>
    <s v="No"/>
  </r>
  <r>
    <s v="C1235"/>
    <s v="Nikhil Rao"/>
    <s v="Male"/>
    <n v="35"/>
    <x v="0"/>
    <x v="6"/>
    <s v="One year"/>
    <n v="37"/>
    <x v="1"/>
    <n v="1149"/>
    <n v="42513"/>
    <s v="Fiber"/>
    <d v="2022-08-21T00:00:00"/>
    <s v="Yes"/>
    <n v="1"/>
    <s v="No"/>
    <s v="No"/>
    <s v="No"/>
    <s v="No"/>
    <s v="No"/>
  </r>
  <r>
    <s v="C1236"/>
    <s v="Ankit Pandey"/>
    <s v="Male"/>
    <n v="31"/>
    <x v="0"/>
    <x v="7"/>
    <s v="One year"/>
    <n v="5"/>
    <x v="4"/>
    <n v="499"/>
    <n v="2495"/>
    <s v="No Internet"/>
    <d v="2025-04-27T00:00:00"/>
    <s v="No"/>
    <n v="0"/>
    <s v="No"/>
    <s v="No"/>
    <s v="No"/>
    <s v="No"/>
    <s v="No"/>
  </r>
  <r>
    <s v="C1237"/>
    <s v="Ritu Malhotra"/>
    <s v="Female"/>
    <n v="60"/>
    <x v="1"/>
    <x v="8"/>
    <s v="One year"/>
    <n v="5"/>
    <x v="4"/>
    <n v="1149"/>
    <n v="5745"/>
    <s v="Fiber"/>
    <d v="2025-04-14T00:00:00"/>
    <s v="No"/>
    <n v="0"/>
    <s v="No"/>
    <s v="No"/>
    <s v="No"/>
    <s v="No"/>
    <s v="No"/>
  </r>
  <r>
    <s v="C1238"/>
    <s v="Sonal Verma"/>
    <s v="Female"/>
    <n v="68"/>
    <x v="2"/>
    <x v="2"/>
    <s v="One year"/>
    <n v="39"/>
    <x v="1"/>
    <n v="349"/>
    <n v="13611"/>
    <s v="No Internet"/>
    <d v="2022-06-25T00:00:00"/>
    <s v="No"/>
    <n v="0"/>
    <s v="No"/>
    <s v="No"/>
    <s v="No"/>
    <s v="No"/>
    <s v="No"/>
  </r>
  <r>
    <s v="C1239"/>
    <s v="Meera Chopra"/>
    <s v="Female"/>
    <n v="57"/>
    <x v="1"/>
    <x v="3"/>
    <s v="One year"/>
    <n v="26"/>
    <x v="1"/>
    <n v="1049"/>
    <n v="27274"/>
    <s v="Fiber"/>
    <d v="2023-08-07T00:00:00"/>
    <s v="Yes"/>
    <n v="1"/>
    <s v="No"/>
    <s v="No"/>
    <s v="No"/>
    <s v="No"/>
    <s v="No"/>
  </r>
  <r>
    <s v="C1240"/>
    <s v="Ritu Jain"/>
    <s v="Female"/>
    <n v="65"/>
    <x v="2"/>
    <x v="1"/>
    <s v="One year"/>
    <n v="15"/>
    <x v="0"/>
    <n v="1049"/>
    <n v="15735"/>
    <s v="Fiber"/>
    <d v="2024-06-14T00:00:00"/>
    <s v="No"/>
    <n v="0"/>
    <s v="No"/>
    <s v="No"/>
    <s v="No"/>
    <s v="No"/>
    <s v="No"/>
  </r>
  <r>
    <s v="C1241"/>
    <s v="Aman Sharma"/>
    <s v="Male"/>
    <n v="48"/>
    <x v="1"/>
    <x v="4"/>
    <s v="Month-to-month"/>
    <n v="3"/>
    <x v="4"/>
    <n v="399"/>
    <n v="1197"/>
    <s v="No Internet"/>
    <d v="2025-06-20T00:00:00"/>
    <s v="Yes"/>
    <n v="1"/>
    <s v="No"/>
    <s v="No"/>
    <s v="Yes"/>
    <s v="No"/>
    <s v="No"/>
  </r>
  <r>
    <s v="C1242"/>
    <s v="Deepika Jain"/>
    <s v="Female"/>
    <n v="48"/>
    <x v="1"/>
    <x v="2"/>
    <s v="Month-to-month"/>
    <n v="23"/>
    <x v="0"/>
    <n v="1049"/>
    <n v="24127"/>
    <s v="Fiber"/>
    <d v="2023-10-14T00:00:00"/>
    <s v="Yes"/>
    <n v="1"/>
    <s v="No"/>
    <s v="No"/>
    <s v="No"/>
    <s v="Yes"/>
    <s v="No"/>
  </r>
  <r>
    <s v="C1243"/>
    <s v="Rahul Joshi"/>
    <s v="Unknown"/>
    <n v="59"/>
    <x v="1"/>
    <x v="4"/>
    <s v="One year"/>
    <n v="16"/>
    <x v="0"/>
    <n v="799"/>
    <n v="12784"/>
    <s v="Unknown"/>
    <d v="2024-05-19T00:00:00"/>
    <s v="No"/>
    <n v="0"/>
    <s v="No"/>
    <s v="No"/>
    <s v="No"/>
    <s v="No"/>
    <s v="No"/>
  </r>
  <r>
    <s v="C1244"/>
    <s v="Shreya Nair"/>
    <s v="Female"/>
    <n v="69"/>
    <x v="2"/>
    <x v="12"/>
    <s v="One year"/>
    <n v="28"/>
    <x v="1"/>
    <n v="749"/>
    <n v="20972"/>
    <s v="DSL"/>
    <d v="2023-05-28T00:00:00"/>
    <s v="No"/>
    <n v="0"/>
    <s v="No"/>
    <s v="No"/>
    <s v="No"/>
    <s v="No"/>
    <s v="No"/>
  </r>
  <r>
    <s v="C1245"/>
    <s v="Divya Sharma"/>
    <s v="Female"/>
    <n v="63"/>
    <x v="2"/>
    <x v="0"/>
    <s v="Month-to-month"/>
    <n v="3"/>
    <x v="4"/>
    <n v="899"/>
    <n v="2697"/>
    <s v="Fiber"/>
    <d v="2025-06-20T00:00:00"/>
    <s v="Yes"/>
    <n v="1"/>
    <s v="No"/>
    <s v="No"/>
    <s v="No"/>
    <s v="No"/>
    <s v="No"/>
  </r>
  <r>
    <s v="C1246"/>
    <s v="Unknown"/>
    <s v="Male"/>
    <n v="34"/>
    <x v="0"/>
    <x v="9"/>
    <s v="Two year"/>
    <n v="41"/>
    <x v="1"/>
    <n v="1099"/>
    <n v="45059"/>
    <s v="Fiber"/>
    <d v="2022-05-14T00:00:00"/>
    <s v="No"/>
    <n v="0"/>
    <s v="No"/>
    <s v="No"/>
    <s v="No"/>
    <s v="No"/>
    <s v="No"/>
  </r>
  <r>
    <s v="C1247"/>
    <s v="Isha Kapoor"/>
    <s v="Female"/>
    <n v="57"/>
    <x v="1"/>
    <x v="8"/>
    <s v="Two year"/>
    <n v="39"/>
    <x v="1"/>
    <n v="1149"/>
    <n v="44811"/>
    <s v="Fiber"/>
    <d v="2022-07-06T00:00:00"/>
    <s v="No"/>
    <n v="0"/>
    <s v="No"/>
    <s v="No"/>
    <s v="No"/>
    <s v="No"/>
    <s v="No"/>
  </r>
  <r>
    <s v="C1248"/>
    <s v="Manish Iyer"/>
    <s v="Male"/>
    <n v="25"/>
    <x v="4"/>
    <x v="8"/>
    <s v="Month-to-month"/>
    <n v="13"/>
    <x v="0"/>
    <n v="749"/>
    <n v="9737"/>
    <s v="DSL"/>
    <d v="2024-08-21T00:00:00"/>
    <s v="No"/>
    <n v="0"/>
    <s v="No"/>
    <s v="No"/>
    <s v="No"/>
    <s v="No"/>
    <s v="No"/>
  </r>
  <r>
    <s v="C1249"/>
    <s v="Gaurav Chopra"/>
    <s v="Male"/>
    <n v="52"/>
    <x v="1"/>
    <x v="14"/>
    <s v="Two year"/>
    <n v="23"/>
    <x v="0"/>
    <n v="499"/>
    <n v="11477"/>
    <s v="No Internet"/>
    <d v="2023-11-03T00:00:00"/>
    <s v="No"/>
    <n v="0"/>
    <s v="No"/>
    <s v="No"/>
    <s v="No"/>
    <s v="No"/>
    <s v="No"/>
  </r>
  <r>
    <s v="C1250"/>
    <s v="Shreya Yadav"/>
    <s v="Female"/>
    <n v="21"/>
    <x v="4"/>
    <x v="6"/>
    <s v="Month-to-month"/>
    <n v="5"/>
    <x v="4"/>
    <n v="649"/>
    <n v="3245"/>
    <s v="DSL"/>
    <d v="2025-04-15T00:00:00"/>
    <s v="No"/>
    <n v="0"/>
    <s v="No"/>
    <s v="No"/>
    <s v="No"/>
    <s v="No"/>
    <s v="No"/>
  </r>
  <r>
    <s v="C1251"/>
    <s v="Nisha Saxena"/>
    <s v="Female"/>
    <n v="49"/>
    <x v="1"/>
    <x v="12"/>
    <s v="One year"/>
    <n v="11"/>
    <x v="2"/>
    <n v="1149"/>
    <n v="12639"/>
    <s v="Fiber"/>
    <d v="2024-10-26T00:00:00"/>
    <s v="No"/>
    <n v="0"/>
    <s v="No"/>
    <s v="No"/>
    <s v="No"/>
    <s v="No"/>
    <s v="No"/>
  </r>
  <r>
    <s v="C1252"/>
    <s v="Sneha Malhotra"/>
    <s v="Female"/>
    <n v="32"/>
    <x v="0"/>
    <x v="1"/>
    <s v="Month-to-month"/>
    <n v="19"/>
    <x v="0"/>
    <n v="1299"/>
    <n v="24681"/>
    <s v="Fiber"/>
    <d v="2024-03-04T00:00:00"/>
    <s v="No"/>
    <n v="0"/>
    <s v="No"/>
    <s v="Yes"/>
    <s v="No"/>
    <s v="No"/>
    <s v="No"/>
  </r>
  <r>
    <s v="C1253"/>
    <s v="Suresh Mishra"/>
    <s v="Male"/>
    <n v="70"/>
    <x v="2"/>
    <x v="2"/>
    <s v="Month-to-month"/>
    <n v="24"/>
    <x v="0"/>
    <n v="1149"/>
    <n v="27576"/>
    <s v="Fiber"/>
    <d v="2023-10-06T00:00:00"/>
    <s v="No"/>
    <n v="0"/>
    <s v="No"/>
    <s v="No"/>
    <s v="No"/>
    <s v="No"/>
    <s v="No"/>
  </r>
  <r>
    <s v="C1254"/>
    <s v="Harsh Verma"/>
    <s v="Male"/>
    <n v="46"/>
    <x v="1"/>
    <x v="5"/>
    <s v="Month-to-month"/>
    <n v="15"/>
    <x v="0"/>
    <n v="399"/>
    <n v="5985"/>
    <s v="No Internet"/>
    <d v="2024-06-12T00:00:00"/>
    <s v="Yes"/>
    <n v="1"/>
    <s v="No"/>
    <s v="No"/>
    <s v="No"/>
    <s v="Yes"/>
    <s v="No"/>
  </r>
  <r>
    <s v="C1255"/>
    <s v="Riya Chopra"/>
    <s v="Female"/>
    <n v="45"/>
    <x v="3"/>
    <x v="8"/>
    <s v="One year"/>
    <n v="14"/>
    <x v="0"/>
    <n v="899"/>
    <n v="12586"/>
    <s v="Fiber"/>
    <d v="2024-07-27T00:00:00"/>
    <s v="No"/>
    <n v="0"/>
    <s v="No"/>
    <s v="No"/>
    <s v="No"/>
    <s v="No"/>
    <s v="No"/>
  </r>
  <r>
    <s v="C1256"/>
    <s v="Nikhil Pandey"/>
    <s v="Male"/>
    <n v="36"/>
    <x v="3"/>
    <x v="5"/>
    <s v="One year"/>
    <n v="33"/>
    <x v="1"/>
    <n v="349"/>
    <n v="11517"/>
    <s v="No Internet"/>
    <d v="2022-12-19T00:00:00"/>
    <s v="Yes"/>
    <n v="1"/>
    <s v="No"/>
    <s v="No"/>
    <s v="No"/>
    <s v="No"/>
    <s v="No"/>
  </r>
  <r>
    <s v="C1257"/>
    <s v="Sneha Malhotra"/>
    <s v="Female"/>
    <n v="73"/>
    <x v="2"/>
    <x v="9"/>
    <s v="Month-to-month"/>
    <n v="8"/>
    <x v="2"/>
    <n v="449"/>
    <n v="3592"/>
    <s v="No Internet"/>
    <d v="2025-01-07T00:00:00"/>
    <s v="No"/>
    <n v="0"/>
    <s v="No"/>
    <s v="No"/>
    <s v="No"/>
    <s v="No"/>
    <s v="No"/>
  </r>
  <r>
    <s v="C1258"/>
    <s v="Komal Singh"/>
    <s v="Female"/>
    <n v="54"/>
    <x v="1"/>
    <x v="9"/>
    <s v="Month-to-month"/>
    <n v="15"/>
    <x v="0"/>
    <n v="1199"/>
    <n v="17985"/>
    <s v="Fiber"/>
    <d v="2024-06-12T00:00:00"/>
    <s v="Yes"/>
    <n v="1"/>
    <s v="No"/>
    <s v="No"/>
    <s v="No"/>
    <s v="No"/>
    <s v="No"/>
  </r>
  <r>
    <s v="C1259"/>
    <s v="Isha Kapoor"/>
    <s v="Female"/>
    <n v="49"/>
    <x v="1"/>
    <x v="2"/>
    <s v="One year"/>
    <n v="6"/>
    <x v="4"/>
    <n v="449"/>
    <n v="2694"/>
    <s v="No Internet"/>
    <d v="2025-03-07T00:00:00"/>
    <s v="No"/>
    <n v="0"/>
    <s v="No"/>
    <s v="No"/>
    <s v="No"/>
    <s v="No"/>
    <s v="No"/>
  </r>
  <r>
    <s v="C1260"/>
    <s v="Deepika Tiwari"/>
    <s v="Female"/>
    <n v="70"/>
    <x v="2"/>
    <x v="0"/>
    <s v="Month-to-month"/>
    <n v="10"/>
    <x v="2"/>
    <n v="699"/>
    <n v="6990"/>
    <s v="DSL"/>
    <d v="2024-11-05T00:00:00"/>
    <s v="Yes"/>
    <n v="1"/>
    <s v="No"/>
    <s v="No"/>
    <s v="No"/>
    <s v="No"/>
    <s v="No"/>
  </r>
  <r>
    <s v="C1261"/>
    <s v="Swati Saxena"/>
    <s v="Female"/>
    <n v="66"/>
    <x v="2"/>
    <x v="3"/>
    <s v="Month-to-month"/>
    <n v="15"/>
    <x v="0"/>
    <n v="899"/>
    <n v="13485"/>
    <s v="Fiber"/>
    <d v="2024-07-05T00:00:00"/>
    <s v="Yes"/>
    <n v="1"/>
    <s v="No"/>
    <s v="No"/>
    <s v="No"/>
    <s v="No"/>
    <s v="No"/>
  </r>
  <r>
    <s v="C1262"/>
    <s v="Deepika Pandey"/>
    <s v="Female"/>
    <n v="26"/>
    <x v="0"/>
    <x v="9"/>
    <s v="Month-to-month"/>
    <n v="9"/>
    <x v="2"/>
    <n v="449"/>
    <n v="4041"/>
    <s v="No Internet"/>
    <d v="2024-12-21T00:00:00"/>
    <s v="Yes"/>
    <n v="1"/>
    <s v="No"/>
    <s v="No"/>
    <s v="No"/>
    <s v="No"/>
    <s v="No"/>
  </r>
  <r>
    <s v="C1263"/>
    <s v="Amit Rao"/>
    <s v="Male"/>
    <n v="58"/>
    <x v="1"/>
    <x v="5"/>
    <s v="One year"/>
    <n v="28"/>
    <x v="1"/>
    <n v="899"/>
    <n v="25172"/>
    <s v="Fiber"/>
    <d v="2023-05-27T00:00:00"/>
    <s v="Yes"/>
    <n v="1"/>
    <s v="No"/>
    <s v="No"/>
    <s v="No"/>
    <s v="No"/>
    <s v="No"/>
  </r>
  <r>
    <s v="C1264"/>
    <s v="Rohit Bose"/>
    <s v="Male"/>
    <n v="32"/>
    <x v="0"/>
    <x v="1"/>
    <s v="One year"/>
    <n v="22"/>
    <x v="0"/>
    <n v="899"/>
    <n v="19778"/>
    <s v="DSL"/>
    <d v="2023-11-23T00:00:00"/>
    <s v="No"/>
    <n v="0"/>
    <s v="No"/>
    <s v="No"/>
    <s v="No"/>
    <s v="No"/>
    <s v="No"/>
  </r>
  <r>
    <s v="C1265"/>
    <s v="Manish Rao"/>
    <s v="Male"/>
    <n v="23"/>
    <x v="4"/>
    <x v="14"/>
    <s v="Two year"/>
    <n v="48"/>
    <x v="1"/>
    <n v="699"/>
    <n v="33552"/>
    <s v="DSL"/>
    <d v="2021-09-25T00:00:00"/>
    <s v="No"/>
    <n v="0"/>
    <s v="No"/>
    <s v="No"/>
    <s v="No"/>
    <s v="No"/>
    <s v="No"/>
  </r>
  <r>
    <s v="C1266"/>
    <s v="Rohit Kumar"/>
    <s v="Male"/>
    <n v="51"/>
    <x v="1"/>
    <x v="11"/>
    <s v="Month-to-month"/>
    <n v="15"/>
    <x v="0"/>
    <n v="1199"/>
    <n v="17985"/>
    <s v="Fiber"/>
    <d v="2024-07-01T00:00:00"/>
    <s v="No"/>
    <n v="0"/>
    <s v="No"/>
    <s v="No"/>
    <s v="No"/>
    <s v="No"/>
    <s v="No"/>
  </r>
  <r>
    <s v="C1267"/>
    <s v="Riya Saxena"/>
    <s v="Female"/>
    <n v="46"/>
    <x v="1"/>
    <x v="6"/>
    <s v="Month-to-month"/>
    <n v="5"/>
    <x v="4"/>
    <n v="549"/>
    <n v="2745"/>
    <s v="No Internet"/>
    <d v="2025-04-20T00:00:00"/>
    <s v="No"/>
    <n v="0"/>
    <s v="No"/>
    <s v="No"/>
    <s v="No"/>
    <s v="No"/>
    <s v="No"/>
  </r>
  <r>
    <s v="C1268"/>
    <s v="Swati Singh"/>
    <s v="Female"/>
    <n v="33"/>
    <x v="0"/>
    <x v="5"/>
    <s v="One year"/>
    <n v="39"/>
    <x v="1"/>
    <n v="799"/>
    <n v="31161"/>
    <s v="DSL"/>
    <d v="2022-06-24T00:00:00"/>
    <s v="No"/>
    <n v="0"/>
    <s v="No"/>
    <s v="No"/>
    <s v="No"/>
    <s v="No"/>
    <s v="No"/>
  </r>
  <r>
    <s v="C1269"/>
    <s v="Harsh Mehta"/>
    <s v="Male"/>
    <n v="51"/>
    <x v="1"/>
    <x v="11"/>
    <s v="Month-to-month"/>
    <n v="10"/>
    <x v="2"/>
    <n v="899"/>
    <n v="8990"/>
    <s v="Fiber"/>
    <d v="2024-11-29T00:00:00"/>
    <s v="No"/>
    <n v="0"/>
    <s v="No"/>
    <s v="No"/>
    <s v="No"/>
    <s v="No"/>
    <s v="No"/>
  </r>
  <r>
    <s v="C1270"/>
    <s v="Gaurav Chopra"/>
    <s v="Male"/>
    <n v="56"/>
    <x v="1"/>
    <x v="4"/>
    <s v="Month-to-month"/>
    <n v="12"/>
    <x v="2"/>
    <n v="499"/>
    <n v="5988"/>
    <s v="No Internet"/>
    <d v="2024-09-15T00:00:00"/>
    <s v="No"/>
    <n v="0"/>
    <s v="No"/>
    <s v="No"/>
    <s v="No"/>
    <s v="No"/>
    <s v="No"/>
  </r>
  <r>
    <s v="C1271"/>
    <s v="Unknown"/>
    <s v="Female"/>
    <n v="61"/>
    <x v="2"/>
    <x v="8"/>
    <s v="One year"/>
    <n v="5"/>
    <x v="4"/>
    <m/>
    <m/>
    <s v="No Internet"/>
    <d v="2025-04-25T00:00:00"/>
    <s v="Yes"/>
    <n v="1"/>
    <s v="No"/>
    <s v="No"/>
    <s v="No"/>
    <s v="No"/>
    <s v="Monthly missing; Total missing"/>
  </r>
  <r>
    <s v="C1272"/>
    <s v="Amit Rao"/>
    <s v="Male"/>
    <n v="50"/>
    <x v="1"/>
    <x v="5"/>
    <s v="One year"/>
    <n v="27"/>
    <x v="1"/>
    <n v="1199"/>
    <n v="32373"/>
    <s v="Fiber"/>
    <d v="2023-06-24T00:00:00"/>
    <s v="Yes"/>
    <n v="1"/>
    <s v="No"/>
    <s v="No"/>
    <s v="No"/>
    <s v="No"/>
    <s v="No"/>
  </r>
  <r>
    <s v="C1273"/>
    <s v="Suresh Kumar"/>
    <s v="Male"/>
    <n v="37"/>
    <x v="3"/>
    <x v="4"/>
    <s v="Month-to-month"/>
    <n v="5"/>
    <x v="4"/>
    <n v="799"/>
    <n v="3995"/>
    <s v="DSL"/>
    <d v="2025-04-07T00:00:00"/>
    <s v="No"/>
    <n v="0"/>
    <s v="No"/>
    <s v="No"/>
    <s v="No"/>
    <s v="No"/>
    <s v="No"/>
  </r>
  <r>
    <s v="C1274"/>
    <s v="Harsh Pandey"/>
    <s v="Male"/>
    <n v="45"/>
    <x v="3"/>
    <x v="14"/>
    <s v="Two year"/>
    <n v="32"/>
    <x v="1"/>
    <n v="599"/>
    <n v="19168"/>
    <s v="DSL"/>
    <d v="2023-01-23T00:00:00"/>
    <s v="No"/>
    <n v="0"/>
    <s v="No"/>
    <s v="No"/>
    <s v="No"/>
    <s v="No"/>
    <s v="No"/>
  </r>
  <r>
    <s v="C1275"/>
    <s v="Harsh Saxena"/>
    <s v="Male"/>
    <n v="65"/>
    <x v="2"/>
    <x v="10"/>
    <s v="One year"/>
    <n v="9"/>
    <x v="2"/>
    <n v="849"/>
    <n v="7641"/>
    <s v="DSL"/>
    <d v="2024-12-21T00:00:00"/>
    <s v="No"/>
    <n v="0"/>
    <s v="No"/>
    <s v="No"/>
    <s v="No"/>
    <s v="No"/>
    <s v="No"/>
  </r>
  <r>
    <s v="C1276"/>
    <s v="Meera Patel"/>
    <s v="Female"/>
    <n v="26"/>
    <x v="0"/>
    <x v="14"/>
    <s v="One year"/>
    <n v="8"/>
    <x v="2"/>
    <n v="899"/>
    <n v="7192"/>
    <s v="DSL"/>
    <d v="2025-01-23T00:00:00"/>
    <s v="No"/>
    <n v="0"/>
    <s v="No"/>
    <s v="No"/>
    <s v="No"/>
    <s v="No"/>
    <s v="No"/>
  </r>
  <r>
    <s v="C1277"/>
    <s v="Suresh Pandey"/>
    <s v="Male"/>
    <n v="54"/>
    <x v="1"/>
    <x v="10"/>
    <s v="Month-to-month"/>
    <n v="12"/>
    <x v="2"/>
    <n v="1099"/>
    <n v="13188"/>
    <s v="Fiber"/>
    <d v="2024-09-28T00:00:00"/>
    <s v="Yes"/>
    <n v="1"/>
    <s v="No"/>
    <s v="No"/>
    <s v="No"/>
    <s v="No"/>
    <s v="No"/>
  </r>
  <r>
    <s v="C1278"/>
    <s v="Anjali Bose"/>
    <s v="Female"/>
    <n v="61"/>
    <x v="2"/>
    <x v="10"/>
    <s v="Month-to-month"/>
    <n v="1"/>
    <x v="4"/>
    <n v="1299"/>
    <n v="1299"/>
    <s v="Fiber"/>
    <d v="2025-08-14T00:00:00"/>
    <s v="Yes"/>
    <n v="1"/>
    <s v="No"/>
    <s v="No"/>
    <s v="No"/>
    <s v="No"/>
    <s v="No"/>
  </r>
  <r>
    <s v="C1279"/>
    <s v="Divya Singh"/>
    <s v="Female"/>
    <n v="29"/>
    <x v="0"/>
    <x v="6"/>
    <s v="Month-to-month"/>
    <n v="23"/>
    <x v="0"/>
    <n v="499"/>
    <n v="11477"/>
    <s v="No Internet"/>
    <d v="2023-11-01T00:00:00"/>
    <s v="Yes"/>
    <n v="1"/>
    <s v="No"/>
    <s v="No"/>
    <s v="No"/>
    <s v="No"/>
    <s v="No"/>
  </r>
  <r>
    <s v="C1280"/>
    <s v="Swati Malhotra"/>
    <s v="Female"/>
    <n v="70"/>
    <x v="2"/>
    <x v="4"/>
    <s v="One year"/>
    <n v="4"/>
    <x v="4"/>
    <n v="649"/>
    <n v="2596"/>
    <s v="Unknown"/>
    <d v="2025-05-19T00:00:00"/>
    <s v="No"/>
    <n v="0"/>
    <s v="No"/>
    <s v="No"/>
    <s v="No"/>
    <s v="No"/>
    <s v="No"/>
  </r>
  <r>
    <s v="C1281"/>
    <s v="Ankit Iyer"/>
    <s v="Male"/>
    <n v="67"/>
    <x v="2"/>
    <x v="6"/>
    <s v="Month-to-month"/>
    <n v="15"/>
    <x v="0"/>
    <n v="599"/>
    <n v="8985"/>
    <s v="DSL"/>
    <d v="2024-06-10T00:00:00"/>
    <s v="Yes"/>
    <n v="1"/>
    <s v="No"/>
    <s v="No"/>
    <s v="No"/>
    <s v="No"/>
    <s v="No"/>
  </r>
  <r>
    <s v="C1282"/>
    <s v="Riya Nair"/>
    <s v="Female"/>
    <n v="47"/>
    <x v="1"/>
    <x v="2"/>
    <s v="One year"/>
    <n v="13"/>
    <x v="0"/>
    <n v="1149"/>
    <n v="14937"/>
    <s v="Fiber"/>
    <d v="2024-08-05T00:00:00"/>
    <s v="Yes"/>
    <n v="1"/>
    <s v="No"/>
    <s v="No"/>
    <s v="No"/>
    <s v="Yes"/>
    <s v="No"/>
  </r>
  <r>
    <s v="C1283"/>
    <s v="Priya Nair"/>
    <s v="Female"/>
    <n v="52"/>
    <x v="1"/>
    <x v="2"/>
    <s v="One year"/>
    <n v="1"/>
    <x v="4"/>
    <n v="899"/>
    <n v="899"/>
    <s v="Fiber"/>
    <d v="2025-08-06T00:00:00"/>
    <s v="No"/>
    <n v="0"/>
    <s v="No"/>
    <s v="No"/>
    <s v="No"/>
    <s v="No"/>
    <s v="No"/>
  </r>
  <r>
    <s v="C1284"/>
    <s v="Unknown"/>
    <s v="Unknown"/>
    <n v="51"/>
    <x v="1"/>
    <x v="0"/>
    <s v="Month-to-month"/>
    <n v="5"/>
    <x v="4"/>
    <n v="349"/>
    <n v="1745"/>
    <s v="No Internet"/>
    <d v="2025-04-24T00:00:00"/>
    <s v="Yes"/>
    <n v="1"/>
    <s v="No"/>
    <s v="No"/>
    <s v="No"/>
    <s v="No"/>
    <s v="No"/>
  </r>
  <r>
    <s v="C1285"/>
    <s v="Isha Kapoor"/>
    <s v="Female"/>
    <n v="65"/>
    <x v="2"/>
    <x v="4"/>
    <s v="One year"/>
    <n v="26"/>
    <x v="1"/>
    <n v="1149"/>
    <n v="29874"/>
    <s v="Fiber"/>
    <d v="2023-07-20T00:00:00"/>
    <s v="Yes"/>
    <n v="1"/>
    <s v="No"/>
    <s v="No"/>
    <s v="No"/>
    <s v="No"/>
    <s v="No"/>
  </r>
  <r>
    <s v="C1286"/>
    <s v="Manish Iyer"/>
    <s v="Male"/>
    <n v="34"/>
    <x v="0"/>
    <x v="6"/>
    <s v="Month-to-month"/>
    <n v="23"/>
    <x v="0"/>
    <n v="449"/>
    <n v="10327"/>
    <s v="No Internet"/>
    <d v="2023-10-31T00:00:00"/>
    <s v="Yes"/>
    <n v="1"/>
    <s v="No"/>
    <s v="No"/>
    <s v="No"/>
    <s v="No"/>
    <s v="No"/>
  </r>
  <r>
    <s v="C1287"/>
    <s v="Vikram Mehta"/>
    <s v="Male"/>
    <n v="26"/>
    <x v="0"/>
    <x v="13"/>
    <s v="One year"/>
    <n v="7"/>
    <x v="2"/>
    <n v="649"/>
    <n v="4543"/>
    <s v="DSL"/>
    <d v="2025-02-27T00:00:00"/>
    <s v="No"/>
    <n v="0"/>
    <s v="No"/>
    <s v="No"/>
    <s v="No"/>
    <s v="No"/>
    <s v="No"/>
  </r>
  <r>
    <s v="C1288"/>
    <s v="Deepika Kapoor"/>
    <s v="Female"/>
    <n v="37"/>
    <x v="3"/>
    <x v="7"/>
    <s v="Month-to-month"/>
    <n v="6"/>
    <x v="4"/>
    <n v="899"/>
    <n v="5394"/>
    <s v="DSL"/>
    <d v="2025-03-10T00:00:00"/>
    <s v="No"/>
    <n v="0"/>
    <s v="No"/>
    <s v="No"/>
    <s v="No"/>
    <s v="No"/>
    <s v="No"/>
  </r>
  <r>
    <s v="C1289"/>
    <s v="Sanjay Joshi"/>
    <s v="Male"/>
    <n v="27"/>
    <x v="0"/>
    <x v="4"/>
    <s v="One year"/>
    <n v="26"/>
    <x v="1"/>
    <n v="449"/>
    <n v="11674"/>
    <s v="No Internet"/>
    <d v="2023-08-05T00:00:00"/>
    <s v="No"/>
    <n v="0"/>
    <s v="No"/>
    <s v="No"/>
    <s v="No"/>
    <s v="No"/>
    <s v="No"/>
  </r>
  <r>
    <s v="C1290"/>
    <s v="Deepak Kapoor"/>
    <s v="Male"/>
    <n v="53"/>
    <x v="1"/>
    <x v="14"/>
    <s v="One year"/>
    <n v="7"/>
    <x v="2"/>
    <n v="899"/>
    <n v="6293"/>
    <s v="DSL"/>
    <d v="2025-03-01T00:00:00"/>
    <s v="Yes"/>
    <n v="1"/>
    <s v="No"/>
    <s v="No"/>
    <s v="No"/>
    <s v="No"/>
    <s v="No"/>
  </r>
  <r>
    <s v="C1291"/>
    <s v="Rohit Mehta"/>
    <s v="Male"/>
    <n v="70"/>
    <x v="2"/>
    <x v="12"/>
    <s v="Month-to-month"/>
    <n v="21"/>
    <x v="0"/>
    <n v="1149"/>
    <n v="24129"/>
    <s v="Fiber"/>
    <d v="2023-12-12T00:00:00"/>
    <s v="Yes"/>
    <n v="1"/>
    <s v="No"/>
    <s v="No"/>
    <s v="No"/>
    <s v="No"/>
    <s v="No"/>
  </r>
  <r>
    <s v="C1292"/>
    <s v="Rahul Kumar"/>
    <s v="Male"/>
    <n v="30"/>
    <x v="0"/>
    <x v="9"/>
    <s v="Month-to-month"/>
    <n v="11"/>
    <x v="2"/>
    <n v="599"/>
    <n v="6589"/>
    <s v="DSL"/>
    <d v="2024-10-04T00:00:00"/>
    <s v="Yes"/>
    <n v="1"/>
    <s v="No"/>
    <s v="No"/>
    <s v="No"/>
    <s v="No"/>
    <s v="No"/>
  </r>
  <r>
    <s v="C1293"/>
    <s v="Divya Desai"/>
    <s v="Female"/>
    <n v="19"/>
    <x v="4"/>
    <x v="12"/>
    <s v="One year"/>
    <n v="14"/>
    <x v="0"/>
    <n v="649"/>
    <n v="9086"/>
    <s v="DSL"/>
    <d v="2024-07-31T00:00:00"/>
    <s v="No"/>
    <n v="0"/>
    <s v="No"/>
    <s v="No"/>
    <s v="No"/>
    <s v="No"/>
    <s v="No"/>
  </r>
  <r>
    <s v="C1294"/>
    <s v="Pankaj Yadav"/>
    <s v="Male"/>
    <n v="57"/>
    <x v="1"/>
    <x v="0"/>
    <s v="One year"/>
    <n v="36"/>
    <x v="1"/>
    <n v="899"/>
    <n v="32364"/>
    <s v="Fiber"/>
    <d v="2022-10-10T00:00:00"/>
    <s v="No"/>
    <n v="0"/>
    <s v="No"/>
    <s v="No"/>
    <s v="No"/>
    <s v="Yes"/>
    <s v="No"/>
  </r>
  <r>
    <s v="C1295"/>
    <s v="Deepika Chopra"/>
    <s v="Unknown"/>
    <n v="74"/>
    <x v="2"/>
    <x v="13"/>
    <s v="Month-to-month"/>
    <n v="18"/>
    <x v="0"/>
    <n v="899"/>
    <n v="16182"/>
    <s v="Fiber"/>
    <d v="2024-03-26T00:00:00"/>
    <s v="No"/>
    <n v="0"/>
    <s v="No"/>
    <s v="No"/>
    <s v="No"/>
    <s v="No"/>
    <s v="No"/>
  </r>
  <r>
    <s v="C1296"/>
    <s v="Sonal Desai"/>
    <s v="Female"/>
    <n v="40"/>
    <x v="3"/>
    <x v="11"/>
    <s v="Month-to-month"/>
    <n v="6"/>
    <x v="4"/>
    <n v="1049"/>
    <n v="6294"/>
    <s v="Fiber"/>
    <d v="2025-03-04T00:00:00"/>
    <s v="Yes"/>
    <n v="1"/>
    <s v="No"/>
    <s v="No"/>
    <s v="No"/>
    <s v="No"/>
    <s v="No"/>
  </r>
  <r>
    <s v="C1297"/>
    <s v="Sneha Desai"/>
    <s v="Female"/>
    <n v="51"/>
    <x v="1"/>
    <x v="2"/>
    <s v="One year"/>
    <n v="11"/>
    <x v="2"/>
    <n v="399"/>
    <n v="4389"/>
    <s v="No Internet"/>
    <d v="2024-10-07T00:00:00"/>
    <s v="No"/>
    <n v="0"/>
    <s v="No"/>
    <s v="No"/>
    <s v="Yes"/>
    <s v="No"/>
    <s v="No"/>
  </r>
  <r>
    <s v="C1298"/>
    <s v="Manish Bose"/>
    <s v="Male"/>
    <n v="72"/>
    <x v="2"/>
    <x v="13"/>
    <s v="Month-to-month"/>
    <n v="6"/>
    <x v="4"/>
    <n v="549"/>
    <n v="3294"/>
    <s v="No Internet"/>
    <d v="2025-03-09T00:00:00"/>
    <s v="Yes"/>
    <n v="1"/>
    <s v="No"/>
    <s v="No"/>
    <s v="No"/>
    <s v="No"/>
    <s v="No"/>
  </r>
  <r>
    <s v="C1299"/>
    <s v="Tanvi Sharma"/>
    <s v="Female"/>
    <n v="63"/>
    <x v="2"/>
    <x v="14"/>
    <s v="Month-to-month"/>
    <n v="5"/>
    <x v="4"/>
    <n v="999"/>
    <n v="4995"/>
    <s v="Fiber"/>
    <d v="2025-04-26T00:00:00"/>
    <s v="Yes"/>
    <n v="1"/>
    <s v="No"/>
    <s v="No"/>
    <s v="No"/>
    <s v="No"/>
    <s v="No"/>
  </r>
  <r>
    <s v="C1300"/>
    <s v="Sneha Kumar"/>
    <s v="Female"/>
    <n v="21"/>
    <x v="4"/>
    <x v="0"/>
    <s v="One year"/>
    <n v="31"/>
    <x v="1"/>
    <n v="599"/>
    <n v="18569"/>
    <s v="DSL"/>
    <d v="2023-03-09T00:00:00"/>
    <s v="No"/>
    <n v="0"/>
    <s v="No"/>
    <s v="No"/>
    <s v="No"/>
    <s v="No"/>
    <s v="No"/>
  </r>
  <r>
    <s v="C1301"/>
    <s v="Meera Joshi"/>
    <s v="Female"/>
    <n v="21"/>
    <x v="4"/>
    <x v="3"/>
    <s v="Month-to-month"/>
    <n v="5"/>
    <x v="4"/>
    <n v="899"/>
    <n v="4495"/>
    <s v="Fiber"/>
    <d v="2025-04-29T00:00:00"/>
    <s v="No"/>
    <n v="0"/>
    <s v="No"/>
    <s v="No"/>
    <s v="No"/>
    <s v="No"/>
    <s v="No"/>
  </r>
  <r>
    <s v="C1302"/>
    <s v="Divya Bose"/>
    <s v="Female"/>
    <n v="24"/>
    <x v="4"/>
    <x v="2"/>
    <s v="Month-to-month"/>
    <n v="6"/>
    <x v="4"/>
    <n v="849"/>
    <n v="5094"/>
    <s v="DSL"/>
    <d v="2025-03-27T00:00:00"/>
    <s v="No"/>
    <n v="0"/>
    <s v="No"/>
    <s v="No"/>
    <s v="No"/>
    <s v="Yes"/>
    <s v="No"/>
  </r>
  <r>
    <s v="C1303"/>
    <s v="Ritu Saxena"/>
    <s v="Female"/>
    <n v="55"/>
    <x v="1"/>
    <x v="6"/>
    <s v="Month-to-month"/>
    <n v="23"/>
    <x v="0"/>
    <n v="699"/>
    <n v="16077"/>
    <s v="DSL"/>
    <d v="2023-10-17T00:00:00"/>
    <s v="No"/>
    <n v="0"/>
    <s v="No"/>
    <s v="No"/>
    <s v="No"/>
    <s v="No"/>
    <s v="No"/>
  </r>
  <r>
    <s v="C1304"/>
    <s v="Tanvi Verma"/>
    <s v="Female"/>
    <n v="29"/>
    <x v="0"/>
    <x v="11"/>
    <s v="Month-to-month"/>
    <n v="20"/>
    <x v="0"/>
    <m/>
    <m/>
    <s v="No Internet"/>
    <m/>
    <s v="Yes"/>
    <n v="1"/>
    <s v="No"/>
    <s v="No"/>
    <s v="No"/>
    <s v="No"/>
    <s v="Monthly missing; Total missing; Date missing"/>
  </r>
  <r>
    <s v="C1305"/>
    <s v="Nikhil Agarwal"/>
    <s v="Male"/>
    <n v="22"/>
    <x v="4"/>
    <x v="10"/>
    <s v="Month-to-month"/>
    <n v="21"/>
    <x v="0"/>
    <n v="599"/>
    <n v="12579"/>
    <s v="DSL"/>
    <d v="2023-12-30T00:00:00"/>
    <s v="No"/>
    <n v="0"/>
    <s v="No"/>
    <s v="No"/>
    <s v="No"/>
    <s v="No"/>
    <s v="No"/>
  </r>
  <r>
    <s v="C1306"/>
    <s v="Manish Pandey"/>
    <s v="Male"/>
    <n v="22"/>
    <x v="4"/>
    <x v="10"/>
    <s v="Month-to-month"/>
    <n v="1"/>
    <x v="4"/>
    <n v="599"/>
    <n v="599"/>
    <s v="DSL"/>
    <d v="2025-08-24T00:00:00"/>
    <s v="No"/>
    <n v="0"/>
    <s v="No"/>
    <s v="No"/>
    <s v="No"/>
    <s v="No"/>
    <s v="No"/>
  </r>
  <r>
    <s v="C1307"/>
    <s v="Komal Rao"/>
    <s v="Female"/>
    <n v="40"/>
    <x v="3"/>
    <x v="1"/>
    <s v="Month-to-month"/>
    <n v="19"/>
    <x v="0"/>
    <n v="399"/>
    <n v="7581"/>
    <s v="No Internet"/>
    <d v="2024-03-05T00:00:00"/>
    <s v="Yes"/>
    <n v="1"/>
    <s v="No"/>
    <s v="No"/>
    <s v="No"/>
    <s v="No"/>
    <s v="No"/>
  </r>
  <r>
    <s v="C1308"/>
    <s v="Harsh Sharma"/>
    <s v="Male"/>
    <n v="47"/>
    <x v="1"/>
    <x v="5"/>
    <s v="Two year"/>
    <n v="22"/>
    <x v="0"/>
    <n v="749"/>
    <n v="16478"/>
    <s v="DSL"/>
    <d v="2023-11-10T00:00:00"/>
    <s v="No"/>
    <n v="0"/>
    <s v="Yes"/>
    <s v="No"/>
    <s v="No"/>
    <s v="Yes"/>
    <s v="No"/>
  </r>
  <r>
    <s v="C1309"/>
    <s v="Nikhil Yadav"/>
    <s v="Male"/>
    <n v="57"/>
    <x v="1"/>
    <x v="7"/>
    <s v="One year"/>
    <n v="11"/>
    <x v="2"/>
    <n v="1099"/>
    <n v="12089"/>
    <s v="Fiber"/>
    <d v="2024-10-23T00:00:00"/>
    <s v="Yes"/>
    <n v="1"/>
    <s v="No"/>
    <s v="No"/>
    <s v="No"/>
    <s v="No"/>
    <s v="No"/>
  </r>
  <r>
    <s v="C1310"/>
    <s v="Sanjay Tiwari"/>
    <s v="Male"/>
    <n v="62"/>
    <x v="2"/>
    <x v="1"/>
    <s v="One year"/>
    <n v="17"/>
    <x v="0"/>
    <m/>
    <m/>
    <s v="Fiber"/>
    <d v="2024-05-05T00:00:00"/>
    <s v="No"/>
    <n v="0"/>
    <s v="No"/>
    <s v="No"/>
    <s v="No"/>
    <s v="No"/>
    <s v="Monthly missing; Total missing"/>
  </r>
  <r>
    <s v="C1311"/>
    <s v="Tanvi Mishra"/>
    <s v="Female"/>
    <n v="71"/>
    <x v="2"/>
    <x v="7"/>
    <s v="Month-to-month"/>
    <n v="14"/>
    <x v="0"/>
    <n v="1049"/>
    <n v="14686"/>
    <s v="Fiber"/>
    <d v="2024-08-01T00:00:00"/>
    <s v="No"/>
    <n v="0"/>
    <s v="No"/>
    <s v="No"/>
    <s v="No"/>
    <s v="No"/>
    <s v="No"/>
  </r>
  <r>
    <s v="C1312"/>
    <s v="Sanjay Gupta"/>
    <s v="Male"/>
    <n v="58"/>
    <x v="1"/>
    <x v="5"/>
    <s v="Two year"/>
    <n v="15"/>
    <x v="0"/>
    <n v="1299"/>
    <n v="19485"/>
    <s v="Fiber"/>
    <d v="2024-06-07T00:00:00"/>
    <s v="No"/>
    <n v="0"/>
    <s v="No"/>
    <s v="No"/>
    <s v="No"/>
    <s v="No"/>
    <s v="No"/>
  </r>
  <r>
    <s v="C1313"/>
    <s v="Neha Chopra"/>
    <s v="Female"/>
    <n v="52"/>
    <x v="1"/>
    <x v="12"/>
    <s v="Month-to-month"/>
    <n v="12"/>
    <x v="2"/>
    <n v="349"/>
    <n v="4188"/>
    <s v="No Internet"/>
    <d v="2024-09-19T00:00:00"/>
    <s v="Yes"/>
    <n v="1"/>
    <s v="No"/>
    <s v="No"/>
    <s v="No"/>
    <s v="No"/>
    <s v="No"/>
  </r>
  <r>
    <s v="C1314"/>
    <s v="Ritu Malhotra"/>
    <s v="Female"/>
    <n v="54"/>
    <x v="1"/>
    <x v="3"/>
    <s v="Month-to-month"/>
    <n v="4"/>
    <x v="4"/>
    <n v="1199"/>
    <n v="4796"/>
    <s v="Fiber"/>
    <d v="2025-05-18T00:00:00"/>
    <s v="No"/>
    <n v="0"/>
    <s v="No"/>
    <s v="No"/>
    <s v="No"/>
    <s v="No"/>
    <s v="No"/>
  </r>
  <r>
    <s v="C1315"/>
    <s v="Sachin Verma"/>
    <s v="Male"/>
    <n v="71"/>
    <x v="2"/>
    <x v="12"/>
    <s v="Two year"/>
    <n v="69"/>
    <x v="3"/>
    <n v="1299"/>
    <n v="89631"/>
    <s v="Fiber"/>
    <d v="2020-01-21T00:00:00"/>
    <s v="No"/>
    <n v="0"/>
    <s v="No"/>
    <s v="No"/>
    <s v="No"/>
    <s v="No"/>
    <s v="No"/>
  </r>
  <r>
    <s v="C1316"/>
    <s v="Aditi Kumar"/>
    <s v="Unknown"/>
    <n v="43"/>
    <x v="3"/>
    <x v="6"/>
    <s v="One year"/>
    <n v="34"/>
    <x v="1"/>
    <n v="1149"/>
    <n v="39066"/>
    <s v="Fiber"/>
    <d v="2022-11-19T00:00:00"/>
    <s v="Yes"/>
    <n v="1"/>
    <s v="No"/>
    <s v="No"/>
    <s v="No"/>
    <s v="No"/>
    <s v="No"/>
  </r>
  <r>
    <s v="C1317"/>
    <s v="Meera Gupta"/>
    <s v="Female"/>
    <n v="31"/>
    <x v="0"/>
    <x v="13"/>
    <s v="Month-to-month"/>
    <n v="3"/>
    <x v="4"/>
    <n v="849"/>
    <n v="2547"/>
    <s v="DSL"/>
    <d v="2025-06-10T00:00:00"/>
    <s v="No"/>
    <n v="0"/>
    <s v="No"/>
    <s v="No"/>
    <s v="No"/>
    <s v="No"/>
    <s v="No"/>
  </r>
  <r>
    <s v="C1318"/>
    <s v="Pankaj Malhotra"/>
    <s v="Male"/>
    <n v="38"/>
    <x v="3"/>
    <x v="14"/>
    <s v="Two year"/>
    <n v="50"/>
    <x v="3"/>
    <n v="799"/>
    <n v="39950"/>
    <s v="DSL"/>
    <d v="2021-08-12T00:00:00"/>
    <s v="No"/>
    <n v="0"/>
    <s v="No"/>
    <s v="No"/>
    <s v="No"/>
    <s v="No"/>
    <s v="No"/>
  </r>
  <r>
    <s v="C1319"/>
    <s v="Priya Pandey"/>
    <s v="Female"/>
    <n v="57"/>
    <x v="1"/>
    <x v="11"/>
    <s v="Month-to-month"/>
    <n v="14"/>
    <x v="0"/>
    <n v="999"/>
    <n v="13986"/>
    <s v="Fiber"/>
    <d v="2024-07-11T00:00:00"/>
    <s v="No"/>
    <n v="0"/>
    <s v="No"/>
    <s v="No"/>
    <s v="No"/>
    <s v="No"/>
    <s v="No"/>
  </r>
  <r>
    <s v="C1320"/>
    <s v="Karan Bose"/>
    <s v="Male"/>
    <n v="67"/>
    <x v="2"/>
    <x v="4"/>
    <s v="One year"/>
    <n v="23"/>
    <x v="0"/>
    <n v="499"/>
    <n v="11477"/>
    <s v="No Internet"/>
    <d v="2023-10-21T00:00:00"/>
    <s v="No"/>
    <n v="0"/>
    <s v="No"/>
    <s v="No"/>
    <s v="No"/>
    <s v="No"/>
    <s v="No"/>
  </r>
  <r>
    <s v="C1321"/>
    <s v="Sneha Gupta"/>
    <s v="Female"/>
    <n v="35"/>
    <x v="0"/>
    <x v="12"/>
    <s v="Month-to-month"/>
    <n v="23"/>
    <x v="0"/>
    <n v="899"/>
    <n v="20677"/>
    <s v="Fiber"/>
    <d v="2023-10-29T00:00:00"/>
    <s v="No"/>
    <n v="0"/>
    <s v="No"/>
    <s v="No"/>
    <s v="No"/>
    <s v="No"/>
    <s v="No"/>
  </r>
  <r>
    <s v="C1322"/>
    <s v="Amit Agarwal"/>
    <s v="Male"/>
    <n v="48"/>
    <x v="1"/>
    <x v="5"/>
    <s v="Two year"/>
    <n v="39"/>
    <x v="1"/>
    <n v="699"/>
    <n v="27261"/>
    <s v="DSL"/>
    <d v="2022-06-25T00:00:00"/>
    <s v="No"/>
    <n v="0"/>
    <s v="No"/>
    <s v="No"/>
    <s v="No"/>
    <s v="No"/>
    <s v="No"/>
  </r>
  <r>
    <s v="C1323"/>
    <s v="Manish Singh"/>
    <s v="Male"/>
    <n v="37"/>
    <x v="3"/>
    <x v="14"/>
    <s v="Month-to-month"/>
    <n v="9"/>
    <x v="2"/>
    <n v="549"/>
    <n v="4941"/>
    <s v="Unknown"/>
    <d v="2024-12-26T00:00:00"/>
    <s v="No"/>
    <n v="0"/>
    <s v="No"/>
    <s v="No"/>
    <s v="No"/>
    <s v="Yes"/>
    <s v="No"/>
  </r>
  <r>
    <s v="C1324"/>
    <s v="Deepika Tiwari"/>
    <s v="Female"/>
    <n v="65"/>
    <x v="2"/>
    <x v="7"/>
    <s v="Unknown"/>
    <n v="4"/>
    <x v="4"/>
    <n v="399"/>
    <n v="1596"/>
    <s v="No Internet"/>
    <d v="2025-05-09T00:00:00"/>
    <s v="Yes"/>
    <n v="1"/>
    <s v="No"/>
    <s v="No"/>
    <s v="No"/>
    <s v="No"/>
    <s v="No"/>
  </r>
  <r>
    <s v="C1325"/>
    <s v="Unknown"/>
    <s v="Female"/>
    <n v="74"/>
    <x v="2"/>
    <x v="11"/>
    <s v="Month-to-month"/>
    <n v="7"/>
    <x v="2"/>
    <n v="899"/>
    <n v="6293"/>
    <s v="DSL"/>
    <d v="2025-03-01T00:00:00"/>
    <s v="Yes"/>
    <n v="1"/>
    <s v="No"/>
    <s v="No"/>
    <s v="No"/>
    <s v="Yes"/>
    <s v="No"/>
  </r>
  <r>
    <s v="C1326"/>
    <s v="Deepika Malhotra"/>
    <s v="Female"/>
    <n v="41"/>
    <x v="3"/>
    <x v="6"/>
    <s v="Month-to-month"/>
    <n v="4"/>
    <x v="4"/>
    <n v="899"/>
    <n v="3596"/>
    <s v="Fiber"/>
    <d v="2025-05-12T00:00:00"/>
    <s v="Yes"/>
    <n v="1"/>
    <s v="No"/>
    <s v="No"/>
    <s v="No"/>
    <s v="Yes"/>
    <s v="No"/>
  </r>
  <r>
    <s v="C1327"/>
    <s v="Meera Desai"/>
    <s v="Female"/>
    <n v="55"/>
    <x v="1"/>
    <x v="1"/>
    <s v="Month-to-month"/>
    <n v="9"/>
    <x v="2"/>
    <n v="849"/>
    <n v="7641"/>
    <s v="DSL"/>
    <d v="2024-12-20T00:00:00"/>
    <s v="Yes"/>
    <n v="1"/>
    <s v="No"/>
    <s v="No"/>
    <s v="No"/>
    <s v="No"/>
    <s v="No"/>
  </r>
  <r>
    <s v="C1328"/>
    <s v="Arjun Bose"/>
    <s v="Male"/>
    <n v="67"/>
    <x v="2"/>
    <x v="0"/>
    <s v="Two year"/>
    <n v="27"/>
    <x v="1"/>
    <n v="1199"/>
    <n v="32373"/>
    <s v="Fiber"/>
    <d v="2023-06-14T00:00:00"/>
    <s v="No"/>
    <n v="0"/>
    <s v="No"/>
    <s v="No"/>
    <s v="No"/>
    <s v="No"/>
    <s v="No"/>
  </r>
  <r>
    <s v="C1329"/>
    <s v="Gaurav Singh"/>
    <s v="Male"/>
    <n v="59"/>
    <x v="1"/>
    <x v="8"/>
    <s v="One year"/>
    <n v="17"/>
    <x v="0"/>
    <n v="799"/>
    <n v="13583"/>
    <s v="DSL"/>
    <d v="2024-04-14T00:00:00"/>
    <s v="No"/>
    <n v="0"/>
    <s v="No"/>
    <s v="No"/>
    <s v="No"/>
    <s v="No"/>
    <s v="No"/>
  </r>
  <r>
    <s v="C1330"/>
    <s v="Nisha Rao"/>
    <s v="Female"/>
    <n v="72"/>
    <x v="2"/>
    <x v="2"/>
    <s v="Month-to-month"/>
    <n v="10"/>
    <x v="2"/>
    <n v="849"/>
    <n v="8490"/>
    <s v="DSL"/>
    <d v="2024-11-29T00:00:00"/>
    <s v="Unknown"/>
    <s v=""/>
    <s v="No"/>
    <s v="No"/>
    <s v="No"/>
    <s v="No"/>
    <s v="Churn unknown"/>
  </r>
  <r>
    <s v="C1331"/>
    <s v="Mohit Saxena"/>
    <s v="Male"/>
    <n v="71"/>
    <x v="2"/>
    <x v="6"/>
    <s v="Month-to-month"/>
    <n v="20"/>
    <x v="0"/>
    <n v="1049"/>
    <n v="20980"/>
    <s v="Fiber"/>
    <d v="2024-01-27T00:00:00"/>
    <s v="No"/>
    <n v="0"/>
    <s v="No"/>
    <s v="No"/>
    <s v="No"/>
    <s v="No"/>
    <s v="No"/>
  </r>
  <r>
    <s v="C1332"/>
    <s v="Swati Malhotra"/>
    <s v="Female"/>
    <n v="34"/>
    <x v="0"/>
    <x v="9"/>
    <s v="One year"/>
    <n v="20"/>
    <x v="0"/>
    <n v="549"/>
    <n v="10980"/>
    <s v="No Internet"/>
    <m/>
    <s v="No"/>
    <n v="0"/>
    <s v="No"/>
    <s v="No"/>
    <s v="No"/>
    <s v="No"/>
    <s v="Date missing"/>
  </r>
  <r>
    <s v="C1333"/>
    <s v="Pankaj Rao"/>
    <s v="Male"/>
    <n v="60"/>
    <x v="1"/>
    <x v="2"/>
    <s v="One year"/>
    <n v="32"/>
    <x v="1"/>
    <n v="1049"/>
    <n v="33568"/>
    <s v="Fiber"/>
    <d v="2023-01-19T00:00:00"/>
    <s v="No"/>
    <n v="0"/>
    <s v="No"/>
    <s v="No"/>
    <s v="No"/>
    <s v="No"/>
    <s v="No"/>
  </r>
  <r>
    <s v="C1334"/>
    <s v="Rajesh Pandey"/>
    <s v="Male"/>
    <n v="54"/>
    <x v="1"/>
    <x v="6"/>
    <s v="Month-to-month"/>
    <n v="8"/>
    <x v="2"/>
    <n v="1149"/>
    <n v="9192"/>
    <s v="Fiber"/>
    <d v="2025-01-10T00:00:00"/>
    <s v="No"/>
    <n v="0"/>
    <s v="No"/>
    <s v="No"/>
    <s v="Yes"/>
    <s v="No"/>
    <s v="No"/>
  </r>
  <r>
    <s v="C1335"/>
    <s v="Unknown"/>
    <s v="Female"/>
    <n v="72"/>
    <x v="2"/>
    <x v="8"/>
    <s v="Two year"/>
    <n v="24"/>
    <x v="0"/>
    <n v="499"/>
    <n v="11976"/>
    <s v="No Internet"/>
    <d v="2023-10-01T00:00:00"/>
    <s v="No"/>
    <n v="0"/>
    <s v="No"/>
    <s v="No"/>
    <s v="No"/>
    <s v="No"/>
    <s v="No"/>
  </r>
  <r>
    <s v="C1336"/>
    <s v="Nikhil Chopra"/>
    <s v="Male"/>
    <n v="23"/>
    <x v="4"/>
    <x v="0"/>
    <s v="Month-to-month"/>
    <n v="10"/>
    <x v="2"/>
    <n v="1299"/>
    <n v="12990"/>
    <s v="Fiber"/>
    <d v="2024-11-14T00:00:00"/>
    <s v="Yes"/>
    <n v="1"/>
    <s v="No"/>
    <s v="No"/>
    <s v="No"/>
    <s v="No"/>
    <s v="No"/>
  </r>
  <r>
    <s v="C1337"/>
    <s v="Shreya Reddy"/>
    <s v="Female"/>
    <n v="48"/>
    <x v="1"/>
    <x v="3"/>
    <s v="Two year"/>
    <n v="10"/>
    <x v="2"/>
    <n v="999"/>
    <n v="9990"/>
    <s v="Fiber"/>
    <m/>
    <s v="Yes"/>
    <n v="1"/>
    <s v="No"/>
    <s v="No"/>
    <s v="No"/>
    <s v="No"/>
    <s v="Date missing"/>
  </r>
  <r>
    <s v="C1338"/>
    <s v="Payal Iyer"/>
    <s v="Female"/>
    <n v="44"/>
    <x v="3"/>
    <x v="3"/>
    <s v="Two year"/>
    <n v="26"/>
    <x v="1"/>
    <n v="699"/>
    <n v="18174"/>
    <s v="DSL"/>
    <d v="2023-07-27T00:00:00"/>
    <s v="No"/>
    <n v="0"/>
    <s v="No"/>
    <s v="No"/>
    <s v="No"/>
    <s v="No"/>
    <s v="No"/>
  </r>
  <r>
    <s v="C1339"/>
    <s v="Nikhil Pandey"/>
    <s v="Male"/>
    <n v="29"/>
    <x v="0"/>
    <x v="13"/>
    <s v="Month-to-month"/>
    <n v="6"/>
    <x v="4"/>
    <n v="699"/>
    <n v="4194"/>
    <s v="DSL"/>
    <d v="2025-03-24T00:00:00"/>
    <s v="Yes"/>
    <n v="1"/>
    <s v="No"/>
    <s v="Yes"/>
    <s v="No"/>
    <s v="No"/>
    <s v="No"/>
  </r>
  <r>
    <s v="C1340"/>
    <s v="Arjun Bose"/>
    <s v="Male"/>
    <n v="66"/>
    <x v="2"/>
    <x v="8"/>
    <s v="Month-to-month"/>
    <n v="3"/>
    <x v="4"/>
    <n v="1149"/>
    <n v="3447"/>
    <s v="Fiber"/>
    <d v="2025-06-18T00:00:00"/>
    <s v="No"/>
    <n v="0"/>
    <s v="No"/>
    <s v="No"/>
    <s v="No"/>
    <s v="No"/>
    <s v="No"/>
  </r>
  <r>
    <s v="C1341"/>
    <s v="Komal Rao"/>
    <s v="Female"/>
    <n v="18"/>
    <x v="4"/>
    <x v="3"/>
    <s v="Month-to-month"/>
    <n v="1"/>
    <x v="4"/>
    <n v="1299"/>
    <n v="1299"/>
    <s v="Fiber"/>
    <d v="2025-08-08T00:00:00"/>
    <s v="Yes"/>
    <n v="1"/>
    <s v="No"/>
    <s v="No"/>
    <s v="No"/>
    <s v="No"/>
    <s v="No"/>
  </r>
  <r>
    <s v="C1342"/>
    <s v="Manish Nair"/>
    <s v="Male"/>
    <n v="62"/>
    <x v="2"/>
    <x v="2"/>
    <s v="Month-to-month"/>
    <n v="17"/>
    <x v="0"/>
    <n v="799"/>
    <n v="13583"/>
    <s v="DSL"/>
    <d v="2024-05-05T00:00:00"/>
    <s v="Yes"/>
    <n v="1"/>
    <s v="No"/>
    <s v="No"/>
    <s v="No"/>
    <s v="No"/>
    <s v="No"/>
  </r>
  <r>
    <s v="C1343"/>
    <s v="Aditi Kapoor"/>
    <s v="Female"/>
    <n v="64"/>
    <x v="2"/>
    <x v="1"/>
    <s v="One year"/>
    <n v="9"/>
    <x v="2"/>
    <n v="699"/>
    <n v="6291"/>
    <s v="DSL"/>
    <d v="2024-12-27T00:00:00"/>
    <s v="No"/>
    <n v="0"/>
    <s v="No"/>
    <s v="No"/>
    <s v="No"/>
    <s v="No"/>
    <s v="No"/>
  </r>
  <r>
    <s v="C1344"/>
    <s v="Priya Nair"/>
    <s v="Female"/>
    <n v="32"/>
    <x v="0"/>
    <x v="14"/>
    <s v="Two year"/>
    <n v="3"/>
    <x v="4"/>
    <n v="799"/>
    <n v="2397"/>
    <s v="DSL"/>
    <d v="2025-06-08T00:00:00"/>
    <s v="Yes"/>
    <n v="1"/>
    <s v="No"/>
    <s v="No"/>
    <s v="No"/>
    <s v="No"/>
    <s v="No"/>
  </r>
  <r>
    <s v="C1345"/>
    <s v="Deepak Chopra"/>
    <s v="Male"/>
    <n v="34"/>
    <x v="0"/>
    <x v="13"/>
    <s v="Month-to-month"/>
    <n v="2"/>
    <x v="4"/>
    <n v="849"/>
    <n v="1698"/>
    <s v="DSL"/>
    <d v="2025-07-27T00:00:00"/>
    <s v="Yes"/>
    <n v="1"/>
    <s v="No"/>
    <s v="No"/>
    <s v="No"/>
    <s v="No"/>
    <s v="No"/>
  </r>
  <r>
    <s v="C1346"/>
    <s v="Shreya Rao"/>
    <s v="Female"/>
    <n v="25"/>
    <x v="4"/>
    <x v="10"/>
    <s v="Month-to-month"/>
    <n v="7"/>
    <x v="2"/>
    <n v="1199"/>
    <n v="8393"/>
    <s v="Fiber"/>
    <d v="2025-02-09T00:00:00"/>
    <s v="Yes"/>
    <n v="1"/>
    <s v="No"/>
    <s v="No"/>
    <s v="No"/>
    <s v="No"/>
    <s v="No"/>
  </r>
  <r>
    <s v="C1347"/>
    <s v="Mohit Malhotra"/>
    <s v="Male"/>
    <n v="57"/>
    <x v="1"/>
    <x v="11"/>
    <s v="One year"/>
    <n v="7"/>
    <x v="2"/>
    <n v="1199"/>
    <n v="8393"/>
    <s v="Fiber"/>
    <d v="2025-02-27T00:00:00"/>
    <s v="Yes"/>
    <n v="1"/>
    <s v="No"/>
    <s v="No"/>
    <s v="No"/>
    <s v="No"/>
    <s v="No"/>
  </r>
  <r>
    <s v="C1348"/>
    <s v="Gaurav Mehta"/>
    <s v="Male"/>
    <n v="56"/>
    <x v="1"/>
    <x v="0"/>
    <s v="One year"/>
    <n v="13"/>
    <x v="0"/>
    <n v="499"/>
    <n v="6487"/>
    <s v="No Internet"/>
    <d v="2024-09-02T00:00:00"/>
    <s v="No"/>
    <n v="0"/>
    <s v="No"/>
    <s v="No"/>
    <s v="No"/>
    <s v="No"/>
    <s v="No"/>
  </r>
  <r>
    <s v="C1349"/>
    <s v="Deepika Pandey"/>
    <s v="Female"/>
    <n v="48"/>
    <x v="1"/>
    <x v="2"/>
    <s v="Month-to-month"/>
    <n v="3"/>
    <x v="4"/>
    <n v="599"/>
    <n v="1797"/>
    <s v="DSL"/>
    <d v="2025-06-26T00:00:00"/>
    <s v="No"/>
    <n v="0"/>
    <s v="No"/>
    <s v="No"/>
    <s v="No"/>
    <s v="No"/>
    <s v="No"/>
  </r>
  <r>
    <s v="C1350"/>
    <s v="Mohit Kumar"/>
    <s v="Male"/>
    <n v="64"/>
    <x v="2"/>
    <x v="14"/>
    <s v="Month-to-month"/>
    <n v="8"/>
    <x v="2"/>
    <n v="749"/>
    <n v="5992"/>
    <s v="DSL"/>
    <d v="2025-01-28T00:00:00"/>
    <s v="No"/>
    <n v="0"/>
    <s v="No"/>
    <s v="No"/>
    <s v="No"/>
    <s v="No"/>
    <s v="No"/>
  </r>
  <r>
    <s v="C1351"/>
    <s v="Amit Iyer"/>
    <s v="Male"/>
    <n v="41"/>
    <x v="3"/>
    <x v="10"/>
    <s v="One year"/>
    <n v="8"/>
    <x v="2"/>
    <n v="1299"/>
    <n v="10392"/>
    <s v="Fiber"/>
    <d v="2025-01-27T00:00:00"/>
    <s v="Yes"/>
    <n v="1"/>
    <s v="No"/>
    <s v="No"/>
    <s v="No"/>
    <s v="No"/>
    <s v="No"/>
  </r>
  <r>
    <s v="C1352"/>
    <s v="Nikhil Patel"/>
    <s v="Male"/>
    <n v="75"/>
    <x v="2"/>
    <x v="7"/>
    <s v="Two year"/>
    <n v="12"/>
    <x v="2"/>
    <n v="699"/>
    <n v="8388"/>
    <s v="DSL"/>
    <d v="2024-09-21T00:00:00"/>
    <s v="No"/>
    <n v="0"/>
    <s v="No"/>
    <s v="No"/>
    <s v="No"/>
    <s v="No"/>
    <s v="No"/>
  </r>
  <r>
    <s v="C1353"/>
    <s v="Shreya Malhotra"/>
    <s v="Female"/>
    <n v="71"/>
    <x v="2"/>
    <x v="12"/>
    <s v="One year"/>
    <n v="27"/>
    <x v="1"/>
    <n v="1299"/>
    <n v="35073"/>
    <s v="Fiber"/>
    <d v="2023-06-19T00:00:00"/>
    <s v="Yes"/>
    <n v="1"/>
    <s v="No"/>
    <s v="No"/>
    <s v="No"/>
    <s v="No"/>
    <s v="No"/>
  </r>
  <r>
    <s v="C1354"/>
    <s v="Arjun Reddy"/>
    <s v="Male"/>
    <n v="44"/>
    <x v="3"/>
    <x v="11"/>
    <s v="Month-to-month"/>
    <n v="15"/>
    <x v="0"/>
    <n v="1149"/>
    <n v="17235"/>
    <s v="Fiber"/>
    <d v="2024-06-16T00:00:00"/>
    <s v="No"/>
    <n v="0"/>
    <s v="No"/>
    <s v="No"/>
    <s v="No"/>
    <s v="No"/>
    <s v="No"/>
  </r>
  <r>
    <s v="C1355"/>
    <s v="Rohit Desai"/>
    <s v="Male"/>
    <n v="49"/>
    <x v="1"/>
    <x v="4"/>
    <s v="Two year"/>
    <n v="9"/>
    <x v="2"/>
    <n v="1199"/>
    <n v="10791"/>
    <s v="Fiber"/>
    <m/>
    <s v="Yes"/>
    <n v="1"/>
    <s v="No"/>
    <s v="No"/>
    <s v="No"/>
    <s v="Yes"/>
    <s v="Date missing"/>
  </r>
  <r>
    <s v="C1356"/>
    <s v="Nikhil Jain"/>
    <s v="Male"/>
    <n v="51"/>
    <x v="1"/>
    <x v="10"/>
    <s v="One year"/>
    <n v="16"/>
    <x v="0"/>
    <n v="749"/>
    <n v="11984"/>
    <s v="DSL"/>
    <d v="2024-05-10T00:00:00"/>
    <s v="Yes"/>
    <n v="1"/>
    <s v="No"/>
    <s v="No"/>
    <s v="No"/>
    <s v="No"/>
    <s v="No"/>
  </r>
  <r>
    <s v="C1357"/>
    <s v="Rahul Chopra"/>
    <s v="Male"/>
    <n v="28"/>
    <x v="0"/>
    <x v="1"/>
    <s v="Two year"/>
    <n v="22"/>
    <x v="0"/>
    <n v="499"/>
    <n v="10978"/>
    <s v="No Internet"/>
    <d v="2023-11-28T00:00:00"/>
    <s v="No"/>
    <n v="0"/>
    <s v="No"/>
    <s v="No"/>
    <s v="No"/>
    <s v="No"/>
    <s v="No"/>
  </r>
  <r>
    <s v="C1358"/>
    <s v="Sneha Jain"/>
    <s v="Female"/>
    <n v="32"/>
    <x v="0"/>
    <x v="1"/>
    <s v="One year"/>
    <n v="16"/>
    <x v="0"/>
    <n v="1099"/>
    <n v="17584"/>
    <s v="Fiber"/>
    <d v="2024-05-22T00:00:00"/>
    <s v="No"/>
    <n v="0"/>
    <s v="No"/>
    <s v="No"/>
    <s v="No"/>
    <s v="No"/>
    <s v="No"/>
  </r>
  <r>
    <s v="C1359"/>
    <s v="Gaurav Kapoor"/>
    <s v="Male"/>
    <n v="38"/>
    <x v="3"/>
    <x v="4"/>
    <s v="Two year"/>
    <n v="3"/>
    <x v="4"/>
    <n v="1099"/>
    <n v="3297"/>
    <s v="Fiber"/>
    <d v="2025-06-13T00:00:00"/>
    <s v="Yes"/>
    <n v="1"/>
    <s v="No"/>
    <s v="No"/>
    <s v="No"/>
    <s v="No"/>
    <s v="No"/>
  </r>
  <r>
    <s v="C1360"/>
    <s v="Vikram Yadav"/>
    <s v="Male"/>
    <n v="57"/>
    <x v="1"/>
    <x v="9"/>
    <s v="Month-to-month"/>
    <n v="7"/>
    <x v="2"/>
    <n v="1199"/>
    <n v="8393"/>
    <s v="Fiber"/>
    <d v="2025-02-19T00:00:00"/>
    <s v="No"/>
    <n v="0"/>
    <s v="No"/>
    <s v="No"/>
    <s v="No"/>
    <s v="No"/>
    <s v="No"/>
  </r>
  <r>
    <s v="C1361"/>
    <s v="Manish Kapoor"/>
    <s v="Male"/>
    <n v="39"/>
    <x v="3"/>
    <x v="1"/>
    <s v="One year"/>
    <n v="24"/>
    <x v="0"/>
    <n v="1099"/>
    <n v="26376"/>
    <s v="Fiber"/>
    <d v="2023-09-18T00:00:00"/>
    <s v="Yes"/>
    <n v="1"/>
    <s v="No"/>
    <s v="No"/>
    <s v="No"/>
    <s v="No"/>
    <s v="No"/>
  </r>
  <r>
    <s v="C1362"/>
    <s v="Rahul Joshi"/>
    <s v="Male"/>
    <n v="40"/>
    <x v="3"/>
    <x v="6"/>
    <s v="One year"/>
    <n v="36"/>
    <x v="1"/>
    <n v="1049"/>
    <n v="37764"/>
    <s v="Fiber"/>
    <d v="2022-10-09T00:00:00"/>
    <s v="Yes"/>
    <n v="1"/>
    <s v="No"/>
    <s v="No"/>
    <s v="No"/>
    <s v="No"/>
    <s v="No"/>
  </r>
  <r>
    <s v="C1363"/>
    <s v="Pooja Pandey"/>
    <s v="Female"/>
    <n v="65"/>
    <x v="2"/>
    <x v="14"/>
    <s v="Month-to-month"/>
    <n v="7"/>
    <x v="2"/>
    <n v="649"/>
    <n v="4543"/>
    <s v="DSL"/>
    <d v="2025-02-04T00:00:00"/>
    <s v="Yes"/>
    <n v="1"/>
    <s v="No"/>
    <s v="No"/>
    <s v="No"/>
    <s v="No"/>
    <s v="No"/>
  </r>
  <r>
    <s v="C1364"/>
    <s v="Nikhil Reddy"/>
    <s v="Male"/>
    <n v="66"/>
    <x v="2"/>
    <x v="12"/>
    <s v="Month-to-month"/>
    <n v="22"/>
    <x v="0"/>
    <n v="899"/>
    <n v="19778"/>
    <s v="Fiber"/>
    <d v="2023-11-20T00:00:00"/>
    <s v="Yes"/>
    <n v="1"/>
    <s v="No"/>
    <s v="No"/>
    <s v="No"/>
    <s v="No"/>
    <s v="No"/>
  </r>
  <r>
    <s v="C1365"/>
    <s v="Gaurav Sharma"/>
    <s v="Male"/>
    <n v="51"/>
    <x v="1"/>
    <x v="14"/>
    <s v="Month-to-month"/>
    <n v="19"/>
    <x v="0"/>
    <n v="399"/>
    <n v="7581"/>
    <s v="No Internet"/>
    <d v="2024-03-02T00:00:00"/>
    <s v="No"/>
    <n v="0"/>
    <s v="No"/>
    <s v="No"/>
    <s v="No"/>
    <s v="No"/>
    <s v="No"/>
  </r>
  <r>
    <s v="C1366"/>
    <s v="Karan Rao"/>
    <s v="Male"/>
    <n v="60"/>
    <x v="1"/>
    <x v="11"/>
    <s v="One year"/>
    <n v="25"/>
    <x v="1"/>
    <n v="749"/>
    <n v="18725"/>
    <s v="DSL"/>
    <d v="2023-08-30T00:00:00"/>
    <s v="No"/>
    <n v="0"/>
    <s v="No"/>
    <s v="No"/>
    <s v="No"/>
    <s v="No"/>
    <s v="No"/>
  </r>
  <r>
    <s v="C1367"/>
    <s v="Shreya Singh"/>
    <s v="Female"/>
    <n v="26"/>
    <x v="0"/>
    <x v="12"/>
    <s v="One year"/>
    <n v="33"/>
    <x v="1"/>
    <n v="549"/>
    <n v="18117"/>
    <s v="No Internet"/>
    <d v="2022-12-21T00:00:00"/>
    <s v="No"/>
    <n v="0"/>
    <s v="No"/>
    <s v="No"/>
    <s v="No"/>
    <s v="Yes"/>
    <s v="No"/>
  </r>
  <r>
    <s v="C1368"/>
    <s v="Sanjay Mehta"/>
    <s v="Male"/>
    <n v="57"/>
    <x v="1"/>
    <x v="14"/>
    <s v="Month-to-month"/>
    <n v="22"/>
    <x v="0"/>
    <n v="649"/>
    <n v="14278"/>
    <s v="Unknown"/>
    <d v="2023-11-16T00:00:00"/>
    <s v="No"/>
    <n v="0"/>
    <s v="No"/>
    <s v="No"/>
    <s v="No"/>
    <s v="Yes"/>
    <s v="No"/>
  </r>
  <r>
    <s v="C1369"/>
    <s v="Anjali Patel"/>
    <s v="Female"/>
    <n v="53"/>
    <x v="1"/>
    <x v="7"/>
    <s v="One year"/>
    <n v="27"/>
    <x v="1"/>
    <n v="549"/>
    <n v="14823"/>
    <s v="No Internet"/>
    <d v="2023-06-14T00:00:00"/>
    <s v="No"/>
    <n v="0"/>
    <s v="No"/>
    <s v="No"/>
    <s v="No"/>
    <s v="No"/>
    <s v="No"/>
  </r>
  <r>
    <s v="C1370"/>
    <s v="Priya Jain"/>
    <s v="Female"/>
    <n v="24"/>
    <x v="4"/>
    <x v="3"/>
    <s v="Month-to-month"/>
    <n v="2"/>
    <x v="4"/>
    <n v="649"/>
    <n v="1298"/>
    <s v="DSL"/>
    <d v="2025-07-09T00:00:00"/>
    <s v="No"/>
    <n v="0"/>
    <s v="No"/>
    <s v="No"/>
    <s v="No"/>
    <s v="No"/>
    <s v="No"/>
  </r>
  <r>
    <s v="C1371"/>
    <s v="Pooja Verma"/>
    <s v="Female"/>
    <n v="62"/>
    <x v="2"/>
    <x v="13"/>
    <s v="Month-to-month"/>
    <n v="2"/>
    <x v="4"/>
    <n v="1299"/>
    <n v="2598"/>
    <s v="Fiber"/>
    <d v="2025-07-03T00:00:00"/>
    <s v="Yes"/>
    <n v="1"/>
    <s v="No"/>
    <s v="No"/>
    <s v="No"/>
    <s v="No"/>
    <s v="No"/>
  </r>
  <r>
    <s v="C1372"/>
    <s v="Sachin Rao"/>
    <s v="Male"/>
    <n v="33"/>
    <x v="0"/>
    <x v="1"/>
    <s v="One year"/>
    <n v="19"/>
    <x v="0"/>
    <n v="1199"/>
    <n v="22781"/>
    <s v="Fiber"/>
    <d v="2024-02-24T00:00:00"/>
    <s v="No"/>
    <n v="0"/>
    <s v="No"/>
    <s v="No"/>
    <s v="No"/>
    <s v="No"/>
    <s v="No"/>
  </r>
  <r>
    <s v="C1373"/>
    <s v="Swati Mishra"/>
    <s v="Unknown"/>
    <n v="21"/>
    <x v="4"/>
    <x v="3"/>
    <s v="Unknown"/>
    <n v="29"/>
    <x v="1"/>
    <n v="899"/>
    <n v="26071"/>
    <s v="DSL"/>
    <d v="2023-04-25T00:00:00"/>
    <s v="No"/>
    <n v="0"/>
    <s v="No"/>
    <s v="No"/>
    <s v="No"/>
    <s v="No"/>
    <s v="No"/>
  </r>
  <r>
    <s v="C1374"/>
    <s v="Sanjay Iyer"/>
    <s v="Male"/>
    <n v="46"/>
    <x v="1"/>
    <x v="8"/>
    <s v="Two year"/>
    <n v="23"/>
    <x v="0"/>
    <n v="849"/>
    <n v="19527"/>
    <s v="DSL"/>
    <m/>
    <s v="No"/>
    <n v="0"/>
    <s v="No"/>
    <s v="No"/>
    <s v="No"/>
    <s v="No"/>
    <s v="Date missing"/>
  </r>
  <r>
    <s v="C1375"/>
    <s v="Sonal Malhotra"/>
    <s v="Female"/>
    <n v="26"/>
    <x v="0"/>
    <x v="8"/>
    <s v="One year"/>
    <n v="22"/>
    <x v="0"/>
    <n v="749"/>
    <n v="16478"/>
    <s v="DSL"/>
    <d v="2023-11-09T00:00:00"/>
    <s v="Yes"/>
    <n v="1"/>
    <s v="No"/>
    <s v="No"/>
    <s v="No"/>
    <s v="No"/>
    <s v="No"/>
  </r>
  <r>
    <s v="C1376"/>
    <s v="Riya Verma"/>
    <s v="Female"/>
    <n v="67"/>
    <x v="2"/>
    <x v="9"/>
    <s v="One year"/>
    <n v="32"/>
    <x v="1"/>
    <n v="1149"/>
    <n v="36768"/>
    <s v="Fiber"/>
    <d v="2023-01-17T00:00:00"/>
    <s v="No"/>
    <n v="0"/>
    <s v="No"/>
    <s v="No"/>
    <s v="No"/>
    <s v="No"/>
    <s v="No"/>
  </r>
  <r>
    <s v="C1377"/>
    <s v="Payal Nair"/>
    <s v="Female"/>
    <n v="29"/>
    <x v="0"/>
    <x v="1"/>
    <s v="Month-to-month"/>
    <n v="14"/>
    <x v="0"/>
    <n v="1149"/>
    <n v="16086"/>
    <s v="Fiber"/>
    <d v="2024-07-28T00:00:00"/>
    <s v="Yes"/>
    <n v="1"/>
    <s v="No"/>
    <s v="No"/>
    <s v="No"/>
    <s v="No"/>
    <s v="No"/>
  </r>
  <r>
    <s v="C1378"/>
    <s v="Nikhil Joshi"/>
    <s v="Male"/>
    <n v="41"/>
    <x v="3"/>
    <x v="5"/>
    <s v="Month-to-month"/>
    <n v="17"/>
    <x v="0"/>
    <n v="1149"/>
    <n v="19533"/>
    <s v="Fiber"/>
    <d v="2024-04-25T00:00:00"/>
    <s v="Yes"/>
    <n v="1"/>
    <s v="No"/>
    <s v="No"/>
    <s v="No"/>
    <s v="No"/>
    <s v="No"/>
  </r>
  <r>
    <s v="C1379"/>
    <s v="Ritu Chopra"/>
    <s v="Female"/>
    <n v="57"/>
    <x v="1"/>
    <x v="11"/>
    <s v="Month-to-month"/>
    <n v="11"/>
    <x v="2"/>
    <n v="749"/>
    <n v="8239"/>
    <s v="DSL"/>
    <d v="2024-10-16T00:00:00"/>
    <s v="Yes"/>
    <n v="1"/>
    <s v="No"/>
    <s v="No"/>
    <s v="No"/>
    <s v="No"/>
    <s v="No"/>
  </r>
  <r>
    <s v="C1380"/>
    <s v="Priya Jain"/>
    <s v="Female"/>
    <n v="70"/>
    <x v="2"/>
    <x v="13"/>
    <s v="Month-to-month"/>
    <n v="15"/>
    <x v="0"/>
    <n v="449"/>
    <n v="6735"/>
    <s v="No Internet"/>
    <d v="2024-06-29T00:00:00"/>
    <s v="No"/>
    <n v="0"/>
    <s v="No"/>
    <s v="No"/>
    <s v="No"/>
    <s v="No"/>
    <s v="No"/>
  </r>
  <r>
    <s v="C1381"/>
    <s v="Payal Kumar"/>
    <s v="Female"/>
    <n v="47"/>
    <x v="1"/>
    <x v="10"/>
    <s v="Two year"/>
    <n v="69"/>
    <x v="3"/>
    <n v="1199"/>
    <n v="82731"/>
    <s v="Fiber"/>
    <d v="2020-01-08T00:00:00"/>
    <s v="No"/>
    <n v="0"/>
    <s v="Yes"/>
    <s v="No"/>
    <s v="No"/>
    <s v="No"/>
    <s v="No"/>
  </r>
  <r>
    <s v="C1382"/>
    <s v="Vivek Reddy"/>
    <s v="Male"/>
    <n v="31"/>
    <x v="0"/>
    <x v="1"/>
    <s v="Two year"/>
    <n v="56"/>
    <x v="3"/>
    <n v="349"/>
    <n v="19544"/>
    <s v="No Internet"/>
    <d v="2021-02-17T00:00:00"/>
    <s v="No"/>
    <n v="0"/>
    <s v="No"/>
    <s v="No"/>
    <s v="No"/>
    <s v="No"/>
    <s v="No"/>
  </r>
  <r>
    <s v="C1383"/>
    <s v="Ankit Pandey"/>
    <s v="Male"/>
    <n v="39"/>
    <x v="3"/>
    <x v="3"/>
    <s v="Month-to-month"/>
    <n v="9"/>
    <x v="2"/>
    <n v="799"/>
    <n v="7191"/>
    <s v="DSL"/>
    <m/>
    <s v="No"/>
    <n v="0"/>
    <s v="No"/>
    <s v="No"/>
    <s v="No"/>
    <s v="No"/>
    <s v="Date missing"/>
  </r>
  <r>
    <s v="C1384"/>
    <s v="Nisha Rao"/>
    <s v="Female"/>
    <n v="46"/>
    <x v="1"/>
    <x v="9"/>
    <s v="Month-to-month"/>
    <n v="13"/>
    <x v="0"/>
    <n v="849"/>
    <n v="11037"/>
    <s v="DSL"/>
    <d v="2024-08-11T00:00:00"/>
    <s v="Yes"/>
    <n v="1"/>
    <s v="No"/>
    <s v="No"/>
    <s v="No"/>
    <s v="No"/>
    <s v="No"/>
  </r>
  <r>
    <s v="C1385"/>
    <s v="Rajesh Verma"/>
    <s v="Male"/>
    <n v="62"/>
    <x v="2"/>
    <x v="6"/>
    <s v="Month-to-month"/>
    <n v="4"/>
    <x v="4"/>
    <n v="449"/>
    <n v="1796"/>
    <s v="No Internet"/>
    <d v="2025-05-22T00:00:00"/>
    <s v="No"/>
    <n v="0"/>
    <s v="No"/>
    <s v="No"/>
    <s v="No"/>
    <s v="No"/>
    <s v="No"/>
  </r>
  <r>
    <s v="C1386"/>
    <s v="Divya Rao"/>
    <s v="Female"/>
    <n v="47"/>
    <x v="1"/>
    <x v="9"/>
    <s v="Month-to-month"/>
    <n v="8"/>
    <x v="2"/>
    <n v="649"/>
    <n v="5192"/>
    <s v="DSL"/>
    <d v="2025-01-04T00:00:00"/>
    <s v="No"/>
    <n v="0"/>
    <s v="Yes"/>
    <s v="No"/>
    <s v="No"/>
    <s v="No"/>
    <s v="No"/>
  </r>
  <r>
    <s v="C1387"/>
    <s v="Unknown"/>
    <s v="Female"/>
    <n v="61"/>
    <x v="2"/>
    <x v="13"/>
    <s v="Two year"/>
    <n v="2"/>
    <x v="4"/>
    <n v="1299"/>
    <n v="2598"/>
    <s v="Fiber"/>
    <d v="2025-07-29T00:00:00"/>
    <s v="Yes"/>
    <n v="1"/>
    <s v="No"/>
    <s v="No"/>
    <s v="No"/>
    <s v="No"/>
    <s v="No"/>
  </r>
  <r>
    <s v="C1388"/>
    <s v="Rajesh Yadav"/>
    <s v="Male"/>
    <n v="43"/>
    <x v="3"/>
    <x v="1"/>
    <s v="Month-to-month"/>
    <n v="7"/>
    <x v="2"/>
    <n v="849"/>
    <n v="5943"/>
    <s v="DSL"/>
    <d v="2025-02-02T00:00:00"/>
    <s v="Yes"/>
    <n v="1"/>
    <s v="No"/>
    <s v="No"/>
    <s v="No"/>
    <s v="No"/>
    <s v="No"/>
  </r>
  <r>
    <s v="C1389"/>
    <s v="Arjun Gupta"/>
    <s v="Male"/>
    <n v="32"/>
    <x v="0"/>
    <x v="11"/>
    <s v="Two year"/>
    <n v="24"/>
    <x v="0"/>
    <n v="849"/>
    <n v="20376"/>
    <s v="DSL"/>
    <d v="2023-09-12T00:00:00"/>
    <s v="No"/>
    <n v="0"/>
    <s v="No"/>
    <s v="No"/>
    <s v="No"/>
    <s v="No"/>
    <s v="No"/>
  </r>
  <r>
    <s v="C1390"/>
    <s v="Sonal Kumar"/>
    <s v="Female"/>
    <n v="36"/>
    <x v="3"/>
    <x v="9"/>
    <s v="Month-to-month"/>
    <n v="24"/>
    <x v="0"/>
    <n v="799"/>
    <n v="19176"/>
    <s v="DSL"/>
    <d v="2023-09-18T00:00:00"/>
    <s v="Yes"/>
    <n v="1"/>
    <s v="No"/>
    <s v="No"/>
    <s v="No"/>
    <s v="No"/>
    <s v="No"/>
  </r>
  <r>
    <s v="C1391"/>
    <s v="Karan Iyer"/>
    <s v="Male"/>
    <n v="57"/>
    <x v="1"/>
    <x v="4"/>
    <s v="Two year"/>
    <n v="58"/>
    <x v="3"/>
    <n v="699"/>
    <n v="40542"/>
    <s v="DSL"/>
    <d v="2020-12-19T00:00:00"/>
    <s v="No"/>
    <n v="0"/>
    <s v="No"/>
    <s v="No"/>
    <s v="No"/>
    <s v="No"/>
    <s v="No"/>
  </r>
  <r>
    <s v="C1392"/>
    <s v="Swati Tiwari"/>
    <s v="Female"/>
    <n v="28"/>
    <x v="0"/>
    <x v="3"/>
    <s v="Month-to-month"/>
    <n v="23"/>
    <x v="0"/>
    <n v="1199"/>
    <n v="27577"/>
    <s v="Fiber"/>
    <d v="2023-10-28T00:00:00"/>
    <s v="Yes"/>
    <n v="1"/>
    <s v="No"/>
    <s v="No"/>
    <s v="No"/>
    <s v="No"/>
    <s v="No"/>
  </r>
  <r>
    <s v="C1393"/>
    <s v="Nikhil Desai"/>
    <s v="Male"/>
    <n v="47"/>
    <x v="1"/>
    <x v="7"/>
    <s v="Month-to-month"/>
    <n v="18"/>
    <x v="0"/>
    <n v="599"/>
    <n v="10782"/>
    <s v="DSL"/>
    <d v="2024-03-29T00:00:00"/>
    <s v="Yes"/>
    <n v="1"/>
    <s v="No"/>
    <s v="No"/>
    <s v="No"/>
    <s v="No"/>
    <s v="No"/>
  </r>
  <r>
    <s v="C1394"/>
    <s v="Sachin Mehta"/>
    <s v="Unknown"/>
    <n v="34"/>
    <x v="0"/>
    <x v="14"/>
    <s v="Two year"/>
    <n v="10"/>
    <x v="2"/>
    <n v="599"/>
    <n v="5990"/>
    <s v="DSL"/>
    <d v="2024-11-06T00:00:00"/>
    <s v="No"/>
    <n v="0"/>
    <s v="No"/>
    <s v="No"/>
    <s v="No"/>
    <s v="No"/>
    <s v="No"/>
  </r>
  <r>
    <s v="C1395"/>
    <s v="Tanvi Mehta"/>
    <s v="Female"/>
    <n v="20"/>
    <x v="4"/>
    <x v="1"/>
    <s v="Month-to-month"/>
    <n v="18"/>
    <x v="0"/>
    <n v="399"/>
    <n v="7182"/>
    <s v="No Internet"/>
    <d v="2024-03-30T00:00:00"/>
    <s v="Yes"/>
    <n v="1"/>
    <s v="No"/>
    <s v="No"/>
    <s v="No"/>
    <s v="No"/>
    <s v="No"/>
  </r>
  <r>
    <s v="C1396"/>
    <s v="Pooja Kapoor"/>
    <s v="Female"/>
    <n v="50"/>
    <x v="1"/>
    <x v="1"/>
    <s v="Month-to-month"/>
    <n v="1"/>
    <x v="4"/>
    <n v="999"/>
    <n v="999"/>
    <s v="Fiber"/>
    <d v="2025-08-05T00:00:00"/>
    <s v="No"/>
    <n v="0"/>
    <s v="No"/>
    <s v="No"/>
    <s v="No"/>
    <s v="No"/>
    <s v="No"/>
  </r>
  <r>
    <s v="C1397"/>
    <s v="Ankit Gupta"/>
    <s v="Male"/>
    <n v="29"/>
    <x v="0"/>
    <x v="11"/>
    <s v="Two year"/>
    <n v="19"/>
    <x v="0"/>
    <n v="1199"/>
    <n v="22781"/>
    <s v="Fiber"/>
    <d v="2024-03-06T00:00:00"/>
    <s v="No"/>
    <n v="0"/>
    <s v="No"/>
    <s v="No"/>
    <s v="No"/>
    <s v="No"/>
    <s v="No"/>
  </r>
  <r>
    <s v="C1398"/>
    <s v="Gaurav Nair"/>
    <s v="Male"/>
    <n v="22"/>
    <x v="4"/>
    <x v="5"/>
    <s v="Month-to-month"/>
    <n v="7"/>
    <x v="2"/>
    <n v="799"/>
    <n v="5593"/>
    <s v="DSL"/>
    <d v="2025-02-01T00:00:00"/>
    <s v="Yes"/>
    <n v="1"/>
    <s v="No"/>
    <s v="No"/>
    <s v="No"/>
    <s v="Yes"/>
    <s v="No"/>
  </r>
  <r>
    <s v="C1399"/>
    <s v="Sneha Verma"/>
    <s v="Female"/>
    <n v="59"/>
    <x v="1"/>
    <x v="2"/>
    <s v="Month-to-month"/>
    <n v="21"/>
    <x v="0"/>
    <n v="449"/>
    <n v="9429"/>
    <s v="No Internet"/>
    <d v="2023-12-20T00:00:00"/>
    <s v="No"/>
    <n v="0"/>
    <s v="No"/>
    <s v="No"/>
    <s v="No"/>
    <s v="No"/>
    <s v="No"/>
  </r>
  <r>
    <s v="C1400"/>
    <s v="Deepak Chopra"/>
    <s v="Male"/>
    <n v="42"/>
    <x v="3"/>
    <x v="2"/>
    <s v="One year"/>
    <n v="5"/>
    <x v="4"/>
    <n v="499"/>
    <n v="2495"/>
    <s v="No Internet"/>
    <d v="2025-04-24T00:00:00"/>
    <s v="No"/>
    <n v="0"/>
    <s v="No"/>
    <s v="No"/>
    <s v="No"/>
    <s v="No"/>
    <s v="No"/>
  </r>
  <r>
    <s v="C1401"/>
    <s v="Isha Patel"/>
    <s v="Female"/>
    <n v="49"/>
    <x v="1"/>
    <x v="13"/>
    <s v="Month-to-month"/>
    <n v="17"/>
    <x v="0"/>
    <n v="1099"/>
    <n v="18683"/>
    <s v="Fiber"/>
    <d v="2024-04-20T00:00:00"/>
    <s v="Yes"/>
    <n v="1"/>
    <s v="No"/>
    <s v="No"/>
    <s v="No"/>
    <s v="Yes"/>
    <s v="No"/>
  </r>
  <r>
    <s v="C1402"/>
    <s v="Deepika Singh"/>
    <s v="Female"/>
    <n v="29"/>
    <x v="0"/>
    <x v="8"/>
    <s v="Month-to-month"/>
    <n v="4"/>
    <x v="4"/>
    <n v="999"/>
    <n v="3996"/>
    <s v="Fiber"/>
    <d v="2025-05-08T00:00:00"/>
    <s v="No"/>
    <n v="0"/>
    <s v="No"/>
    <s v="No"/>
    <s v="No"/>
    <s v="No"/>
    <s v="No"/>
  </r>
  <r>
    <s v="C1403"/>
    <s v="Gaurav Saxena"/>
    <s v="Male"/>
    <n v="48"/>
    <x v="1"/>
    <x v="7"/>
    <s v="Month-to-month"/>
    <n v="14"/>
    <x v="0"/>
    <n v="599"/>
    <n v="8386"/>
    <s v="DSL"/>
    <d v="2024-07-17T00:00:00"/>
    <s v="Yes"/>
    <n v="1"/>
    <s v="No"/>
    <s v="Yes"/>
    <s v="No"/>
    <s v="No"/>
    <s v="No"/>
  </r>
  <r>
    <s v="C1404"/>
    <s v="Rohit Chopra"/>
    <s v="Male"/>
    <n v="50"/>
    <x v="1"/>
    <x v="3"/>
    <s v="Unknown"/>
    <n v="22"/>
    <x v="0"/>
    <n v="699"/>
    <n v="15378"/>
    <s v="DSL"/>
    <d v="2023-11-19T00:00:00"/>
    <s v="Unknown"/>
    <s v=""/>
    <s v="No"/>
    <s v="No"/>
    <s v="No"/>
    <s v="No"/>
    <s v="Churn unknown"/>
  </r>
  <r>
    <s v="C1405"/>
    <s v="Harsh Kumar"/>
    <s v="Male"/>
    <n v="31"/>
    <x v="0"/>
    <x v="7"/>
    <s v="One year"/>
    <n v="31"/>
    <x v="1"/>
    <n v="999"/>
    <n v="30969"/>
    <s v="Fiber"/>
    <d v="2023-02-16T00:00:00"/>
    <s v="No"/>
    <n v="0"/>
    <s v="No"/>
    <s v="No"/>
    <s v="No"/>
    <s v="No"/>
    <s v="No"/>
  </r>
  <r>
    <s v="C1406"/>
    <s v="Pankaj Saxena"/>
    <s v="Male"/>
    <n v="50"/>
    <x v="1"/>
    <x v="5"/>
    <s v="Month-to-month"/>
    <n v="15"/>
    <x v="0"/>
    <n v="1149"/>
    <n v="17235"/>
    <s v="Fiber"/>
    <d v="2024-06-23T00:00:00"/>
    <s v="Yes"/>
    <n v="1"/>
    <s v="No"/>
    <s v="No"/>
    <s v="No"/>
    <s v="No"/>
    <s v="No"/>
  </r>
  <r>
    <s v="C1407"/>
    <s v="Karan Sharma"/>
    <s v="Male"/>
    <n v="30"/>
    <x v="0"/>
    <x v="1"/>
    <s v="Two year"/>
    <n v="54"/>
    <x v="3"/>
    <n v="999"/>
    <n v="53946"/>
    <s v="Fiber"/>
    <d v="2021-04-07T00:00:00"/>
    <s v="Yes"/>
    <n v="1"/>
    <s v="No"/>
    <s v="No"/>
    <s v="No"/>
    <s v="No"/>
    <s v="No"/>
  </r>
  <r>
    <s v="C1408"/>
    <s v="Sachin Jain"/>
    <s v="Male"/>
    <n v="66"/>
    <x v="2"/>
    <x v="4"/>
    <s v="Month-to-month"/>
    <n v="20"/>
    <x v="0"/>
    <n v="1299"/>
    <n v="25980"/>
    <s v="Fiber"/>
    <d v="2024-01-13T00:00:00"/>
    <s v="No"/>
    <n v="0"/>
    <s v="No"/>
    <s v="No"/>
    <s v="No"/>
    <s v="No"/>
    <s v="No"/>
  </r>
  <r>
    <s v="C1409"/>
    <s v="Payal Tiwari"/>
    <s v="Female"/>
    <n v="41"/>
    <x v="3"/>
    <x v="6"/>
    <s v="Month-to-month"/>
    <n v="8"/>
    <x v="2"/>
    <n v="1099"/>
    <n v="8792"/>
    <s v="Fiber"/>
    <d v="2025-01-06T00:00:00"/>
    <s v="Yes"/>
    <n v="1"/>
    <s v="No"/>
    <s v="No"/>
    <s v="No"/>
    <s v="No"/>
    <s v="No"/>
  </r>
  <r>
    <s v="C1410"/>
    <s v="Vivek Singh"/>
    <s v="Male"/>
    <n v="34"/>
    <x v="0"/>
    <x v="7"/>
    <s v="One year"/>
    <n v="6"/>
    <x v="4"/>
    <n v="549"/>
    <n v="3294"/>
    <s v="No Internet"/>
    <d v="2025-03-26T00:00:00"/>
    <s v="No"/>
    <n v="0"/>
    <s v="No"/>
    <s v="No"/>
    <s v="No"/>
    <s v="No"/>
    <s v="No"/>
  </r>
  <r>
    <s v="C1411"/>
    <s v="Rahul Bose"/>
    <s v="Male"/>
    <n v="51"/>
    <x v="1"/>
    <x v="4"/>
    <s v="Month-to-month"/>
    <n v="7"/>
    <x v="2"/>
    <n v="1299"/>
    <n v="9093"/>
    <s v="Fiber"/>
    <d v="2025-02-27T00:00:00"/>
    <s v="Yes"/>
    <n v="1"/>
    <s v="No"/>
    <s v="Yes"/>
    <s v="No"/>
    <s v="No"/>
    <s v="No"/>
  </r>
  <r>
    <s v="C1412"/>
    <s v="Vivek Chopra"/>
    <s v="Male"/>
    <n v="55"/>
    <x v="1"/>
    <x v="5"/>
    <s v="Month-to-month"/>
    <n v="19"/>
    <x v="0"/>
    <n v="1149"/>
    <n v="21831"/>
    <s v="Fiber"/>
    <d v="2024-02-24T00:00:00"/>
    <s v="No"/>
    <n v="0"/>
    <s v="No"/>
    <s v="No"/>
    <s v="No"/>
    <s v="No"/>
    <s v="No"/>
  </r>
  <r>
    <s v="C1413"/>
    <s v="Vivek Mishra"/>
    <s v="Male"/>
    <n v="68"/>
    <x v="2"/>
    <x v="1"/>
    <s v="Month-to-month"/>
    <n v="18"/>
    <x v="0"/>
    <n v="1049"/>
    <n v="18882"/>
    <s v="Fiber"/>
    <d v="2024-03-13T00:00:00"/>
    <s v="No"/>
    <n v="0"/>
    <s v="No"/>
    <s v="No"/>
    <s v="No"/>
    <s v="No"/>
    <s v="No"/>
  </r>
  <r>
    <s v="C1414"/>
    <s v="Pooja Saxena"/>
    <s v="Female"/>
    <n v="25"/>
    <x v="4"/>
    <x v="14"/>
    <s v="Month-to-month"/>
    <n v="6"/>
    <x v="4"/>
    <n v="999"/>
    <n v="5994"/>
    <s v="Fiber"/>
    <d v="2025-03-22T00:00:00"/>
    <s v="Yes"/>
    <n v="1"/>
    <s v="No"/>
    <s v="No"/>
    <s v="No"/>
    <s v="Yes"/>
    <s v="No"/>
  </r>
  <r>
    <s v="C1415"/>
    <s v="Arjun Rao"/>
    <s v="Male"/>
    <n v="58"/>
    <x v="1"/>
    <x v="3"/>
    <s v="Two year"/>
    <n v="61"/>
    <x v="3"/>
    <n v="349"/>
    <n v="21289"/>
    <s v="No Internet"/>
    <d v="2020-09-17T00:00:00"/>
    <s v="Yes"/>
    <n v="1"/>
    <s v="No"/>
    <s v="No"/>
    <s v="No"/>
    <s v="No"/>
    <s v="No"/>
  </r>
  <r>
    <s v="C1416"/>
    <s v="Neha Yadav"/>
    <s v="Female"/>
    <n v="20"/>
    <x v="4"/>
    <x v="14"/>
    <s v="Month-to-month"/>
    <n v="20"/>
    <x v="0"/>
    <n v="449"/>
    <n v="8980"/>
    <s v="No Internet"/>
    <d v="2024-01-18T00:00:00"/>
    <s v="No"/>
    <n v="0"/>
    <s v="No"/>
    <s v="No"/>
    <s v="No"/>
    <s v="No"/>
    <s v="No"/>
  </r>
  <r>
    <s v="C1417"/>
    <s v="Arjun Chopra"/>
    <s v="Male"/>
    <n v="49"/>
    <x v="1"/>
    <x v="7"/>
    <s v="Month-to-month"/>
    <m/>
    <x v="4"/>
    <n v="349"/>
    <m/>
    <s v="No Internet"/>
    <m/>
    <s v="No"/>
    <n v="0"/>
    <s v="No"/>
    <s v="No"/>
    <s v="No"/>
    <s v="No"/>
    <s v="Total missing; Tenure missing; Date missing"/>
  </r>
  <r>
    <s v="C1418"/>
    <s v="Pankaj Gupta"/>
    <s v="Male"/>
    <n v="61"/>
    <x v="2"/>
    <x v="3"/>
    <s v="Month-to-month"/>
    <n v="6"/>
    <x v="4"/>
    <n v="1049"/>
    <n v="6294"/>
    <s v="Fiber"/>
    <d v="2025-03-20T00:00:00"/>
    <s v="Yes"/>
    <n v="1"/>
    <s v="No"/>
    <s v="No"/>
    <s v="No"/>
    <s v="No"/>
    <s v="No"/>
  </r>
  <r>
    <s v="C1419"/>
    <s v="Tanvi Mehta"/>
    <s v="Female"/>
    <n v="51"/>
    <x v="1"/>
    <x v="3"/>
    <s v="One year"/>
    <n v="6"/>
    <x v="4"/>
    <n v="799"/>
    <n v="4794"/>
    <s v="DSL"/>
    <d v="2025-03-21T00:00:00"/>
    <s v="No"/>
    <n v="0"/>
    <s v="No"/>
    <s v="No"/>
    <s v="No"/>
    <s v="No"/>
    <s v="No"/>
  </r>
  <r>
    <s v="C1420"/>
    <s v="Kavita Nair"/>
    <s v="Female"/>
    <n v="56"/>
    <x v="1"/>
    <x v="0"/>
    <s v="Month-to-month"/>
    <n v="1"/>
    <x v="4"/>
    <n v="999"/>
    <n v="999"/>
    <s v="Fiber"/>
    <d v="2025-08-12T00:00:00"/>
    <s v="Yes"/>
    <n v="1"/>
    <s v="No"/>
    <s v="No"/>
    <s v="No"/>
    <s v="No"/>
    <s v="No"/>
  </r>
  <r>
    <s v="C1421"/>
    <s v="Unknown"/>
    <s v="Male"/>
    <n v="39"/>
    <x v="3"/>
    <x v="4"/>
    <s v="Two year"/>
    <n v="69"/>
    <x v="3"/>
    <n v="549"/>
    <n v="37881"/>
    <s v="No Internet"/>
    <d v="2020-01-14T00:00:00"/>
    <s v="No"/>
    <n v="0"/>
    <s v="No"/>
    <s v="No"/>
    <s v="No"/>
    <s v="No"/>
    <s v="No"/>
  </r>
  <r>
    <s v="C1422"/>
    <s v="Tanvi Desai"/>
    <s v="Female"/>
    <n v="67"/>
    <x v="2"/>
    <x v="0"/>
    <s v="One year"/>
    <n v="30"/>
    <x v="1"/>
    <n v="549"/>
    <n v="16470"/>
    <s v="No Internet"/>
    <d v="2023-03-28T00:00:00"/>
    <s v="No"/>
    <n v="0"/>
    <s v="No"/>
    <s v="No"/>
    <s v="No"/>
    <s v="No"/>
    <s v="No"/>
  </r>
  <r>
    <s v="C1423"/>
    <s v="Suresh Kumar"/>
    <s v="Male"/>
    <n v="42"/>
    <x v="3"/>
    <x v="9"/>
    <s v="One year"/>
    <n v="15"/>
    <x v="0"/>
    <n v="899"/>
    <n v="13485"/>
    <s v="DSL"/>
    <d v="2024-06-19T00:00:00"/>
    <s v="No"/>
    <n v="0"/>
    <s v="No"/>
    <s v="No"/>
    <s v="No"/>
    <s v="No"/>
    <s v="No"/>
  </r>
  <r>
    <s v="C1424"/>
    <s v="Suresh Nair"/>
    <s v="Male"/>
    <n v="36"/>
    <x v="3"/>
    <x v="4"/>
    <s v="Month-to-month"/>
    <n v="11"/>
    <x v="2"/>
    <n v="1149"/>
    <n v="12639"/>
    <s v="Fiber"/>
    <d v="2024-10-22T00:00:00"/>
    <s v="No"/>
    <n v="0"/>
    <s v="No"/>
    <s v="No"/>
    <s v="No"/>
    <s v="No"/>
    <s v="No"/>
  </r>
  <r>
    <s v="C1425"/>
    <s v="Rajesh Malhotra"/>
    <s v="Male"/>
    <n v="29"/>
    <x v="0"/>
    <x v="14"/>
    <s v="One year"/>
    <n v="32"/>
    <x v="1"/>
    <n v="399"/>
    <n v="12768"/>
    <s v="No Internet"/>
    <d v="2023-01-15T00:00:00"/>
    <s v="No"/>
    <n v="0"/>
    <s v="No"/>
    <s v="No"/>
    <s v="No"/>
    <s v="No"/>
    <s v="No"/>
  </r>
  <r>
    <s v="C1426"/>
    <s v="Deepika Nair"/>
    <s v="Unknown"/>
    <n v="30"/>
    <x v="0"/>
    <x v="6"/>
    <s v="Month-to-month"/>
    <n v="5"/>
    <x v="4"/>
    <n v="899"/>
    <n v="4495"/>
    <s v="Fiber"/>
    <d v="2025-04-10T00:00:00"/>
    <s v="No"/>
    <n v="0"/>
    <s v="No"/>
    <s v="No"/>
    <s v="No"/>
    <s v="No"/>
    <s v="No"/>
  </r>
  <r>
    <s v="C1427"/>
    <s v="Riya Sharma"/>
    <s v="Female"/>
    <n v="66"/>
    <x v="2"/>
    <x v="6"/>
    <s v="Month-to-month"/>
    <n v="16"/>
    <x v="0"/>
    <n v="699"/>
    <n v="11184"/>
    <s v="DSL"/>
    <d v="2024-05-08T00:00:00"/>
    <s v="No"/>
    <n v="0"/>
    <s v="No"/>
    <s v="No"/>
    <s v="No"/>
    <s v="No"/>
    <s v="No"/>
  </r>
  <r>
    <s v="C1428"/>
    <s v="Komal Gupta"/>
    <s v="Female"/>
    <n v="66"/>
    <x v="2"/>
    <x v="1"/>
    <s v="Month-to-month"/>
    <n v="19"/>
    <x v="0"/>
    <n v="649"/>
    <n v="12331"/>
    <s v="DSL"/>
    <d v="2024-02-21T00:00:00"/>
    <s v="No"/>
    <n v="0"/>
    <s v="No"/>
    <s v="No"/>
    <s v="No"/>
    <s v="No"/>
    <s v="No"/>
  </r>
  <r>
    <s v="C1429"/>
    <s v="Mohit Patel"/>
    <s v="Male"/>
    <n v="43"/>
    <x v="3"/>
    <x v="6"/>
    <s v="One year"/>
    <n v="8"/>
    <x v="2"/>
    <n v="849"/>
    <n v="6792"/>
    <s v="DSL"/>
    <d v="2025-01-31T00:00:00"/>
    <s v="No"/>
    <n v="0"/>
    <s v="No"/>
    <s v="No"/>
    <s v="No"/>
    <s v="No"/>
    <s v="No"/>
  </r>
  <r>
    <s v="C1430"/>
    <s v="Sanjay Rao"/>
    <s v="Male"/>
    <n v="55"/>
    <x v="1"/>
    <x v="4"/>
    <s v="Month-to-month"/>
    <n v="9"/>
    <x v="2"/>
    <n v="1149"/>
    <n v="10341"/>
    <s v="Fiber"/>
    <d v="2024-12-17T00:00:00"/>
    <s v="Yes"/>
    <n v="1"/>
    <s v="No"/>
    <s v="No"/>
    <s v="No"/>
    <s v="No"/>
    <s v="No"/>
  </r>
  <r>
    <s v="C1431"/>
    <s v="Isha Gupta"/>
    <s v="Female"/>
    <n v="49"/>
    <x v="1"/>
    <x v="12"/>
    <s v="Month-to-month"/>
    <n v="12"/>
    <x v="2"/>
    <n v="1299"/>
    <n v="15588"/>
    <s v="Fiber"/>
    <d v="2024-09-28T00:00:00"/>
    <s v="Yes"/>
    <n v="1"/>
    <s v="No"/>
    <s v="No"/>
    <s v="No"/>
    <s v="No"/>
    <s v="No"/>
  </r>
  <r>
    <s v="C1432"/>
    <s v="Rajesh Saxena"/>
    <s v="Male"/>
    <n v="32"/>
    <x v="0"/>
    <x v="6"/>
    <s v="Month-to-month"/>
    <n v="8"/>
    <x v="2"/>
    <n v="799"/>
    <n v="6392"/>
    <s v="DSL"/>
    <d v="2025-01-06T00:00:00"/>
    <s v="Yes"/>
    <n v="1"/>
    <s v="No"/>
    <s v="No"/>
    <s v="No"/>
    <s v="No"/>
    <s v="No"/>
  </r>
  <r>
    <s v="C1433"/>
    <s v="Gaurav Sharma"/>
    <s v="Male"/>
    <n v="29"/>
    <x v="0"/>
    <x v="12"/>
    <s v="Month-to-month"/>
    <n v="21"/>
    <x v="0"/>
    <n v="449"/>
    <n v="9429"/>
    <s v="No Internet"/>
    <d v="2023-12-29T00:00:00"/>
    <s v="No"/>
    <n v="0"/>
    <s v="No"/>
    <s v="No"/>
    <s v="No"/>
    <s v="No"/>
    <s v="No"/>
  </r>
  <r>
    <s v="C1434"/>
    <s v="Sonal Bose"/>
    <s v="Female"/>
    <n v="21"/>
    <x v="4"/>
    <x v="12"/>
    <s v="Month-to-month"/>
    <n v="7"/>
    <x v="2"/>
    <n v="899"/>
    <n v="6293"/>
    <s v="DSL"/>
    <d v="2025-02-27T00:00:00"/>
    <s v="No"/>
    <n v="0"/>
    <s v="No"/>
    <s v="No"/>
    <s v="No"/>
    <s v="Yes"/>
    <s v="No"/>
  </r>
  <r>
    <s v="C1435"/>
    <s v="Swati Malhotra"/>
    <s v="Female"/>
    <n v="41"/>
    <x v="3"/>
    <x v="2"/>
    <s v="One year"/>
    <n v="17"/>
    <x v="0"/>
    <n v="499"/>
    <n v="8483"/>
    <s v="No Internet"/>
    <d v="2024-04-09T00:00:00"/>
    <s v="Yes"/>
    <n v="1"/>
    <s v="No"/>
    <s v="No"/>
    <s v="No"/>
    <s v="Yes"/>
    <s v="No"/>
  </r>
  <r>
    <s v="C1436"/>
    <s v="Rajesh Bose"/>
    <s v="Male"/>
    <n v="59"/>
    <x v="1"/>
    <x v="9"/>
    <s v="Month-to-month"/>
    <n v="10"/>
    <x v="2"/>
    <n v="549"/>
    <n v="5490"/>
    <s v="No Internet"/>
    <d v="2024-11-09T00:00:00"/>
    <s v="No"/>
    <n v="0"/>
    <s v="No"/>
    <s v="No"/>
    <s v="No"/>
    <s v="No"/>
    <s v="No"/>
  </r>
  <r>
    <s v="C1437"/>
    <s v="Neha Rao"/>
    <s v="Female"/>
    <n v="57"/>
    <x v="1"/>
    <x v="5"/>
    <s v="Month-to-month"/>
    <n v="6"/>
    <x v="4"/>
    <n v="449"/>
    <n v="2694"/>
    <s v="No Internet"/>
    <d v="2025-03-13T00:00:00"/>
    <s v="No"/>
    <n v="0"/>
    <s v="No"/>
    <s v="No"/>
    <s v="No"/>
    <s v="No"/>
    <s v="No"/>
  </r>
  <r>
    <s v="C1438"/>
    <s v="Neha Kumar"/>
    <s v="Unknown"/>
    <n v="28"/>
    <x v="0"/>
    <x v="2"/>
    <s v="Month-to-month"/>
    <n v="10"/>
    <x v="2"/>
    <n v="849"/>
    <n v="8490"/>
    <s v="DSL"/>
    <d v="2024-11-24T00:00:00"/>
    <s v="No"/>
    <n v="0"/>
    <s v="No"/>
    <s v="No"/>
    <s v="No"/>
    <s v="Yes"/>
    <s v="No"/>
  </r>
  <r>
    <s v="C1439"/>
    <s v="Isha Agarwal"/>
    <s v="Female"/>
    <n v="55"/>
    <x v="1"/>
    <x v="1"/>
    <s v="Two year"/>
    <n v="24"/>
    <x v="0"/>
    <n v="899"/>
    <n v="21576"/>
    <s v="Fiber"/>
    <d v="2023-09-18T00:00:00"/>
    <s v="No"/>
    <n v="0"/>
    <s v="No"/>
    <s v="No"/>
    <s v="No"/>
    <s v="No"/>
    <s v="No"/>
  </r>
  <r>
    <s v="C1440"/>
    <s v="Neha Mehta"/>
    <s v="Female"/>
    <n v="28"/>
    <x v="0"/>
    <x v="12"/>
    <s v="Month-to-month"/>
    <n v="16"/>
    <x v="0"/>
    <n v="799"/>
    <n v="12784"/>
    <s v="DSL"/>
    <d v="2024-05-20T00:00:00"/>
    <s v="No"/>
    <n v="0"/>
    <s v="No"/>
    <s v="No"/>
    <s v="No"/>
    <s v="No"/>
    <s v="No"/>
  </r>
  <r>
    <s v="C1441"/>
    <s v="Karan Malhotra"/>
    <s v="Male"/>
    <n v="57"/>
    <x v="1"/>
    <x v="8"/>
    <s v="Month-to-month"/>
    <n v="13"/>
    <x v="0"/>
    <n v="399"/>
    <n v="5187"/>
    <s v="No Internet"/>
    <d v="2024-08-20T00:00:00"/>
    <s v="No"/>
    <n v="0"/>
    <s v="No"/>
    <s v="No"/>
    <s v="No"/>
    <s v="Yes"/>
    <s v="No"/>
  </r>
  <r>
    <s v="C1442"/>
    <s v="Rohit Jain"/>
    <s v="Male"/>
    <n v="71"/>
    <x v="2"/>
    <x v="8"/>
    <s v="Month-to-month"/>
    <n v="11"/>
    <x v="2"/>
    <n v="1099"/>
    <n v="12089"/>
    <s v="Fiber"/>
    <d v="2024-10-16T00:00:00"/>
    <s v="No"/>
    <n v="0"/>
    <s v="No"/>
    <s v="No"/>
    <s v="No"/>
    <s v="No"/>
    <s v="No"/>
  </r>
  <r>
    <s v="C1443"/>
    <s v="Sonal Kapoor"/>
    <s v="Female"/>
    <n v="26"/>
    <x v="0"/>
    <x v="14"/>
    <s v="Month-to-month"/>
    <n v="15"/>
    <x v="0"/>
    <n v="1199"/>
    <n v="17985"/>
    <s v="Fiber"/>
    <d v="2024-06-15T00:00:00"/>
    <s v="Yes"/>
    <n v="1"/>
    <s v="No"/>
    <s v="No"/>
    <s v="No"/>
    <s v="No"/>
    <s v="No"/>
  </r>
  <r>
    <s v="C1444"/>
    <s v="Isha Desai"/>
    <s v="Female"/>
    <n v="52"/>
    <x v="1"/>
    <x v="0"/>
    <s v="Two year"/>
    <m/>
    <x v="4"/>
    <n v="1049"/>
    <m/>
    <s v="Fiber"/>
    <d v="2021-11-18T00:00:00"/>
    <s v="No"/>
    <n v="0"/>
    <s v="No"/>
    <s v="No"/>
    <s v="No"/>
    <s v="No"/>
    <s v="Total missing; Tenure missing"/>
  </r>
  <r>
    <s v="C1445"/>
    <s v="Aman Iyer"/>
    <s v="Male"/>
    <n v="48"/>
    <x v="1"/>
    <x v="1"/>
    <s v="Month-to-month"/>
    <n v="16"/>
    <x v="0"/>
    <n v="499"/>
    <n v="7984"/>
    <s v="No Internet"/>
    <d v="2024-05-17T00:00:00"/>
    <s v="No"/>
    <n v="0"/>
    <s v="No"/>
    <s v="No"/>
    <s v="No"/>
    <s v="No"/>
    <s v="No"/>
  </r>
  <r>
    <s v="C1446"/>
    <s v="Rahul Mishra"/>
    <s v="Unknown"/>
    <n v="47"/>
    <x v="1"/>
    <x v="0"/>
    <s v="Month-to-month"/>
    <n v="13"/>
    <x v="0"/>
    <n v="999"/>
    <n v="12987"/>
    <s v="Fiber"/>
    <d v="2024-08-27T00:00:00"/>
    <s v="No"/>
    <n v="0"/>
    <s v="Yes"/>
    <s v="No"/>
    <s v="No"/>
    <s v="No"/>
    <s v="No"/>
  </r>
  <r>
    <s v="C1447"/>
    <s v="Neha Tiwari"/>
    <s v="Female"/>
    <n v="58"/>
    <x v="1"/>
    <x v="10"/>
    <s v="Month-to-month"/>
    <n v="20"/>
    <x v="0"/>
    <n v="1199"/>
    <n v="23980"/>
    <s v="Fiber"/>
    <d v="2024-01-14T00:00:00"/>
    <s v="Yes"/>
    <n v="1"/>
    <s v="No"/>
    <s v="No"/>
    <s v="No"/>
    <s v="Yes"/>
    <s v="No"/>
  </r>
  <r>
    <s v="C1448"/>
    <s v="Nisha Mehta"/>
    <s v="Female"/>
    <n v="72"/>
    <x v="2"/>
    <x v="4"/>
    <s v="Month-to-month"/>
    <n v="21"/>
    <x v="0"/>
    <n v="749"/>
    <n v="15729"/>
    <s v="DSL"/>
    <d v="2023-12-19T00:00:00"/>
    <s v="Yes"/>
    <n v="1"/>
    <s v="No"/>
    <s v="No"/>
    <s v="No"/>
    <s v="No"/>
    <s v="No"/>
  </r>
  <r>
    <s v="C1449"/>
    <s v="Deepika Joshi"/>
    <s v="Female"/>
    <n v="19"/>
    <x v="4"/>
    <x v="8"/>
    <s v="Month-to-month"/>
    <n v="6"/>
    <x v="4"/>
    <n v="1049"/>
    <n v="6294"/>
    <s v="Fiber"/>
    <d v="2025-03-18T00:00:00"/>
    <s v="Yes"/>
    <n v="1"/>
    <s v="No"/>
    <s v="No"/>
    <s v="No"/>
    <s v="No"/>
    <s v="No"/>
  </r>
  <r>
    <s v="C1450"/>
    <s v="Manish Kumar"/>
    <s v="Male"/>
    <n v="27"/>
    <x v="0"/>
    <x v="3"/>
    <s v="Month-to-month"/>
    <n v="10"/>
    <x v="2"/>
    <n v="899"/>
    <n v="8990"/>
    <s v="DSL"/>
    <d v="2024-11-18T00:00:00"/>
    <s v="No"/>
    <n v="0"/>
    <s v="No"/>
    <s v="No"/>
    <s v="No"/>
    <s v="No"/>
    <s v="No"/>
  </r>
  <r>
    <s v="C1451"/>
    <s v="Nikhil Kumar"/>
    <s v="Male"/>
    <n v="71"/>
    <x v="2"/>
    <x v="13"/>
    <s v="Two year"/>
    <n v="51"/>
    <x v="3"/>
    <n v="599"/>
    <n v="30549"/>
    <s v="DSL"/>
    <d v="2021-06-23T00:00:00"/>
    <s v="No"/>
    <n v="0"/>
    <s v="No"/>
    <s v="No"/>
    <s v="No"/>
    <s v="No"/>
    <s v="No"/>
  </r>
  <r>
    <s v="C1452"/>
    <s v="Divya Sharma"/>
    <s v="Unknown"/>
    <n v="25"/>
    <x v="4"/>
    <x v="13"/>
    <s v="One year"/>
    <n v="29"/>
    <x v="1"/>
    <n v="1199"/>
    <n v="34771"/>
    <s v="Unknown"/>
    <d v="2023-04-19T00:00:00"/>
    <s v="Yes"/>
    <n v="1"/>
    <s v="No"/>
    <s v="No"/>
    <s v="No"/>
    <s v="No"/>
    <s v="No"/>
  </r>
  <r>
    <s v="C1453"/>
    <s v="Mohit Saxena"/>
    <s v="Male"/>
    <n v="31"/>
    <x v="0"/>
    <x v="7"/>
    <s v="Month-to-month"/>
    <n v="11"/>
    <x v="2"/>
    <n v="349"/>
    <n v="3839"/>
    <s v="No Internet"/>
    <m/>
    <s v="No"/>
    <n v="0"/>
    <s v="No"/>
    <s v="Yes"/>
    <s v="No"/>
    <s v="No"/>
    <s v="Date missing"/>
  </r>
  <r>
    <s v="C1454"/>
    <s v="Suresh Desai"/>
    <s v="Male"/>
    <n v="58"/>
    <x v="1"/>
    <x v="5"/>
    <s v="Month-to-month"/>
    <n v="22"/>
    <x v="0"/>
    <n v="399"/>
    <n v="8778"/>
    <s v="No Internet"/>
    <d v="2023-11-28T00:00:00"/>
    <s v="No"/>
    <n v="0"/>
    <s v="No"/>
    <s v="No"/>
    <s v="No"/>
    <s v="No"/>
    <s v="No"/>
  </r>
  <r>
    <s v="C1455"/>
    <s v="Arjun Malhotra"/>
    <s v="Male"/>
    <n v="55"/>
    <x v="1"/>
    <x v="4"/>
    <s v="Month-to-month"/>
    <n v="2"/>
    <x v="4"/>
    <n v="799"/>
    <n v="1598"/>
    <s v="DSL"/>
    <d v="2025-07-26T00:00:00"/>
    <s v="No"/>
    <n v="0"/>
    <s v="No"/>
    <s v="No"/>
    <s v="No"/>
    <s v="No"/>
    <s v="No"/>
  </r>
  <r>
    <s v="C1456"/>
    <s v="Neha Nair"/>
    <s v="Female"/>
    <n v="28"/>
    <x v="0"/>
    <x v="7"/>
    <s v="Month-to-month"/>
    <n v="21"/>
    <x v="0"/>
    <n v="899"/>
    <n v="18879"/>
    <s v="Fiber"/>
    <d v="2023-12-16T00:00:00"/>
    <s v="No"/>
    <n v="0"/>
    <s v="No"/>
    <s v="No"/>
    <s v="No"/>
    <s v="No"/>
    <s v="No"/>
  </r>
  <r>
    <s v="C1457"/>
    <s v="Rohit Desai"/>
    <s v="Male"/>
    <n v="32"/>
    <x v="0"/>
    <x v="2"/>
    <s v="Two year"/>
    <n v="45"/>
    <x v="1"/>
    <n v="1099"/>
    <n v="49455"/>
    <s v="Fiber"/>
    <d v="2022-01-05T00:00:00"/>
    <s v="Yes"/>
    <n v="1"/>
    <s v="No"/>
    <s v="No"/>
    <s v="No"/>
    <s v="No"/>
    <s v="No"/>
  </r>
  <r>
    <s v="C1458"/>
    <s v="Pooja Malhotra"/>
    <s v="Female"/>
    <n v="75"/>
    <x v="2"/>
    <x v="3"/>
    <s v="Month-to-month"/>
    <n v="10"/>
    <x v="2"/>
    <n v="1199"/>
    <n v="11990"/>
    <s v="Fiber"/>
    <d v="2024-11-27T00:00:00"/>
    <s v="Yes"/>
    <n v="1"/>
    <s v="No"/>
    <s v="No"/>
    <s v="No"/>
    <s v="Yes"/>
    <s v="No"/>
  </r>
  <r>
    <s v="C1459"/>
    <s v="Swati Agarwal"/>
    <s v="Female"/>
    <n v="47"/>
    <x v="1"/>
    <x v="5"/>
    <s v="Two year"/>
    <n v="71"/>
    <x v="3"/>
    <n v="899"/>
    <n v="63829"/>
    <s v="Fiber"/>
    <d v="2019-11-20T00:00:00"/>
    <s v="No"/>
    <n v="0"/>
    <s v="No"/>
    <s v="Yes"/>
    <s v="No"/>
    <s v="No"/>
    <s v="No"/>
  </r>
  <r>
    <s v="C1460"/>
    <s v="Sonal Patel"/>
    <s v="Female"/>
    <n v="47"/>
    <x v="1"/>
    <x v="3"/>
    <s v="One year"/>
    <n v="12"/>
    <x v="2"/>
    <n v="1149"/>
    <n v="13788"/>
    <s v="Fiber"/>
    <m/>
    <s v="No"/>
    <n v="0"/>
    <s v="No"/>
    <s v="No"/>
    <s v="No"/>
    <s v="No"/>
    <s v="Date missing"/>
  </r>
  <r>
    <s v="C1461"/>
    <s v="Neha Saxena"/>
    <s v="Female"/>
    <n v="52"/>
    <x v="1"/>
    <x v="6"/>
    <s v="Month-to-month"/>
    <n v="16"/>
    <x v="0"/>
    <n v="1149"/>
    <n v="18384"/>
    <s v="Fiber"/>
    <d v="2024-05-26T00:00:00"/>
    <s v="No"/>
    <n v="0"/>
    <s v="No"/>
    <s v="No"/>
    <s v="No"/>
    <s v="No"/>
    <s v="No"/>
  </r>
  <r>
    <s v="C1462"/>
    <s v="Swati Reddy"/>
    <s v="Female"/>
    <n v="24"/>
    <x v="4"/>
    <x v="1"/>
    <s v="One year"/>
    <n v="9"/>
    <x v="2"/>
    <n v="649"/>
    <n v="5841"/>
    <s v="DSL"/>
    <d v="2024-12-17T00:00:00"/>
    <s v="No"/>
    <n v="0"/>
    <s v="No"/>
    <s v="No"/>
    <s v="No"/>
    <s v="Yes"/>
    <s v="No"/>
  </r>
  <r>
    <s v="C1463"/>
    <s v="Karan Verma"/>
    <s v="Male"/>
    <n v="54"/>
    <x v="1"/>
    <x v="9"/>
    <s v="Two year"/>
    <n v="68"/>
    <x v="3"/>
    <n v="1199"/>
    <n v="81532"/>
    <s v="Fiber"/>
    <m/>
    <s v="No"/>
    <n v="0"/>
    <s v="No"/>
    <s v="No"/>
    <s v="No"/>
    <s v="Yes"/>
    <s v="Date missing"/>
  </r>
  <r>
    <s v="C1464"/>
    <s v="Pankaj Pandey"/>
    <s v="Male"/>
    <n v="22"/>
    <x v="4"/>
    <x v="3"/>
    <s v="Two year"/>
    <n v="63"/>
    <x v="3"/>
    <n v="899"/>
    <n v="56637"/>
    <s v="DSL"/>
    <d v="2020-07-25T00:00:00"/>
    <s v="No"/>
    <n v="0"/>
    <s v="No"/>
    <s v="No"/>
    <s v="No"/>
    <s v="No"/>
    <s v="No"/>
  </r>
  <r>
    <s v="C1465"/>
    <s v="Sonal Agarwal"/>
    <s v="Female"/>
    <n v="74"/>
    <x v="2"/>
    <x v="12"/>
    <s v="Two year"/>
    <n v="8"/>
    <x v="2"/>
    <n v="1149"/>
    <n v="9192"/>
    <s v="Unknown"/>
    <d v="2025-01-08T00:00:00"/>
    <s v="No"/>
    <n v="0"/>
    <s v="No"/>
    <s v="No"/>
    <s v="No"/>
    <s v="No"/>
    <s v="No"/>
  </r>
  <r>
    <s v="C1466"/>
    <s v="Harsh Kumar"/>
    <s v="Male"/>
    <n v="31"/>
    <x v="0"/>
    <x v="1"/>
    <s v="Month-to-month"/>
    <n v="18"/>
    <x v="0"/>
    <n v="999"/>
    <n v="17982"/>
    <s v="Fiber"/>
    <d v="2024-03-30T00:00:00"/>
    <s v="No"/>
    <n v="0"/>
    <s v="No"/>
    <s v="No"/>
    <s v="No"/>
    <s v="No"/>
    <s v="No"/>
  </r>
  <r>
    <s v="C1467"/>
    <s v="Sachin Agarwal"/>
    <s v="Male"/>
    <n v="53"/>
    <x v="1"/>
    <x v="12"/>
    <s v="One year"/>
    <n v="37"/>
    <x v="1"/>
    <n v="1199"/>
    <n v="44363"/>
    <s v="Fiber"/>
    <d v="2022-09-01T00:00:00"/>
    <s v="No"/>
    <n v="0"/>
    <s v="No"/>
    <s v="No"/>
    <s v="No"/>
    <s v="Yes"/>
    <s v="No"/>
  </r>
  <r>
    <s v="C1468"/>
    <s v="Arjun Gupta"/>
    <s v="Male"/>
    <n v="53"/>
    <x v="1"/>
    <x v="12"/>
    <s v="Month-to-month"/>
    <n v="18"/>
    <x v="0"/>
    <n v="1099"/>
    <n v="19782"/>
    <s v="Fiber"/>
    <d v="2024-03-20T00:00:00"/>
    <s v="No"/>
    <n v="0"/>
    <s v="No"/>
    <s v="No"/>
    <s v="No"/>
    <s v="No"/>
    <s v="No"/>
  </r>
  <r>
    <s v="C1469"/>
    <s v="Isha Tiwari"/>
    <s v="Female"/>
    <n v="66"/>
    <x v="2"/>
    <x v="9"/>
    <s v="Month-to-month"/>
    <n v="20"/>
    <x v="0"/>
    <n v="1149"/>
    <n v="22980"/>
    <s v="Fiber"/>
    <d v="2024-01-13T00:00:00"/>
    <s v="Yes"/>
    <n v="1"/>
    <s v="No"/>
    <s v="No"/>
    <s v="No"/>
    <s v="No"/>
    <s v="No"/>
  </r>
  <r>
    <s v="C1470"/>
    <s v="Isha Kapoor"/>
    <s v="Female"/>
    <n v="46"/>
    <x v="1"/>
    <x v="12"/>
    <s v="Month-to-month"/>
    <n v="10"/>
    <x v="2"/>
    <n v="799"/>
    <n v="7990"/>
    <s v="DSL"/>
    <d v="2024-11-04T00:00:00"/>
    <s v="Yes"/>
    <n v="1"/>
    <s v="No"/>
    <s v="No"/>
    <s v="No"/>
    <s v="No"/>
    <s v="No"/>
  </r>
  <r>
    <s v="C1471"/>
    <s v="Priya Iyer"/>
    <s v="Female"/>
    <n v="47"/>
    <x v="1"/>
    <x v="0"/>
    <s v="Two year"/>
    <n v="36"/>
    <x v="1"/>
    <n v="799"/>
    <n v="28764"/>
    <s v="DSL"/>
    <d v="2022-09-26T00:00:00"/>
    <s v="No"/>
    <n v="0"/>
    <s v="Yes"/>
    <s v="No"/>
    <s v="No"/>
    <s v="No"/>
    <s v="No"/>
  </r>
  <r>
    <s v="C1472"/>
    <s v="Karan Verma"/>
    <s v="Male"/>
    <n v="47"/>
    <x v="1"/>
    <x v="2"/>
    <s v="Month-to-month"/>
    <n v="19"/>
    <x v="0"/>
    <n v="649"/>
    <n v="12331"/>
    <s v="DSL"/>
    <d v="2024-03-05T00:00:00"/>
    <s v="No"/>
    <n v="0"/>
    <s v="No"/>
    <s v="No"/>
    <s v="No"/>
    <s v="No"/>
    <s v="No"/>
  </r>
  <r>
    <s v="C1473"/>
    <s v="Tanvi Mehta"/>
    <s v="Female"/>
    <n v="64"/>
    <x v="2"/>
    <x v="4"/>
    <s v="One year"/>
    <n v="12"/>
    <x v="2"/>
    <n v="1299"/>
    <n v="15588"/>
    <s v="Fiber"/>
    <d v="2024-09-30T00:00:00"/>
    <s v="No"/>
    <n v="0"/>
    <s v="No"/>
    <s v="No"/>
    <s v="No"/>
    <s v="No"/>
    <s v="No"/>
  </r>
  <r>
    <s v="C1474"/>
    <s v="Sneha Agarwal"/>
    <s v="Female"/>
    <n v="69"/>
    <x v="2"/>
    <x v="11"/>
    <s v="Month-to-month"/>
    <n v="11"/>
    <x v="2"/>
    <n v="1299"/>
    <n v="14289"/>
    <s v="Fiber"/>
    <d v="2024-10-06T00:00:00"/>
    <s v="Yes"/>
    <n v="1"/>
    <s v="No"/>
    <s v="No"/>
    <s v="Yes"/>
    <s v="No"/>
    <s v="No"/>
  </r>
  <r>
    <s v="C1475"/>
    <s v="Manish Agarwal"/>
    <s v="Male"/>
    <n v="59"/>
    <x v="1"/>
    <x v="6"/>
    <s v="One year"/>
    <n v="25"/>
    <x v="1"/>
    <n v="599"/>
    <n v="14975"/>
    <s v="DSL"/>
    <d v="2023-08-23T00:00:00"/>
    <s v="Yes"/>
    <n v="1"/>
    <s v="No"/>
    <s v="No"/>
    <s v="No"/>
    <s v="No"/>
    <s v="No"/>
  </r>
  <r>
    <s v="C1476"/>
    <s v="Nikhil Jain"/>
    <s v="Male"/>
    <n v="62"/>
    <x v="2"/>
    <x v="0"/>
    <s v="Month-to-month"/>
    <n v="13"/>
    <x v="0"/>
    <n v="1299"/>
    <n v="16887"/>
    <s v="Fiber"/>
    <d v="2024-09-01T00:00:00"/>
    <s v="No"/>
    <n v="0"/>
    <s v="No"/>
    <s v="No"/>
    <s v="No"/>
    <s v="No"/>
    <s v="No"/>
  </r>
  <r>
    <s v="C1477"/>
    <s v="Vivek Iyer"/>
    <s v="Male"/>
    <n v="68"/>
    <x v="2"/>
    <x v="12"/>
    <s v="Month-to-month"/>
    <n v="16"/>
    <x v="0"/>
    <n v="799"/>
    <n v="12784"/>
    <s v="DSL"/>
    <d v="2024-05-28T00:00:00"/>
    <s v="No"/>
    <n v="0"/>
    <s v="No"/>
    <s v="No"/>
    <s v="No"/>
    <s v="No"/>
    <s v="No"/>
  </r>
  <r>
    <s v="C1478"/>
    <s v="Deepak Jain"/>
    <s v="Male"/>
    <n v="45"/>
    <x v="3"/>
    <x v="13"/>
    <s v="One year"/>
    <n v="31"/>
    <x v="1"/>
    <n v="999"/>
    <n v="30969"/>
    <s v="Fiber"/>
    <d v="2023-02-23T00:00:00"/>
    <s v="No"/>
    <n v="0"/>
    <s v="No"/>
    <s v="No"/>
    <s v="No"/>
    <s v="No"/>
    <s v="No"/>
  </r>
  <r>
    <s v="C1479"/>
    <s v="Sachin Yadav"/>
    <s v="Male"/>
    <n v="65"/>
    <x v="2"/>
    <x v="1"/>
    <s v="Month-to-month"/>
    <n v="14"/>
    <x v="0"/>
    <n v="699"/>
    <n v="9786"/>
    <s v="DSL"/>
    <d v="2024-07-14T00:00:00"/>
    <s v="Yes"/>
    <n v="1"/>
    <s v="No"/>
    <s v="No"/>
    <s v="No"/>
    <s v="No"/>
    <s v="No"/>
  </r>
  <r>
    <s v="C1480"/>
    <s v="Nisha Patel"/>
    <s v="Female"/>
    <n v="40"/>
    <x v="3"/>
    <x v="0"/>
    <s v="Month-to-month"/>
    <n v="1"/>
    <x v="4"/>
    <n v="1049"/>
    <n v="1049"/>
    <s v="Fiber"/>
    <d v="2025-08-10T00:00:00"/>
    <s v="No"/>
    <n v="0"/>
    <s v="No"/>
    <s v="No"/>
    <s v="No"/>
    <s v="No"/>
    <s v="No"/>
  </r>
  <r>
    <s v="C1481"/>
    <s v="Riya Singh"/>
    <s v="Female"/>
    <n v="46"/>
    <x v="1"/>
    <x v="3"/>
    <s v="Two year"/>
    <n v="48"/>
    <x v="1"/>
    <n v="649"/>
    <n v="31152"/>
    <s v="DSL"/>
    <d v="2021-10-18T00:00:00"/>
    <s v="No"/>
    <n v="0"/>
    <s v="No"/>
    <s v="No"/>
    <s v="No"/>
    <s v="No"/>
    <s v="No"/>
  </r>
  <r>
    <s v="C1482"/>
    <s v="Pankaj Singh"/>
    <s v="Male"/>
    <n v="73"/>
    <x v="2"/>
    <x v="6"/>
    <s v="Two year"/>
    <n v="15"/>
    <x v="0"/>
    <n v="699"/>
    <n v="10485"/>
    <s v="DSL"/>
    <d v="2024-06-29T00:00:00"/>
    <s v="Yes"/>
    <n v="1"/>
    <s v="No"/>
    <s v="Yes"/>
    <s v="No"/>
    <s v="No"/>
    <s v="No"/>
  </r>
  <r>
    <s v="C1483"/>
    <s v="Sanjay Mishra"/>
    <s v="Male"/>
    <n v="51"/>
    <x v="1"/>
    <x v="13"/>
    <s v="Month-to-month"/>
    <n v="24"/>
    <x v="0"/>
    <n v="1199"/>
    <n v="28776"/>
    <s v="Fiber"/>
    <d v="2023-09-11T00:00:00"/>
    <s v="Yes"/>
    <n v="1"/>
    <s v="No"/>
    <s v="No"/>
    <s v="No"/>
    <s v="No"/>
    <s v="No"/>
  </r>
  <r>
    <s v="C1484"/>
    <s v="Suresh Gupta"/>
    <s v="Male"/>
    <n v="21"/>
    <x v="4"/>
    <x v="5"/>
    <s v="Month-to-month"/>
    <n v="9"/>
    <x v="2"/>
    <n v="1099"/>
    <n v="9891"/>
    <s v="Fiber"/>
    <d v="2024-12-11T00:00:00"/>
    <s v="Yes"/>
    <n v="1"/>
    <s v="No"/>
    <s v="No"/>
    <s v="No"/>
    <s v="No"/>
    <s v="No"/>
  </r>
  <r>
    <s v="C1485"/>
    <s v="Isha Reddy"/>
    <s v="Female"/>
    <n v="19"/>
    <x v="4"/>
    <x v="5"/>
    <s v="Two year"/>
    <n v="30"/>
    <x v="1"/>
    <m/>
    <m/>
    <s v="Fiber"/>
    <d v="2023-03-28T00:00:00"/>
    <s v="No"/>
    <n v="0"/>
    <s v="No"/>
    <s v="No"/>
    <s v="No"/>
    <s v="No"/>
    <s v="Monthly missing; Total missing"/>
  </r>
  <r>
    <s v="C1486"/>
    <s v="Arjun Mehta"/>
    <s v="Male"/>
    <n v="50"/>
    <x v="1"/>
    <x v="7"/>
    <s v="One year"/>
    <n v="3"/>
    <x v="4"/>
    <n v="1149"/>
    <n v="3447"/>
    <s v="Fiber"/>
    <d v="2025-06-18T00:00:00"/>
    <s v="Yes"/>
    <n v="1"/>
    <s v="No"/>
    <s v="No"/>
    <s v="No"/>
    <s v="No"/>
    <s v="No"/>
  </r>
  <r>
    <s v="C1487"/>
    <s v="Rahul Patel"/>
    <s v="Male"/>
    <n v="61"/>
    <x v="2"/>
    <x v="2"/>
    <s v="Month-to-month"/>
    <n v="17"/>
    <x v="0"/>
    <n v="699"/>
    <n v="11883"/>
    <s v="DSL"/>
    <d v="2024-04-08T00:00:00"/>
    <s v="No"/>
    <n v="0"/>
    <s v="No"/>
    <s v="No"/>
    <s v="No"/>
    <s v="No"/>
    <s v="No"/>
  </r>
  <r>
    <s v="C1488"/>
    <s v="Priya Mishra"/>
    <s v="Female"/>
    <n v="35"/>
    <x v="0"/>
    <x v="0"/>
    <s v="Month-to-month"/>
    <n v="22"/>
    <x v="0"/>
    <n v="499"/>
    <n v="10978"/>
    <s v="No Internet"/>
    <d v="2023-11-17T00:00:00"/>
    <s v="No"/>
    <n v="0"/>
    <s v="No"/>
    <s v="No"/>
    <s v="No"/>
    <s v="Yes"/>
    <s v="No"/>
  </r>
  <r>
    <s v="C1489"/>
    <s v="Vivek Nair"/>
    <s v="Male"/>
    <n v="54"/>
    <x v="1"/>
    <x v="8"/>
    <s v="Month-to-month"/>
    <n v="20"/>
    <x v="0"/>
    <n v="699"/>
    <n v="13980"/>
    <s v="DSL"/>
    <d v="2024-01-17T00:00:00"/>
    <s v="Yes"/>
    <n v="1"/>
    <s v="No"/>
    <s v="No"/>
    <s v="No"/>
    <s v="Yes"/>
    <s v="No"/>
  </r>
  <r>
    <s v="C1490"/>
    <s v="Rajesh Mishra"/>
    <s v="Male"/>
    <n v="47"/>
    <x v="1"/>
    <x v="13"/>
    <s v="Month-to-month"/>
    <n v="23"/>
    <x v="0"/>
    <n v="849"/>
    <n v="19527"/>
    <s v="DSL"/>
    <d v="2023-10-10T00:00:00"/>
    <s v="No"/>
    <n v="0"/>
    <s v="Yes"/>
    <s v="No"/>
    <s v="No"/>
    <s v="No"/>
    <s v="No"/>
  </r>
  <r>
    <s v="C1491"/>
    <s v="Rajesh Gupta"/>
    <s v="Male"/>
    <n v="38"/>
    <x v="3"/>
    <x v="4"/>
    <s v="One year"/>
    <n v="8"/>
    <x v="2"/>
    <n v="399"/>
    <n v="3192"/>
    <s v="No Internet"/>
    <d v="2025-01-07T00:00:00"/>
    <s v="No"/>
    <n v="0"/>
    <s v="No"/>
    <s v="No"/>
    <s v="No"/>
    <s v="No"/>
    <s v="No"/>
  </r>
  <r>
    <s v="C1492"/>
    <s v="Nisha Tiwari"/>
    <s v="Female"/>
    <n v="37"/>
    <x v="3"/>
    <x v="7"/>
    <s v="One year"/>
    <n v="18"/>
    <x v="0"/>
    <n v="399"/>
    <n v="7182"/>
    <s v="No Internet"/>
    <d v="2024-04-01T00:00:00"/>
    <s v="Yes"/>
    <n v="1"/>
    <s v="No"/>
    <s v="No"/>
    <s v="No"/>
    <s v="No"/>
    <s v="No"/>
  </r>
  <r>
    <s v="C1493"/>
    <s v="Pankaj Yadav"/>
    <s v="Male"/>
    <n v="35"/>
    <x v="0"/>
    <x v="11"/>
    <s v="One year"/>
    <n v="15"/>
    <x v="0"/>
    <n v="649"/>
    <n v="9735"/>
    <s v="DSL"/>
    <d v="2024-06-13T00:00:00"/>
    <s v="No"/>
    <n v="0"/>
    <s v="No"/>
    <s v="No"/>
    <s v="No"/>
    <s v="No"/>
    <s v="No"/>
  </r>
  <r>
    <s v="C1494"/>
    <s v="Pooja Jain"/>
    <s v="Female"/>
    <n v="72"/>
    <x v="2"/>
    <x v="11"/>
    <s v="Month-to-month"/>
    <n v="6"/>
    <x v="4"/>
    <n v="1099"/>
    <n v="6594"/>
    <s v="Unknown"/>
    <d v="2025-03-27T00:00:00"/>
    <s v="No"/>
    <n v="0"/>
    <s v="No"/>
    <s v="No"/>
    <s v="No"/>
    <s v="No"/>
    <s v="No"/>
  </r>
  <r>
    <s v="C1495"/>
    <s v="Manish Verma"/>
    <s v="Male"/>
    <n v="44"/>
    <x v="3"/>
    <x v="13"/>
    <s v="Two year"/>
    <n v="53"/>
    <x v="3"/>
    <n v="399"/>
    <n v="21147"/>
    <s v="No Internet"/>
    <d v="2021-05-20T00:00:00"/>
    <s v="No"/>
    <n v="0"/>
    <s v="No"/>
    <s v="No"/>
    <s v="No"/>
    <s v="No"/>
    <s v="No"/>
  </r>
  <r>
    <s v="C1496"/>
    <s v="Ankit Yadav"/>
    <s v="Male"/>
    <n v="49"/>
    <x v="1"/>
    <x v="14"/>
    <s v="Month-to-month"/>
    <n v="8"/>
    <x v="2"/>
    <n v="1099"/>
    <n v="8792"/>
    <s v="Fiber"/>
    <d v="2025-01-05T00:00:00"/>
    <s v="No"/>
    <n v="0"/>
    <s v="No"/>
    <s v="No"/>
    <s v="No"/>
    <s v="No"/>
    <s v="No"/>
  </r>
  <r>
    <s v="C1497"/>
    <s v="Swati Rao"/>
    <s v="Female"/>
    <n v="57"/>
    <x v="1"/>
    <x v="14"/>
    <s v="One year"/>
    <n v="3"/>
    <x v="4"/>
    <n v="899"/>
    <n v="2697"/>
    <s v="Fiber"/>
    <d v="2025-06-02T00:00:00"/>
    <s v="No"/>
    <n v="0"/>
    <s v="No"/>
    <s v="No"/>
    <s v="No"/>
    <s v="No"/>
    <s v="No"/>
  </r>
  <r>
    <s v="C1498"/>
    <s v="Manish Jain"/>
    <s v="Male"/>
    <n v="52"/>
    <x v="1"/>
    <x v="12"/>
    <s v="Two year"/>
    <n v="50"/>
    <x v="3"/>
    <n v="799"/>
    <n v="39950"/>
    <s v="DSL"/>
    <d v="2021-08-06T00:00:00"/>
    <s v="No"/>
    <n v="0"/>
    <s v="No"/>
    <s v="No"/>
    <s v="No"/>
    <s v="No"/>
    <s v="No"/>
  </r>
  <r>
    <s v="C1499"/>
    <s v="Aditi Iyer"/>
    <s v="Female"/>
    <n v="47"/>
    <x v="1"/>
    <x v="8"/>
    <s v="Month-to-month"/>
    <n v="2"/>
    <x v="4"/>
    <n v="1149"/>
    <n v="2298"/>
    <s v="Fiber"/>
    <d v="2025-07-10T00:00:00"/>
    <s v="Yes"/>
    <n v="1"/>
    <s v="No"/>
    <s v="No"/>
    <s v="No"/>
    <s v="No"/>
    <s v="No"/>
  </r>
  <r>
    <s v="C1500"/>
    <s v="Neha Agarwal"/>
    <s v="Female"/>
    <n v="50"/>
    <x v="1"/>
    <x v="4"/>
    <s v="Month-to-month"/>
    <n v="23"/>
    <x v="0"/>
    <n v="999"/>
    <n v="22977"/>
    <s v="Fiber"/>
    <d v="2023-10-25T00:00:00"/>
    <s v="Yes"/>
    <n v="1"/>
    <s v="No"/>
    <s v="No"/>
    <s v="No"/>
    <s v="No"/>
    <s v="No"/>
  </r>
  <r>
    <s v="C1501"/>
    <s v="Arjun Kapoor"/>
    <s v="Male"/>
    <n v="55"/>
    <x v="1"/>
    <x v="14"/>
    <s v="Two year"/>
    <n v="12"/>
    <x v="2"/>
    <n v="399"/>
    <n v="4788"/>
    <s v="No Internet"/>
    <d v="2024-09-30T00:00:00"/>
    <s v="No"/>
    <n v="0"/>
    <s v="No"/>
    <s v="No"/>
    <s v="No"/>
    <s v="No"/>
    <s v="No"/>
  </r>
  <r>
    <s v="C1502"/>
    <s v="Karan Pandey"/>
    <s v="Male"/>
    <n v="46"/>
    <x v="1"/>
    <x v="9"/>
    <s v="Month-to-month"/>
    <n v="13"/>
    <x v="0"/>
    <n v="1299"/>
    <n v="16887"/>
    <s v="Fiber"/>
    <d v="2024-08-29T00:00:00"/>
    <s v="No"/>
    <n v="0"/>
    <s v="No"/>
    <s v="No"/>
    <s v="No"/>
    <s v="No"/>
    <s v="No"/>
  </r>
  <r>
    <s v="C1503"/>
    <s v="Sonal Rao"/>
    <s v="Female"/>
    <n v="20"/>
    <x v="4"/>
    <x v="13"/>
    <s v="Month-to-month"/>
    <n v="22"/>
    <x v="0"/>
    <n v="899"/>
    <n v="19778"/>
    <s v="DSL"/>
    <d v="2023-12-03T00:00:00"/>
    <s v="No"/>
    <n v="0"/>
    <s v="No"/>
    <s v="No"/>
    <s v="No"/>
    <s v="No"/>
    <s v="No"/>
  </r>
  <r>
    <s v="C1504"/>
    <s v="Vivek Iyer"/>
    <s v="Male"/>
    <n v="37"/>
    <x v="3"/>
    <x v="14"/>
    <s v="One year"/>
    <n v="12"/>
    <x v="2"/>
    <n v="999"/>
    <n v="11988"/>
    <s v="Fiber"/>
    <d v="2024-09-09T00:00:00"/>
    <s v="Yes"/>
    <n v="1"/>
    <s v="No"/>
    <s v="No"/>
    <s v="No"/>
    <s v="No"/>
    <s v="No"/>
  </r>
  <r>
    <s v="C1505"/>
    <s v="Priya Kapoor"/>
    <s v="Female"/>
    <n v="49"/>
    <x v="1"/>
    <x v="6"/>
    <s v="Month-to-month"/>
    <n v="20"/>
    <x v="0"/>
    <n v="399"/>
    <n v="7980"/>
    <s v="No Internet"/>
    <d v="2024-01-22T00:00:00"/>
    <s v="No"/>
    <n v="0"/>
    <s v="No"/>
    <s v="No"/>
    <s v="No"/>
    <s v="No"/>
    <s v="No"/>
  </r>
  <r>
    <s v="C1506"/>
    <s v="Nisha Kapoor"/>
    <s v="Female"/>
    <n v="23"/>
    <x v="4"/>
    <x v="11"/>
    <s v="One year"/>
    <n v="36"/>
    <x v="1"/>
    <n v="699"/>
    <n v="25164"/>
    <s v="DSL"/>
    <d v="2022-10-08T00:00:00"/>
    <s v="No"/>
    <n v="0"/>
    <s v="No"/>
    <s v="No"/>
    <s v="No"/>
    <s v="No"/>
    <s v="No"/>
  </r>
  <r>
    <s v="C1507"/>
    <s v="Arjun Singh"/>
    <s v="Male"/>
    <n v="21"/>
    <x v="4"/>
    <x v="9"/>
    <s v="Month-to-month"/>
    <n v="2"/>
    <x v="4"/>
    <n v="849"/>
    <n v="1698"/>
    <s v="DSL"/>
    <d v="2025-07-01T00:00:00"/>
    <s v="Yes"/>
    <n v="1"/>
    <s v="No"/>
    <s v="No"/>
    <s v="Yes"/>
    <s v="No"/>
    <s v="No"/>
  </r>
  <r>
    <s v="C1508"/>
    <s v="Amit Reddy"/>
    <s v="Male"/>
    <n v="44"/>
    <x v="3"/>
    <x v="8"/>
    <s v="Month-to-month"/>
    <n v="22"/>
    <x v="0"/>
    <n v="849"/>
    <n v="18678"/>
    <s v="DSL"/>
    <d v="2023-11-21T00:00:00"/>
    <s v="No"/>
    <n v="0"/>
    <s v="No"/>
    <s v="No"/>
    <s v="No"/>
    <s v="No"/>
    <s v="No"/>
  </r>
  <r>
    <s v="C1509"/>
    <s v="Ankit Agarwal"/>
    <s v="Male"/>
    <n v="55"/>
    <x v="1"/>
    <x v="2"/>
    <s v="Two year"/>
    <n v="39"/>
    <x v="1"/>
    <n v="699"/>
    <n v="27261"/>
    <s v="DSL"/>
    <d v="2022-06-22T00:00:00"/>
    <s v="No"/>
    <n v="0"/>
    <s v="No"/>
    <s v="No"/>
    <s v="No"/>
    <s v="No"/>
    <s v="No"/>
  </r>
  <r>
    <s v="C1510"/>
    <s v="Sonal Kumar"/>
    <s v="Female"/>
    <n v="36"/>
    <x v="3"/>
    <x v="7"/>
    <s v="Month-to-month"/>
    <n v="9"/>
    <x v="2"/>
    <n v="1149"/>
    <n v="10341"/>
    <s v="Fiber"/>
    <d v="2024-12-10T00:00:00"/>
    <s v="No"/>
    <n v="0"/>
    <s v="No"/>
    <s v="No"/>
    <s v="No"/>
    <s v="No"/>
    <s v="No"/>
  </r>
  <r>
    <s v="C1511"/>
    <s v="Pankaj Verma"/>
    <s v="Male"/>
    <n v="24"/>
    <x v="4"/>
    <x v="11"/>
    <s v="One year"/>
    <n v="6"/>
    <x v="4"/>
    <n v="1199"/>
    <n v="7194"/>
    <s v="Fiber"/>
    <d v="2025-03-10T00:00:00"/>
    <s v="No"/>
    <n v="0"/>
    <s v="No"/>
    <s v="No"/>
    <s v="No"/>
    <s v="No"/>
    <s v="No"/>
  </r>
  <r>
    <s v="C1512"/>
    <s v="Nisha Yadav"/>
    <s v="Female"/>
    <n v="72"/>
    <x v="2"/>
    <x v="2"/>
    <s v="Month-to-month"/>
    <n v="20"/>
    <x v="0"/>
    <n v="999"/>
    <n v="19980"/>
    <s v="Fiber"/>
    <d v="2024-01-21T00:00:00"/>
    <s v="No"/>
    <n v="0"/>
    <s v="No"/>
    <s v="No"/>
    <s v="Yes"/>
    <s v="No"/>
    <s v="No"/>
  </r>
  <r>
    <s v="C1513"/>
    <s v="Komal Gupta"/>
    <s v="Female"/>
    <n v="74"/>
    <x v="2"/>
    <x v="11"/>
    <s v="Month-to-month"/>
    <n v="7"/>
    <x v="2"/>
    <n v="599"/>
    <n v="4193"/>
    <s v="DSL"/>
    <d v="2025-02-05T00:00:00"/>
    <s v="No"/>
    <n v="0"/>
    <s v="No"/>
    <s v="No"/>
    <s v="No"/>
    <s v="No"/>
    <s v="No"/>
  </r>
  <r>
    <s v="C1514"/>
    <s v="Sanjay Yadav"/>
    <s v="Male"/>
    <n v="47"/>
    <x v="1"/>
    <x v="12"/>
    <s v="Month-to-month"/>
    <n v="21"/>
    <x v="0"/>
    <n v="649"/>
    <n v="13629"/>
    <s v="DSL"/>
    <d v="2023-12-30T00:00:00"/>
    <s v="No"/>
    <n v="0"/>
    <s v="Yes"/>
    <s v="No"/>
    <s v="No"/>
    <s v="No"/>
    <s v="No"/>
  </r>
  <r>
    <s v="C1515"/>
    <s v="Harsh Iyer"/>
    <s v="Male"/>
    <n v="50"/>
    <x v="1"/>
    <x v="1"/>
    <s v="Month-to-month"/>
    <n v="22"/>
    <x v="0"/>
    <n v="699"/>
    <n v="15378"/>
    <s v="DSL"/>
    <d v="2023-11-19T00:00:00"/>
    <s v="No"/>
    <n v="0"/>
    <s v="No"/>
    <s v="No"/>
    <s v="No"/>
    <s v="No"/>
    <s v="No"/>
  </r>
  <r>
    <s v="C1516"/>
    <s v="Arjun Mehta"/>
    <s v="Male"/>
    <n v="39"/>
    <x v="3"/>
    <x v="6"/>
    <s v="Month-to-month"/>
    <n v="16"/>
    <x v="0"/>
    <n v="899"/>
    <n v="14384"/>
    <s v="Fiber"/>
    <d v="2024-05-16T00:00:00"/>
    <s v="No"/>
    <n v="0"/>
    <s v="No"/>
    <s v="No"/>
    <s v="Yes"/>
    <s v="No"/>
    <s v="No"/>
  </r>
  <r>
    <s v="C1517"/>
    <s v="Sonal Joshi"/>
    <s v="Female"/>
    <n v="47"/>
    <x v="1"/>
    <x v="13"/>
    <s v="Two year"/>
    <n v="8"/>
    <x v="2"/>
    <n v="449"/>
    <n v="3592"/>
    <s v="No Internet"/>
    <d v="2025-01-10T00:00:00"/>
    <s v="No"/>
    <n v="0"/>
    <s v="No"/>
    <s v="No"/>
    <s v="No"/>
    <s v="No"/>
    <s v="No"/>
  </r>
  <r>
    <s v="C1518"/>
    <s v="Sonal Mishra"/>
    <s v="Female"/>
    <n v="19"/>
    <x v="4"/>
    <x v="0"/>
    <s v="One year"/>
    <n v="23"/>
    <x v="0"/>
    <n v="599"/>
    <n v="13777"/>
    <s v="DSL"/>
    <d v="2023-10-29T00:00:00"/>
    <s v="No"/>
    <n v="0"/>
    <s v="No"/>
    <s v="No"/>
    <s v="No"/>
    <s v="No"/>
    <s v="No"/>
  </r>
  <r>
    <s v="C1519"/>
    <s v="Sonal Gupta"/>
    <s v="Female"/>
    <n v="54"/>
    <x v="1"/>
    <x v="11"/>
    <s v="Month-to-month"/>
    <n v="10"/>
    <x v="2"/>
    <n v="1299"/>
    <n v="12990"/>
    <s v="Fiber"/>
    <d v="2024-11-24T00:00:00"/>
    <s v="No"/>
    <n v="0"/>
    <s v="No"/>
    <s v="No"/>
    <s v="No"/>
    <s v="No"/>
    <s v="No"/>
  </r>
  <r>
    <s v="C1520"/>
    <s v="Neha Desai"/>
    <s v="Female"/>
    <n v="74"/>
    <x v="2"/>
    <x v="0"/>
    <s v="Month-to-month"/>
    <m/>
    <x v="4"/>
    <m/>
    <n v="4490"/>
    <s v="No Internet"/>
    <d v="2024-11-21T00:00:00"/>
    <s v="Yes"/>
    <n v="1"/>
    <s v="No"/>
    <s v="No"/>
    <s v="No"/>
    <s v="No"/>
    <s v="Monthly missing; Tenure missing"/>
  </r>
  <r>
    <s v="C1521"/>
    <s v="Sanjay Kumar"/>
    <s v="Male"/>
    <n v="46"/>
    <x v="1"/>
    <x v="1"/>
    <s v="Month-to-month"/>
    <n v="17"/>
    <x v="0"/>
    <n v="999"/>
    <n v="16983"/>
    <s v="Fiber"/>
    <m/>
    <s v="No"/>
    <n v="0"/>
    <s v="No"/>
    <s v="No"/>
    <s v="No"/>
    <s v="No"/>
    <s v="Date missing"/>
  </r>
  <r>
    <s v="C1522"/>
    <s v="Swati Singh"/>
    <s v="Female"/>
    <n v="67"/>
    <x v="2"/>
    <x v="6"/>
    <s v="Month-to-month"/>
    <n v="17"/>
    <x v="0"/>
    <n v="399"/>
    <n v="6783"/>
    <s v="No Internet"/>
    <d v="2024-04-22T00:00:00"/>
    <s v="No"/>
    <n v="0"/>
    <s v="No"/>
    <s v="No"/>
    <s v="No"/>
    <s v="No"/>
    <s v="No"/>
  </r>
  <r>
    <s v="C1523"/>
    <s v="Payal Reddy"/>
    <s v="Female"/>
    <n v="18"/>
    <x v="4"/>
    <x v="5"/>
    <s v="Two year"/>
    <n v="12"/>
    <x v="2"/>
    <n v="1099"/>
    <n v="13188"/>
    <s v="Fiber"/>
    <d v="2024-09-09T00:00:00"/>
    <s v="Yes"/>
    <n v="1"/>
    <s v="No"/>
    <s v="No"/>
    <s v="No"/>
    <s v="No"/>
    <s v="No"/>
  </r>
  <r>
    <s v="C1524"/>
    <s v="Priya Bose"/>
    <s v="Female"/>
    <n v="66"/>
    <x v="2"/>
    <x v="5"/>
    <s v="One year"/>
    <n v="13"/>
    <x v="0"/>
    <n v="649"/>
    <n v="8437"/>
    <s v="DSL"/>
    <d v="2024-08-10T00:00:00"/>
    <s v="No"/>
    <n v="0"/>
    <s v="No"/>
    <s v="No"/>
    <s v="No"/>
    <s v="No"/>
    <s v="No"/>
  </r>
  <r>
    <s v="C1525"/>
    <s v="Anjali Malhotra"/>
    <s v="Female"/>
    <n v="47"/>
    <x v="1"/>
    <x v="8"/>
    <s v="Month-to-month"/>
    <n v="20"/>
    <x v="0"/>
    <n v="799"/>
    <n v="15980"/>
    <s v="DSL"/>
    <d v="2024-01-26T00:00:00"/>
    <s v="Yes"/>
    <n v="1"/>
    <s v="Yes"/>
    <s v="No"/>
    <s v="No"/>
    <s v="No"/>
    <s v="No"/>
  </r>
  <r>
    <s v="C1526"/>
    <s v="Kavita Singh"/>
    <s v="Female"/>
    <n v="63"/>
    <x v="2"/>
    <x v="13"/>
    <s v="Month-to-month"/>
    <n v="3"/>
    <x v="4"/>
    <n v="699"/>
    <n v="2097"/>
    <s v="DSL"/>
    <d v="2025-06-29T00:00:00"/>
    <s v="Yes"/>
    <n v="1"/>
    <s v="No"/>
    <s v="No"/>
    <s v="No"/>
    <s v="No"/>
    <s v="No"/>
  </r>
  <r>
    <s v="C1527"/>
    <s v="Rahul Desai"/>
    <s v="Male"/>
    <n v="75"/>
    <x v="2"/>
    <x v="9"/>
    <s v="Month-to-month"/>
    <n v="3"/>
    <x v="4"/>
    <n v="1099"/>
    <n v="3297"/>
    <s v="Fiber"/>
    <d v="2025-06-02T00:00:00"/>
    <s v="No"/>
    <n v="0"/>
    <s v="No"/>
    <s v="No"/>
    <s v="No"/>
    <s v="No"/>
    <s v="No"/>
  </r>
  <r>
    <s v="C1528"/>
    <s v="Riya Patel"/>
    <s v="Female"/>
    <n v="37"/>
    <x v="3"/>
    <x v="2"/>
    <s v="Two year"/>
    <n v="69"/>
    <x v="3"/>
    <n v="1299"/>
    <n v="89631"/>
    <s v="Fiber"/>
    <d v="2020-01-26T00:00:00"/>
    <s v="No"/>
    <n v="0"/>
    <s v="No"/>
    <s v="No"/>
    <s v="No"/>
    <s v="No"/>
    <s v="No"/>
  </r>
  <r>
    <s v="C1529"/>
    <s v="Anjali Kapoor"/>
    <s v="Female"/>
    <n v="37"/>
    <x v="3"/>
    <x v="9"/>
    <s v="One year"/>
    <n v="31"/>
    <x v="1"/>
    <n v="999"/>
    <n v="30969"/>
    <s v="Fiber"/>
    <d v="2023-02-22T00:00:00"/>
    <s v="No"/>
    <n v="0"/>
    <s v="No"/>
    <s v="No"/>
    <s v="No"/>
    <s v="No"/>
    <s v="No"/>
  </r>
  <r>
    <s v="C1530"/>
    <s v="Isha Rao"/>
    <s v="Female"/>
    <n v="29"/>
    <x v="0"/>
    <x v="14"/>
    <s v="Two year"/>
    <n v="42"/>
    <x v="1"/>
    <n v="749"/>
    <n v="31458"/>
    <s v="DSL"/>
    <d v="2022-04-14T00:00:00"/>
    <s v="Yes"/>
    <n v="1"/>
    <s v="No"/>
    <s v="No"/>
    <s v="Yes"/>
    <s v="No"/>
    <s v="No"/>
  </r>
  <r>
    <s v="C1531"/>
    <s v="Komal Kapoor"/>
    <s v="Female"/>
    <n v="72"/>
    <x v="2"/>
    <x v="8"/>
    <s v="Month-to-month"/>
    <n v="19"/>
    <x v="0"/>
    <n v="649"/>
    <n v="12331"/>
    <s v="DSL"/>
    <d v="2024-02-14T00:00:00"/>
    <s v="Yes"/>
    <n v="1"/>
    <s v="No"/>
    <s v="No"/>
    <s v="No"/>
    <s v="No"/>
    <s v="No"/>
  </r>
  <r>
    <s v="C1532"/>
    <s v="Nikhil Mishra"/>
    <s v="Male"/>
    <n v="59"/>
    <x v="1"/>
    <x v="4"/>
    <s v="One year"/>
    <n v="26"/>
    <x v="1"/>
    <n v="1099"/>
    <n v="28574"/>
    <s v="Fiber"/>
    <d v="2023-07-24T00:00:00"/>
    <s v="No"/>
    <n v="0"/>
    <s v="No"/>
    <s v="No"/>
    <s v="No"/>
    <s v="No"/>
    <s v="No"/>
  </r>
  <r>
    <s v="C1533"/>
    <s v="Gaurav Rao"/>
    <s v="Male"/>
    <n v="22"/>
    <x v="4"/>
    <x v="2"/>
    <s v="Month-to-month"/>
    <n v="14"/>
    <x v="0"/>
    <n v="1099"/>
    <n v="15386"/>
    <s v="Fiber"/>
    <d v="2024-07-18T00:00:00"/>
    <s v="No"/>
    <n v="0"/>
    <s v="No"/>
    <s v="No"/>
    <s v="No"/>
    <s v="No"/>
    <s v="No"/>
  </r>
  <r>
    <s v="C1534"/>
    <s v="Arjun Saxena"/>
    <s v="Male"/>
    <n v="60"/>
    <x v="1"/>
    <x v="4"/>
    <s v="One year"/>
    <n v="32"/>
    <x v="1"/>
    <n v="1149"/>
    <n v="36768"/>
    <s v="Fiber"/>
    <d v="2023-01-25T00:00:00"/>
    <s v="No"/>
    <n v="0"/>
    <s v="No"/>
    <s v="No"/>
    <s v="No"/>
    <s v="No"/>
    <s v="No"/>
  </r>
  <r>
    <s v="C1535"/>
    <s v="Ankit Gupta"/>
    <s v="Male"/>
    <n v="37"/>
    <x v="3"/>
    <x v="12"/>
    <s v="Month-to-month"/>
    <n v="20"/>
    <x v="0"/>
    <n v="899"/>
    <n v="17980"/>
    <s v="Unknown"/>
    <d v="2024-01-17T00:00:00"/>
    <s v="Yes"/>
    <n v="1"/>
    <s v="No"/>
    <s v="No"/>
    <s v="No"/>
    <s v="No"/>
    <s v="No"/>
  </r>
  <r>
    <s v="C1536"/>
    <s v="Vikram Mehta"/>
    <s v="Male"/>
    <n v="70"/>
    <x v="2"/>
    <x v="8"/>
    <s v="Two year"/>
    <n v="1"/>
    <x v="4"/>
    <n v="399"/>
    <n v="399"/>
    <s v="No Internet"/>
    <d v="2025-08-20T00:00:00"/>
    <s v="No"/>
    <n v="0"/>
    <s v="No"/>
    <s v="No"/>
    <s v="No"/>
    <s v="No"/>
    <s v="No"/>
  </r>
  <r>
    <s v="C1537"/>
    <s v="Riya Bose"/>
    <s v="Female"/>
    <n v="46"/>
    <x v="1"/>
    <x v="0"/>
    <s v="Month-to-month"/>
    <n v="10"/>
    <x v="2"/>
    <n v="449"/>
    <n v="4490"/>
    <s v="No Internet"/>
    <d v="2024-11-03T00:00:00"/>
    <s v="No"/>
    <n v="0"/>
    <s v="No"/>
    <s v="No"/>
    <s v="No"/>
    <s v="No"/>
    <s v="No"/>
  </r>
  <r>
    <s v="C1538"/>
    <s v="Isha Kumar"/>
    <s v="Female"/>
    <n v="55"/>
    <x v="1"/>
    <x v="3"/>
    <s v="One year"/>
    <n v="9"/>
    <x v="2"/>
    <n v="1049"/>
    <n v="9441"/>
    <s v="Fiber"/>
    <d v="2024-12-15T00:00:00"/>
    <s v="No"/>
    <n v="0"/>
    <s v="No"/>
    <s v="No"/>
    <s v="No"/>
    <s v="No"/>
    <s v="No"/>
  </r>
  <r>
    <s v="C1539"/>
    <s v="Rahul Pandey"/>
    <s v="Male"/>
    <n v="53"/>
    <x v="1"/>
    <x v="6"/>
    <s v="Two year"/>
    <n v="37"/>
    <x v="1"/>
    <n v="899"/>
    <n v="33263"/>
    <s v="DSL"/>
    <d v="2022-08-27T00:00:00"/>
    <s v="No"/>
    <n v="0"/>
    <s v="No"/>
    <s v="No"/>
    <s v="No"/>
    <s v="No"/>
    <s v="No"/>
  </r>
  <r>
    <s v="C1540"/>
    <s v="Swati Pandey"/>
    <s v="Female"/>
    <n v="42"/>
    <x v="3"/>
    <x v="12"/>
    <s v="Month-to-month"/>
    <n v="22"/>
    <x v="0"/>
    <n v="1099"/>
    <n v="24178"/>
    <s v="Fiber"/>
    <d v="2023-11-26T00:00:00"/>
    <s v="Yes"/>
    <n v="1"/>
    <s v="No"/>
    <s v="No"/>
    <s v="No"/>
    <s v="No"/>
    <s v="No"/>
  </r>
  <r>
    <s v="C1541"/>
    <s v="Nisha Singh"/>
    <s v="Female"/>
    <n v="36"/>
    <x v="3"/>
    <x v="6"/>
    <s v="One year"/>
    <n v="5"/>
    <x v="4"/>
    <n v="849"/>
    <n v="4245"/>
    <s v="DSL"/>
    <d v="2025-04-16T00:00:00"/>
    <s v="No"/>
    <n v="0"/>
    <s v="No"/>
    <s v="No"/>
    <s v="No"/>
    <s v="No"/>
    <s v="No"/>
  </r>
  <r>
    <s v="C1542"/>
    <s v="Pooja Kumar"/>
    <s v="Female"/>
    <n v="26"/>
    <x v="0"/>
    <x v="9"/>
    <s v="Two year"/>
    <n v="55"/>
    <x v="3"/>
    <n v="499"/>
    <n v="27445"/>
    <s v="No Internet"/>
    <d v="2021-03-06T00:00:00"/>
    <s v="No"/>
    <n v="0"/>
    <s v="No"/>
    <s v="No"/>
    <s v="No"/>
    <s v="No"/>
    <s v="No"/>
  </r>
  <r>
    <s v="C1543"/>
    <s v="Divya Patel"/>
    <s v="Female"/>
    <n v="32"/>
    <x v="0"/>
    <x v="8"/>
    <s v="Month-to-month"/>
    <n v="16"/>
    <x v="0"/>
    <n v="899"/>
    <n v="14384"/>
    <s v="DSL"/>
    <d v="2024-05-28T00:00:00"/>
    <s v="No"/>
    <n v="0"/>
    <s v="No"/>
    <s v="No"/>
    <s v="No"/>
    <s v="No"/>
    <s v="No"/>
  </r>
  <r>
    <s v="C1544"/>
    <s v="Sonal Bose"/>
    <s v="Female"/>
    <n v="41"/>
    <x v="3"/>
    <x v="3"/>
    <s v="Two year"/>
    <n v="48"/>
    <x v="1"/>
    <n v="1149"/>
    <n v="55152"/>
    <s v="Fiber"/>
    <d v="2021-10-17T00:00:00"/>
    <s v="No"/>
    <n v="0"/>
    <s v="No"/>
    <s v="No"/>
    <s v="No"/>
    <s v="No"/>
    <s v="No"/>
  </r>
  <r>
    <s v="C1545"/>
    <s v="Mohit Malhotra"/>
    <s v="Male"/>
    <n v="47"/>
    <x v="1"/>
    <x v="1"/>
    <s v="Month-to-month"/>
    <n v="3"/>
    <x v="4"/>
    <n v="349"/>
    <n v="1047"/>
    <s v="No Internet"/>
    <d v="2025-06-13T00:00:00"/>
    <s v="No"/>
    <n v="0"/>
    <s v="No"/>
    <s v="No"/>
    <s v="No"/>
    <s v="No"/>
    <s v="No"/>
  </r>
  <r>
    <s v="C1546"/>
    <s v="Riya Verma"/>
    <s v="Female"/>
    <n v="75"/>
    <x v="2"/>
    <x v="2"/>
    <s v="Month-to-month"/>
    <n v="15"/>
    <x v="0"/>
    <n v="799"/>
    <n v="11985"/>
    <s v="DSL"/>
    <d v="2024-06-22T00:00:00"/>
    <s v="No"/>
    <n v="0"/>
    <s v="No"/>
    <s v="No"/>
    <s v="No"/>
    <s v="No"/>
    <s v="No"/>
  </r>
  <r>
    <s v="C1547"/>
    <s v="Aditi Iyer"/>
    <s v="Female"/>
    <n v="28"/>
    <x v="0"/>
    <x v="3"/>
    <s v="One year"/>
    <n v="20"/>
    <x v="0"/>
    <n v="1299"/>
    <n v="25980"/>
    <s v="Fiber"/>
    <d v="2024-01-17T00:00:00"/>
    <s v="No"/>
    <n v="0"/>
    <s v="No"/>
    <s v="No"/>
    <s v="No"/>
    <s v="No"/>
    <s v="No"/>
  </r>
  <r>
    <s v="C1548"/>
    <s v="Tanvi Gupta"/>
    <s v="Female"/>
    <n v="54"/>
    <x v="1"/>
    <x v="3"/>
    <s v="One year"/>
    <n v="40"/>
    <x v="1"/>
    <n v="599"/>
    <n v="23960"/>
    <s v="DSL"/>
    <d v="2022-05-31T00:00:00"/>
    <s v="Yes"/>
    <n v="1"/>
    <s v="No"/>
    <s v="No"/>
    <s v="No"/>
    <s v="No"/>
    <s v="No"/>
  </r>
  <r>
    <s v="C1549"/>
    <s v="Suresh Malhotra"/>
    <s v="Male"/>
    <n v="26"/>
    <x v="0"/>
    <x v="11"/>
    <s v="Month-to-month"/>
    <n v="1"/>
    <x v="4"/>
    <n v="549"/>
    <n v="549"/>
    <s v="No Internet"/>
    <d v="2025-08-11T00:00:00"/>
    <s v="Yes"/>
    <n v="1"/>
    <s v="No"/>
    <s v="No"/>
    <s v="No"/>
    <s v="No"/>
    <s v="No"/>
  </r>
  <r>
    <s v="C1550"/>
    <s v="Ankit Patel"/>
    <s v="Male"/>
    <n v="69"/>
    <x v="2"/>
    <x v="8"/>
    <s v="Month-to-month"/>
    <n v="16"/>
    <x v="0"/>
    <n v="1299"/>
    <n v="20784"/>
    <s v="Fiber"/>
    <d v="2024-05-26T00:00:00"/>
    <s v="No"/>
    <n v="0"/>
    <s v="No"/>
    <s v="No"/>
    <s v="No"/>
    <s v="No"/>
    <s v="No"/>
  </r>
  <r>
    <s v="C1551"/>
    <s v="Rohit Yadav"/>
    <s v="Male"/>
    <n v="70"/>
    <x v="2"/>
    <x v="8"/>
    <s v="Two year"/>
    <n v="53"/>
    <x v="3"/>
    <n v="1099"/>
    <n v="58247"/>
    <s v="Fiber"/>
    <d v="2021-04-29T00:00:00"/>
    <s v="No"/>
    <n v="0"/>
    <s v="No"/>
    <s v="No"/>
    <s v="No"/>
    <s v="No"/>
    <s v="No"/>
  </r>
  <r>
    <s v="C1552"/>
    <s v="Sanjay Bose"/>
    <s v="Male"/>
    <n v="64"/>
    <x v="2"/>
    <x v="6"/>
    <s v="Month-to-month"/>
    <n v="4"/>
    <x v="4"/>
    <n v="999"/>
    <n v="3996"/>
    <s v="Fiber"/>
    <d v="2025-05-22T00:00:00"/>
    <s v="Yes"/>
    <n v="1"/>
    <s v="No"/>
    <s v="No"/>
    <s v="No"/>
    <s v="No"/>
    <s v="No"/>
  </r>
  <r>
    <s v="C1553"/>
    <s v="Sonal Nair"/>
    <s v="Female"/>
    <n v="42"/>
    <x v="3"/>
    <x v="9"/>
    <s v="One year"/>
    <n v="10"/>
    <x v="2"/>
    <n v="1299"/>
    <n v="12990"/>
    <s v="Fiber"/>
    <d v="2024-11-03T00:00:00"/>
    <s v="Yes"/>
    <n v="1"/>
    <s v="No"/>
    <s v="No"/>
    <s v="No"/>
    <s v="No"/>
    <s v="No"/>
  </r>
  <r>
    <s v="C1554"/>
    <s v="Divya Saxena"/>
    <s v="Female"/>
    <n v="38"/>
    <x v="3"/>
    <x v="1"/>
    <s v="One year"/>
    <n v="35"/>
    <x v="1"/>
    <n v="849"/>
    <n v="29715"/>
    <s v="DSL"/>
    <d v="2022-10-24T00:00:00"/>
    <s v="No"/>
    <n v="0"/>
    <s v="No"/>
    <s v="No"/>
    <s v="No"/>
    <s v="No"/>
    <s v="No"/>
  </r>
  <r>
    <s v="C1555"/>
    <s v="Swati Malhotra"/>
    <s v="Female"/>
    <n v="35"/>
    <x v="0"/>
    <x v="13"/>
    <s v="Month-to-month"/>
    <n v="13"/>
    <x v="0"/>
    <n v="1299"/>
    <n v="16887"/>
    <s v="Fiber"/>
    <d v="2024-08-16T00:00:00"/>
    <s v="No"/>
    <n v="0"/>
    <s v="No"/>
    <s v="No"/>
    <s v="Yes"/>
    <s v="No"/>
    <s v="No"/>
  </r>
  <r>
    <s v="C1556"/>
    <s v="Mohit Joshi"/>
    <s v="Male"/>
    <n v="61"/>
    <x v="2"/>
    <x v="14"/>
    <s v="Two year"/>
    <n v="2"/>
    <x v="4"/>
    <n v="849"/>
    <n v="1698"/>
    <s v="DSL"/>
    <d v="2025-07-27T00:00:00"/>
    <s v="Yes"/>
    <n v="1"/>
    <s v="No"/>
    <s v="No"/>
    <s v="No"/>
    <s v="No"/>
    <s v="No"/>
  </r>
  <r>
    <s v="C1557"/>
    <s v="Ankit Patel"/>
    <s v="Male"/>
    <n v="32"/>
    <x v="0"/>
    <x v="14"/>
    <s v="Month-to-month"/>
    <n v="1"/>
    <x v="4"/>
    <m/>
    <m/>
    <s v="DSL"/>
    <d v="2025-08-08T00:00:00"/>
    <s v="No"/>
    <n v="0"/>
    <s v="No"/>
    <s v="No"/>
    <s v="No"/>
    <s v="No"/>
    <s v="Monthly missing; Total missing"/>
  </r>
  <r>
    <s v="C1558"/>
    <s v="Pankaj Chopra"/>
    <s v="Male"/>
    <n v="25"/>
    <x v="4"/>
    <x v="14"/>
    <s v="Two year"/>
    <n v="17"/>
    <x v="0"/>
    <n v="749"/>
    <n v="12733"/>
    <s v="DSL"/>
    <d v="2024-05-01T00:00:00"/>
    <s v="No"/>
    <n v="0"/>
    <s v="No"/>
    <s v="No"/>
    <s v="No"/>
    <s v="No"/>
    <s v="No"/>
  </r>
  <r>
    <s v="C1559"/>
    <s v="Arjun Malhotra"/>
    <s v="Male"/>
    <n v="47"/>
    <x v="1"/>
    <x v="7"/>
    <s v="One year"/>
    <n v="30"/>
    <x v="1"/>
    <n v="699"/>
    <n v="20970"/>
    <s v="DSL"/>
    <d v="2023-03-22T00:00:00"/>
    <s v="No"/>
    <n v="0"/>
    <s v="Yes"/>
    <s v="No"/>
    <s v="No"/>
    <s v="No"/>
    <s v="No"/>
  </r>
  <r>
    <s v="C1560"/>
    <s v="Kavita Gupta"/>
    <s v="Female"/>
    <n v="67"/>
    <x v="2"/>
    <x v="4"/>
    <s v="Month-to-month"/>
    <n v="13"/>
    <x v="0"/>
    <n v="699"/>
    <n v="9087"/>
    <s v="DSL"/>
    <d v="2024-08-26T00:00:00"/>
    <s v="No"/>
    <n v="0"/>
    <s v="No"/>
    <s v="No"/>
    <s v="No"/>
    <s v="No"/>
    <s v="No"/>
  </r>
  <r>
    <s v="C1561"/>
    <s v="Ankit Kumar"/>
    <s v="Male"/>
    <n v="49"/>
    <x v="1"/>
    <x v="0"/>
    <s v="One year"/>
    <n v="32"/>
    <x v="1"/>
    <n v="599"/>
    <n v="19168"/>
    <s v="DSL"/>
    <d v="2023-02-05T00:00:00"/>
    <s v="No"/>
    <n v="0"/>
    <s v="No"/>
    <s v="No"/>
    <s v="No"/>
    <s v="No"/>
    <s v="No"/>
  </r>
  <r>
    <s v="C1562"/>
    <s v="Ankit Pandey"/>
    <s v="Male"/>
    <n v="34"/>
    <x v="0"/>
    <x v="4"/>
    <s v="Month-to-month"/>
    <n v="24"/>
    <x v="0"/>
    <n v="699"/>
    <n v="16776"/>
    <s v="DSL"/>
    <d v="2023-09-24T00:00:00"/>
    <s v="Yes"/>
    <n v="1"/>
    <s v="No"/>
    <s v="No"/>
    <s v="No"/>
    <s v="No"/>
    <s v="No"/>
  </r>
  <r>
    <s v="C1563"/>
    <s v="Rahul Verma"/>
    <s v="Male"/>
    <n v="60"/>
    <x v="1"/>
    <x v="12"/>
    <s v="Month-to-month"/>
    <n v="13"/>
    <x v="0"/>
    <n v="899"/>
    <n v="11687"/>
    <s v="Fiber"/>
    <d v="2024-08-10T00:00:00"/>
    <s v="No"/>
    <n v="0"/>
    <s v="No"/>
    <s v="No"/>
    <s v="No"/>
    <s v="No"/>
    <s v="No"/>
  </r>
  <r>
    <s v="C1564"/>
    <s v="Komal Tiwari"/>
    <s v="Female"/>
    <n v="43"/>
    <x v="3"/>
    <x v="6"/>
    <s v="One year"/>
    <n v="5"/>
    <x v="4"/>
    <n v="349"/>
    <n v="1745"/>
    <s v="Unknown"/>
    <d v="2025-04-09T00:00:00"/>
    <s v="No"/>
    <n v="0"/>
    <s v="No"/>
    <s v="No"/>
    <s v="No"/>
    <s v="No"/>
    <s v="No"/>
  </r>
  <r>
    <s v="C1565"/>
    <s v="Anjali Bose"/>
    <s v="Female"/>
    <n v="47"/>
    <x v="1"/>
    <x v="10"/>
    <s v="Month-to-month"/>
    <n v="2"/>
    <x v="4"/>
    <n v="849"/>
    <n v="1698"/>
    <s v="DSL"/>
    <d v="2025-07-03T00:00:00"/>
    <s v="Yes"/>
    <n v="1"/>
    <s v="Yes"/>
    <s v="Yes"/>
    <s v="No"/>
    <s v="No"/>
    <s v="No"/>
  </r>
  <r>
    <s v="C1566"/>
    <s v="Neha Kapoor"/>
    <s v="Female"/>
    <n v="66"/>
    <x v="2"/>
    <x v="13"/>
    <s v="Month-to-month"/>
    <n v="18"/>
    <x v="0"/>
    <n v="599"/>
    <n v="10782"/>
    <s v="DSL"/>
    <d v="2024-03-25T00:00:00"/>
    <s v="Yes"/>
    <n v="1"/>
    <s v="No"/>
    <s v="No"/>
    <s v="No"/>
    <s v="No"/>
    <s v="No"/>
  </r>
  <r>
    <s v="C1567"/>
    <s v="Aman Desai"/>
    <s v="Male"/>
    <n v="23"/>
    <x v="4"/>
    <x v="9"/>
    <s v="Month-to-month"/>
    <n v="2"/>
    <x v="4"/>
    <n v="649"/>
    <n v="1298"/>
    <s v="DSL"/>
    <d v="2025-07-18T00:00:00"/>
    <s v="Yes"/>
    <n v="1"/>
    <s v="No"/>
    <s v="No"/>
    <s v="No"/>
    <s v="No"/>
    <s v="No"/>
  </r>
  <r>
    <s v="C1568"/>
    <s v="Sachin Chopra"/>
    <s v="Male"/>
    <n v="37"/>
    <x v="3"/>
    <x v="7"/>
    <s v="Month-to-month"/>
    <n v="15"/>
    <x v="0"/>
    <n v="449"/>
    <n v="6735"/>
    <s v="Unknown"/>
    <d v="2024-06-10T00:00:00"/>
    <s v="Yes"/>
    <n v="1"/>
    <s v="No"/>
    <s v="No"/>
    <s v="No"/>
    <s v="Yes"/>
    <s v="No"/>
  </r>
  <r>
    <s v="C1569"/>
    <s v="Deepak Reddy"/>
    <s v="Male"/>
    <n v="31"/>
    <x v="0"/>
    <x v="13"/>
    <s v="One year"/>
    <n v="35"/>
    <x v="1"/>
    <n v="1199"/>
    <n v="41965"/>
    <s v="Fiber"/>
    <d v="2022-11-11T00:00:00"/>
    <s v="No"/>
    <n v="0"/>
    <s v="No"/>
    <s v="No"/>
    <s v="No"/>
    <s v="Yes"/>
    <s v="No"/>
  </r>
  <r>
    <s v="C1570"/>
    <s v="Rohit Desai"/>
    <s v="Male"/>
    <n v="59"/>
    <x v="1"/>
    <x v="3"/>
    <s v="Month-to-month"/>
    <n v="2"/>
    <x v="4"/>
    <n v="399"/>
    <n v="798"/>
    <s v="No Internet"/>
    <d v="2025-07-10T00:00:00"/>
    <s v="Yes"/>
    <n v="1"/>
    <s v="No"/>
    <s v="No"/>
    <s v="No"/>
    <s v="No"/>
    <s v="No"/>
  </r>
  <r>
    <s v="C1571"/>
    <s v="Harsh Reddy"/>
    <s v="Male"/>
    <n v="47"/>
    <x v="1"/>
    <x v="11"/>
    <s v="Month-to-month"/>
    <n v="4"/>
    <x v="4"/>
    <n v="1099"/>
    <n v="4396"/>
    <s v="Fiber"/>
    <d v="2025-05-24T00:00:00"/>
    <s v="No"/>
    <n v="0"/>
    <s v="No"/>
    <s v="No"/>
    <s v="No"/>
    <s v="No"/>
    <s v="No"/>
  </r>
  <r>
    <s v="C1572"/>
    <s v="Sanjay Tiwari"/>
    <s v="Male"/>
    <n v="39"/>
    <x v="3"/>
    <x v="13"/>
    <s v="Two year"/>
    <n v="52"/>
    <x v="3"/>
    <n v="899"/>
    <n v="46748"/>
    <s v="Fiber"/>
    <d v="2021-06-11T00:00:00"/>
    <s v="No"/>
    <n v="0"/>
    <s v="No"/>
    <s v="No"/>
    <s v="No"/>
    <s v="No"/>
    <s v="No"/>
  </r>
  <r>
    <s v="C1573"/>
    <s v="Amit Bose"/>
    <s v="Male"/>
    <n v="29"/>
    <x v="0"/>
    <x v="2"/>
    <s v="Month-to-month"/>
    <n v="14"/>
    <x v="0"/>
    <n v="649"/>
    <n v="9086"/>
    <s v="DSL"/>
    <d v="2024-07-21T00:00:00"/>
    <s v="No"/>
    <n v="0"/>
    <s v="No"/>
    <s v="No"/>
    <s v="No"/>
    <s v="Yes"/>
    <s v="No"/>
  </r>
  <r>
    <s v="C1574"/>
    <s v="Rajesh Verma"/>
    <s v="Male"/>
    <n v="26"/>
    <x v="0"/>
    <x v="4"/>
    <s v="One year"/>
    <n v="25"/>
    <x v="1"/>
    <n v="999"/>
    <n v="24975"/>
    <s v="Fiber"/>
    <d v="2023-09-07T00:00:00"/>
    <s v="No"/>
    <n v="0"/>
    <s v="No"/>
    <s v="No"/>
    <s v="No"/>
    <s v="No"/>
    <s v="No"/>
  </r>
  <r>
    <s v="C1575"/>
    <s v="Rahul Gupta"/>
    <s v="Male"/>
    <n v="23"/>
    <x v="4"/>
    <x v="14"/>
    <s v="One year"/>
    <n v="27"/>
    <x v="1"/>
    <n v="499"/>
    <n v="13473"/>
    <s v="No Internet"/>
    <d v="2023-07-05T00:00:00"/>
    <s v="No"/>
    <n v="0"/>
    <s v="No"/>
    <s v="No"/>
    <s v="No"/>
    <s v="No"/>
    <s v="No"/>
  </r>
  <r>
    <s v="C1576"/>
    <s v="Suresh Jain"/>
    <s v="Male"/>
    <n v="46"/>
    <x v="1"/>
    <x v="12"/>
    <s v="Month-to-month"/>
    <n v="23"/>
    <x v="0"/>
    <n v="599"/>
    <n v="13777"/>
    <s v="DSL"/>
    <d v="2023-10-20T00:00:00"/>
    <s v="No"/>
    <n v="0"/>
    <s v="No"/>
    <s v="No"/>
    <s v="No"/>
    <s v="No"/>
    <s v="No"/>
  </r>
  <r>
    <s v="C1577"/>
    <s v="Harsh Patel"/>
    <s v="Male"/>
    <n v="44"/>
    <x v="3"/>
    <x v="3"/>
    <s v="One year"/>
    <n v="34"/>
    <x v="1"/>
    <n v="599"/>
    <n v="20366"/>
    <s v="DSL"/>
    <d v="2022-11-26T00:00:00"/>
    <s v="No"/>
    <n v="0"/>
    <s v="No"/>
    <s v="No"/>
    <s v="No"/>
    <s v="No"/>
    <s v="No"/>
  </r>
  <r>
    <s v="C1578"/>
    <s v="Ankit Chopra"/>
    <s v="Male"/>
    <n v="60"/>
    <x v="1"/>
    <x v="0"/>
    <s v="Month-to-month"/>
    <n v="5"/>
    <x v="4"/>
    <n v="849"/>
    <n v="4245"/>
    <s v="DSL"/>
    <d v="2025-04-26T00:00:00"/>
    <s v="Yes"/>
    <n v="1"/>
    <s v="No"/>
    <s v="No"/>
    <s v="No"/>
    <s v="No"/>
    <s v="No"/>
  </r>
  <r>
    <s v="C1579"/>
    <s v="Amit Chopra"/>
    <s v="Male"/>
    <n v="41"/>
    <x v="3"/>
    <x v="5"/>
    <s v="Month-to-month"/>
    <n v="20"/>
    <x v="0"/>
    <n v="899"/>
    <n v="17980"/>
    <s v="DSL"/>
    <d v="2024-01-14T00:00:00"/>
    <s v="Yes"/>
    <n v="1"/>
    <s v="No"/>
    <s v="No"/>
    <s v="No"/>
    <s v="No"/>
    <s v="No"/>
  </r>
  <r>
    <s v="C1580"/>
    <s v="Sachin Gupta"/>
    <s v="Male"/>
    <n v="28"/>
    <x v="0"/>
    <x v="13"/>
    <s v="Month-to-month"/>
    <n v="3"/>
    <x v="4"/>
    <n v="1199"/>
    <n v="3597"/>
    <s v="Fiber"/>
    <d v="2025-06-20T00:00:00"/>
    <s v="Yes"/>
    <n v="1"/>
    <s v="No"/>
    <s v="No"/>
    <s v="No"/>
    <s v="No"/>
    <s v="No"/>
  </r>
  <r>
    <s v="C1581"/>
    <s v="Deepika Agarwal"/>
    <s v="Female"/>
    <n v="61"/>
    <x v="2"/>
    <x v="2"/>
    <s v="Month-to-month"/>
    <n v="8"/>
    <x v="2"/>
    <n v="599"/>
    <n v="4792"/>
    <s v="DSL"/>
    <d v="2025-01-19T00:00:00"/>
    <s v="No"/>
    <n v="0"/>
    <s v="No"/>
    <s v="No"/>
    <s v="No"/>
    <s v="No"/>
    <s v="No"/>
  </r>
  <r>
    <s v="C1582"/>
    <s v="Vikram Desai"/>
    <s v="Male"/>
    <n v="55"/>
    <x v="1"/>
    <x v="7"/>
    <s v="Month-to-month"/>
    <n v="7"/>
    <x v="2"/>
    <n v="1099"/>
    <n v="7693"/>
    <s v="Fiber"/>
    <d v="2025-02-26T00:00:00"/>
    <s v="Yes"/>
    <n v="1"/>
    <s v="No"/>
    <s v="No"/>
    <s v="No"/>
    <s v="Yes"/>
    <s v="No"/>
  </r>
  <r>
    <s v="C1583"/>
    <s v="Deepika Chopra"/>
    <s v="Female"/>
    <n v="40"/>
    <x v="3"/>
    <x v="5"/>
    <s v="Month-to-month"/>
    <n v="23"/>
    <x v="0"/>
    <n v="799"/>
    <n v="18377"/>
    <s v="DSL"/>
    <d v="2023-10-12T00:00:00"/>
    <s v="Yes"/>
    <n v="1"/>
    <s v="No"/>
    <s v="No"/>
    <s v="No"/>
    <s v="No"/>
    <s v="No"/>
  </r>
  <r>
    <s v="C1584"/>
    <s v="Shreya Tiwari"/>
    <s v="Female"/>
    <n v="28"/>
    <x v="0"/>
    <x v="13"/>
    <s v="Month-to-month"/>
    <n v="20"/>
    <x v="0"/>
    <n v="549"/>
    <n v="10980"/>
    <s v="No Internet"/>
    <d v="2024-01-19T00:00:00"/>
    <s v="No"/>
    <n v="0"/>
    <s v="No"/>
    <s v="No"/>
    <s v="No"/>
    <s v="No"/>
    <s v="No"/>
  </r>
  <r>
    <s v="C1585"/>
    <s v="Vikram Tiwari"/>
    <s v="Male"/>
    <n v="72"/>
    <x v="2"/>
    <x v="1"/>
    <s v="Month-to-month"/>
    <n v="19"/>
    <x v="0"/>
    <n v="499"/>
    <n v="9481"/>
    <s v="No Internet"/>
    <d v="2024-02-13T00:00:00"/>
    <s v="Yes"/>
    <n v="1"/>
    <s v="No"/>
    <s v="No"/>
    <s v="No"/>
    <s v="No"/>
    <s v="No"/>
  </r>
  <r>
    <s v="C1586"/>
    <s v="Ritu Nair"/>
    <s v="Female"/>
    <n v="38"/>
    <x v="3"/>
    <x v="12"/>
    <s v="One year"/>
    <n v="38"/>
    <x v="1"/>
    <n v="349"/>
    <n v="13262"/>
    <s v="No Internet"/>
    <d v="2022-08-14T00:00:00"/>
    <s v="No"/>
    <n v="0"/>
    <s v="No"/>
    <s v="No"/>
    <s v="No"/>
    <s v="No"/>
    <s v="No"/>
  </r>
  <r>
    <s v="C1587"/>
    <s v="Gaurav Agarwal"/>
    <s v="Unknown"/>
    <n v="67"/>
    <x v="2"/>
    <x v="1"/>
    <s v="Month-to-month"/>
    <n v="16"/>
    <x v="0"/>
    <n v="1299"/>
    <n v="20784"/>
    <s v="Fiber"/>
    <d v="2024-05-29T00:00:00"/>
    <s v="Yes"/>
    <n v="1"/>
    <s v="No"/>
    <s v="No"/>
    <s v="No"/>
    <s v="No"/>
    <s v="No"/>
  </r>
  <r>
    <s v="C1588"/>
    <s v="Sachin Sharma"/>
    <s v="Male"/>
    <n v="62"/>
    <x v="2"/>
    <x v="14"/>
    <s v="Month-to-month"/>
    <n v="12"/>
    <x v="2"/>
    <n v="699"/>
    <n v="8388"/>
    <s v="DSL"/>
    <d v="2024-09-12T00:00:00"/>
    <s v="Yes"/>
    <n v="1"/>
    <s v="No"/>
    <s v="No"/>
    <s v="Yes"/>
    <s v="No"/>
    <s v="No"/>
  </r>
  <r>
    <s v="C1589"/>
    <s v="Meera Pandey"/>
    <s v="Female"/>
    <n v="47"/>
    <x v="1"/>
    <x v="6"/>
    <s v="One year"/>
    <n v="30"/>
    <x v="1"/>
    <n v="1299"/>
    <n v="38970"/>
    <s v="Fiber"/>
    <d v="2023-03-31T00:00:00"/>
    <s v="No"/>
    <n v="0"/>
    <s v="No"/>
    <s v="No"/>
    <s v="No"/>
    <s v="No"/>
    <s v="No"/>
  </r>
  <r>
    <s v="C1590"/>
    <s v="Aman Chopra"/>
    <s v="Male"/>
    <n v="47"/>
    <x v="1"/>
    <x v="10"/>
    <s v="One year"/>
    <n v="5"/>
    <x v="4"/>
    <n v="449"/>
    <n v="2245"/>
    <s v="No Internet"/>
    <d v="2025-04-22T00:00:00"/>
    <s v="No"/>
    <n v="0"/>
    <s v="No"/>
    <s v="No"/>
    <s v="No"/>
    <s v="No"/>
    <s v="No"/>
  </r>
  <r>
    <s v="C1591"/>
    <s v="Kavita Pandey"/>
    <s v="Female"/>
    <n v="57"/>
    <x v="1"/>
    <x v="1"/>
    <s v="One year"/>
    <n v="6"/>
    <x v="4"/>
    <n v="799"/>
    <n v="4794"/>
    <s v="DSL"/>
    <d v="2025-03-03T00:00:00"/>
    <s v="No"/>
    <n v="0"/>
    <s v="No"/>
    <s v="No"/>
    <s v="No"/>
    <s v="No"/>
    <s v="No"/>
  </r>
  <r>
    <s v="C1592"/>
    <s v="Sneha Reddy"/>
    <s v="Female"/>
    <n v="42"/>
    <x v="3"/>
    <x v="2"/>
    <s v="Month-to-month"/>
    <n v="12"/>
    <x v="2"/>
    <n v="649"/>
    <n v="7788"/>
    <s v="DSL"/>
    <d v="2024-09-16T00:00:00"/>
    <s v="No"/>
    <n v="0"/>
    <s v="No"/>
    <s v="No"/>
    <s v="No"/>
    <s v="No"/>
    <s v="No"/>
  </r>
  <r>
    <s v="C1593"/>
    <s v="Rohit Joshi"/>
    <s v="Male"/>
    <n v="33"/>
    <x v="0"/>
    <x v="1"/>
    <s v="Unknown"/>
    <n v="19"/>
    <x v="0"/>
    <n v="1199"/>
    <n v="22781"/>
    <s v="Fiber"/>
    <d v="2024-02-12T00:00:00"/>
    <s v="No"/>
    <n v="0"/>
    <s v="No"/>
    <s v="No"/>
    <s v="No"/>
    <s v="No"/>
    <s v="No"/>
  </r>
  <r>
    <s v="C1594"/>
    <s v="Nikhil Patel"/>
    <s v="Male"/>
    <n v="75"/>
    <x v="2"/>
    <x v="5"/>
    <s v="Month-to-month"/>
    <n v="2"/>
    <x v="4"/>
    <n v="1049"/>
    <n v="2098"/>
    <s v="Fiber"/>
    <d v="2025-07-14T00:00:00"/>
    <s v="Yes"/>
    <n v="1"/>
    <s v="No"/>
    <s v="No"/>
    <s v="No"/>
    <s v="No"/>
    <s v="No"/>
  </r>
  <r>
    <s v="C1595"/>
    <s v="Gaurav Pandey"/>
    <s v="Male"/>
    <n v="52"/>
    <x v="1"/>
    <x v="9"/>
    <s v="Two year"/>
    <n v="58"/>
    <x v="3"/>
    <n v="349"/>
    <n v="20242"/>
    <s v="No Internet"/>
    <d v="2020-11-25T00:00:00"/>
    <s v="No"/>
    <n v="0"/>
    <s v="No"/>
    <s v="No"/>
    <s v="No"/>
    <s v="No"/>
    <s v="No"/>
  </r>
  <r>
    <s v="C1596"/>
    <s v="Neha Kumar"/>
    <s v="Female"/>
    <n v="43"/>
    <x v="3"/>
    <x v="8"/>
    <s v="Month-to-month"/>
    <n v="4"/>
    <x v="4"/>
    <n v="349"/>
    <n v="1396"/>
    <s v="No Internet"/>
    <d v="2025-05-16T00:00:00"/>
    <s v="No"/>
    <n v="0"/>
    <s v="No"/>
    <s v="No"/>
    <s v="No"/>
    <s v="No"/>
    <s v="No"/>
  </r>
  <r>
    <s v="C1597"/>
    <s v="Sanjay Jain"/>
    <s v="Male"/>
    <n v="58"/>
    <x v="1"/>
    <x v="3"/>
    <s v="Month-to-month"/>
    <n v="18"/>
    <x v="0"/>
    <m/>
    <m/>
    <s v="No Internet"/>
    <d v="2024-03-14T00:00:00"/>
    <s v="No"/>
    <n v="0"/>
    <s v="No"/>
    <s v="No"/>
    <s v="No"/>
    <s v="No"/>
    <s v="Monthly missing; Total missing"/>
  </r>
  <r>
    <s v="C1598"/>
    <s v="Harsh Mehta"/>
    <s v="Male"/>
    <n v="22"/>
    <x v="4"/>
    <x v="10"/>
    <s v="Two year"/>
    <n v="67"/>
    <x v="3"/>
    <n v="849"/>
    <n v="56883"/>
    <s v="DSL"/>
    <d v="2020-03-08T00:00:00"/>
    <s v="No"/>
    <n v="0"/>
    <s v="No"/>
    <s v="No"/>
    <s v="No"/>
    <s v="No"/>
    <s v="No"/>
  </r>
  <r>
    <s v="C1599"/>
    <s v="Komal Bose"/>
    <s v="Female"/>
    <n v="60"/>
    <x v="1"/>
    <x v="14"/>
    <s v="Month-to-month"/>
    <n v="15"/>
    <x v="0"/>
    <n v="1149"/>
    <n v="17235"/>
    <s v="Fiber"/>
    <d v="2024-06-26T00:00:00"/>
    <s v="No"/>
    <n v="0"/>
    <s v="No"/>
    <s v="No"/>
    <s v="No"/>
    <s v="No"/>
    <s v="No"/>
  </r>
  <r>
    <s v="C1600"/>
    <s v="Suresh Nair"/>
    <s v="Male"/>
    <n v="48"/>
    <x v="1"/>
    <x v="2"/>
    <s v="Two year"/>
    <n v="7"/>
    <x v="2"/>
    <n v="1049"/>
    <n v="7343"/>
    <s v="Fiber"/>
    <d v="2025-02-25T00:00:00"/>
    <s v="No"/>
    <n v="0"/>
    <s v="No"/>
    <s v="No"/>
    <s v="No"/>
    <s v="No"/>
    <s v="No"/>
  </r>
  <r>
    <s v="C1601"/>
    <s v="Sachin Iyer"/>
    <s v="Male"/>
    <n v="29"/>
    <x v="0"/>
    <x v="8"/>
    <s v="Two year"/>
    <n v="20"/>
    <x v="0"/>
    <n v="999"/>
    <n v="19980"/>
    <s v="Fiber"/>
    <d v="2024-01-27T00:00:00"/>
    <s v="Yes"/>
    <n v="1"/>
    <s v="No"/>
    <s v="No"/>
    <s v="No"/>
    <s v="No"/>
    <s v="No"/>
  </r>
  <r>
    <s v="C1602"/>
    <s v="Ankit Malhotra"/>
    <s v="Male"/>
    <n v="41"/>
    <x v="3"/>
    <x v="8"/>
    <s v="Month-to-month"/>
    <n v="22"/>
    <x v="0"/>
    <n v="1049"/>
    <n v="23078"/>
    <s v="Fiber"/>
    <d v="2023-11-21T00:00:00"/>
    <s v="Yes"/>
    <n v="1"/>
    <s v="No"/>
    <s v="No"/>
    <s v="Yes"/>
    <s v="No"/>
    <s v="No"/>
  </r>
  <r>
    <s v="C1603"/>
    <s v="Sachin Iyer"/>
    <s v="Male"/>
    <n v="25"/>
    <x v="4"/>
    <x v="3"/>
    <s v="Month-to-month"/>
    <n v="5"/>
    <x v="4"/>
    <n v="1049"/>
    <n v="5245"/>
    <s v="Fiber"/>
    <d v="2025-04-08T00:00:00"/>
    <s v="Yes"/>
    <n v="1"/>
    <s v="No"/>
    <s v="No"/>
    <s v="No"/>
    <s v="No"/>
    <s v="No"/>
  </r>
  <r>
    <s v="C1604"/>
    <s v="Aditi Desai"/>
    <s v="Female"/>
    <n v="75"/>
    <x v="2"/>
    <x v="5"/>
    <s v="Two year"/>
    <n v="19"/>
    <x v="0"/>
    <n v="1149"/>
    <n v="21831"/>
    <s v="Fiber"/>
    <d v="2024-03-04T00:00:00"/>
    <s v="No"/>
    <n v="0"/>
    <s v="No"/>
    <s v="No"/>
    <s v="No"/>
    <s v="No"/>
    <s v="No"/>
  </r>
  <r>
    <s v="C1605"/>
    <s v="Sneha Singh"/>
    <s v="Female"/>
    <n v="61"/>
    <x v="2"/>
    <x v="1"/>
    <s v="Month-to-month"/>
    <n v="20"/>
    <x v="0"/>
    <n v="899"/>
    <n v="17980"/>
    <s v="DSL"/>
    <m/>
    <s v="Yes"/>
    <n v="1"/>
    <s v="No"/>
    <s v="No"/>
    <s v="No"/>
    <s v="No"/>
    <s v="Date missing"/>
  </r>
  <r>
    <s v="C1606"/>
    <s v="Pankaj Chopra"/>
    <s v="Male"/>
    <n v="30"/>
    <x v="0"/>
    <x v="11"/>
    <s v="Month-to-month"/>
    <n v="9"/>
    <x v="2"/>
    <n v="899"/>
    <n v="8091"/>
    <s v="Fiber"/>
    <d v="2024-12-18T00:00:00"/>
    <s v="No"/>
    <n v="0"/>
    <s v="No"/>
    <s v="No"/>
    <s v="No"/>
    <s v="No"/>
    <s v="No"/>
  </r>
  <r>
    <s v="C1607"/>
    <s v="Mohit Rao"/>
    <s v="Male"/>
    <n v="30"/>
    <x v="0"/>
    <x v="7"/>
    <s v="Month-to-month"/>
    <n v="2"/>
    <x v="4"/>
    <n v="1049"/>
    <n v="2098"/>
    <s v="Fiber"/>
    <d v="2025-07-03T00:00:00"/>
    <s v="Yes"/>
    <n v="1"/>
    <s v="No"/>
    <s v="No"/>
    <s v="No"/>
    <s v="No"/>
    <s v="No"/>
  </r>
  <r>
    <s v="C1608"/>
    <s v="Isha Rao"/>
    <s v="Female"/>
    <n v="41"/>
    <x v="3"/>
    <x v="3"/>
    <s v="Month-to-month"/>
    <n v="15"/>
    <x v="0"/>
    <n v="1149"/>
    <n v="17235"/>
    <s v="Fiber"/>
    <d v="2024-06-07T00:00:00"/>
    <s v="Yes"/>
    <n v="1"/>
    <s v="No"/>
    <s v="No"/>
    <s v="No"/>
    <s v="No"/>
    <s v="No"/>
  </r>
  <r>
    <s v="C1609"/>
    <s v="Nisha Kapoor"/>
    <s v="Female"/>
    <n v="36"/>
    <x v="3"/>
    <x v="8"/>
    <s v="Two year"/>
    <n v="55"/>
    <x v="3"/>
    <n v="399"/>
    <n v="21945"/>
    <s v="No Internet"/>
    <d v="2021-03-04T00:00:00"/>
    <s v="No"/>
    <n v="0"/>
    <s v="No"/>
    <s v="No"/>
    <s v="No"/>
    <s v="No"/>
    <s v="No"/>
  </r>
  <r>
    <s v="C1610"/>
    <s v="Rohit Mehta"/>
    <s v="Male"/>
    <n v="37"/>
    <x v="3"/>
    <x v="7"/>
    <s v="Two year"/>
    <n v="43"/>
    <x v="1"/>
    <n v="1149"/>
    <n v="49407"/>
    <s v="Fiber"/>
    <d v="2022-03-05T00:00:00"/>
    <s v="Yes"/>
    <n v="1"/>
    <s v="No"/>
    <s v="No"/>
    <s v="No"/>
    <s v="No"/>
    <s v="No"/>
  </r>
  <r>
    <s v="C1611"/>
    <s v="Nisha Gupta"/>
    <s v="Female"/>
    <n v="53"/>
    <x v="1"/>
    <x v="7"/>
    <s v="One year"/>
    <n v="9"/>
    <x v="2"/>
    <n v="999"/>
    <n v="8991"/>
    <s v="Fiber"/>
    <d v="2024-12-17T00:00:00"/>
    <s v="No"/>
    <n v="0"/>
    <s v="No"/>
    <s v="No"/>
    <s v="No"/>
    <s v="No"/>
    <s v="No"/>
  </r>
  <r>
    <s v="C1612"/>
    <s v="Harsh Bose"/>
    <s v="Male"/>
    <n v="37"/>
    <x v="3"/>
    <x v="7"/>
    <s v="One year"/>
    <n v="2"/>
    <x v="4"/>
    <n v="899"/>
    <n v="1798"/>
    <s v="Fiber"/>
    <d v="2025-07-10T00:00:00"/>
    <s v="Yes"/>
    <n v="1"/>
    <s v="No"/>
    <s v="No"/>
    <s v="No"/>
    <s v="Yes"/>
    <s v="No"/>
  </r>
  <r>
    <s v="C1613"/>
    <s v="Anjali Chopra"/>
    <s v="Female"/>
    <n v="60"/>
    <x v="1"/>
    <x v="5"/>
    <s v="Month-to-month"/>
    <n v="23"/>
    <x v="0"/>
    <n v="999"/>
    <n v="22977"/>
    <s v="Fiber"/>
    <d v="2023-10-31T00:00:00"/>
    <s v="Yes"/>
    <n v="1"/>
    <s v="No"/>
    <s v="No"/>
    <s v="No"/>
    <s v="Yes"/>
    <s v="No"/>
  </r>
  <r>
    <s v="C1614"/>
    <s v="Neha Yadav"/>
    <s v="Female"/>
    <n v="65"/>
    <x v="2"/>
    <x v="2"/>
    <s v="One year"/>
    <n v="17"/>
    <x v="0"/>
    <n v="1199"/>
    <n v="20383"/>
    <s v="Fiber"/>
    <d v="2024-04-10T00:00:00"/>
    <s v="No"/>
    <n v="0"/>
    <s v="No"/>
    <s v="No"/>
    <s v="No"/>
    <s v="No"/>
    <s v="No"/>
  </r>
  <r>
    <s v="C1615"/>
    <s v="Aman Jain"/>
    <s v="Male"/>
    <n v="47"/>
    <x v="1"/>
    <x v="11"/>
    <s v="Month-to-month"/>
    <n v="19"/>
    <x v="0"/>
    <n v="599"/>
    <n v="11381"/>
    <s v="DSL"/>
    <d v="2024-02-14T00:00:00"/>
    <s v="No"/>
    <n v="0"/>
    <s v="Yes"/>
    <s v="No"/>
    <s v="No"/>
    <s v="No"/>
    <s v="No"/>
  </r>
  <r>
    <s v="C1616"/>
    <s v="Aman Gupta"/>
    <s v="Male"/>
    <n v="21"/>
    <x v="4"/>
    <x v="5"/>
    <s v="Month-to-month"/>
    <n v="12"/>
    <x v="2"/>
    <n v="1049"/>
    <n v="12588"/>
    <s v="Fiber"/>
    <d v="2024-09-04T00:00:00"/>
    <s v="No"/>
    <n v="0"/>
    <s v="No"/>
    <s v="No"/>
    <s v="No"/>
    <s v="No"/>
    <s v="No"/>
  </r>
  <r>
    <s v="C1617"/>
    <s v="Mohit Mehta"/>
    <s v="Male"/>
    <n v="67"/>
    <x v="2"/>
    <x v="9"/>
    <s v="Month-to-month"/>
    <n v="6"/>
    <x v="4"/>
    <n v="799"/>
    <n v="4794"/>
    <s v="DSL"/>
    <d v="2025-03-11T00:00:00"/>
    <s v="No"/>
    <n v="0"/>
    <s v="No"/>
    <s v="No"/>
    <s v="Yes"/>
    <s v="No"/>
    <s v="No"/>
  </r>
  <r>
    <s v="C1618"/>
    <s v="Kavita Saxena"/>
    <s v="Female"/>
    <n v="62"/>
    <x v="2"/>
    <x v="14"/>
    <s v="Month-to-month"/>
    <n v="12"/>
    <x v="2"/>
    <n v="999"/>
    <n v="11988"/>
    <s v="Fiber"/>
    <d v="2024-09-24T00:00:00"/>
    <s v="Yes"/>
    <n v="1"/>
    <s v="No"/>
    <s v="No"/>
    <s v="No"/>
    <s v="No"/>
    <s v="No"/>
  </r>
  <r>
    <s v="C1619"/>
    <s v="Komal Tiwari"/>
    <s v="Female"/>
    <n v="39"/>
    <x v="3"/>
    <x v="8"/>
    <s v="Month-to-month"/>
    <n v="8"/>
    <x v="2"/>
    <n v="899"/>
    <n v="7192"/>
    <s v="DSL"/>
    <d v="2025-01-05T00:00:00"/>
    <s v="No"/>
    <n v="0"/>
    <s v="No"/>
    <s v="No"/>
    <s v="Yes"/>
    <s v="No"/>
    <s v="No"/>
  </r>
  <r>
    <s v="C1620"/>
    <s v="Vivek Kapoor"/>
    <s v="Male"/>
    <n v="22"/>
    <x v="4"/>
    <x v="4"/>
    <s v="Two year"/>
    <n v="62"/>
    <x v="3"/>
    <n v="449"/>
    <n v="27838"/>
    <s v="No Internet"/>
    <d v="2020-08-11T00:00:00"/>
    <s v="No"/>
    <n v="0"/>
    <s v="No"/>
    <s v="No"/>
    <s v="No"/>
    <s v="No"/>
    <s v="No"/>
  </r>
  <r>
    <s v="C1621"/>
    <s v="Meera Pandey"/>
    <s v="Female"/>
    <n v="37"/>
    <x v="3"/>
    <x v="3"/>
    <s v="One year"/>
    <n v="9"/>
    <x v="2"/>
    <n v="899"/>
    <n v="8091"/>
    <s v="DSL"/>
    <d v="2024-12-23T00:00:00"/>
    <s v="No"/>
    <n v="0"/>
    <s v="No"/>
    <s v="No"/>
    <s v="No"/>
    <s v="No"/>
    <s v="No"/>
  </r>
  <r>
    <s v="C1622"/>
    <s v="Sanjay Singh"/>
    <s v="Male"/>
    <n v="23"/>
    <x v="4"/>
    <x v="12"/>
    <s v="One year"/>
    <n v="5"/>
    <x v="4"/>
    <n v="1299"/>
    <n v="6495"/>
    <s v="Unknown"/>
    <d v="2025-04-30T00:00:00"/>
    <s v="No"/>
    <n v="0"/>
    <s v="No"/>
    <s v="No"/>
    <s v="No"/>
    <s v="No"/>
    <s v="No"/>
  </r>
  <r>
    <s v="C1623"/>
    <s v="Karan Verma"/>
    <s v="Male"/>
    <n v="68"/>
    <x v="2"/>
    <x v="9"/>
    <s v="Month-to-month"/>
    <n v="4"/>
    <x v="4"/>
    <n v="699"/>
    <n v="2796"/>
    <s v="DSL"/>
    <d v="2025-05-31T00:00:00"/>
    <s v="Yes"/>
    <n v="1"/>
    <s v="No"/>
    <s v="No"/>
    <s v="No"/>
    <s v="No"/>
    <s v="No"/>
  </r>
  <r>
    <s v="C1624"/>
    <s v="Karan Yadav"/>
    <s v="Male"/>
    <n v="31"/>
    <x v="0"/>
    <x v="11"/>
    <s v="Two year"/>
    <n v="45"/>
    <x v="1"/>
    <n v="599"/>
    <n v="26955"/>
    <s v="DSL"/>
    <d v="2022-01-09T00:00:00"/>
    <s v="No"/>
    <n v="0"/>
    <s v="No"/>
    <s v="No"/>
    <s v="No"/>
    <s v="No"/>
    <s v="No"/>
  </r>
  <r>
    <s v="C1625"/>
    <s v="Isha Gupta"/>
    <s v="Female"/>
    <n v="72"/>
    <x v="2"/>
    <x v="1"/>
    <s v="One year"/>
    <n v="33"/>
    <x v="1"/>
    <n v="899"/>
    <n v="29667"/>
    <s v="Fiber"/>
    <d v="2022-12-19T00:00:00"/>
    <s v="No"/>
    <n v="0"/>
    <s v="No"/>
    <s v="No"/>
    <s v="No"/>
    <s v="Yes"/>
    <s v="No"/>
  </r>
  <r>
    <s v="C1626"/>
    <s v="Mohit Mehta"/>
    <s v="Male"/>
    <n v="63"/>
    <x v="2"/>
    <x v="0"/>
    <s v="Two year"/>
    <n v="69"/>
    <x v="3"/>
    <n v="599"/>
    <n v="41331"/>
    <s v="DSL"/>
    <d v="2019-12-30T00:00:00"/>
    <s v="No"/>
    <n v="0"/>
    <s v="No"/>
    <s v="No"/>
    <s v="No"/>
    <s v="No"/>
    <s v="No"/>
  </r>
  <r>
    <s v="C1627"/>
    <s v="Isha Pandey"/>
    <s v="Female"/>
    <n v="55"/>
    <x v="1"/>
    <x v="8"/>
    <s v="Month-to-month"/>
    <n v="6"/>
    <x v="4"/>
    <n v="499"/>
    <n v="2994"/>
    <s v="No Internet"/>
    <d v="2025-03-16T00:00:00"/>
    <s v="No"/>
    <n v="0"/>
    <s v="No"/>
    <s v="No"/>
    <s v="No"/>
    <s v="No"/>
    <s v="No"/>
  </r>
  <r>
    <s v="C1628"/>
    <s v="Vivek Reddy"/>
    <s v="Male"/>
    <n v="66"/>
    <x v="2"/>
    <x v="2"/>
    <s v="Month-to-month"/>
    <n v="5"/>
    <x v="4"/>
    <n v="749"/>
    <n v="3745"/>
    <s v="DSL"/>
    <d v="2025-04-14T00:00:00"/>
    <s v="No"/>
    <n v="0"/>
    <s v="No"/>
    <s v="No"/>
    <s v="No"/>
    <s v="No"/>
    <s v="No"/>
  </r>
  <r>
    <s v="C1629"/>
    <s v="Vikram Joshi"/>
    <s v="Male"/>
    <n v="49"/>
    <x v="1"/>
    <x v="4"/>
    <s v="Month-to-month"/>
    <n v="24"/>
    <x v="0"/>
    <n v="1199"/>
    <n v="28776"/>
    <s v="Fiber"/>
    <d v="2023-09-26T00:00:00"/>
    <s v="Yes"/>
    <n v="1"/>
    <s v="No"/>
    <s v="No"/>
    <s v="No"/>
    <s v="No"/>
    <s v="No"/>
  </r>
  <r>
    <s v="C1630"/>
    <s v="Nisha Mehta"/>
    <s v="Female"/>
    <n v="72"/>
    <x v="2"/>
    <x v="4"/>
    <s v="Two year"/>
    <n v="48"/>
    <x v="1"/>
    <n v="499"/>
    <n v="23952"/>
    <s v="No Internet"/>
    <d v="2021-10-07T00:00:00"/>
    <s v="No"/>
    <n v="0"/>
    <s v="No"/>
    <s v="No"/>
    <s v="No"/>
    <s v="No"/>
    <s v="No"/>
  </r>
  <r>
    <s v="C1631"/>
    <s v="Payal Saxena"/>
    <s v="Female"/>
    <n v="61"/>
    <x v="2"/>
    <x v="4"/>
    <s v="Month-to-month"/>
    <n v="23"/>
    <x v="0"/>
    <n v="899"/>
    <n v="20677"/>
    <s v="Fiber"/>
    <d v="2023-11-02T00:00:00"/>
    <s v="Yes"/>
    <n v="1"/>
    <s v="No"/>
    <s v="No"/>
    <s v="Yes"/>
    <s v="No"/>
    <s v="No"/>
  </r>
  <r>
    <s v="C1632"/>
    <s v="Deepika Yadav"/>
    <s v="Female"/>
    <n v="72"/>
    <x v="2"/>
    <x v="12"/>
    <s v="Month-to-month"/>
    <n v="24"/>
    <x v="0"/>
    <n v="549"/>
    <n v="13176"/>
    <s v="No Internet"/>
    <d v="2023-09-15T00:00:00"/>
    <s v="No"/>
    <n v="0"/>
    <s v="No"/>
    <s v="No"/>
    <s v="No"/>
    <s v="No"/>
    <s v="No"/>
  </r>
  <r>
    <s v="C1633"/>
    <s v="Isha Desai"/>
    <s v="Female"/>
    <n v="60"/>
    <x v="1"/>
    <x v="11"/>
    <s v="Two year"/>
    <n v="66"/>
    <x v="3"/>
    <n v="499"/>
    <n v="32934"/>
    <s v="No Internet"/>
    <d v="2020-04-19T00:00:00"/>
    <s v="No"/>
    <n v="0"/>
    <s v="No"/>
    <s v="Yes"/>
    <s v="No"/>
    <s v="No"/>
    <s v="No"/>
  </r>
  <r>
    <s v="C1634"/>
    <s v="Komal Nair"/>
    <s v="Female"/>
    <n v="47"/>
    <x v="1"/>
    <x v="10"/>
    <s v="Month-to-month"/>
    <n v="3"/>
    <x v="4"/>
    <n v="1199"/>
    <n v="3597"/>
    <s v="Fiber"/>
    <d v="2025-06-18T00:00:00"/>
    <s v="No"/>
    <n v="0"/>
    <s v="Yes"/>
    <s v="No"/>
    <s v="No"/>
    <s v="No"/>
    <s v="No"/>
  </r>
  <r>
    <s v="C1635"/>
    <s v="Pooja Iyer"/>
    <s v="Female"/>
    <n v="57"/>
    <x v="1"/>
    <x v="11"/>
    <s v="Month-to-month"/>
    <n v="17"/>
    <x v="0"/>
    <n v="899"/>
    <n v="15283"/>
    <s v="DSL"/>
    <d v="2024-04-15T00:00:00"/>
    <s v="Yes"/>
    <n v="1"/>
    <s v="No"/>
    <s v="No"/>
    <s v="No"/>
    <s v="No"/>
    <s v="No"/>
  </r>
  <r>
    <s v="C1636"/>
    <s v="Komal Jain"/>
    <s v="Female"/>
    <n v="34"/>
    <x v="0"/>
    <x v="1"/>
    <s v="Month-to-month"/>
    <n v="18"/>
    <x v="0"/>
    <n v="349"/>
    <n v="6282"/>
    <s v="No Internet"/>
    <d v="2024-03-09T00:00:00"/>
    <s v="No"/>
    <n v="0"/>
    <s v="No"/>
    <s v="No"/>
    <s v="No"/>
    <s v="No"/>
    <s v="No"/>
  </r>
  <r>
    <s v="C1637"/>
    <s v="Deepak Kapoor"/>
    <s v="Male"/>
    <n v="38"/>
    <x v="3"/>
    <x v="6"/>
    <s v="Month-to-month"/>
    <n v="2"/>
    <x v="4"/>
    <n v="1149"/>
    <n v="2298"/>
    <s v="Fiber"/>
    <d v="2025-07-25T00:00:00"/>
    <s v="No"/>
    <n v="0"/>
    <s v="No"/>
    <s v="No"/>
    <s v="No"/>
    <s v="No"/>
    <s v="No"/>
  </r>
  <r>
    <s v="C1638"/>
    <s v="Nisha Singh"/>
    <s v="Female"/>
    <n v="37"/>
    <x v="3"/>
    <x v="14"/>
    <s v="Month-to-month"/>
    <n v="19"/>
    <x v="0"/>
    <n v="1099"/>
    <n v="20881"/>
    <s v="Fiber"/>
    <d v="2024-02-18T00:00:00"/>
    <s v="No"/>
    <n v="0"/>
    <s v="No"/>
    <s v="No"/>
    <s v="No"/>
    <s v="No"/>
    <s v="No"/>
  </r>
  <r>
    <s v="C1639"/>
    <s v="Komal Mishra"/>
    <s v="Female"/>
    <n v="47"/>
    <x v="1"/>
    <x v="8"/>
    <s v="Month-to-month"/>
    <n v="16"/>
    <x v="0"/>
    <n v="1099"/>
    <n v="17584"/>
    <s v="Fiber"/>
    <d v="2024-05-12T00:00:00"/>
    <s v="No"/>
    <n v="0"/>
    <s v="Yes"/>
    <s v="No"/>
    <s v="No"/>
    <s v="No"/>
    <s v="No"/>
  </r>
  <r>
    <s v="C1640"/>
    <s v="Swati Verma"/>
    <s v="Unknown"/>
    <n v="19"/>
    <x v="4"/>
    <x v="11"/>
    <s v="Month-to-month"/>
    <n v="12"/>
    <x v="2"/>
    <n v="549"/>
    <n v="6588"/>
    <s v="No Internet"/>
    <d v="2024-09-05T00:00:00"/>
    <s v="Yes"/>
    <n v="1"/>
    <s v="No"/>
    <s v="No"/>
    <s v="No"/>
    <s v="No"/>
    <s v="No"/>
  </r>
  <r>
    <s v="C1641"/>
    <s v="Divya Reddy"/>
    <s v="Female"/>
    <n v="45"/>
    <x v="3"/>
    <x v="2"/>
    <s v="Two year"/>
    <n v="8"/>
    <x v="2"/>
    <n v="999"/>
    <n v="7992"/>
    <s v="Fiber"/>
    <d v="2025-01-22T00:00:00"/>
    <s v="No"/>
    <n v="0"/>
    <s v="No"/>
    <s v="No"/>
    <s v="No"/>
    <s v="No"/>
    <s v="No"/>
  </r>
  <r>
    <s v="C1642"/>
    <s v="Vikram Iyer"/>
    <s v="Male"/>
    <n v="25"/>
    <x v="4"/>
    <x v="2"/>
    <s v="Month-to-month"/>
    <n v="2"/>
    <x v="4"/>
    <n v="1199"/>
    <n v="2398"/>
    <s v="Fiber"/>
    <d v="2025-07-02T00:00:00"/>
    <s v="Yes"/>
    <n v="1"/>
    <s v="No"/>
    <s v="No"/>
    <s v="No"/>
    <s v="No"/>
    <s v="No"/>
  </r>
  <r>
    <s v="C1643"/>
    <s v="Kavita Sharma"/>
    <s v="Female"/>
    <n v="62"/>
    <x v="2"/>
    <x v="7"/>
    <s v="One year"/>
    <n v="25"/>
    <x v="1"/>
    <n v="449"/>
    <n v="11225"/>
    <s v="No Internet"/>
    <d v="2023-08-15T00:00:00"/>
    <s v="No"/>
    <n v="0"/>
    <s v="No"/>
    <s v="No"/>
    <s v="No"/>
    <s v="No"/>
    <s v="No"/>
  </r>
  <r>
    <s v="C1644"/>
    <s v="Anjali Pandey"/>
    <s v="Female"/>
    <n v="61"/>
    <x v="2"/>
    <x v="0"/>
    <s v="Month-to-month"/>
    <n v="22"/>
    <x v="0"/>
    <n v="999"/>
    <n v="21978"/>
    <s v="Fiber"/>
    <d v="2023-11-25T00:00:00"/>
    <s v="Yes"/>
    <n v="1"/>
    <s v="No"/>
    <s v="No"/>
    <s v="No"/>
    <s v="No"/>
    <s v="No"/>
  </r>
  <r>
    <s v="C1645"/>
    <s v="Gaurav Chopra"/>
    <s v="Male"/>
    <n v="72"/>
    <x v="2"/>
    <x v="13"/>
    <s v="Month-to-month"/>
    <n v="7"/>
    <x v="2"/>
    <n v="349"/>
    <n v="2443"/>
    <s v="No Internet"/>
    <d v="2025-02-12T00:00:00"/>
    <s v="Yes"/>
    <n v="1"/>
    <s v="No"/>
    <s v="No"/>
    <s v="No"/>
    <s v="No"/>
    <s v="No"/>
  </r>
  <r>
    <s v="C1646"/>
    <s v="Ritu Yadav"/>
    <s v="Female"/>
    <n v="65"/>
    <x v="2"/>
    <x v="4"/>
    <s v="One year"/>
    <n v="38"/>
    <x v="1"/>
    <n v="1049"/>
    <n v="39862"/>
    <s v="Fiber"/>
    <d v="2022-07-30T00:00:00"/>
    <s v="No"/>
    <n v="0"/>
    <s v="No"/>
    <s v="No"/>
    <s v="No"/>
    <s v="No"/>
    <s v="No"/>
  </r>
  <r>
    <s v="C1647"/>
    <s v="Nisha Mehta"/>
    <s v="Female"/>
    <n v="40"/>
    <x v="3"/>
    <x v="13"/>
    <s v="Month-to-month"/>
    <n v="17"/>
    <x v="0"/>
    <n v="499"/>
    <n v="8483"/>
    <s v="No Internet"/>
    <d v="2024-04-26T00:00:00"/>
    <s v="No"/>
    <n v="0"/>
    <s v="No"/>
    <s v="No"/>
    <s v="No"/>
    <s v="No"/>
    <s v="No"/>
  </r>
  <r>
    <s v="C1648"/>
    <s v="Vivek Rao"/>
    <s v="Male"/>
    <n v="34"/>
    <x v="0"/>
    <x v="11"/>
    <s v="Month-to-month"/>
    <n v="18"/>
    <x v="0"/>
    <n v="899"/>
    <n v="16182"/>
    <s v="Fiber"/>
    <d v="2024-03-19T00:00:00"/>
    <s v="No"/>
    <n v="0"/>
    <s v="No"/>
    <s v="No"/>
    <s v="No"/>
    <s v="No"/>
    <s v="No"/>
  </r>
  <r>
    <s v="C1649"/>
    <s v="Deepika Saxena"/>
    <s v="Female"/>
    <n v="70"/>
    <x v="2"/>
    <x v="14"/>
    <s v="Two year"/>
    <n v="69"/>
    <x v="3"/>
    <n v="899"/>
    <n v="62031"/>
    <s v="DSL"/>
    <d v="2020-01-05T00:00:00"/>
    <s v="No"/>
    <n v="0"/>
    <s v="No"/>
    <s v="No"/>
    <s v="No"/>
    <s v="No"/>
    <s v="No"/>
  </r>
  <r>
    <s v="C1650"/>
    <s v="Mohit Mehta"/>
    <s v="Male"/>
    <n v="41"/>
    <x v="3"/>
    <x v="7"/>
    <s v="Month-to-month"/>
    <n v="22"/>
    <x v="0"/>
    <n v="899"/>
    <n v="19778"/>
    <s v="DSL"/>
    <d v="2023-11-11T00:00:00"/>
    <s v="Yes"/>
    <n v="1"/>
    <s v="No"/>
    <s v="No"/>
    <s v="No"/>
    <s v="No"/>
    <s v="No"/>
  </r>
  <r>
    <s v="C1651"/>
    <s v="Sanjay Tiwari"/>
    <s v="Male"/>
    <n v="35"/>
    <x v="0"/>
    <x v="6"/>
    <s v="Month-to-month"/>
    <n v="22"/>
    <x v="0"/>
    <n v="799"/>
    <n v="17578"/>
    <s v="DSL"/>
    <d v="2023-12-04T00:00:00"/>
    <s v="Yes"/>
    <n v="1"/>
    <s v="No"/>
    <s v="No"/>
    <s v="No"/>
    <s v="No"/>
    <s v="No"/>
  </r>
  <r>
    <s v="C1652"/>
    <s v="Rahul Nair"/>
    <s v="Male"/>
    <n v="69"/>
    <x v="2"/>
    <x v="6"/>
    <s v="Month-to-month"/>
    <n v="14"/>
    <x v="0"/>
    <n v="1199"/>
    <n v="16786"/>
    <s v="Fiber"/>
    <d v="2024-07-27T00:00:00"/>
    <s v="Yes"/>
    <n v="1"/>
    <s v="No"/>
    <s v="No"/>
    <s v="No"/>
    <s v="Yes"/>
    <s v="No"/>
  </r>
  <r>
    <s v="C1653"/>
    <s v="Rahul Malhotra"/>
    <s v="Unknown"/>
    <n v="68"/>
    <x v="2"/>
    <x v="13"/>
    <s v="Month-to-month"/>
    <n v="21"/>
    <x v="0"/>
    <n v="899"/>
    <n v="18879"/>
    <s v="Fiber"/>
    <d v="2024-01-06T00:00:00"/>
    <s v="No"/>
    <n v="0"/>
    <s v="No"/>
    <s v="No"/>
    <s v="No"/>
    <s v="No"/>
    <s v="No"/>
  </r>
  <r>
    <s v="C1654"/>
    <s v="Nikhil Yadav"/>
    <s v="Male"/>
    <n v="37"/>
    <x v="3"/>
    <x v="6"/>
    <s v="Month-to-month"/>
    <n v="12"/>
    <x v="2"/>
    <n v="349"/>
    <n v="4188"/>
    <s v="No Internet"/>
    <d v="2024-09-07T00:00:00"/>
    <s v="Yes"/>
    <n v="1"/>
    <s v="No"/>
    <s v="No"/>
    <s v="No"/>
    <s v="Yes"/>
    <s v="No"/>
  </r>
  <r>
    <s v="C1655"/>
    <s v="Manish Reddy"/>
    <s v="Male"/>
    <n v="54"/>
    <x v="1"/>
    <x v="14"/>
    <s v="Month-to-month"/>
    <n v="22"/>
    <x v="0"/>
    <n v="899"/>
    <n v="19778"/>
    <s v="DSL"/>
    <d v="2023-11-10T00:00:00"/>
    <s v="Yes"/>
    <n v="1"/>
    <s v="No"/>
    <s v="No"/>
    <s v="No"/>
    <s v="No"/>
    <s v="No"/>
  </r>
  <r>
    <s v="C1656"/>
    <s v="Manish Yadav"/>
    <s v="Male"/>
    <n v="25"/>
    <x v="4"/>
    <x v="13"/>
    <s v="Two year"/>
    <n v="50"/>
    <x v="3"/>
    <n v="899"/>
    <n v="44950"/>
    <s v="DSL"/>
    <d v="2021-08-14T00:00:00"/>
    <s v="No"/>
    <n v="0"/>
    <s v="No"/>
    <s v="No"/>
    <s v="No"/>
    <s v="No"/>
    <s v="No"/>
  </r>
  <r>
    <s v="C1657"/>
    <s v="Unknown"/>
    <s v="Male"/>
    <n v="31"/>
    <x v="0"/>
    <x v="5"/>
    <s v="Month-to-month"/>
    <n v="19"/>
    <x v="0"/>
    <n v="599"/>
    <n v="11381"/>
    <s v="DSL"/>
    <d v="2024-03-04T00:00:00"/>
    <s v="Yes"/>
    <n v="1"/>
    <s v="No"/>
    <s v="No"/>
    <s v="No"/>
    <s v="No"/>
    <s v="No"/>
  </r>
  <r>
    <s v="C1658"/>
    <s v="Sonal Tiwari"/>
    <s v="Female"/>
    <n v="48"/>
    <x v="1"/>
    <x v="9"/>
    <s v="Month-to-month"/>
    <n v="5"/>
    <x v="4"/>
    <n v="699"/>
    <n v="3495"/>
    <s v="DSL"/>
    <d v="2025-05-01T00:00:00"/>
    <s v="No"/>
    <n v="0"/>
    <s v="No"/>
    <s v="No"/>
    <s v="No"/>
    <s v="No"/>
    <s v="No"/>
  </r>
  <r>
    <s v="C1659"/>
    <s v="Amit Pandey"/>
    <s v="Male"/>
    <n v="68"/>
    <x v="2"/>
    <x v="9"/>
    <s v="Month-to-month"/>
    <n v="10"/>
    <x v="2"/>
    <n v="1199"/>
    <n v="11990"/>
    <s v="Fiber"/>
    <d v="2024-11-11T00:00:00"/>
    <s v="No"/>
    <n v="0"/>
    <s v="No"/>
    <s v="No"/>
    <s v="No"/>
    <s v="No"/>
    <s v="No"/>
  </r>
  <r>
    <s v="C1660"/>
    <s v="Sachin Nair"/>
    <s v="Male"/>
    <n v="72"/>
    <x v="2"/>
    <x v="7"/>
    <s v="Month-to-month"/>
    <n v="13"/>
    <x v="0"/>
    <n v="349"/>
    <n v="4537"/>
    <s v="No Internet"/>
    <d v="2024-08-10T00:00:00"/>
    <s v="No"/>
    <n v="0"/>
    <s v="No"/>
    <s v="No"/>
    <s v="No"/>
    <s v="No"/>
    <s v="No"/>
  </r>
  <r>
    <s v="C1661"/>
    <s v="Harsh Mehta"/>
    <s v="Male"/>
    <n v="73"/>
    <x v="2"/>
    <x v="8"/>
    <s v="Two year"/>
    <n v="53"/>
    <x v="3"/>
    <n v="899"/>
    <n v="47647"/>
    <s v="Fiber"/>
    <d v="2021-04-26T00:00:00"/>
    <s v="No"/>
    <n v="0"/>
    <s v="No"/>
    <s v="No"/>
    <s v="Yes"/>
    <s v="No"/>
    <s v="No"/>
  </r>
  <r>
    <s v="C1662"/>
    <s v="Komal Agarwal"/>
    <s v="Female"/>
    <n v="44"/>
    <x v="3"/>
    <x v="6"/>
    <s v="Month-to-month"/>
    <n v="4"/>
    <x v="4"/>
    <n v="999"/>
    <n v="3996"/>
    <s v="Fiber"/>
    <d v="2025-05-20T00:00:00"/>
    <s v="Yes"/>
    <n v="1"/>
    <s v="No"/>
    <s v="No"/>
    <s v="No"/>
    <s v="No"/>
    <s v="No"/>
  </r>
  <r>
    <s v="C1663"/>
    <s v="Riya Agarwal"/>
    <s v="Female"/>
    <n v="70"/>
    <x v="2"/>
    <x v="1"/>
    <s v="One year"/>
    <n v="2"/>
    <x v="4"/>
    <n v="899"/>
    <n v="1798"/>
    <s v="Fiber"/>
    <d v="2025-07-05T00:00:00"/>
    <s v="No"/>
    <n v="0"/>
    <s v="No"/>
    <s v="Yes"/>
    <s v="No"/>
    <s v="No"/>
    <s v="No"/>
  </r>
  <r>
    <s v="C1664"/>
    <s v="Rahul Rao"/>
    <s v="Male"/>
    <n v="30"/>
    <x v="0"/>
    <x v="9"/>
    <s v="Month-to-month"/>
    <n v="4"/>
    <x v="4"/>
    <n v="999"/>
    <n v="3996"/>
    <s v="Fiber"/>
    <d v="2025-05-07T00:00:00"/>
    <s v="No"/>
    <n v="0"/>
    <s v="No"/>
    <s v="No"/>
    <s v="No"/>
    <s v="No"/>
    <s v="No"/>
  </r>
  <r>
    <s v="C1665"/>
    <s v="Pankaj Saxena"/>
    <s v="Male"/>
    <n v="44"/>
    <x v="3"/>
    <x v="13"/>
    <s v="Two year"/>
    <n v="18"/>
    <x v="0"/>
    <n v="999"/>
    <n v="17982"/>
    <s v="Fiber"/>
    <d v="2024-03-12T00:00:00"/>
    <s v="No"/>
    <n v="0"/>
    <s v="No"/>
    <s v="No"/>
    <s v="No"/>
    <s v="No"/>
    <s v="No"/>
  </r>
  <r>
    <s v="C1666"/>
    <s v="Deepika Kumar"/>
    <s v="Female"/>
    <n v="44"/>
    <x v="3"/>
    <x v="2"/>
    <s v="Month-to-month"/>
    <n v="19"/>
    <x v="0"/>
    <n v="349"/>
    <n v="6631"/>
    <s v="No Internet"/>
    <d v="2024-02-16T00:00:00"/>
    <s v="No"/>
    <n v="0"/>
    <s v="No"/>
    <s v="No"/>
    <s v="No"/>
    <s v="No"/>
    <s v="No"/>
  </r>
  <r>
    <s v="C1667"/>
    <s v="Vikram Kapoor"/>
    <s v="Male"/>
    <n v="30"/>
    <x v="0"/>
    <x v="5"/>
    <s v="One year"/>
    <n v="26"/>
    <x v="1"/>
    <n v="799"/>
    <n v="20774"/>
    <s v="DSL"/>
    <d v="2023-08-08T00:00:00"/>
    <s v="No"/>
    <n v="0"/>
    <s v="No"/>
    <s v="No"/>
    <s v="No"/>
    <s v="No"/>
    <s v="No"/>
  </r>
  <r>
    <s v="C1668"/>
    <s v="Meera Bose"/>
    <s v="Female"/>
    <n v="25"/>
    <x v="4"/>
    <x v="3"/>
    <s v="One year"/>
    <n v="30"/>
    <x v="1"/>
    <n v="1199"/>
    <n v="35970"/>
    <s v="Fiber"/>
    <d v="2023-03-21T00:00:00"/>
    <s v="Yes"/>
    <n v="1"/>
    <s v="No"/>
    <s v="No"/>
    <s v="No"/>
    <s v="No"/>
    <s v="No"/>
  </r>
  <r>
    <s v="C1669"/>
    <s v="Sanjay Malhotra"/>
    <s v="Male"/>
    <n v="36"/>
    <x v="3"/>
    <x v="14"/>
    <s v="Month-to-month"/>
    <n v="7"/>
    <x v="2"/>
    <n v="799"/>
    <n v="5593"/>
    <s v="DSL"/>
    <d v="2025-02-24T00:00:00"/>
    <s v="No"/>
    <n v="0"/>
    <s v="No"/>
    <s v="No"/>
    <s v="No"/>
    <s v="No"/>
    <s v="No"/>
  </r>
  <r>
    <s v="C1670"/>
    <s v="Meera Tiwari"/>
    <s v="Female"/>
    <n v="68"/>
    <x v="2"/>
    <x v="10"/>
    <s v="Month-to-month"/>
    <n v="8"/>
    <x v="2"/>
    <n v="399"/>
    <n v="3192"/>
    <s v="No Internet"/>
    <d v="2025-01-10T00:00:00"/>
    <s v="Yes"/>
    <n v="1"/>
    <s v="No"/>
    <s v="No"/>
    <s v="No"/>
    <s v="No"/>
    <s v="No"/>
  </r>
  <r>
    <s v="C1671"/>
    <s v="Neha Sharma"/>
    <s v="Female"/>
    <n v="48"/>
    <x v="1"/>
    <x v="8"/>
    <s v="Two year"/>
    <n v="51"/>
    <x v="3"/>
    <n v="499"/>
    <n v="25449"/>
    <s v="No Internet"/>
    <d v="2021-06-28T00:00:00"/>
    <s v="No"/>
    <n v="0"/>
    <s v="No"/>
    <s v="No"/>
    <s v="No"/>
    <s v="No"/>
    <s v="No"/>
  </r>
  <r>
    <s v="C1672"/>
    <s v="Neha Reddy"/>
    <s v="Female"/>
    <n v="53"/>
    <x v="1"/>
    <x v="3"/>
    <s v="Month-to-month"/>
    <n v="16"/>
    <x v="0"/>
    <n v="549"/>
    <n v="8784"/>
    <s v="No Internet"/>
    <d v="2024-05-11T00:00:00"/>
    <s v="No"/>
    <n v="0"/>
    <s v="No"/>
    <s v="No"/>
    <s v="Yes"/>
    <s v="No"/>
    <s v="No"/>
  </r>
  <r>
    <s v="C1673"/>
    <s v="Rahul Malhotra"/>
    <s v="Male"/>
    <n v="50"/>
    <x v="1"/>
    <x v="11"/>
    <s v="Month-to-month"/>
    <n v="22"/>
    <x v="0"/>
    <n v="549"/>
    <n v="12078"/>
    <s v="No Internet"/>
    <d v="2023-12-03T00:00:00"/>
    <s v="Yes"/>
    <n v="1"/>
    <s v="No"/>
    <s v="No"/>
    <s v="No"/>
    <s v="No"/>
    <s v="No"/>
  </r>
  <r>
    <s v="C1674"/>
    <s v="Meera Jain"/>
    <s v="Female"/>
    <n v="49"/>
    <x v="1"/>
    <x v="2"/>
    <s v="Two year"/>
    <m/>
    <x v="4"/>
    <n v="849"/>
    <m/>
    <s v="DSL"/>
    <d v="2022-05-14T00:00:00"/>
    <s v="No"/>
    <n v="0"/>
    <s v="No"/>
    <s v="No"/>
    <s v="No"/>
    <s v="No"/>
    <s v="Total missing; Tenure missing"/>
  </r>
  <r>
    <s v="C1675"/>
    <s v="Sneha Singh"/>
    <s v="Female"/>
    <n v="49"/>
    <x v="1"/>
    <x v="6"/>
    <s v="Two year"/>
    <n v="47"/>
    <x v="1"/>
    <n v="749"/>
    <n v="35203"/>
    <s v="DSL"/>
    <d v="2021-10-25T00:00:00"/>
    <s v="Unknown"/>
    <s v=""/>
    <s v="No"/>
    <s v="No"/>
    <s v="No"/>
    <s v="No"/>
    <s v="Churn unknown"/>
  </r>
  <r>
    <s v="C1676"/>
    <s v="Payal Joshi"/>
    <s v="Female"/>
    <n v="45"/>
    <x v="3"/>
    <x v="8"/>
    <s v="Month-to-month"/>
    <n v="5"/>
    <x v="4"/>
    <n v="499"/>
    <n v="2495"/>
    <s v="No Internet"/>
    <d v="2025-04-27T00:00:00"/>
    <s v="Yes"/>
    <n v="1"/>
    <s v="No"/>
    <s v="No"/>
    <s v="No"/>
    <s v="No"/>
    <s v="No"/>
  </r>
  <r>
    <s v="C1677"/>
    <s v="Manish Gupta"/>
    <s v="Male"/>
    <n v="20"/>
    <x v="4"/>
    <x v="7"/>
    <s v="Month-to-month"/>
    <n v="14"/>
    <x v="0"/>
    <n v="1099"/>
    <n v="15386"/>
    <s v="Fiber"/>
    <d v="2024-07-13T00:00:00"/>
    <s v="Yes"/>
    <n v="1"/>
    <s v="No"/>
    <s v="No"/>
    <s v="No"/>
    <s v="No"/>
    <s v="No"/>
  </r>
  <r>
    <s v="C1678"/>
    <s v="Shreya Desai"/>
    <s v="Female"/>
    <n v="25"/>
    <x v="4"/>
    <x v="6"/>
    <s v="One year"/>
    <n v="23"/>
    <x v="0"/>
    <n v="599"/>
    <n v="13777"/>
    <s v="DSL"/>
    <d v="2023-11-03T00:00:00"/>
    <s v="No"/>
    <n v="0"/>
    <s v="No"/>
    <s v="No"/>
    <s v="No"/>
    <s v="No"/>
    <s v="No"/>
  </r>
  <r>
    <s v="C1679"/>
    <s v="Tanvi Saxena"/>
    <s v="Female"/>
    <n v="55"/>
    <x v="1"/>
    <x v="0"/>
    <s v="One year"/>
    <n v="34"/>
    <x v="1"/>
    <n v="399"/>
    <n v="13566"/>
    <s v="No Internet"/>
    <d v="2022-12-11T00:00:00"/>
    <s v="No"/>
    <n v="0"/>
    <s v="No"/>
    <s v="No"/>
    <s v="No"/>
    <s v="No"/>
    <s v="No"/>
  </r>
  <r>
    <s v="C1680"/>
    <s v="Gaurav Saxena"/>
    <s v="Male"/>
    <n v="24"/>
    <x v="4"/>
    <x v="2"/>
    <s v="Month-to-month"/>
    <n v="22"/>
    <x v="0"/>
    <n v="1099"/>
    <n v="24178"/>
    <s v="Fiber"/>
    <d v="2023-12-05T00:00:00"/>
    <s v="No"/>
    <n v="0"/>
    <s v="No"/>
    <s v="No"/>
    <s v="No"/>
    <s v="No"/>
    <s v="No"/>
  </r>
  <r>
    <s v="C1681"/>
    <s v="Pooja Sharma"/>
    <s v="Female"/>
    <n v="23"/>
    <x v="4"/>
    <x v="7"/>
    <s v="Two year"/>
    <n v="59"/>
    <x v="3"/>
    <n v="1049"/>
    <n v="61891"/>
    <s v="Fiber"/>
    <d v="2020-11-13T00:00:00"/>
    <s v="No"/>
    <n v="0"/>
    <s v="No"/>
    <s v="No"/>
    <s v="No"/>
    <s v="No"/>
    <s v="No"/>
  </r>
  <r>
    <s v="C1682"/>
    <s v="Pankaj Kapoor"/>
    <s v="Male"/>
    <n v="38"/>
    <x v="3"/>
    <x v="14"/>
    <s v="Two year"/>
    <n v="17"/>
    <x v="0"/>
    <n v="349"/>
    <n v="5933"/>
    <s v="No Internet"/>
    <d v="2024-04-27T00:00:00"/>
    <s v="No"/>
    <n v="0"/>
    <s v="No"/>
    <s v="No"/>
    <s v="No"/>
    <s v="No"/>
    <s v="No"/>
  </r>
  <r>
    <s v="C1683"/>
    <s v="Sneha Agarwal"/>
    <s v="Female"/>
    <n v="22"/>
    <x v="4"/>
    <x v="1"/>
    <s v="Two year"/>
    <n v="52"/>
    <x v="3"/>
    <n v="999"/>
    <n v="51948"/>
    <s v="Fiber"/>
    <d v="2021-05-25T00:00:00"/>
    <s v="No"/>
    <n v="0"/>
    <s v="No"/>
    <s v="No"/>
    <s v="No"/>
    <s v="No"/>
    <s v="No"/>
  </r>
  <r>
    <s v="C1684"/>
    <s v="Neha Sharma"/>
    <s v="Unknown"/>
    <n v="72"/>
    <x v="2"/>
    <x v="0"/>
    <s v="Month-to-month"/>
    <n v="10"/>
    <x v="2"/>
    <n v="1299"/>
    <n v="12990"/>
    <s v="Fiber"/>
    <d v="2024-11-17T00:00:00"/>
    <s v="Yes"/>
    <n v="1"/>
    <s v="No"/>
    <s v="No"/>
    <s v="No"/>
    <s v="No"/>
    <s v="No"/>
  </r>
  <r>
    <s v="C1685"/>
    <s v="Aditi Saxena"/>
    <s v="Female"/>
    <n v="56"/>
    <x v="1"/>
    <x v="8"/>
    <s v="Month-to-month"/>
    <n v="12"/>
    <x v="2"/>
    <n v="799"/>
    <n v="9588"/>
    <s v="DSL"/>
    <d v="2024-09-21T00:00:00"/>
    <s v="No"/>
    <n v="0"/>
    <s v="No"/>
    <s v="No"/>
    <s v="No"/>
    <s v="No"/>
    <s v="No"/>
  </r>
  <r>
    <s v="C1686"/>
    <s v="Kavita Bose"/>
    <s v="Female"/>
    <n v="56"/>
    <x v="1"/>
    <x v="12"/>
    <s v="Month-to-month"/>
    <n v="12"/>
    <x v="2"/>
    <n v="999"/>
    <n v="11988"/>
    <s v="Fiber"/>
    <d v="2024-10-01T00:00:00"/>
    <s v="No"/>
    <n v="0"/>
    <s v="No"/>
    <s v="No"/>
    <s v="No"/>
    <s v="No"/>
    <s v="No"/>
  </r>
  <r>
    <s v="C1687"/>
    <s v="Mohit Joshi"/>
    <s v="Male"/>
    <n v="47"/>
    <x v="1"/>
    <x v="9"/>
    <s v="Month-to-month"/>
    <n v="5"/>
    <x v="4"/>
    <n v="1149"/>
    <n v="5745"/>
    <s v="Fiber"/>
    <d v="2025-04-17T00:00:00"/>
    <s v="Yes"/>
    <n v="1"/>
    <s v="No"/>
    <s v="No"/>
    <s v="Yes"/>
    <s v="No"/>
    <s v="No"/>
  </r>
  <r>
    <s v="C1688"/>
    <s v="Neha Desai"/>
    <s v="Female"/>
    <n v="37"/>
    <x v="3"/>
    <x v="8"/>
    <s v="Two year"/>
    <n v="39"/>
    <x v="1"/>
    <n v="999"/>
    <n v="38961"/>
    <s v="Fiber"/>
    <d v="2022-06-28T00:00:00"/>
    <s v="No"/>
    <n v="0"/>
    <s v="No"/>
    <s v="No"/>
    <s v="No"/>
    <s v="No"/>
    <s v="No"/>
  </r>
  <r>
    <s v="C1689"/>
    <s v="Sachin Kumar"/>
    <s v="Male"/>
    <n v="20"/>
    <x v="4"/>
    <x v="1"/>
    <s v="Month-to-month"/>
    <n v="4"/>
    <x v="4"/>
    <n v="1199"/>
    <n v="4796"/>
    <s v="Fiber"/>
    <d v="2025-05-20T00:00:00"/>
    <s v="No"/>
    <n v="0"/>
    <s v="No"/>
    <s v="No"/>
    <s v="No"/>
    <s v="No"/>
    <s v="No"/>
  </r>
  <r>
    <s v="C1690"/>
    <s v="Tanvi Kumar"/>
    <s v="Unknown"/>
    <n v="67"/>
    <x v="2"/>
    <x v="1"/>
    <s v="Month-to-month"/>
    <n v="15"/>
    <x v="0"/>
    <n v="1299"/>
    <n v="19485"/>
    <s v="Fiber"/>
    <d v="2024-07-04T00:00:00"/>
    <s v="No"/>
    <n v="0"/>
    <s v="No"/>
    <s v="No"/>
    <s v="No"/>
    <s v="No"/>
    <s v="No"/>
  </r>
  <r>
    <s v="C1691"/>
    <s v="Unknown"/>
    <s v="Male"/>
    <n v="37"/>
    <x v="3"/>
    <x v="2"/>
    <s v="One year"/>
    <n v="29"/>
    <x v="1"/>
    <n v="1299"/>
    <n v="37671"/>
    <s v="Fiber"/>
    <d v="2023-04-13T00:00:00"/>
    <s v="No"/>
    <n v="0"/>
    <s v="No"/>
    <s v="No"/>
    <s v="No"/>
    <s v="No"/>
    <s v="No"/>
  </r>
  <r>
    <s v="C1692"/>
    <s v="Sanjay Gupta"/>
    <s v="Male"/>
    <n v="23"/>
    <x v="4"/>
    <x v="14"/>
    <s v="Two year"/>
    <n v="14"/>
    <x v="0"/>
    <n v="749"/>
    <n v="10486"/>
    <s v="DSL"/>
    <d v="2024-08-01T00:00:00"/>
    <s v="Yes"/>
    <n v="1"/>
    <s v="No"/>
    <s v="No"/>
    <s v="No"/>
    <s v="No"/>
    <s v="No"/>
  </r>
  <r>
    <s v="C1693"/>
    <s v="Arjun Chopra"/>
    <s v="Male"/>
    <n v="48"/>
    <x v="1"/>
    <x v="7"/>
    <s v="One year"/>
    <n v="39"/>
    <x v="1"/>
    <n v="449"/>
    <n v="17511"/>
    <s v="No Internet"/>
    <d v="2022-06-27T00:00:00"/>
    <s v="No"/>
    <n v="0"/>
    <s v="No"/>
    <s v="No"/>
    <s v="No"/>
    <s v="No"/>
    <s v="No"/>
  </r>
  <r>
    <s v="C1694"/>
    <s v="Divya Iyer"/>
    <s v="Female"/>
    <n v="47"/>
    <x v="1"/>
    <x v="8"/>
    <s v="Month-to-month"/>
    <n v="1"/>
    <x v="4"/>
    <n v="849"/>
    <n v="849"/>
    <s v="DSL"/>
    <d v="2025-08-09T00:00:00"/>
    <s v="Yes"/>
    <n v="1"/>
    <s v="Yes"/>
    <s v="No"/>
    <s v="No"/>
    <s v="No"/>
    <s v="No"/>
  </r>
  <r>
    <s v="C1695"/>
    <s v="Manish Tiwari"/>
    <s v="Male"/>
    <n v="71"/>
    <x v="2"/>
    <x v="9"/>
    <s v="Two year"/>
    <n v="12"/>
    <x v="2"/>
    <n v="1299"/>
    <n v="15588"/>
    <s v="Fiber"/>
    <d v="2024-09-20T00:00:00"/>
    <s v="No"/>
    <n v="0"/>
    <s v="No"/>
    <s v="No"/>
    <s v="No"/>
    <s v="No"/>
    <s v="No"/>
  </r>
  <r>
    <s v="C1696"/>
    <s v="Karan Gupta"/>
    <s v="Male"/>
    <n v="75"/>
    <x v="2"/>
    <x v="8"/>
    <s v="Unknown"/>
    <n v="32"/>
    <x v="1"/>
    <n v="899"/>
    <n v="28768"/>
    <s v="Unknown"/>
    <d v="2023-02-05T00:00:00"/>
    <s v="No"/>
    <n v="0"/>
    <s v="No"/>
    <s v="No"/>
    <s v="No"/>
    <s v="No"/>
    <s v="No"/>
  </r>
  <r>
    <s v="C1697"/>
    <s v="Tanvi Rao"/>
    <s v="Female"/>
    <n v="21"/>
    <x v="4"/>
    <x v="2"/>
    <s v="Month-to-month"/>
    <n v="23"/>
    <x v="0"/>
    <n v="1099"/>
    <n v="25277"/>
    <s v="Fiber"/>
    <d v="2023-10-20T00:00:00"/>
    <s v="No"/>
    <n v="0"/>
    <s v="No"/>
    <s v="No"/>
    <s v="No"/>
    <s v="No"/>
    <s v="No"/>
  </r>
  <r>
    <s v="C1698"/>
    <s v="Sneha Desai"/>
    <s v="Female"/>
    <n v="43"/>
    <x v="3"/>
    <x v="7"/>
    <s v="Month-to-month"/>
    <n v="22"/>
    <x v="0"/>
    <n v="1299"/>
    <n v="28578"/>
    <s v="Fiber"/>
    <d v="2023-12-07T00:00:00"/>
    <s v="Yes"/>
    <n v="1"/>
    <s v="No"/>
    <s v="No"/>
    <s v="No"/>
    <s v="No"/>
    <s v="No"/>
  </r>
  <r>
    <s v="C1699"/>
    <s v="Vivek Bose"/>
    <s v="Male"/>
    <n v="38"/>
    <x v="3"/>
    <x v="1"/>
    <s v="Month-to-month"/>
    <n v="14"/>
    <x v="0"/>
    <n v="499"/>
    <n v="6986"/>
    <s v="No Internet"/>
    <d v="2024-07-15T00:00:00"/>
    <s v="Unknown"/>
    <s v=""/>
    <s v="No"/>
    <s v="No"/>
    <s v="No"/>
    <s v="No"/>
    <s v="Churn unknown"/>
  </r>
  <r>
    <s v="C1700"/>
    <s v="Shreya Pandey"/>
    <s v="Female"/>
    <n v="45"/>
    <x v="3"/>
    <x v="3"/>
    <s v="Month-to-month"/>
    <n v="16"/>
    <x v="0"/>
    <n v="1099"/>
    <n v="17584"/>
    <s v="Fiber"/>
    <d v="2024-05-18T00:00:00"/>
    <s v="No"/>
    <n v="0"/>
    <s v="No"/>
    <s v="No"/>
    <s v="No"/>
    <s v="No"/>
    <s v="No"/>
  </r>
  <r>
    <s v="C1701"/>
    <s v="Riya Pandey"/>
    <s v="Female"/>
    <n v="60"/>
    <x v="1"/>
    <x v="7"/>
    <s v="Month-to-month"/>
    <n v="23"/>
    <x v="0"/>
    <n v="749"/>
    <n v="17227"/>
    <s v="DSL"/>
    <m/>
    <s v="No"/>
    <n v="0"/>
    <s v="No"/>
    <s v="No"/>
    <s v="No"/>
    <s v="No"/>
    <s v="Date missing"/>
  </r>
  <r>
    <s v="C1702"/>
    <s v="Pankaj Mehta"/>
    <s v="Male"/>
    <n v="36"/>
    <x v="3"/>
    <x v="14"/>
    <s v="One year"/>
    <n v="9"/>
    <x v="2"/>
    <n v="999"/>
    <n v="8991"/>
    <s v="Fiber"/>
    <d v="2024-12-29T00:00:00"/>
    <s v="No"/>
    <n v="0"/>
    <s v="No"/>
    <s v="No"/>
    <s v="No"/>
    <s v="No"/>
    <s v="No"/>
  </r>
  <r>
    <s v="C1703"/>
    <s v="Komal Iyer"/>
    <s v="Female"/>
    <n v="33"/>
    <x v="0"/>
    <x v="0"/>
    <s v="One year"/>
    <n v="23"/>
    <x v="0"/>
    <n v="399"/>
    <n v="9177"/>
    <s v="No Internet"/>
    <d v="2023-10-12T00:00:00"/>
    <s v="No"/>
    <n v="0"/>
    <s v="No"/>
    <s v="No"/>
    <s v="No"/>
    <s v="No"/>
    <s v="No"/>
  </r>
  <r>
    <s v="C1704"/>
    <s v="Vikram Joshi"/>
    <s v="Male"/>
    <n v="45"/>
    <x v="3"/>
    <x v="4"/>
    <s v="One year"/>
    <n v="15"/>
    <x v="0"/>
    <n v="749"/>
    <n v="11235"/>
    <s v="DSL"/>
    <d v="2024-06-11T00:00:00"/>
    <s v="No"/>
    <n v="0"/>
    <s v="No"/>
    <s v="No"/>
    <s v="No"/>
    <s v="No"/>
    <s v="No"/>
  </r>
  <r>
    <s v="C1705"/>
    <s v="Sachin Malhotra"/>
    <s v="Male"/>
    <n v="75"/>
    <x v="2"/>
    <x v="8"/>
    <s v="Two year"/>
    <n v="14"/>
    <x v="0"/>
    <n v="499"/>
    <n v="6986"/>
    <s v="No Internet"/>
    <d v="2024-07-09T00:00:00"/>
    <s v="No"/>
    <n v="0"/>
    <s v="No"/>
    <s v="No"/>
    <s v="No"/>
    <s v="No"/>
    <s v="No"/>
  </r>
  <r>
    <s v="C1706"/>
    <s v="Karan Yadav"/>
    <s v="Male"/>
    <n v="57"/>
    <x v="1"/>
    <x v="13"/>
    <s v="Two year"/>
    <n v="72"/>
    <x v="3"/>
    <n v="599"/>
    <n v="43128"/>
    <s v="DSL"/>
    <d v="2019-10-27T00:00:00"/>
    <s v="No"/>
    <n v="0"/>
    <s v="No"/>
    <s v="No"/>
    <s v="No"/>
    <s v="No"/>
    <s v="No"/>
  </r>
  <r>
    <s v="C1707"/>
    <s v="Aman Gupta"/>
    <s v="Male"/>
    <n v="64"/>
    <x v="2"/>
    <x v="5"/>
    <s v="One year"/>
    <n v="32"/>
    <x v="1"/>
    <n v="1299"/>
    <n v="41568"/>
    <s v="Fiber"/>
    <d v="2023-01-31T00:00:00"/>
    <s v="Yes"/>
    <n v="1"/>
    <s v="No"/>
    <s v="No"/>
    <s v="No"/>
    <s v="No"/>
    <s v="No"/>
  </r>
  <r>
    <s v="C1708"/>
    <s v="Pooja Reddy"/>
    <s v="Female"/>
    <n v="72"/>
    <x v="2"/>
    <x v="0"/>
    <s v="Month-to-month"/>
    <n v="1"/>
    <x v="4"/>
    <n v="1299"/>
    <n v="1299"/>
    <s v="Fiber"/>
    <d v="2025-08-13T00:00:00"/>
    <s v="Yes"/>
    <n v="1"/>
    <s v="No"/>
    <s v="No"/>
    <s v="No"/>
    <s v="No"/>
    <s v="No"/>
  </r>
  <r>
    <s v="C1709"/>
    <s v="Vikram Malhotra"/>
    <s v="Male"/>
    <n v="41"/>
    <x v="3"/>
    <x v="10"/>
    <s v="One year"/>
    <n v="16"/>
    <x v="0"/>
    <n v="1299"/>
    <n v="20784"/>
    <s v="Fiber"/>
    <d v="2024-05-29T00:00:00"/>
    <s v="No"/>
    <n v="0"/>
    <s v="No"/>
    <s v="No"/>
    <s v="No"/>
    <s v="No"/>
    <s v="No"/>
  </r>
  <r>
    <s v="C1710"/>
    <s v="Vivek Tiwari"/>
    <s v="Male"/>
    <n v="44"/>
    <x v="3"/>
    <x v="7"/>
    <s v="Two year"/>
    <n v="47"/>
    <x v="1"/>
    <n v="1099"/>
    <n v="51653"/>
    <s v="Fiber"/>
    <d v="2021-10-27T00:00:00"/>
    <s v="No"/>
    <n v="0"/>
    <s v="No"/>
    <s v="No"/>
    <s v="No"/>
    <s v="No"/>
    <s v="No"/>
  </r>
  <r>
    <s v="C1711"/>
    <s v="Unknown"/>
    <s v="Male"/>
    <n v="38"/>
    <x v="3"/>
    <x v="12"/>
    <s v="Two year"/>
    <n v="8"/>
    <x v="2"/>
    <n v="749"/>
    <n v="5992"/>
    <s v="DSL"/>
    <d v="2025-01-11T00:00:00"/>
    <s v="No"/>
    <n v="0"/>
    <s v="No"/>
    <s v="No"/>
    <s v="No"/>
    <s v="No"/>
    <s v="No"/>
  </r>
  <r>
    <s v="C1712"/>
    <s v="Rajesh Verma"/>
    <s v="Male"/>
    <n v="58"/>
    <x v="1"/>
    <x v="14"/>
    <s v="One year"/>
    <n v="19"/>
    <x v="0"/>
    <n v="549"/>
    <n v="10431"/>
    <s v="No Internet"/>
    <m/>
    <s v="No"/>
    <n v="0"/>
    <s v="No"/>
    <s v="No"/>
    <s v="No"/>
    <s v="No"/>
    <s v="Date missing"/>
  </r>
  <r>
    <s v="C1713"/>
    <s v="Isha Sharma"/>
    <s v="Female"/>
    <n v="47"/>
    <x v="1"/>
    <x v="5"/>
    <s v="Two year"/>
    <n v="19"/>
    <x v="0"/>
    <n v="1099"/>
    <n v="20881"/>
    <s v="Fiber"/>
    <d v="2024-02-08T00:00:00"/>
    <s v="No"/>
    <n v="0"/>
    <s v="Yes"/>
    <s v="No"/>
    <s v="No"/>
    <s v="No"/>
    <s v="No"/>
  </r>
  <r>
    <s v="C1714"/>
    <s v="Isha Chopra"/>
    <s v="Female"/>
    <n v="43"/>
    <x v="3"/>
    <x v="13"/>
    <s v="Month-to-month"/>
    <n v="2"/>
    <x v="4"/>
    <n v="799"/>
    <n v="1598"/>
    <s v="DSL"/>
    <d v="2025-07-07T00:00:00"/>
    <s v="No"/>
    <n v="0"/>
    <s v="No"/>
    <s v="No"/>
    <s v="No"/>
    <s v="No"/>
    <s v="No"/>
  </r>
  <r>
    <s v="C1715"/>
    <s v="Mohit Mishra"/>
    <s v="Male"/>
    <n v="36"/>
    <x v="3"/>
    <x v="0"/>
    <s v="Month-to-month"/>
    <n v="17"/>
    <x v="0"/>
    <n v="1299"/>
    <n v="22083"/>
    <s v="Unknown"/>
    <d v="2024-04-08T00:00:00"/>
    <s v="Yes"/>
    <n v="1"/>
    <s v="No"/>
    <s v="No"/>
    <s v="No"/>
    <s v="No"/>
    <s v="No"/>
  </r>
  <r>
    <s v="C1716"/>
    <s v="Ritu Iyer"/>
    <s v="Female"/>
    <n v="64"/>
    <x v="2"/>
    <x v="12"/>
    <s v="Two year"/>
    <n v="8"/>
    <x v="2"/>
    <n v="899"/>
    <n v="7192"/>
    <s v="DSL"/>
    <d v="2025-01-20T00:00:00"/>
    <s v="No"/>
    <n v="0"/>
    <s v="No"/>
    <s v="No"/>
    <s v="No"/>
    <s v="No"/>
    <s v="No"/>
  </r>
  <r>
    <s v="C1717"/>
    <s v="Amit Chopra"/>
    <s v="Male"/>
    <n v="25"/>
    <x v="4"/>
    <x v="7"/>
    <s v="Month-to-month"/>
    <n v="15"/>
    <x v="0"/>
    <n v="999"/>
    <n v="14985"/>
    <s v="Fiber"/>
    <d v="2024-06-07T00:00:00"/>
    <s v="No"/>
    <n v="0"/>
    <s v="No"/>
    <s v="No"/>
    <s v="No"/>
    <s v="No"/>
    <s v="No"/>
  </r>
  <r>
    <s v="C1718"/>
    <s v="Aman Iyer"/>
    <s v="Male"/>
    <n v="36"/>
    <x v="3"/>
    <x v="9"/>
    <s v="One year"/>
    <n v="9"/>
    <x v="2"/>
    <n v="1099"/>
    <n v="9891"/>
    <s v="Fiber"/>
    <d v="2024-12-29T00:00:00"/>
    <s v="No"/>
    <n v="0"/>
    <s v="No"/>
    <s v="No"/>
    <s v="No"/>
    <s v="No"/>
    <s v="No"/>
  </r>
  <r>
    <s v="C1719"/>
    <s v="Payal Bose"/>
    <s v="Female"/>
    <n v="30"/>
    <x v="0"/>
    <x v="6"/>
    <s v="One year"/>
    <n v="10"/>
    <x v="2"/>
    <n v="1099"/>
    <n v="10990"/>
    <s v="Fiber"/>
    <d v="2024-12-01T00:00:00"/>
    <s v="Yes"/>
    <n v="1"/>
    <s v="No"/>
    <s v="No"/>
    <s v="No"/>
    <s v="No"/>
    <s v="No"/>
  </r>
  <r>
    <s v="C1720"/>
    <s v="Pooja Desai"/>
    <s v="Unknown"/>
    <n v="31"/>
    <x v="0"/>
    <x v="7"/>
    <s v="Month-to-month"/>
    <n v="13"/>
    <x v="0"/>
    <n v="1149"/>
    <n v="14937"/>
    <s v="Fiber"/>
    <d v="2024-08-07T00:00:00"/>
    <s v="No"/>
    <n v="0"/>
    <s v="No"/>
    <s v="No"/>
    <s v="No"/>
    <s v="No"/>
    <s v="No"/>
  </r>
  <r>
    <s v="C1721"/>
    <s v="Tanvi Desai"/>
    <s v="Female"/>
    <n v="58"/>
    <x v="1"/>
    <x v="12"/>
    <s v="Two year"/>
    <n v="63"/>
    <x v="3"/>
    <n v="1099"/>
    <n v="69237"/>
    <s v="Fiber"/>
    <d v="2020-07-22T00:00:00"/>
    <s v="No"/>
    <n v="0"/>
    <s v="No"/>
    <s v="No"/>
    <s v="No"/>
    <s v="No"/>
    <s v="No"/>
  </r>
  <r>
    <s v="C1722"/>
    <s v="Shreya Singh"/>
    <s v="Female"/>
    <n v="63"/>
    <x v="2"/>
    <x v="1"/>
    <s v="Two year"/>
    <n v="28"/>
    <x v="1"/>
    <n v="749"/>
    <n v="20972"/>
    <s v="DSL"/>
    <d v="2023-05-25T00:00:00"/>
    <s v="No"/>
    <n v="0"/>
    <s v="No"/>
    <s v="No"/>
    <s v="No"/>
    <s v="No"/>
    <s v="No"/>
  </r>
  <r>
    <s v="C1723"/>
    <s v="Anjali Yadav"/>
    <s v="Female"/>
    <n v="72"/>
    <x v="2"/>
    <x v="12"/>
    <s v="Month-to-month"/>
    <n v="10"/>
    <x v="2"/>
    <n v="1149"/>
    <n v="11490"/>
    <s v="Fiber"/>
    <d v="2024-11-23T00:00:00"/>
    <s v="Yes"/>
    <n v="1"/>
    <s v="No"/>
    <s v="No"/>
    <s v="No"/>
    <s v="No"/>
    <s v="No"/>
  </r>
  <r>
    <s v="C1724"/>
    <s v="Aditi Iyer"/>
    <s v="Female"/>
    <n v="49"/>
    <x v="1"/>
    <x v="3"/>
    <s v="One year"/>
    <n v="38"/>
    <x v="1"/>
    <n v="749"/>
    <n v="28462"/>
    <s v="DSL"/>
    <d v="2022-08-09T00:00:00"/>
    <s v="No"/>
    <n v="0"/>
    <s v="No"/>
    <s v="No"/>
    <s v="No"/>
    <s v="No"/>
    <s v="No"/>
  </r>
  <r>
    <s v="C1725"/>
    <s v="Gaurav Sharma"/>
    <s v="Male"/>
    <n v="25"/>
    <x v="4"/>
    <x v="1"/>
    <s v="Month-to-month"/>
    <n v="14"/>
    <x v="0"/>
    <n v="449"/>
    <n v="6286"/>
    <s v="No Internet"/>
    <d v="2024-07-07T00:00:00"/>
    <s v="No"/>
    <n v="0"/>
    <s v="No"/>
    <s v="No"/>
    <s v="No"/>
    <s v="No"/>
    <s v="No"/>
  </r>
  <r>
    <s v="C1726"/>
    <s v="Divya Desai"/>
    <s v="Female"/>
    <n v="71"/>
    <x v="2"/>
    <x v="14"/>
    <s v="Two year"/>
    <n v="18"/>
    <x v="0"/>
    <n v="799"/>
    <n v="14382"/>
    <s v="DSL"/>
    <d v="2024-03-16T00:00:00"/>
    <s v="No"/>
    <n v="0"/>
    <s v="No"/>
    <s v="No"/>
    <s v="No"/>
    <s v="No"/>
    <s v="No"/>
  </r>
  <r>
    <s v="C1727"/>
    <s v="Pooja Agarwal"/>
    <s v="Female"/>
    <n v="38"/>
    <x v="3"/>
    <x v="4"/>
    <s v="One year"/>
    <n v="27"/>
    <x v="1"/>
    <n v="999"/>
    <n v="26973"/>
    <s v="Fiber"/>
    <d v="2023-07-10T00:00:00"/>
    <s v="Unknown"/>
    <s v=""/>
    <s v="No"/>
    <s v="No"/>
    <s v="No"/>
    <s v="No"/>
    <s v="Churn unknown"/>
  </r>
  <r>
    <s v="C1728"/>
    <s v="Kavita Chopra"/>
    <s v="Female"/>
    <n v="23"/>
    <x v="4"/>
    <x v="6"/>
    <s v="Month-to-month"/>
    <n v="21"/>
    <x v="0"/>
    <n v="899"/>
    <n v="18879"/>
    <s v="DSL"/>
    <m/>
    <s v="No"/>
    <n v="0"/>
    <s v="No"/>
    <s v="No"/>
    <s v="No"/>
    <s v="No"/>
    <s v="Date missing"/>
  </r>
  <r>
    <s v="C1729"/>
    <s v="Sanjay Yadav"/>
    <s v="Male"/>
    <n v="52"/>
    <x v="1"/>
    <x v="11"/>
    <s v="Unknown"/>
    <n v="34"/>
    <x v="1"/>
    <n v="499"/>
    <n v="16966"/>
    <s v="No Internet"/>
    <d v="2022-12-13T00:00:00"/>
    <s v="No"/>
    <n v="0"/>
    <s v="No"/>
    <s v="No"/>
    <s v="No"/>
    <s v="No"/>
    <s v="No"/>
  </r>
  <r>
    <s v="C1730"/>
    <s v="Sachin Gupta"/>
    <s v="Male"/>
    <n v="19"/>
    <x v="4"/>
    <x v="5"/>
    <s v="One year"/>
    <n v="38"/>
    <x v="1"/>
    <n v="749"/>
    <n v="28462"/>
    <s v="DSL"/>
    <d v="2022-08-03T00:00:00"/>
    <s v="No"/>
    <n v="0"/>
    <s v="No"/>
    <s v="No"/>
    <s v="No"/>
    <s v="No"/>
    <s v="No"/>
  </r>
  <r>
    <s v="C1731"/>
    <s v="Gaurav Sharma"/>
    <s v="Male"/>
    <n v="39"/>
    <x v="3"/>
    <x v="12"/>
    <s v="Month-to-month"/>
    <n v="17"/>
    <x v="0"/>
    <n v="699"/>
    <n v="11883"/>
    <s v="DSL"/>
    <d v="2024-05-03T00:00:00"/>
    <s v="Yes"/>
    <n v="1"/>
    <s v="No"/>
    <s v="No"/>
    <s v="No"/>
    <s v="No"/>
    <s v="No"/>
  </r>
  <r>
    <s v="C1732"/>
    <s v="Harsh Singh"/>
    <s v="Male"/>
    <n v="29"/>
    <x v="0"/>
    <x v="5"/>
    <s v="One year"/>
    <n v="27"/>
    <x v="1"/>
    <n v="849"/>
    <n v="22923"/>
    <s v="DSL"/>
    <d v="2023-07-01T00:00:00"/>
    <s v="No"/>
    <n v="0"/>
    <s v="No"/>
    <s v="Yes"/>
    <s v="No"/>
    <s v="No"/>
    <s v="No"/>
  </r>
  <r>
    <s v="C1733"/>
    <s v="Rahul Pandey"/>
    <s v="Male"/>
    <n v="21"/>
    <x v="4"/>
    <x v="5"/>
    <s v="Month-to-month"/>
    <n v="14"/>
    <x v="0"/>
    <n v="699"/>
    <n v="9786"/>
    <s v="DSL"/>
    <d v="2024-07-07T00:00:00"/>
    <s v="No"/>
    <n v="0"/>
    <s v="No"/>
    <s v="No"/>
    <s v="No"/>
    <s v="No"/>
    <s v="No"/>
  </r>
  <r>
    <s v="C1734"/>
    <s v="Amit Mehta"/>
    <s v="Male"/>
    <n v="33"/>
    <x v="0"/>
    <x v="13"/>
    <s v="One year"/>
    <n v="33"/>
    <x v="1"/>
    <n v="899"/>
    <n v="29667"/>
    <s v="DSL"/>
    <d v="2023-01-04T00:00:00"/>
    <s v="Unknown"/>
    <s v=""/>
    <s v="No"/>
    <s v="No"/>
    <s v="No"/>
    <s v="No"/>
    <s v="Churn unknown"/>
  </r>
  <r>
    <s v="C1735"/>
    <s v="Nikhil Kapoor"/>
    <s v="Male"/>
    <n v="53"/>
    <x v="1"/>
    <x v="12"/>
    <s v="Month-to-month"/>
    <n v="21"/>
    <x v="0"/>
    <n v="649"/>
    <n v="13629"/>
    <s v="DSL"/>
    <d v="2023-12-20T00:00:00"/>
    <s v="No"/>
    <n v="0"/>
    <s v="No"/>
    <s v="No"/>
    <s v="No"/>
    <s v="No"/>
    <s v="No"/>
  </r>
  <r>
    <s v="C1736"/>
    <s v="Manish Mishra"/>
    <s v="Male"/>
    <n v="59"/>
    <x v="1"/>
    <x v="13"/>
    <s v="Month-to-month"/>
    <n v="15"/>
    <x v="0"/>
    <n v="1299"/>
    <n v="19485"/>
    <s v="Fiber"/>
    <d v="2024-07-01T00:00:00"/>
    <s v="Yes"/>
    <n v="1"/>
    <s v="No"/>
    <s v="No"/>
    <s v="Yes"/>
    <s v="No"/>
    <s v="No"/>
  </r>
  <r>
    <s v="C1737"/>
    <s v="Sonal Gupta"/>
    <s v="Female"/>
    <n v="68"/>
    <x v="2"/>
    <x v="0"/>
    <s v="Month-to-month"/>
    <n v="18"/>
    <x v="0"/>
    <n v="899"/>
    <n v="16182"/>
    <s v="Fiber"/>
    <d v="2024-03-11T00:00:00"/>
    <s v="No"/>
    <n v="0"/>
    <s v="No"/>
    <s v="No"/>
    <s v="No"/>
    <s v="No"/>
    <s v="No"/>
  </r>
  <r>
    <s v="C1738"/>
    <s v="Meera Sharma"/>
    <s v="Female"/>
    <n v="21"/>
    <x v="4"/>
    <x v="7"/>
    <s v="Month-to-month"/>
    <n v="22"/>
    <x v="0"/>
    <n v="749"/>
    <n v="16478"/>
    <s v="DSL"/>
    <d v="2023-11-22T00:00:00"/>
    <s v="No"/>
    <n v="0"/>
    <s v="No"/>
    <s v="No"/>
    <s v="No"/>
    <s v="No"/>
    <s v="No"/>
  </r>
  <r>
    <s v="C1739"/>
    <s v="Sneha Gupta"/>
    <s v="Female"/>
    <n v="65"/>
    <x v="2"/>
    <x v="1"/>
    <s v="One year"/>
    <n v="26"/>
    <x v="1"/>
    <n v="849"/>
    <n v="22074"/>
    <s v="DSL"/>
    <d v="2023-08-02T00:00:00"/>
    <s v="No"/>
    <n v="0"/>
    <s v="No"/>
    <s v="Yes"/>
    <s v="No"/>
    <s v="No"/>
    <s v="No"/>
  </r>
  <r>
    <s v="C1740"/>
    <s v="Deepika Yadav"/>
    <s v="Female"/>
    <n v="50"/>
    <x v="1"/>
    <x v="13"/>
    <s v="Month-to-month"/>
    <n v="11"/>
    <x v="2"/>
    <n v="1049"/>
    <n v="11539"/>
    <s v="Fiber"/>
    <d v="2024-10-12T00:00:00"/>
    <s v="Yes"/>
    <n v="1"/>
    <s v="No"/>
    <s v="No"/>
    <s v="No"/>
    <s v="No"/>
    <s v="No"/>
  </r>
  <r>
    <s v="C1741"/>
    <s v="Swati Mehta"/>
    <s v="Female"/>
    <n v="47"/>
    <x v="1"/>
    <x v="11"/>
    <s v="Month-to-month"/>
    <n v="5"/>
    <x v="4"/>
    <n v="549"/>
    <n v="2745"/>
    <s v="No Internet"/>
    <d v="2025-04-03T00:00:00"/>
    <s v="Yes"/>
    <n v="1"/>
    <s v="No"/>
    <s v="No"/>
    <s v="No"/>
    <s v="No"/>
    <s v="No"/>
  </r>
  <r>
    <s v="C1742"/>
    <s v="Arjun Tiwari"/>
    <s v="Male"/>
    <n v="53"/>
    <x v="1"/>
    <x v="14"/>
    <s v="One year"/>
    <n v="35"/>
    <x v="1"/>
    <n v="1299"/>
    <n v="45465"/>
    <s v="Fiber"/>
    <d v="2022-10-16T00:00:00"/>
    <s v="No"/>
    <n v="0"/>
    <s v="No"/>
    <s v="No"/>
    <s v="No"/>
    <s v="No"/>
    <s v="No"/>
  </r>
  <r>
    <s v="C1743"/>
    <s v="Anjali Patel"/>
    <s v="Female"/>
    <n v="70"/>
    <x v="2"/>
    <x v="12"/>
    <s v="Unknown"/>
    <m/>
    <x v="4"/>
    <m/>
    <n v="29877"/>
    <s v="Fiber"/>
    <d v="2023-10-28T00:00:00"/>
    <s v="No"/>
    <n v="0"/>
    <s v="No"/>
    <s v="No"/>
    <s v="No"/>
    <s v="No"/>
    <s v="Monthly missing; Tenure missing"/>
  </r>
  <r>
    <s v="C1744"/>
    <s v="Ankit Sharma"/>
    <s v="Male"/>
    <n v="32"/>
    <x v="0"/>
    <x v="10"/>
    <s v="Month-to-month"/>
    <n v="23"/>
    <x v="0"/>
    <n v="699"/>
    <n v="16077"/>
    <s v="DSL"/>
    <d v="2023-10-19T00:00:00"/>
    <s v="No"/>
    <n v="0"/>
    <s v="No"/>
    <s v="No"/>
    <s v="No"/>
    <s v="No"/>
    <s v="No"/>
  </r>
  <r>
    <s v="C1745"/>
    <s v="Ritu Nair"/>
    <s v="Female"/>
    <n v="49"/>
    <x v="1"/>
    <x v="2"/>
    <s v="Month-to-month"/>
    <n v="23"/>
    <x v="0"/>
    <n v="1149"/>
    <n v="26427"/>
    <s v="Fiber"/>
    <d v="2023-10-13T00:00:00"/>
    <s v="Yes"/>
    <n v="1"/>
    <s v="No"/>
    <s v="No"/>
    <s v="No"/>
    <s v="Yes"/>
    <s v="No"/>
  </r>
  <r>
    <s v="C1746"/>
    <s v="Anjali Malhotra"/>
    <s v="Female"/>
    <n v="54"/>
    <x v="1"/>
    <x v="1"/>
    <s v="Month-to-month"/>
    <n v="22"/>
    <x v="0"/>
    <n v="1149"/>
    <n v="25278"/>
    <s v="Fiber"/>
    <d v="2023-12-06T00:00:00"/>
    <s v="No"/>
    <n v="0"/>
    <s v="No"/>
    <s v="No"/>
    <s v="No"/>
    <s v="No"/>
    <s v="No"/>
  </r>
  <r>
    <s v="C1747"/>
    <s v="Vikram Singh"/>
    <s v="Male"/>
    <n v="34"/>
    <x v="0"/>
    <x v="11"/>
    <s v="Two year"/>
    <n v="36"/>
    <x v="1"/>
    <n v="349"/>
    <n v="12564"/>
    <s v="No Internet"/>
    <d v="2022-09-22T00:00:00"/>
    <s v="No"/>
    <n v="0"/>
    <s v="No"/>
    <s v="No"/>
    <s v="No"/>
    <s v="No"/>
    <s v="No"/>
  </r>
  <r>
    <s v="C1748"/>
    <s v="Sonal Kapoor"/>
    <s v="Female"/>
    <n v="18"/>
    <x v="4"/>
    <x v="12"/>
    <s v="One year"/>
    <n v="4"/>
    <x v="4"/>
    <n v="499"/>
    <n v="1996"/>
    <s v="No Internet"/>
    <d v="2025-05-18T00:00:00"/>
    <s v="No"/>
    <n v="0"/>
    <s v="No"/>
    <s v="No"/>
    <s v="No"/>
    <s v="No"/>
    <s v="No"/>
  </r>
  <r>
    <s v="C1749"/>
    <s v="Anjali Saxena"/>
    <s v="Female"/>
    <n v="51"/>
    <x v="1"/>
    <x v="7"/>
    <s v="Month-to-month"/>
    <n v="2"/>
    <x v="4"/>
    <n v="999"/>
    <n v="1998"/>
    <s v="Fiber"/>
    <d v="2025-07-17T00:00:00"/>
    <s v="Yes"/>
    <n v="1"/>
    <s v="No"/>
    <s v="No"/>
    <s v="No"/>
    <s v="No"/>
    <s v="No"/>
  </r>
  <r>
    <s v="C1750"/>
    <s v="Swati Sharma"/>
    <s v="Female"/>
    <n v="43"/>
    <x v="3"/>
    <x v="0"/>
    <s v="Month-to-month"/>
    <n v="1"/>
    <x v="4"/>
    <n v="499"/>
    <n v="499"/>
    <s v="No Internet"/>
    <d v="2025-07-31T00:00:00"/>
    <s v="No"/>
    <n v="0"/>
    <s v="No"/>
    <s v="No"/>
    <s v="No"/>
    <s v="No"/>
    <s v="No"/>
  </r>
  <r>
    <s v="C1751"/>
    <s v="Sanjay Gupta"/>
    <s v="Male"/>
    <n v="39"/>
    <x v="3"/>
    <x v="5"/>
    <s v="Month-to-month"/>
    <n v="1"/>
    <x v="4"/>
    <n v="1099"/>
    <n v="1099"/>
    <s v="Fiber"/>
    <d v="2025-08-09T00:00:00"/>
    <s v="Yes"/>
    <n v="1"/>
    <s v="No"/>
    <s v="No"/>
    <s v="No"/>
    <s v="No"/>
    <s v="No"/>
  </r>
  <r>
    <s v="C1752"/>
    <s v="Kavita Nair"/>
    <s v="Female"/>
    <n v="24"/>
    <x v="4"/>
    <x v="7"/>
    <s v="Month-to-month"/>
    <n v="2"/>
    <x v="4"/>
    <n v="899"/>
    <n v="1798"/>
    <s v="DSL"/>
    <d v="2025-07-28T00:00:00"/>
    <s v="No"/>
    <n v="0"/>
    <s v="No"/>
    <s v="No"/>
    <s v="No"/>
    <s v="No"/>
    <s v="No"/>
  </r>
  <r>
    <s v="C1753"/>
    <s v="Anjali Chopra"/>
    <s v="Female"/>
    <n v="46"/>
    <x v="1"/>
    <x v="11"/>
    <s v="Month-to-month"/>
    <n v="2"/>
    <x v="4"/>
    <n v="349"/>
    <n v="698"/>
    <s v="No Internet"/>
    <d v="2025-07-29T00:00:00"/>
    <s v="No"/>
    <n v="0"/>
    <s v="No"/>
    <s v="No"/>
    <s v="No"/>
    <s v="No"/>
    <s v="No"/>
  </r>
  <r>
    <s v="C1754"/>
    <s v="Sneha Iyer"/>
    <s v="Female"/>
    <n v="57"/>
    <x v="1"/>
    <x v="9"/>
    <s v="Month-to-month"/>
    <n v="2"/>
    <x v="4"/>
    <n v="799"/>
    <n v="1598"/>
    <s v="DSL"/>
    <d v="2025-07-18T00:00:00"/>
    <s v="No"/>
    <n v="0"/>
    <s v="No"/>
    <s v="No"/>
    <s v="No"/>
    <s v="Yes"/>
    <s v="No"/>
  </r>
  <r>
    <s v="C1755"/>
    <s v="Pankaj Tiwari"/>
    <s v="Male"/>
    <n v="32"/>
    <x v="0"/>
    <x v="6"/>
    <s v="One year"/>
    <n v="1"/>
    <x v="4"/>
    <n v="1099"/>
    <n v="1099"/>
    <s v="Fiber"/>
    <d v="2025-08-01T00:00:00"/>
    <s v="No"/>
    <n v="0"/>
    <s v="No"/>
    <s v="No"/>
    <s v="No"/>
    <s v="No"/>
    <s v="No"/>
  </r>
  <r>
    <s v="C1756"/>
    <s v="Nikhil Chopra"/>
    <s v="Male"/>
    <n v="61"/>
    <x v="2"/>
    <x v="13"/>
    <s v="Month-to-month"/>
    <n v="19"/>
    <x v="0"/>
    <n v="899"/>
    <n v="17081"/>
    <s v="Fiber"/>
    <d v="2024-02-14T00:00:00"/>
    <s v="Yes"/>
    <n v="1"/>
    <s v="No"/>
    <s v="No"/>
    <s v="No"/>
    <s v="No"/>
    <s v="No"/>
  </r>
  <r>
    <s v="C1757"/>
    <s v="Rajesh Mehta"/>
    <s v="Male"/>
    <n v="75"/>
    <x v="2"/>
    <x v="11"/>
    <s v="Month-to-month"/>
    <n v="12"/>
    <x v="2"/>
    <n v="1099"/>
    <n v="13188"/>
    <s v="Fiber"/>
    <d v="2024-09-26T00:00:00"/>
    <s v="Yes"/>
    <n v="1"/>
    <s v="No"/>
    <s v="No"/>
    <s v="No"/>
    <s v="No"/>
    <s v="No"/>
  </r>
  <r>
    <s v="C1758"/>
    <s v="Amit Verma"/>
    <s v="Male"/>
    <n v="26"/>
    <x v="0"/>
    <x v="5"/>
    <s v="One year"/>
    <n v="23"/>
    <x v="0"/>
    <n v="1149"/>
    <n v="26427"/>
    <s v="Fiber"/>
    <d v="2023-11-04T00:00:00"/>
    <s v="Unknown"/>
    <s v=""/>
    <s v="No"/>
    <s v="No"/>
    <s v="No"/>
    <s v="No"/>
    <s v="Churn unknown"/>
  </r>
  <r>
    <s v="C1759"/>
    <s v="Aditi Yadav"/>
    <s v="Female"/>
    <n v="39"/>
    <x v="3"/>
    <x v="5"/>
    <s v="Month-to-month"/>
    <n v="19"/>
    <x v="0"/>
    <n v="849"/>
    <n v="16131"/>
    <s v="DSL"/>
    <d v="2024-02-20T00:00:00"/>
    <s v="Yes"/>
    <n v="1"/>
    <s v="No"/>
    <s v="No"/>
    <s v="No"/>
    <s v="No"/>
    <s v="No"/>
  </r>
  <r>
    <s v="C1760"/>
    <s v="Vivek Patel"/>
    <s v="Male"/>
    <n v="30"/>
    <x v="0"/>
    <x v="0"/>
    <s v="One year"/>
    <n v="5"/>
    <x v="4"/>
    <n v="699"/>
    <n v="3495"/>
    <s v="DSL"/>
    <d v="2025-04-17T00:00:00"/>
    <s v="No"/>
    <n v="0"/>
    <s v="No"/>
    <s v="No"/>
    <s v="No"/>
    <s v="No"/>
    <s v="No"/>
  </r>
  <r>
    <s v="C1761"/>
    <s v="Tanvi Bose"/>
    <s v="Female"/>
    <n v="39"/>
    <x v="3"/>
    <x v="11"/>
    <s v="Month-to-month"/>
    <n v="4"/>
    <x v="4"/>
    <n v="749"/>
    <n v="2996"/>
    <s v="DSL"/>
    <d v="2025-05-02T00:00:00"/>
    <s v="Yes"/>
    <n v="1"/>
    <s v="No"/>
    <s v="No"/>
    <s v="No"/>
    <s v="No"/>
    <s v="No"/>
  </r>
  <r>
    <s v="C1762"/>
    <s v="Manish Pandey"/>
    <s v="Male"/>
    <n v="32"/>
    <x v="0"/>
    <x v="7"/>
    <s v="One year"/>
    <n v="22"/>
    <x v="0"/>
    <n v="899"/>
    <n v="19778"/>
    <s v="DSL"/>
    <d v="2023-12-03T00:00:00"/>
    <s v="No"/>
    <n v="0"/>
    <s v="No"/>
    <s v="No"/>
    <s v="No"/>
    <s v="No"/>
    <s v="No"/>
  </r>
  <r>
    <s v="C1763"/>
    <s v="Aman Sharma"/>
    <s v="Male"/>
    <n v="22"/>
    <x v="4"/>
    <x v="2"/>
    <s v="Month-to-month"/>
    <n v="10"/>
    <x v="2"/>
    <n v="749"/>
    <n v="7490"/>
    <s v="DSL"/>
    <d v="2024-11-21T00:00:00"/>
    <s v="No"/>
    <n v="0"/>
    <s v="No"/>
    <s v="No"/>
    <s v="No"/>
    <s v="No"/>
    <s v="No"/>
  </r>
  <r>
    <s v="C1764"/>
    <s v="Rahul Mehta"/>
    <s v="Male"/>
    <n v="30"/>
    <x v="0"/>
    <x v="5"/>
    <s v="Month-to-month"/>
    <n v="24"/>
    <x v="0"/>
    <n v="549"/>
    <n v="13176"/>
    <s v="No Internet"/>
    <d v="2023-10-03T00:00:00"/>
    <s v="Yes"/>
    <n v="1"/>
    <s v="No"/>
    <s v="No"/>
    <s v="No"/>
    <s v="No"/>
    <s v="No"/>
  </r>
  <r>
    <s v="C1765"/>
    <s v="Arjun Malhotra"/>
    <s v="Male"/>
    <n v="24"/>
    <x v="4"/>
    <x v="3"/>
    <s v="Two year"/>
    <n v="15"/>
    <x v="0"/>
    <n v="699"/>
    <n v="10485"/>
    <s v="DSL"/>
    <d v="2024-06-24T00:00:00"/>
    <s v="No"/>
    <n v="0"/>
    <s v="No"/>
    <s v="No"/>
    <s v="No"/>
    <s v="No"/>
    <s v="No"/>
  </r>
  <r>
    <s v="C1766"/>
    <s v="Meera Jain"/>
    <s v="Female"/>
    <n v="69"/>
    <x v="2"/>
    <x v="11"/>
    <s v="Two year"/>
    <n v="9"/>
    <x v="2"/>
    <n v="399"/>
    <n v="3591"/>
    <s v="No Internet"/>
    <d v="2024-12-26T00:00:00"/>
    <s v="No"/>
    <n v="0"/>
    <s v="No"/>
    <s v="No"/>
    <s v="No"/>
    <s v="No"/>
    <s v="No"/>
  </r>
  <r>
    <s v="C1767"/>
    <s v="Isha Joshi"/>
    <s v="Female"/>
    <n v="56"/>
    <x v="1"/>
    <x v="12"/>
    <s v="Two year"/>
    <n v="6"/>
    <x v="4"/>
    <n v="899"/>
    <n v="5394"/>
    <s v="DSL"/>
    <d v="2025-03-15T00:00:00"/>
    <s v="No"/>
    <n v="0"/>
    <s v="No"/>
    <s v="Yes"/>
    <s v="No"/>
    <s v="No"/>
    <s v="No"/>
  </r>
  <r>
    <s v="C1768"/>
    <s v="Pooja Joshi"/>
    <s v="Female"/>
    <n v="33"/>
    <x v="0"/>
    <x v="3"/>
    <s v="One year"/>
    <n v="9"/>
    <x v="2"/>
    <n v="899"/>
    <n v="8091"/>
    <s v="DSL"/>
    <d v="2024-12-26T00:00:00"/>
    <s v="No"/>
    <n v="0"/>
    <s v="No"/>
    <s v="No"/>
    <s v="No"/>
    <s v="No"/>
    <s v="No"/>
  </r>
  <r>
    <s v="C1769"/>
    <s v="Gaurav Saxena"/>
    <s v="Male"/>
    <n v="57"/>
    <x v="1"/>
    <x v="4"/>
    <s v="Month-to-month"/>
    <n v="21"/>
    <x v="0"/>
    <n v="1149"/>
    <n v="24129"/>
    <s v="Fiber"/>
    <d v="2023-12-24T00:00:00"/>
    <s v="No"/>
    <n v="0"/>
    <s v="No"/>
    <s v="No"/>
    <s v="No"/>
    <s v="No"/>
    <s v="No"/>
  </r>
  <r>
    <s v="C1770"/>
    <s v="Nikhil Pandey"/>
    <s v="Male"/>
    <n v="41"/>
    <x v="3"/>
    <x v="1"/>
    <s v="One year"/>
    <n v="32"/>
    <x v="1"/>
    <n v="1049"/>
    <n v="33568"/>
    <s v="Fiber"/>
    <d v="2023-01-13T00:00:00"/>
    <s v="No"/>
    <n v="0"/>
    <s v="No"/>
    <s v="No"/>
    <s v="No"/>
    <s v="No"/>
    <s v="No"/>
  </r>
  <r>
    <s v="C1771"/>
    <s v="Sanjay Nair"/>
    <s v="Male"/>
    <n v="75"/>
    <x v="2"/>
    <x v="0"/>
    <s v="Month-to-month"/>
    <n v="7"/>
    <x v="2"/>
    <n v="699"/>
    <n v="4893"/>
    <s v="DSL"/>
    <d v="2025-02-01T00:00:00"/>
    <s v="No"/>
    <n v="0"/>
    <s v="No"/>
    <s v="No"/>
    <s v="No"/>
    <s v="No"/>
    <s v="No"/>
  </r>
  <r>
    <s v="C1772"/>
    <s v="Kavita Mishra"/>
    <s v="Female"/>
    <n v="23"/>
    <x v="4"/>
    <x v="8"/>
    <s v="One year"/>
    <n v="34"/>
    <x v="1"/>
    <n v="699"/>
    <n v="23766"/>
    <s v="DSL"/>
    <d v="2022-11-27T00:00:00"/>
    <s v="Yes"/>
    <n v="1"/>
    <s v="No"/>
    <s v="No"/>
    <s v="No"/>
    <s v="Yes"/>
    <s v="No"/>
  </r>
  <r>
    <s v="C1773"/>
    <s v="Nisha Kapoor"/>
    <s v="Female"/>
    <n v="47"/>
    <x v="1"/>
    <x v="12"/>
    <s v="Month-to-month"/>
    <n v="11"/>
    <x v="2"/>
    <n v="349"/>
    <n v="3839"/>
    <s v="No Internet"/>
    <d v="2024-10-26T00:00:00"/>
    <s v="Yes"/>
    <n v="1"/>
    <s v="No"/>
    <s v="No"/>
    <s v="No"/>
    <s v="Yes"/>
    <s v="No"/>
  </r>
  <r>
    <s v="C1774"/>
    <s v="Neha Patel"/>
    <s v="Female"/>
    <n v="75"/>
    <x v="2"/>
    <x v="4"/>
    <s v="Month-to-month"/>
    <n v="18"/>
    <x v="0"/>
    <n v="899"/>
    <n v="16182"/>
    <s v="Fiber"/>
    <d v="2024-04-03T00:00:00"/>
    <s v="No"/>
    <n v="0"/>
    <s v="No"/>
    <s v="No"/>
    <s v="No"/>
    <s v="No"/>
    <s v="No"/>
  </r>
  <r>
    <s v="C1775"/>
    <s v="Vikram Patel"/>
    <s v="Male"/>
    <n v="20"/>
    <x v="4"/>
    <x v="1"/>
    <s v="Month-to-month"/>
    <n v="11"/>
    <x v="2"/>
    <n v="699"/>
    <n v="7689"/>
    <s v="DSL"/>
    <d v="2024-10-14T00:00:00"/>
    <s v="Yes"/>
    <n v="1"/>
    <s v="No"/>
    <s v="No"/>
    <s v="No"/>
    <s v="No"/>
    <s v="No"/>
  </r>
  <r>
    <s v="C1776"/>
    <s v="Sachin Malhotra"/>
    <s v="Male"/>
    <n v="18"/>
    <x v="4"/>
    <x v="13"/>
    <s v="Month-to-month"/>
    <n v="13"/>
    <x v="0"/>
    <n v="549"/>
    <n v="7137"/>
    <s v="No Internet"/>
    <d v="2024-09-03T00:00:00"/>
    <s v="No"/>
    <n v="0"/>
    <s v="No"/>
    <s v="No"/>
    <s v="No"/>
    <s v="No"/>
    <s v="No"/>
  </r>
  <r>
    <s v="C1777"/>
    <s v="Payal Singh"/>
    <s v="Female"/>
    <n v="73"/>
    <x v="2"/>
    <x v="12"/>
    <s v="Month-to-month"/>
    <n v="7"/>
    <x v="2"/>
    <n v="999"/>
    <n v="6993"/>
    <s v="Fiber"/>
    <d v="2025-02-13T00:00:00"/>
    <s v="No"/>
    <n v="0"/>
    <s v="No"/>
    <s v="No"/>
    <s v="No"/>
    <s v="No"/>
    <s v="No"/>
  </r>
  <r>
    <s v="C1778"/>
    <s v="Shreya Joshi"/>
    <s v="Female"/>
    <n v="68"/>
    <x v="2"/>
    <x v="4"/>
    <s v="Month-to-month"/>
    <n v="23"/>
    <x v="0"/>
    <n v="749"/>
    <n v="17227"/>
    <s v="DSL"/>
    <d v="2023-10-22T00:00:00"/>
    <s v="No"/>
    <n v="0"/>
    <s v="No"/>
    <s v="No"/>
    <s v="Yes"/>
    <s v="No"/>
    <s v="No"/>
  </r>
  <r>
    <s v="C1779"/>
    <s v="Aman Singh"/>
    <s v="Male"/>
    <n v="54"/>
    <x v="1"/>
    <x v="6"/>
    <s v="Month-to-month"/>
    <n v="1"/>
    <x v="4"/>
    <n v="449"/>
    <n v="449"/>
    <s v="No Internet"/>
    <d v="2025-08-16T00:00:00"/>
    <s v="Yes"/>
    <n v="1"/>
    <s v="No"/>
    <s v="No"/>
    <s v="No"/>
    <s v="No"/>
    <s v="No"/>
  </r>
  <r>
    <s v="C1780"/>
    <s v="Divya Pandey"/>
    <s v="Female"/>
    <n v="52"/>
    <x v="1"/>
    <x v="10"/>
    <s v="Month-to-month"/>
    <n v="2"/>
    <x v="4"/>
    <n v="649"/>
    <n v="1298"/>
    <s v="DSL"/>
    <d v="2025-07-05T00:00:00"/>
    <s v="Yes"/>
    <n v="1"/>
    <s v="No"/>
    <s v="No"/>
    <s v="No"/>
    <s v="No"/>
    <s v="No"/>
  </r>
  <r>
    <s v="C1781"/>
    <s v="Divya Mehta"/>
    <s v="Female"/>
    <n v="43"/>
    <x v="3"/>
    <x v="4"/>
    <s v="Month-to-month"/>
    <n v="4"/>
    <x v="4"/>
    <n v="699"/>
    <n v="2796"/>
    <s v="DSL"/>
    <d v="2025-05-22T00:00:00"/>
    <s v="No"/>
    <n v="0"/>
    <s v="No"/>
    <s v="No"/>
    <s v="No"/>
    <s v="No"/>
    <s v="No"/>
  </r>
  <r>
    <s v="C1782"/>
    <s v="Arjun Reddy"/>
    <s v="Male"/>
    <n v="61"/>
    <x v="2"/>
    <x v="1"/>
    <s v="Month-to-month"/>
    <n v="20"/>
    <x v="0"/>
    <n v="399"/>
    <n v="7980"/>
    <s v="No Internet"/>
    <d v="2024-01-08T00:00:00"/>
    <s v="Yes"/>
    <n v="1"/>
    <s v="No"/>
    <s v="No"/>
    <s v="No"/>
    <s v="No"/>
    <s v="No"/>
  </r>
  <r>
    <s v="C1783"/>
    <s v="Aditi Mehta"/>
    <s v="Female"/>
    <n v="32"/>
    <x v="0"/>
    <x v="5"/>
    <s v="One year"/>
    <n v="4"/>
    <x v="4"/>
    <n v="699"/>
    <n v="2796"/>
    <s v="DSL"/>
    <d v="2025-05-04T00:00:00"/>
    <s v="Yes"/>
    <n v="1"/>
    <s v="No"/>
    <s v="No"/>
    <s v="No"/>
    <s v="No"/>
    <s v="No"/>
  </r>
  <r>
    <s v="C1784"/>
    <s v="Divya Gupta"/>
    <s v="Female"/>
    <n v="25"/>
    <x v="4"/>
    <x v="8"/>
    <s v="Month-to-month"/>
    <n v="3"/>
    <x v="4"/>
    <n v="1299"/>
    <n v="3897"/>
    <s v="Fiber"/>
    <d v="2025-06-24T00:00:00"/>
    <s v="Yes"/>
    <n v="1"/>
    <s v="No"/>
    <s v="No"/>
    <s v="No"/>
    <s v="No"/>
    <s v="No"/>
  </r>
  <r>
    <s v="C1785"/>
    <s v="Nisha Pandey"/>
    <s v="Female"/>
    <n v="60"/>
    <x v="1"/>
    <x v="7"/>
    <s v="Month-to-month"/>
    <n v="10"/>
    <x v="2"/>
    <n v="999"/>
    <n v="9990"/>
    <s v="Fiber"/>
    <d v="2024-11-18T00:00:00"/>
    <s v="No"/>
    <n v="0"/>
    <s v="No"/>
    <s v="No"/>
    <s v="No"/>
    <s v="No"/>
    <s v="No"/>
  </r>
  <r>
    <s v="C1786"/>
    <s v="Deepika Sharma"/>
    <s v="Female"/>
    <n v="27"/>
    <x v="0"/>
    <x v="7"/>
    <s v="Month-to-month"/>
    <n v="8"/>
    <x v="2"/>
    <n v="1049"/>
    <n v="8392"/>
    <s v="Fiber"/>
    <d v="2025-01-17T00:00:00"/>
    <s v="No"/>
    <n v="0"/>
    <s v="No"/>
    <s v="No"/>
    <s v="No"/>
    <s v="Yes"/>
    <s v="No"/>
  </r>
  <r>
    <s v="C1787"/>
    <s v="Tanvi Verma"/>
    <s v="Female"/>
    <n v="65"/>
    <x v="2"/>
    <x v="4"/>
    <s v="Month-to-month"/>
    <n v="15"/>
    <x v="0"/>
    <n v="449"/>
    <n v="6735"/>
    <s v="No Internet"/>
    <d v="2024-06-09T00:00:00"/>
    <s v="Yes"/>
    <n v="1"/>
    <s v="No"/>
    <s v="Yes"/>
    <s v="No"/>
    <s v="No"/>
    <s v="No"/>
  </r>
  <r>
    <s v="C1788"/>
    <s v="Vivek Nair"/>
    <s v="Male"/>
    <n v="29"/>
    <x v="0"/>
    <x v="10"/>
    <s v="One year"/>
    <n v="12"/>
    <x v="2"/>
    <n v="1149"/>
    <n v="13788"/>
    <s v="Fiber"/>
    <d v="2024-10-02T00:00:00"/>
    <s v="No"/>
    <n v="0"/>
    <s v="No"/>
    <s v="No"/>
    <s v="No"/>
    <s v="No"/>
    <s v="No"/>
  </r>
  <r>
    <s v="C1789"/>
    <s v="Arjun Malhotra"/>
    <s v="Male"/>
    <n v="74"/>
    <x v="2"/>
    <x v="9"/>
    <s v="Month-to-month"/>
    <n v="3"/>
    <x v="4"/>
    <n v="1199"/>
    <n v="3597"/>
    <s v="Fiber"/>
    <d v="2025-06-17T00:00:00"/>
    <s v="No"/>
    <n v="0"/>
    <s v="No"/>
    <s v="No"/>
    <s v="No"/>
    <s v="No"/>
    <s v="No"/>
  </r>
  <r>
    <s v="C1790"/>
    <s v="Aman Kumar"/>
    <s v="Male"/>
    <n v="66"/>
    <x v="2"/>
    <x v="4"/>
    <s v="Month-to-month"/>
    <n v="14"/>
    <x v="0"/>
    <n v="999"/>
    <n v="13986"/>
    <s v="Fiber"/>
    <m/>
    <s v="Yes"/>
    <n v="1"/>
    <s v="No"/>
    <s v="No"/>
    <s v="No"/>
    <s v="No"/>
    <s v="Date missing"/>
  </r>
  <r>
    <s v="C1791"/>
    <s v="Priya Kumar"/>
    <s v="Unknown"/>
    <n v="58"/>
    <x v="1"/>
    <x v="14"/>
    <s v="One year"/>
    <n v="22"/>
    <x v="0"/>
    <n v="1099"/>
    <n v="24178"/>
    <s v="Fiber"/>
    <d v="2023-12-08T00:00:00"/>
    <s v="No"/>
    <n v="0"/>
    <s v="No"/>
    <s v="No"/>
    <s v="No"/>
    <s v="No"/>
    <s v="No"/>
  </r>
  <r>
    <s v="C1792"/>
    <s v="Unknown"/>
    <s v="Unknown"/>
    <n v="26"/>
    <x v="0"/>
    <x v="2"/>
    <s v="One year"/>
    <n v="30"/>
    <x v="1"/>
    <n v="899"/>
    <n v="26970"/>
    <s v="Fiber"/>
    <d v="2023-03-21T00:00:00"/>
    <s v="No"/>
    <n v="0"/>
    <s v="No"/>
    <s v="No"/>
    <s v="No"/>
    <s v="No"/>
    <s v="No"/>
  </r>
  <r>
    <s v="C1793"/>
    <s v="Pooja Desai"/>
    <s v="Female"/>
    <n v="70"/>
    <x v="2"/>
    <x v="5"/>
    <s v="Two year"/>
    <n v="3"/>
    <x v="4"/>
    <n v="799"/>
    <n v="2397"/>
    <s v="DSL"/>
    <d v="2025-06-13T00:00:00"/>
    <s v="No"/>
    <n v="0"/>
    <s v="No"/>
    <s v="No"/>
    <s v="No"/>
    <s v="No"/>
    <s v="No"/>
  </r>
  <r>
    <s v="C1794"/>
    <s v="Meera Kumar"/>
    <s v="Unknown"/>
    <n v="60"/>
    <x v="1"/>
    <x v="13"/>
    <s v="Month-to-month"/>
    <n v="15"/>
    <x v="0"/>
    <n v="699"/>
    <n v="10485"/>
    <s v="DSL"/>
    <d v="2024-06-07T00:00:00"/>
    <s v="No"/>
    <n v="0"/>
    <s v="No"/>
    <s v="Yes"/>
    <s v="No"/>
    <s v="No"/>
    <s v="No"/>
  </r>
  <r>
    <s v="C1795"/>
    <s v="Ankit Pandey"/>
    <s v="Male"/>
    <n v="21"/>
    <x v="4"/>
    <x v="6"/>
    <s v="One year"/>
    <n v="7"/>
    <x v="2"/>
    <n v="1199"/>
    <n v="8393"/>
    <s v="Fiber"/>
    <d v="2025-02-11T00:00:00"/>
    <s v="No"/>
    <n v="0"/>
    <s v="No"/>
    <s v="No"/>
    <s v="No"/>
    <s v="No"/>
    <s v="No"/>
  </r>
  <r>
    <s v="C1796"/>
    <s v="Amit Rao"/>
    <s v="Male"/>
    <n v="67"/>
    <x v="2"/>
    <x v="0"/>
    <s v="Two year"/>
    <n v="31"/>
    <x v="1"/>
    <n v="899"/>
    <n v="27869"/>
    <s v="Fiber"/>
    <d v="2023-03-13T00:00:00"/>
    <s v="No"/>
    <n v="0"/>
    <s v="No"/>
    <s v="No"/>
    <s v="No"/>
    <s v="No"/>
    <s v="No"/>
  </r>
  <r>
    <s v="C1797"/>
    <s v="Deepika Saxena"/>
    <s v="Female"/>
    <n v="60"/>
    <x v="1"/>
    <x v="4"/>
    <s v="Month-to-month"/>
    <n v="22"/>
    <x v="0"/>
    <n v="399"/>
    <n v="8778"/>
    <s v="No Internet"/>
    <d v="2023-11-22T00:00:00"/>
    <s v="Yes"/>
    <n v="1"/>
    <s v="No"/>
    <s v="No"/>
    <s v="No"/>
    <s v="No"/>
    <s v="No"/>
  </r>
  <r>
    <s v="C1798"/>
    <s v="Nikhil Joshi"/>
    <s v="Male"/>
    <n v="53"/>
    <x v="1"/>
    <x v="9"/>
    <s v="Month-to-month"/>
    <n v="18"/>
    <x v="0"/>
    <n v="749"/>
    <n v="13482"/>
    <s v="DSL"/>
    <d v="2024-04-03T00:00:00"/>
    <s v="Yes"/>
    <n v="1"/>
    <s v="No"/>
    <s v="No"/>
    <s v="No"/>
    <s v="No"/>
    <s v="No"/>
  </r>
  <r>
    <s v="C1799"/>
    <s v="Swati Gupta"/>
    <s v="Female"/>
    <n v="18"/>
    <x v="4"/>
    <x v="12"/>
    <s v="One year"/>
    <n v="14"/>
    <x v="0"/>
    <n v="749"/>
    <n v="10486"/>
    <s v="DSL"/>
    <d v="2024-07-27T00:00:00"/>
    <s v="No"/>
    <n v="0"/>
    <s v="No"/>
    <s v="No"/>
    <s v="No"/>
    <s v="Yes"/>
    <s v="No"/>
  </r>
  <r>
    <s v="C1800"/>
    <s v="Sneha Kumar"/>
    <s v="Female"/>
    <n v="74"/>
    <x v="2"/>
    <x v="0"/>
    <s v="Month-to-month"/>
    <n v="16"/>
    <x v="0"/>
    <n v="1199"/>
    <n v="19184"/>
    <s v="Fiber"/>
    <d v="2024-05-07T00:00:00"/>
    <s v="No"/>
    <n v="0"/>
    <s v="No"/>
    <s v="No"/>
    <s v="No"/>
    <s v="Yes"/>
    <s v="No"/>
  </r>
  <r>
    <s v="C1801"/>
    <s v="Suresh Reddy"/>
    <s v="Male"/>
    <n v="56"/>
    <x v="1"/>
    <x v="2"/>
    <s v="Two year"/>
    <n v="18"/>
    <x v="0"/>
    <n v="999"/>
    <n v="17982"/>
    <s v="Fiber"/>
    <d v="2024-03-16T00:00:00"/>
    <s v="No"/>
    <n v="0"/>
    <s v="No"/>
    <s v="No"/>
    <s v="No"/>
    <s v="No"/>
    <s v="No"/>
  </r>
  <r>
    <s v="C1802"/>
    <s v="Neha Joshi"/>
    <s v="Female"/>
    <n v="19"/>
    <x v="4"/>
    <x v="11"/>
    <s v="Two year"/>
    <n v="66"/>
    <x v="3"/>
    <n v="1199"/>
    <n v="79134"/>
    <s v="Fiber"/>
    <d v="2020-04-05T00:00:00"/>
    <s v="No"/>
    <n v="0"/>
    <s v="No"/>
    <s v="No"/>
    <s v="No"/>
    <s v="No"/>
    <s v="No"/>
  </r>
  <r>
    <s v="C1803"/>
    <s v="Manish Sharma"/>
    <s v="Male"/>
    <n v="57"/>
    <x v="1"/>
    <x v="13"/>
    <s v="Two year"/>
    <n v="55"/>
    <x v="3"/>
    <n v="899"/>
    <n v="49445"/>
    <s v="DSL"/>
    <d v="2021-03-19T00:00:00"/>
    <s v="No"/>
    <n v="0"/>
    <s v="No"/>
    <s v="No"/>
    <s v="No"/>
    <s v="No"/>
    <s v="No"/>
  </r>
  <r>
    <s v="C1804"/>
    <s v="Komal Iyer"/>
    <s v="Female"/>
    <n v="30"/>
    <x v="0"/>
    <x v="8"/>
    <s v="Month-to-month"/>
    <n v="8"/>
    <x v="2"/>
    <n v="1149"/>
    <n v="9192"/>
    <s v="Fiber"/>
    <d v="2025-01-21T00:00:00"/>
    <s v="No"/>
    <n v="0"/>
    <s v="No"/>
    <s v="No"/>
    <s v="No"/>
    <s v="No"/>
    <s v="No"/>
  </r>
  <r>
    <s v="C1805"/>
    <s v="Suresh Joshi"/>
    <s v="Male"/>
    <n v="59"/>
    <x v="1"/>
    <x v="13"/>
    <s v="One year"/>
    <n v="27"/>
    <x v="1"/>
    <n v="1299"/>
    <n v="35073"/>
    <s v="Fiber"/>
    <d v="2023-07-04T00:00:00"/>
    <s v="No"/>
    <n v="0"/>
    <s v="No"/>
    <s v="No"/>
    <s v="No"/>
    <s v="No"/>
    <s v="No"/>
  </r>
  <r>
    <s v="C1806"/>
    <s v="Swati Nair"/>
    <s v="Female"/>
    <n v="31"/>
    <x v="0"/>
    <x v="1"/>
    <s v="Month-to-month"/>
    <n v="8"/>
    <x v="2"/>
    <n v="399"/>
    <n v="3192"/>
    <s v="No Internet"/>
    <d v="2025-01-19T00:00:00"/>
    <s v="No"/>
    <n v="0"/>
    <s v="No"/>
    <s v="No"/>
    <s v="No"/>
    <s v="No"/>
    <s v="No"/>
  </r>
  <r>
    <s v="C1807"/>
    <s v="Meera Kapoor"/>
    <s v="Female"/>
    <n v="58"/>
    <x v="1"/>
    <x v="3"/>
    <s v="Month-to-month"/>
    <n v="7"/>
    <x v="2"/>
    <n v="1199"/>
    <n v="8393"/>
    <s v="Fiber"/>
    <d v="2025-02-26T00:00:00"/>
    <s v="No"/>
    <n v="0"/>
    <s v="No"/>
    <s v="No"/>
    <s v="No"/>
    <s v="No"/>
    <s v="No"/>
  </r>
  <r>
    <s v="C1808"/>
    <s v="Arjun Bose"/>
    <s v="Male"/>
    <n v="53"/>
    <x v="1"/>
    <x v="6"/>
    <s v="One year"/>
    <n v="33"/>
    <x v="1"/>
    <n v="599"/>
    <n v="19767"/>
    <s v="Unknown"/>
    <d v="2022-12-20T00:00:00"/>
    <s v="No"/>
    <n v="0"/>
    <s v="No"/>
    <s v="No"/>
    <s v="No"/>
    <s v="No"/>
    <s v="No"/>
  </r>
  <r>
    <s v="C1809"/>
    <s v="Manish Tiwari"/>
    <s v="Male"/>
    <n v="29"/>
    <x v="0"/>
    <x v="11"/>
    <s v="Month-to-month"/>
    <n v="15"/>
    <x v="0"/>
    <n v="849"/>
    <n v="12735"/>
    <s v="DSL"/>
    <d v="2024-06-20T00:00:00"/>
    <s v="No"/>
    <n v="0"/>
    <s v="No"/>
    <s v="No"/>
    <s v="No"/>
    <s v="No"/>
    <s v="No"/>
  </r>
  <r>
    <s v="C1810"/>
    <s v="Aman Rao"/>
    <s v="Male"/>
    <n v="42"/>
    <x v="3"/>
    <x v="8"/>
    <s v="Month-to-month"/>
    <n v="20"/>
    <x v="0"/>
    <n v="1099"/>
    <n v="21980"/>
    <s v="Fiber"/>
    <d v="2024-01-12T00:00:00"/>
    <s v="No"/>
    <n v="0"/>
    <s v="No"/>
    <s v="No"/>
    <s v="No"/>
    <s v="No"/>
    <s v="No"/>
  </r>
  <r>
    <s v="C1811"/>
    <s v="Priya Rao"/>
    <s v="Female"/>
    <n v="45"/>
    <x v="3"/>
    <x v="6"/>
    <s v="Month-to-month"/>
    <n v="10"/>
    <x v="2"/>
    <n v="399"/>
    <n v="3990"/>
    <s v="No Internet"/>
    <d v="2024-11-27T00:00:00"/>
    <s v="No"/>
    <n v="0"/>
    <s v="No"/>
    <s v="No"/>
    <s v="No"/>
    <s v="No"/>
    <s v="No"/>
  </r>
  <r>
    <s v="C1812"/>
    <s v="Divya Kapoor"/>
    <s v="Female"/>
    <n v="47"/>
    <x v="1"/>
    <x v="7"/>
    <s v="Month-to-month"/>
    <n v="16"/>
    <x v="0"/>
    <n v="1049"/>
    <n v="16784"/>
    <s v="Fiber"/>
    <d v="2024-05-30T00:00:00"/>
    <s v="No"/>
    <n v="0"/>
    <s v="Yes"/>
    <s v="No"/>
    <s v="No"/>
    <s v="No"/>
    <s v="No"/>
  </r>
  <r>
    <s v="C1813"/>
    <s v="Unknown"/>
    <s v="Male"/>
    <n v="18"/>
    <x v="4"/>
    <x v="6"/>
    <s v="Month-to-month"/>
    <n v="16"/>
    <x v="0"/>
    <n v="1099"/>
    <n v="17584"/>
    <s v="Fiber"/>
    <d v="2024-05-25T00:00:00"/>
    <s v="No"/>
    <n v="0"/>
    <s v="No"/>
    <s v="No"/>
    <s v="No"/>
    <s v="No"/>
    <s v="No"/>
  </r>
  <r>
    <s v="C1814"/>
    <s v="Komal Iyer"/>
    <s v="Unknown"/>
    <n v="59"/>
    <x v="1"/>
    <x v="11"/>
    <s v="Month-to-month"/>
    <n v="4"/>
    <x v="4"/>
    <n v="399"/>
    <n v="1596"/>
    <s v="No Internet"/>
    <d v="2025-05-18T00:00:00"/>
    <s v="Yes"/>
    <n v="1"/>
    <s v="No"/>
    <s v="No"/>
    <s v="No"/>
    <s v="No"/>
    <s v="No"/>
  </r>
  <r>
    <s v="C1815"/>
    <s v="Isha Jain"/>
    <s v="Female"/>
    <n v="63"/>
    <x v="2"/>
    <x v="10"/>
    <s v="One year"/>
    <n v="4"/>
    <x v="4"/>
    <n v="1099"/>
    <n v="4396"/>
    <s v="Fiber"/>
    <d v="2025-05-24T00:00:00"/>
    <s v="No"/>
    <n v="0"/>
    <s v="No"/>
    <s v="Yes"/>
    <s v="No"/>
    <s v="No"/>
    <s v="No"/>
  </r>
  <r>
    <s v="C1816"/>
    <s v="Sneha Patel"/>
    <s v="Female"/>
    <n v="58"/>
    <x v="1"/>
    <x v="14"/>
    <s v="One year"/>
    <n v="10"/>
    <x v="2"/>
    <n v="1149"/>
    <n v="11490"/>
    <s v="Fiber"/>
    <d v="2024-11-28T00:00:00"/>
    <s v="No"/>
    <n v="0"/>
    <s v="No"/>
    <s v="No"/>
    <s v="No"/>
    <s v="No"/>
    <s v="No"/>
  </r>
  <r>
    <s v="C1817"/>
    <s v="Ritu Yadav"/>
    <s v="Female"/>
    <n v="55"/>
    <x v="1"/>
    <x v="9"/>
    <s v="Two year"/>
    <n v="12"/>
    <x v="2"/>
    <n v="849"/>
    <n v="10188"/>
    <s v="DSL"/>
    <d v="2024-09-15T00:00:00"/>
    <s v="No"/>
    <n v="0"/>
    <s v="No"/>
    <s v="No"/>
    <s v="No"/>
    <s v="No"/>
    <s v="No"/>
  </r>
  <r>
    <s v="C1818"/>
    <s v="Mohit Mehta"/>
    <s v="Male"/>
    <n v="74"/>
    <x v="2"/>
    <x v="12"/>
    <s v="Month-to-month"/>
    <n v="23"/>
    <x v="0"/>
    <n v="1149"/>
    <n v="26427"/>
    <s v="Fiber"/>
    <d v="2023-10-27T00:00:00"/>
    <s v="No"/>
    <n v="0"/>
    <s v="No"/>
    <s v="No"/>
    <s v="No"/>
    <s v="No"/>
    <s v="No"/>
  </r>
  <r>
    <s v="C1819"/>
    <s v="Nisha Agarwal"/>
    <s v="Female"/>
    <n v="47"/>
    <x v="1"/>
    <x v="4"/>
    <s v="Month-to-month"/>
    <n v="12"/>
    <x v="2"/>
    <n v="999"/>
    <n v="11988"/>
    <s v="Fiber"/>
    <d v="2024-09-04T00:00:00"/>
    <s v="No"/>
    <n v="0"/>
    <s v="Yes"/>
    <s v="No"/>
    <s v="No"/>
    <s v="No"/>
    <s v="No"/>
  </r>
  <r>
    <s v="C1820"/>
    <s v="Aditi Sharma"/>
    <s v="Female"/>
    <n v="28"/>
    <x v="0"/>
    <x v="6"/>
    <s v="Month-to-month"/>
    <n v="23"/>
    <x v="0"/>
    <n v="749"/>
    <n v="17227"/>
    <s v="DSL"/>
    <d v="2023-10-16T00:00:00"/>
    <s v="No"/>
    <n v="0"/>
    <s v="No"/>
    <s v="No"/>
    <s v="No"/>
    <s v="No"/>
    <s v="No"/>
  </r>
  <r>
    <s v="C1821"/>
    <s v="Meera Gupta"/>
    <s v="Female"/>
    <n v="41"/>
    <x v="3"/>
    <x v="8"/>
    <s v="One year"/>
    <n v="12"/>
    <x v="2"/>
    <n v="799"/>
    <n v="9588"/>
    <s v="DSL"/>
    <d v="2024-09-27T00:00:00"/>
    <s v="No"/>
    <n v="0"/>
    <s v="No"/>
    <s v="No"/>
    <s v="No"/>
    <s v="No"/>
    <s v="No"/>
  </r>
  <r>
    <s v="C1822"/>
    <s v="Sanjay Verma"/>
    <s v="Male"/>
    <n v="65"/>
    <x v="2"/>
    <x v="8"/>
    <s v="Two year"/>
    <n v="53"/>
    <x v="3"/>
    <n v="749"/>
    <n v="39697"/>
    <s v="DSL"/>
    <d v="2021-05-02T00:00:00"/>
    <s v="No"/>
    <n v="0"/>
    <s v="No"/>
    <s v="No"/>
    <s v="No"/>
    <s v="No"/>
    <s v="No"/>
  </r>
  <r>
    <s v="C1823"/>
    <s v="Vikram Iyer"/>
    <s v="Male"/>
    <n v="23"/>
    <x v="4"/>
    <x v="12"/>
    <s v="Month-to-month"/>
    <n v="1"/>
    <x v="4"/>
    <n v="799"/>
    <n v="799"/>
    <s v="DSL"/>
    <d v="2025-08-05T00:00:00"/>
    <s v="Yes"/>
    <n v="1"/>
    <s v="No"/>
    <s v="No"/>
    <s v="No"/>
    <s v="No"/>
    <s v="No"/>
  </r>
  <r>
    <s v="C1824"/>
    <s v="Rahul Verma"/>
    <s v="Male"/>
    <n v="35"/>
    <x v="0"/>
    <x v="13"/>
    <s v="Two year"/>
    <n v="6"/>
    <x v="4"/>
    <n v="999"/>
    <n v="5994"/>
    <s v="Fiber"/>
    <d v="2025-03-20T00:00:00"/>
    <s v="Unknown"/>
    <s v=""/>
    <s v="No"/>
    <s v="No"/>
    <s v="No"/>
    <s v="No"/>
    <s v="Churn unknown"/>
  </r>
  <r>
    <s v="C1825"/>
    <s v="Komal Desai"/>
    <s v="Female"/>
    <n v="66"/>
    <x v="2"/>
    <x v="2"/>
    <s v="One year"/>
    <n v="22"/>
    <x v="0"/>
    <n v="699"/>
    <n v="15378"/>
    <s v="DSL"/>
    <d v="2023-11-17T00:00:00"/>
    <s v="No"/>
    <n v="0"/>
    <s v="No"/>
    <s v="No"/>
    <s v="No"/>
    <s v="No"/>
    <s v="No"/>
  </r>
  <r>
    <s v="C1826"/>
    <s v="Divya Yadav"/>
    <s v="Female"/>
    <n v="21"/>
    <x v="4"/>
    <x v="2"/>
    <s v="Two year"/>
    <n v="1"/>
    <x v="4"/>
    <n v="499"/>
    <n v="499"/>
    <s v="No Internet"/>
    <d v="2025-08-01T00:00:00"/>
    <s v="No"/>
    <n v="0"/>
    <s v="No"/>
    <s v="No"/>
    <s v="No"/>
    <s v="No"/>
    <s v="No"/>
  </r>
  <r>
    <s v="C1827"/>
    <s v="Rahul Yadav"/>
    <s v="Male"/>
    <n v="25"/>
    <x v="4"/>
    <x v="6"/>
    <s v="Month-to-month"/>
    <n v="8"/>
    <x v="2"/>
    <n v="549"/>
    <n v="4392"/>
    <s v="No Internet"/>
    <d v="2025-01-04T00:00:00"/>
    <s v="No"/>
    <n v="0"/>
    <s v="No"/>
    <s v="No"/>
    <s v="No"/>
    <s v="No"/>
    <s v="No"/>
  </r>
  <r>
    <s v="C1828"/>
    <s v="Payal Tiwari"/>
    <s v="Female"/>
    <n v="60"/>
    <x v="1"/>
    <x v="0"/>
    <s v="Month-to-month"/>
    <n v="11"/>
    <x v="2"/>
    <n v="1199"/>
    <n v="13189"/>
    <s v="Fiber"/>
    <d v="2024-10-08T00:00:00"/>
    <s v="No"/>
    <n v="0"/>
    <s v="No"/>
    <s v="Yes"/>
    <s v="No"/>
    <s v="No"/>
    <s v="No"/>
  </r>
  <r>
    <s v="C1829"/>
    <s v="Shreya Nair"/>
    <s v="Female"/>
    <n v="56"/>
    <x v="1"/>
    <x v="7"/>
    <s v="Month-to-month"/>
    <n v="3"/>
    <x v="4"/>
    <n v="1099"/>
    <n v="3297"/>
    <s v="Fiber"/>
    <d v="2025-06-03T00:00:00"/>
    <s v="No"/>
    <n v="0"/>
    <s v="No"/>
    <s v="No"/>
    <s v="No"/>
    <s v="No"/>
    <s v="No"/>
  </r>
  <r>
    <s v="C1830"/>
    <s v="Deepak Iyer"/>
    <s v="Male"/>
    <n v="56"/>
    <x v="1"/>
    <x v="0"/>
    <s v="One year"/>
    <n v="37"/>
    <x v="1"/>
    <n v="549"/>
    <n v="20313"/>
    <s v="No Internet"/>
    <d v="2022-08-30T00:00:00"/>
    <s v="Yes"/>
    <n v="1"/>
    <s v="No"/>
    <s v="No"/>
    <s v="No"/>
    <s v="No"/>
    <s v="No"/>
  </r>
  <r>
    <s v="C1831"/>
    <s v="Harsh Saxena"/>
    <s v="Male"/>
    <n v="53"/>
    <x v="1"/>
    <x v="6"/>
    <s v="Month-to-month"/>
    <n v="4"/>
    <x v="4"/>
    <n v="549"/>
    <n v="2196"/>
    <s v="No Internet"/>
    <d v="2025-05-25T00:00:00"/>
    <s v="Yes"/>
    <n v="1"/>
    <s v="No"/>
    <s v="No"/>
    <s v="No"/>
    <s v="No"/>
    <s v="No"/>
  </r>
  <r>
    <s v="C1832"/>
    <s v="Vikram Reddy"/>
    <s v="Male"/>
    <n v="45"/>
    <x v="3"/>
    <x v="14"/>
    <s v="Month-to-month"/>
    <n v="11"/>
    <x v="2"/>
    <n v="449"/>
    <n v="4939"/>
    <s v="No Internet"/>
    <d v="2024-10-25T00:00:00"/>
    <s v="Yes"/>
    <n v="1"/>
    <s v="No"/>
    <s v="No"/>
    <s v="No"/>
    <s v="No"/>
    <s v="No"/>
  </r>
  <r>
    <s v="C1833"/>
    <s v="Anjali Saxena"/>
    <s v="Female"/>
    <n v="26"/>
    <x v="0"/>
    <x v="1"/>
    <s v="One year"/>
    <n v="22"/>
    <x v="0"/>
    <n v="999"/>
    <n v="21978"/>
    <s v="Fiber"/>
    <d v="2023-11-19T00:00:00"/>
    <s v="No"/>
    <n v="0"/>
    <s v="No"/>
    <s v="No"/>
    <s v="No"/>
    <s v="No"/>
    <s v="No"/>
  </r>
  <r>
    <s v="C1834"/>
    <s v="Nikhil Rao"/>
    <s v="Male"/>
    <n v="63"/>
    <x v="2"/>
    <x v="14"/>
    <s v="One year"/>
    <n v="36"/>
    <x v="1"/>
    <n v="1099"/>
    <n v="39564"/>
    <s v="Fiber"/>
    <d v="2022-10-11T00:00:00"/>
    <s v="No"/>
    <n v="0"/>
    <s v="No"/>
    <s v="No"/>
    <s v="No"/>
    <s v="No"/>
    <s v="No"/>
  </r>
  <r>
    <s v="C1835"/>
    <s v="Unknown"/>
    <s v="Female"/>
    <n v="23"/>
    <x v="4"/>
    <x v="2"/>
    <s v="One year"/>
    <n v="8"/>
    <x v="2"/>
    <n v="399"/>
    <n v="3192"/>
    <s v="No Internet"/>
    <d v="2025-01-19T00:00:00"/>
    <s v="No"/>
    <n v="0"/>
    <s v="No"/>
    <s v="No"/>
    <s v="No"/>
    <s v="No"/>
    <s v="No"/>
  </r>
  <r>
    <s v="C1836"/>
    <s v="Harsh Verma"/>
    <s v="Male"/>
    <n v="55"/>
    <x v="1"/>
    <x v="1"/>
    <s v="Month-to-month"/>
    <n v="14"/>
    <x v="0"/>
    <n v="1299"/>
    <n v="18186"/>
    <s v="Fiber"/>
    <d v="2024-07-06T00:00:00"/>
    <s v="No"/>
    <n v="0"/>
    <s v="No"/>
    <s v="No"/>
    <s v="No"/>
    <s v="No"/>
    <s v="No"/>
  </r>
  <r>
    <s v="C1837"/>
    <s v="Mohit Saxena"/>
    <s v="Male"/>
    <n v="56"/>
    <x v="1"/>
    <x v="11"/>
    <s v="Month-to-month"/>
    <n v="18"/>
    <x v="0"/>
    <n v="1099"/>
    <n v="19782"/>
    <s v="Fiber"/>
    <d v="2024-03-28T00:00:00"/>
    <s v="Yes"/>
    <n v="1"/>
    <s v="No"/>
    <s v="No"/>
    <s v="No"/>
    <s v="No"/>
    <s v="No"/>
  </r>
  <r>
    <s v="C1838"/>
    <s v="Gaurav Saxena"/>
    <s v="Male"/>
    <n v="47"/>
    <x v="1"/>
    <x v="8"/>
    <s v="One year"/>
    <n v="3"/>
    <x v="4"/>
    <n v="799"/>
    <n v="2397"/>
    <s v="DSL"/>
    <d v="2025-06-08T00:00:00"/>
    <s v="No"/>
    <n v="0"/>
    <s v="No"/>
    <s v="No"/>
    <s v="No"/>
    <s v="Yes"/>
    <s v="No"/>
  </r>
  <r>
    <s v="C1839"/>
    <s v="Suresh Pandey"/>
    <s v="Male"/>
    <n v="54"/>
    <x v="1"/>
    <x v="7"/>
    <s v="One year"/>
    <m/>
    <x v="4"/>
    <n v="849"/>
    <m/>
    <s v="DSL"/>
    <d v="2024-02-26T00:00:00"/>
    <s v="No"/>
    <n v="0"/>
    <s v="No"/>
    <s v="No"/>
    <s v="No"/>
    <s v="No"/>
    <s v="Total missing; Tenure missing"/>
  </r>
  <r>
    <s v="C1840"/>
    <s v="Sanjay Agarwal"/>
    <s v="Male"/>
    <n v="69"/>
    <x v="2"/>
    <x v="0"/>
    <s v="One year"/>
    <n v="12"/>
    <x v="2"/>
    <n v="899"/>
    <n v="10788"/>
    <s v="DSL"/>
    <d v="2024-09-07T00:00:00"/>
    <s v="No"/>
    <n v="0"/>
    <s v="No"/>
    <s v="No"/>
    <s v="No"/>
    <s v="No"/>
    <s v="No"/>
  </r>
  <r>
    <s v="C1841"/>
    <s v="Rahul Mishra"/>
    <s v="Male"/>
    <n v="43"/>
    <x v="3"/>
    <x v="2"/>
    <s v="Month-to-month"/>
    <n v="12"/>
    <x v="2"/>
    <n v="1099"/>
    <n v="13188"/>
    <s v="Fiber"/>
    <d v="2024-09-10T00:00:00"/>
    <s v="Yes"/>
    <n v="1"/>
    <s v="No"/>
    <s v="No"/>
    <s v="No"/>
    <s v="No"/>
    <s v="No"/>
  </r>
  <r>
    <s v="C1842"/>
    <s v="Aditi Pandey"/>
    <s v="Female"/>
    <n v="30"/>
    <x v="0"/>
    <x v="14"/>
    <s v="Two year"/>
    <n v="17"/>
    <x v="0"/>
    <n v="1299"/>
    <n v="22083"/>
    <s v="Fiber"/>
    <d v="2024-05-05T00:00:00"/>
    <s v="No"/>
    <n v="0"/>
    <s v="No"/>
    <s v="No"/>
    <s v="No"/>
    <s v="No"/>
    <s v="No"/>
  </r>
  <r>
    <s v="C1843"/>
    <s v="Shreya Chopra"/>
    <s v="Female"/>
    <n v="28"/>
    <x v="0"/>
    <x v="11"/>
    <s v="Month-to-month"/>
    <n v="10"/>
    <x v="2"/>
    <n v="999"/>
    <n v="9990"/>
    <s v="Fiber"/>
    <d v="2024-11-26T00:00:00"/>
    <s v="No"/>
    <n v="0"/>
    <s v="No"/>
    <s v="No"/>
    <s v="No"/>
    <s v="No"/>
    <s v="No"/>
  </r>
  <r>
    <s v="C1844"/>
    <s v="Aman Agarwal"/>
    <s v="Male"/>
    <n v="72"/>
    <x v="2"/>
    <x v="11"/>
    <s v="Month-to-month"/>
    <n v="5"/>
    <x v="4"/>
    <n v="1099"/>
    <n v="5495"/>
    <s v="Fiber"/>
    <d v="2025-04-28T00:00:00"/>
    <s v="No"/>
    <n v="0"/>
    <s v="No"/>
    <s v="No"/>
    <s v="Yes"/>
    <s v="No"/>
    <s v="No"/>
  </r>
  <r>
    <s v="C1845"/>
    <s v="Komal Gupta"/>
    <s v="Female"/>
    <n v="21"/>
    <x v="4"/>
    <x v="4"/>
    <s v="Two year"/>
    <n v="56"/>
    <x v="3"/>
    <n v="1199"/>
    <n v="67144"/>
    <s v="Fiber"/>
    <d v="2021-02-18T00:00:00"/>
    <s v="No"/>
    <n v="0"/>
    <s v="No"/>
    <s v="No"/>
    <s v="Yes"/>
    <s v="No"/>
    <s v="No"/>
  </r>
  <r>
    <s v="C1846"/>
    <s v="Deepak Desai"/>
    <s v="Male"/>
    <n v="37"/>
    <x v="3"/>
    <x v="14"/>
    <s v="One year"/>
    <n v="25"/>
    <x v="1"/>
    <n v="899"/>
    <n v="22475"/>
    <s v="DSL"/>
    <m/>
    <s v="No"/>
    <n v="0"/>
    <s v="No"/>
    <s v="No"/>
    <s v="No"/>
    <s v="No"/>
    <s v="Date missing"/>
  </r>
  <r>
    <s v="C1847"/>
    <s v="Kavita Chopra"/>
    <s v="Female"/>
    <n v="59"/>
    <x v="1"/>
    <x v="7"/>
    <s v="Month-to-month"/>
    <n v="3"/>
    <x v="4"/>
    <n v="599"/>
    <n v="1797"/>
    <s v="Unknown"/>
    <d v="2025-06-12T00:00:00"/>
    <s v="Yes"/>
    <n v="1"/>
    <s v="No"/>
    <s v="No"/>
    <s v="No"/>
    <s v="No"/>
    <s v="No"/>
  </r>
  <r>
    <s v="C1848"/>
    <s v="Kavita Pandey"/>
    <s v="Female"/>
    <n v="65"/>
    <x v="2"/>
    <x v="4"/>
    <s v="One year"/>
    <n v="31"/>
    <x v="1"/>
    <n v="849"/>
    <n v="26319"/>
    <s v="DSL"/>
    <d v="2023-03-09T00:00:00"/>
    <s v="No"/>
    <n v="0"/>
    <s v="No"/>
    <s v="No"/>
    <s v="No"/>
    <s v="No"/>
    <s v="No"/>
  </r>
  <r>
    <s v="C1849"/>
    <s v="Nikhil Kumar"/>
    <s v="Male"/>
    <n v="63"/>
    <x v="2"/>
    <x v="6"/>
    <s v="One year"/>
    <n v="2"/>
    <x v="4"/>
    <n v="749"/>
    <n v="1498"/>
    <s v="DSL"/>
    <d v="2025-07-14T00:00:00"/>
    <s v="No"/>
    <n v="0"/>
    <s v="No"/>
    <s v="No"/>
    <s v="No"/>
    <s v="Yes"/>
    <s v="No"/>
  </r>
  <r>
    <s v="C1850"/>
    <s v="Neha Jain"/>
    <s v="Female"/>
    <n v="71"/>
    <x v="2"/>
    <x v="11"/>
    <s v="Month-to-month"/>
    <n v="21"/>
    <x v="0"/>
    <n v="399"/>
    <n v="8379"/>
    <s v="No Internet"/>
    <d v="2023-12-10T00:00:00"/>
    <s v="No"/>
    <n v="0"/>
    <s v="No"/>
    <s v="No"/>
    <s v="No"/>
    <s v="No"/>
    <s v="No"/>
  </r>
  <r>
    <s v="C1851"/>
    <s v="Arjun Yadav"/>
    <s v="Male"/>
    <n v="62"/>
    <x v="2"/>
    <x v="8"/>
    <s v="Month-to-month"/>
    <n v="11"/>
    <x v="2"/>
    <n v="899"/>
    <n v="9889"/>
    <s v="Fiber"/>
    <d v="2024-10-13T00:00:00"/>
    <s v="No"/>
    <n v="0"/>
    <s v="No"/>
    <s v="No"/>
    <s v="No"/>
    <s v="No"/>
    <s v="No"/>
  </r>
  <r>
    <s v="C1852"/>
    <s v="Vikram Mishra"/>
    <s v="Male"/>
    <n v="34"/>
    <x v="0"/>
    <x v="6"/>
    <s v="One year"/>
    <n v="8"/>
    <x v="2"/>
    <n v="799"/>
    <n v="6392"/>
    <s v="DSL"/>
    <d v="2025-01-26T00:00:00"/>
    <s v="No"/>
    <n v="0"/>
    <s v="No"/>
    <s v="No"/>
    <s v="No"/>
    <s v="No"/>
    <s v="No"/>
  </r>
  <r>
    <s v="C1853"/>
    <s v="Priya Nair"/>
    <s v="Female"/>
    <n v="37"/>
    <x v="3"/>
    <x v="3"/>
    <s v="Two year"/>
    <n v="38"/>
    <x v="1"/>
    <n v="1149"/>
    <n v="43662"/>
    <s v="Fiber"/>
    <d v="2022-07-31T00:00:00"/>
    <s v="No"/>
    <n v="0"/>
    <s v="No"/>
    <s v="No"/>
    <s v="No"/>
    <s v="Yes"/>
    <s v="No"/>
  </r>
  <r>
    <s v="C1854"/>
    <s v="Payal Patel"/>
    <s v="Female"/>
    <n v="56"/>
    <x v="1"/>
    <x v="10"/>
    <s v="Month-to-month"/>
    <n v="22"/>
    <x v="0"/>
    <n v="899"/>
    <n v="19778"/>
    <s v="Fiber"/>
    <d v="2023-12-04T00:00:00"/>
    <s v="Yes"/>
    <n v="1"/>
    <s v="No"/>
    <s v="No"/>
    <s v="No"/>
    <s v="No"/>
    <s v="No"/>
  </r>
  <r>
    <s v="C1855"/>
    <s v="Deepika Singh"/>
    <s v="Female"/>
    <n v="56"/>
    <x v="1"/>
    <x v="1"/>
    <s v="Month-to-month"/>
    <n v="5"/>
    <x v="4"/>
    <n v="1149"/>
    <n v="5745"/>
    <s v="Fiber"/>
    <d v="2025-04-23T00:00:00"/>
    <s v="Yes"/>
    <n v="1"/>
    <s v="No"/>
    <s v="No"/>
    <s v="No"/>
    <s v="No"/>
    <s v="No"/>
  </r>
  <r>
    <s v="C1856"/>
    <s v="Divya Chopra"/>
    <s v="Female"/>
    <n v="75"/>
    <x v="2"/>
    <x v="8"/>
    <s v="Month-to-month"/>
    <n v="9"/>
    <x v="2"/>
    <n v="849"/>
    <n v="7641"/>
    <s v="DSL"/>
    <d v="2024-12-30T00:00:00"/>
    <s v="No"/>
    <n v="0"/>
    <s v="No"/>
    <s v="No"/>
    <s v="No"/>
    <s v="No"/>
    <s v="No"/>
  </r>
  <r>
    <s v="C1857"/>
    <s v="Deepika Pandey"/>
    <s v="Female"/>
    <n v="41"/>
    <x v="3"/>
    <x v="11"/>
    <s v="One year"/>
    <n v="39"/>
    <x v="1"/>
    <n v="399"/>
    <n v="15561"/>
    <s v="No Internet"/>
    <d v="2022-06-21T00:00:00"/>
    <s v="No"/>
    <n v="0"/>
    <s v="No"/>
    <s v="No"/>
    <s v="No"/>
    <s v="No"/>
    <s v="No"/>
  </r>
  <r>
    <s v="C1858"/>
    <s v="Divya Sharma"/>
    <s v="Female"/>
    <n v="56"/>
    <x v="1"/>
    <x v="0"/>
    <s v="Month-to-month"/>
    <n v="4"/>
    <x v="4"/>
    <n v="849"/>
    <n v="3396"/>
    <s v="DSL"/>
    <d v="2025-05-11T00:00:00"/>
    <s v="Yes"/>
    <n v="1"/>
    <s v="No"/>
    <s v="No"/>
    <s v="No"/>
    <s v="No"/>
    <s v="No"/>
  </r>
  <r>
    <s v="C1859"/>
    <s v="Aman Joshi"/>
    <s v="Male"/>
    <n v="67"/>
    <x v="2"/>
    <x v="5"/>
    <s v="Month-to-month"/>
    <n v="9"/>
    <x v="2"/>
    <n v="899"/>
    <n v="8091"/>
    <s v="Fiber"/>
    <d v="2024-12-25T00:00:00"/>
    <s v="No"/>
    <n v="0"/>
    <s v="No"/>
    <s v="No"/>
    <s v="No"/>
    <s v="No"/>
    <s v="No"/>
  </r>
  <r>
    <s v="C1860"/>
    <s v="Unknown"/>
    <s v="Female"/>
    <n v="29"/>
    <x v="0"/>
    <x v="1"/>
    <s v="One year"/>
    <n v="32"/>
    <x v="1"/>
    <n v="599"/>
    <n v="19168"/>
    <s v="DSL"/>
    <d v="2023-01-15T00:00:00"/>
    <s v="No"/>
    <n v="0"/>
    <s v="No"/>
    <s v="Yes"/>
    <s v="No"/>
    <s v="No"/>
    <s v="No"/>
  </r>
  <r>
    <s v="C1861"/>
    <s v="Sonal Malhotra"/>
    <s v="Female"/>
    <n v="56"/>
    <x v="1"/>
    <x v="4"/>
    <s v="Two year"/>
    <n v="50"/>
    <x v="3"/>
    <n v="649"/>
    <n v="32450"/>
    <s v="DSL"/>
    <d v="2021-07-23T00:00:00"/>
    <s v="No"/>
    <n v="0"/>
    <s v="No"/>
    <s v="No"/>
    <s v="No"/>
    <s v="No"/>
    <s v="No"/>
  </r>
  <r>
    <s v="C1862"/>
    <s v="Komal Bose"/>
    <s v="Female"/>
    <n v="26"/>
    <x v="0"/>
    <x v="5"/>
    <s v="Month-to-month"/>
    <n v="5"/>
    <x v="4"/>
    <n v="999"/>
    <n v="4995"/>
    <s v="Fiber"/>
    <d v="2025-04-08T00:00:00"/>
    <s v="Yes"/>
    <n v="1"/>
    <s v="No"/>
    <s v="No"/>
    <s v="No"/>
    <s v="No"/>
    <s v="No"/>
  </r>
  <r>
    <s v="C1863"/>
    <s v="Sneha Agarwal"/>
    <s v="Female"/>
    <n v="58"/>
    <x v="1"/>
    <x v="2"/>
    <s v="One year"/>
    <n v="39"/>
    <x v="1"/>
    <n v="749"/>
    <n v="29211"/>
    <s v="DSL"/>
    <d v="2022-07-05T00:00:00"/>
    <s v="No"/>
    <n v="0"/>
    <s v="No"/>
    <s v="No"/>
    <s v="No"/>
    <s v="No"/>
    <s v="No"/>
  </r>
  <r>
    <s v="C1864"/>
    <s v="Payal Iyer"/>
    <s v="Female"/>
    <n v="35"/>
    <x v="0"/>
    <x v="12"/>
    <s v="Month-to-month"/>
    <n v="8"/>
    <x v="2"/>
    <n v="1199"/>
    <n v="9592"/>
    <s v="Fiber"/>
    <d v="2025-01-18T00:00:00"/>
    <s v="No"/>
    <n v="0"/>
    <s v="No"/>
    <s v="No"/>
    <s v="Yes"/>
    <s v="No"/>
    <s v="No"/>
  </r>
  <r>
    <s v="C1865"/>
    <s v="Neha Chopra"/>
    <s v="Female"/>
    <n v="23"/>
    <x v="4"/>
    <x v="4"/>
    <s v="One year"/>
    <n v="11"/>
    <x v="2"/>
    <n v="349"/>
    <n v="3839"/>
    <s v="No Internet"/>
    <d v="2024-10-16T00:00:00"/>
    <s v="No"/>
    <n v="0"/>
    <s v="No"/>
    <s v="No"/>
    <s v="No"/>
    <s v="No"/>
    <s v="No"/>
  </r>
  <r>
    <s v="C1866"/>
    <s v="Priya Tiwari"/>
    <s v="Female"/>
    <n v="61"/>
    <x v="2"/>
    <x v="1"/>
    <s v="Two year"/>
    <n v="64"/>
    <x v="3"/>
    <n v="799"/>
    <n v="51136"/>
    <s v="DSL"/>
    <d v="2020-06-14T00:00:00"/>
    <s v="No"/>
    <n v="0"/>
    <s v="No"/>
    <s v="No"/>
    <s v="No"/>
    <s v="No"/>
    <s v="No"/>
  </r>
  <r>
    <s v="C1867"/>
    <s v="Pankaj Mehta"/>
    <s v="Unknown"/>
    <n v="71"/>
    <x v="2"/>
    <x v="14"/>
    <s v="Month-to-month"/>
    <n v="18"/>
    <x v="0"/>
    <n v="1049"/>
    <n v="18882"/>
    <s v="Fiber"/>
    <d v="2024-03-16T00:00:00"/>
    <s v="No"/>
    <n v="0"/>
    <s v="No"/>
    <s v="No"/>
    <s v="No"/>
    <s v="No"/>
    <s v="No"/>
  </r>
  <r>
    <s v="C1868"/>
    <s v="Pankaj Kapoor"/>
    <s v="Male"/>
    <n v="28"/>
    <x v="0"/>
    <x v="9"/>
    <s v="Two year"/>
    <n v="29"/>
    <x v="1"/>
    <n v="899"/>
    <n v="26071"/>
    <s v="Fiber"/>
    <d v="2023-04-26T00:00:00"/>
    <s v="No"/>
    <n v="0"/>
    <s v="No"/>
    <s v="No"/>
    <s v="No"/>
    <s v="No"/>
    <s v="No"/>
  </r>
  <r>
    <s v="C1869"/>
    <s v="Sneha Tiwari"/>
    <s v="Female"/>
    <n v="49"/>
    <x v="1"/>
    <x v="12"/>
    <s v="Month-to-month"/>
    <n v="11"/>
    <x v="2"/>
    <n v="549"/>
    <n v="6039"/>
    <s v="No Internet"/>
    <d v="2024-10-06T00:00:00"/>
    <s v="No"/>
    <n v="0"/>
    <s v="No"/>
    <s v="No"/>
    <s v="No"/>
    <s v="No"/>
    <s v="No"/>
  </r>
  <r>
    <s v="C1870"/>
    <s v="Harsh Iyer"/>
    <s v="Male"/>
    <n v="48"/>
    <x v="1"/>
    <x v="5"/>
    <s v="Month-to-month"/>
    <n v="21"/>
    <x v="0"/>
    <n v="799"/>
    <n v="16779"/>
    <s v="DSL"/>
    <d v="2023-12-09T00:00:00"/>
    <s v="No"/>
    <n v="0"/>
    <s v="No"/>
    <s v="No"/>
    <s v="No"/>
    <s v="No"/>
    <s v="No"/>
  </r>
  <r>
    <s v="C1871"/>
    <s v="Ankit Yadav"/>
    <s v="Male"/>
    <n v="72"/>
    <x v="2"/>
    <x v="7"/>
    <s v="Month-to-month"/>
    <n v="15"/>
    <x v="0"/>
    <n v="699"/>
    <n v="10485"/>
    <s v="DSL"/>
    <d v="2024-06-24T00:00:00"/>
    <s v="Yes"/>
    <n v="1"/>
    <s v="No"/>
    <s v="No"/>
    <s v="No"/>
    <s v="Yes"/>
    <s v="No"/>
  </r>
  <r>
    <s v="C1872"/>
    <s v="Deepak Patel"/>
    <s v="Male"/>
    <n v="18"/>
    <x v="4"/>
    <x v="4"/>
    <s v="Month-to-month"/>
    <n v="17"/>
    <x v="0"/>
    <n v="799"/>
    <n v="13583"/>
    <s v="DSL"/>
    <d v="2024-04-21T00:00:00"/>
    <s v="Yes"/>
    <n v="1"/>
    <s v="No"/>
    <s v="No"/>
    <s v="No"/>
    <s v="No"/>
    <s v="No"/>
  </r>
  <r>
    <s v="C1873"/>
    <s v="Rohit Saxena"/>
    <s v="Male"/>
    <n v="34"/>
    <x v="0"/>
    <x v="0"/>
    <s v="Month-to-month"/>
    <n v="12"/>
    <x v="2"/>
    <n v="999"/>
    <n v="11988"/>
    <s v="Fiber"/>
    <d v="2024-09-30T00:00:00"/>
    <s v="No"/>
    <n v="0"/>
    <s v="No"/>
    <s v="No"/>
    <s v="No"/>
    <s v="No"/>
    <s v="No"/>
  </r>
  <r>
    <s v="C1874"/>
    <s v="Shreya Gupta"/>
    <s v="Female"/>
    <n v="26"/>
    <x v="0"/>
    <x v="2"/>
    <s v="One year"/>
    <n v="13"/>
    <x v="0"/>
    <n v="599"/>
    <n v="7787"/>
    <s v="DSL"/>
    <d v="2024-08-22T00:00:00"/>
    <s v="Yes"/>
    <n v="1"/>
    <s v="No"/>
    <s v="No"/>
    <s v="No"/>
    <s v="Yes"/>
    <s v="No"/>
  </r>
  <r>
    <s v="C1875"/>
    <s v="Swati Verma"/>
    <s v="Female"/>
    <n v="28"/>
    <x v="0"/>
    <x v="9"/>
    <s v="Month-to-month"/>
    <n v="22"/>
    <x v="0"/>
    <n v="899"/>
    <n v="19778"/>
    <s v="Fiber"/>
    <d v="2023-11-23T00:00:00"/>
    <s v="No"/>
    <n v="0"/>
    <s v="No"/>
    <s v="No"/>
    <s v="No"/>
    <s v="No"/>
    <s v="No"/>
  </r>
  <r>
    <s v="C1876"/>
    <s v="Nikhil Rao"/>
    <s v="Unknown"/>
    <n v="47"/>
    <x v="1"/>
    <x v="14"/>
    <s v="Two year"/>
    <n v="50"/>
    <x v="3"/>
    <n v="349"/>
    <n v="17450"/>
    <s v="No Internet"/>
    <d v="2021-08-16T00:00:00"/>
    <s v="No"/>
    <n v="0"/>
    <s v="Yes"/>
    <s v="No"/>
    <s v="No"/>
    <s v="No"/>
    <s v="No"/>
  </r>
  <r>
    <s v="C1877"/>
    <s v="Aman Jain"/>
    <s v="Male"/>
    <n v="18"/>
    <x v="4"/>
    <x v="13"/>
    <s v="One year"/>
    <n v="22"/>
    <x v="0"/>
    <n v="749"/>
    <n v="16478"/>
    <s v="DSL"/>
    <d v="2023-11-29T00:00:00"/>
    <s v="No"/>
    <n v="0"/>
    <s v="No"/>
    <s v="No"/>
    <s v="No"/>
    <s v="No"/>
    <s v="No"/>
  </r>
  <r>
    <s v="C1878"/>
    <s v="Komal Kumar"/>
    <s v="Female"/>
    <n v="66"/>
    <x v="2"/>
    <x v="12"/>
    <s v="Month-to-month"/>
    <n v="17"/>
    <x v="0"/>
    <n v="649"/>
    <n v="11033"/>
    <s v="DSL"/>
    <d v="2024-04-09T00:00:00"/>
    <s v="No"/>
    <n v="0"/>
    <s v="No"/>
    <s v="No"/>
    <s v="No"/>
    <s v="No"/>
    <s v="No"/>
  </r>
  <r>
    <s v="C1879"/>
    <s v="Ritu Saxena"/>
    <s v="Female"/>
    <n v="70"/>
    <x v="2"/>
    <x v="12"/>
    <s v="Unknown"/>
    <n v="4"/>
    <x v="4"/>
    <n v="1199"/>
    <n v="4796"/>
    <s v="Fiber"/>
    <d v="2025-05-25T00:00:00"/>
    <s v="Yes"/>
    <n v="1"/>
    <s v="No"/>
    <s v="No"/>
    <s v="No"/>
    <s v="No"/>
    <s v="No"/>
  </r>
  <r>
    <s v="C1880"/>
    <s v="Manish Reddy"/>
    <s v="Male"/>
    <n v="26"/>
    <x v="0"/>
    <x v="12"/>
    <s v="Month-to-month"/>
    <n v="5"/>
    <x v="4"/>
    <n v="549"/>
    <n v="2745"/>
    <s v="No Internet"/>
    <d v="2025-04-04T00:00:00"/>
    <s v="Yes"/>
    <n v="1"/>
    <s v="No"/>
    <s v="No"/>
    <s v="No"/>
    <s v="No"/>
    <s v="No"/>
  </r>
  <r>
    <s v="C1881"/>
    <s v="Deepak Tiwari"/>
    <s v="Male"/>
    <n v="51"/>
    <x v="1"/>
    <x v="5"/>
    <s v="One year"/>
    <n v="15"/>
    <x v="0"/>
    <n v="499"/>
    <n v="7485"/>
    <s v="No Internet"/>
    <d v="2024-06-22T00:00:00"/>
    <s v="Yes"/>
    <n v="1"/>
    <s v="No"/>
    <s v="No"/>
    <s v="No"/>
    <s v="No"/>
    <s v="No"/>
  </r>
  <r>
    <s v="C1882"/>
    <s v="Harsh Reddy"/>
    <s v="Male"/>
    <n v="35"/>
    <x v="0"/>
    <x v="2"/>
    <s v="Month-to-month"/>
    <n v="14"/>
    <x v="0"/>
    <n v="1049"/>
    <n v="14686"/>
    <s v="Fiber"/>
    <d v="2024-08-04T00:00:00"/>
    <s v="Yes"/>
    <n v="1"/>
    <s v="No"/>
    <s v="No"/>
    <s v="No"/>
    <s v="No"/>
    <s v="No"/>
  </r>
  <r>
    <s v="C1883"/>
    <s v="Nikhil Mehta"/>
    <s v="Male"/>
    <n v="47"/>
    <x v="1"/>
    <x v="7"/>
    <s v="Month-to-month"/>
    <n v="14"/>
    <x v="0"/>
    <n v="1049"/>
    <n v="14686"/>
    <s v="Fiber"/>
    <d v="2024-07-26T00:00:00"/>
    <s v="Yes"/>
    <n v="1"/>
    <s v="Yes"/>
    <s v="No"/>
    <s v="No"/>
    <s v="Yes"/>
    <s v="No"/>
  </r>
  <r>
    <s v="C1884"/>
    <s v="Karan Saxena"/>
    <s v="Male"/>
    <n v="18"/>
    <x v="4"/>
    <x v="9"/>
    <s v="One year"/>
    <n v="22"/>
    <x v="0"/>
    <n v="449"/>
    <n v="9878"/>
    <s v="No Internet"/>
    <d v="2023-11-20T00:00:00"/>
    <s v="No"/>
    <n v="0"/>
    <s v="No"/>
    <s v="No"/>
    <s v="No"/>
    <s v="No"/>
    <s v="No"/>
  </r>
  <r>
    <s v="C1885"/>
    <s v="Ritu Chopra"/>
    <s v="Female"/>
    <n v="35"/>
    <x v="0"/>
    <x v="0"/>
    <s v="One year"/>
    <n v="7"/>
    <x v="2"/>
    <n v="649"/>
    <n v="4543"/>
    <s v="DSL"/>
    <d v="2025-02-12T00:00:00"/>
    <s v="Yes"/>
    <n v="1"/>
    <s v="No"/>
    <s v="No"/>
    <s v="No"/>
    <s v="Yes"/>
    <s v="No"/>
  </r>
  <r>
    <s v="C1886"/>
    <s v="Sanjay Pandey"/>
    <s v="Male"/>
    <n v="46"/>
    <x v="1"/>
    <x v="4"/>
    <s v="Month-to-month"/>
    <n v="11"/>
    <x v="2"/>
    <n v="1199"/>
    <n v="13189"/>
    <s v="Fiber"/>
    <d v="2024-10-27T00:00:00"/>
    <s v="Unknown"/>
    <s v=""/>
    <s v="No"/>
    <s v="No"/>
    <s v="No"/>
    <s v="No"/>
    <s v="Churn unknown"/>
  </r>
  <r>
    <s v="C1887"/>
    <s v="Amit Singh"/>
    <s v="Male"/>
    <n v="30"/>
    <x v="0"/>
    <x v="12"/>
    <s v="One year"/>
    <n v="36"/>
    <x v="1"/>
    <n v="699"/>
    <n v="25164"/>
    <s v="DSL"/>
    <d v="2022-10-11T00:00:00"/>
    <s v="No"/>
    <n v="0"/>
    <s v="No"/>
    <s v="No"/>
    <s v="No"/>
    <s v="No"/>
    <s v="No"/>
  </r>
  <r>
    <s v="C1888"/>
    <s v="Neha Desai"/>
    <s v="Female"/>
    <n v="44"/>
    <x v="3"/>
    <x v="1"/>
    <s v="Two year"/>
    <n v="3"/>
    <x v="4"/>
    <n v="1149"/>
    <n v="3447"/>
    <s v="Fiber"/>
    <d v="2025-06-26T00:00:00"/>
    <s v="No"/>
    <n v="0"/>
    <s v="No"/>
    <s v="No"/>
    <s v="No"/>
    <s v="No"/>
    <s v="No"/>
  </r>
  <r>
    <s v="C1889"/>
    <s v="Sneha Bose"/>
    <s v="Female"/>
    <n v="21"/>
    <x v="4"/>
    <x v="13"/>
    <s v="Two year"/>
    <n v="51"/>
    <x v="3"/>
    <n v="749"/>
    <n v="38199"/>
    <s v="DSL"/>
    <d v="2021-07-19T00:00:00"/>
    <s v="No"/>
    <n v="0"/>
    <s v="No"/>
    <s v="No"/>
    <s v="No"/>
    <s v="No"/>
    <s v="No"/>
  </r>
  <r>
    <s v="C1890"/>
    <s v="Ankit Jain"/>
    <s v="Male"/>
    <n v="42"/>
    <x v="3"/>
    <x v="1"/>
    <s v="One year"/>
    <n v="18"/>
    <x v="0"/>
    <n v="999"/>
    <n v="17982"/>
    <s v="Fiber"/>
    <d v="2024-03-31T00:00:00"/>
    <s v="Yes"/>
    <n v="1"/>
    <s v="No"/>
    <s v="No"/>
    <s v="No"/>
    <s v="No"/>
    <s v="No"/>
  </r>
  <r>
    <s v="C1891"/>
    <s v="Mohit Kapoor"/>
    <s v="Male"/>
    <n v="50"/>
    <x v="1"/>
    <x v="14"/>
    <s v="One year"/>
    <n v="15"/>
    <x v="0"/>
    <n v="699"/>
    <n v="10485"/>
    <s v="DSL"/>
    <d v="2024-06-30T00:00:00"/>
    <s v="No"/>
    <n v="0"/>
    <s v="No"/>
    <s v="No"/>
    <s v="No"/>
    <s v="No"/>
    <s v="No"/>
  </r>
  <r>
    <s v="C1892"/>
    <s v="Amit Mishra"/>
    <s v="Male"/>
    <n v="33"/>
    <x v="0"/>
    <x v="5"/>
    <s v="Month-to-month"/>
    <n v="9"/>
    <x v="2"/>
    <n v="649"/>
    <n v="5841"/>
    <s v="DSL"/>
    <d v="2024-12-25T00:00:00"/>
    <s v="No"/>
    <n v="0"/>
    <s v="No"/>
    <s v="No"/>
    <s v="No"/>
    <s v="No"/>
    <s v="No"/>
  </r>
  <r>
    <s v="C1893"/>
    <s v="Sachin Reddy"/>
    <s v="Male"/>
    <n v="18"/>
    <x v="4"/>
    <x v="9"/>
    <s v="Month-to-month"/>
    <n v="12"/>
    <x v="2"/>
    <n v="899"/>
    <n v="10788"/>
    <s v="Unknown"/>
    <d v="2024-09-29T00:00:00"/>
    <s v="Yes"/>
    <n v="1"/>
    <s v="No"/>
    <s v="No"/>
    <s v="No"/>
    <s v="No"/>
    <s v="No"/>
  </r>
  <r>
    <s v="C1894"/>
    <s v="Riya Iyer"/>
    <s v="Female"/>
    <n v="38"/>
    <x v="3"/>
    <x v="3"/>
    <s v="One year"/>
    <n v="23"/>
    <x v="0"/>
    <n v="649"/>
    <n v="14927"/>
    <s v="DSL"/>
    <d v="2023-11-08T00:00:00"/>
    <s v="No"/>
    <n v="0"/>
    <s v="No"/>
    <s v="No"/>
    <s v="Yes"/>
    <s v="No"/>
    <s v="No"/>
  </r>
  <r>
    <s v="C1895"/>
    <s v="Deepak Chopra"/>
    <s v="Male"/>
    <n v="34"/>
    <x v="0"/>
    <x v="6"/>
    <s v="One year"/>
    <n v="14"/>
    <x v="0"/>
    <n v="1099"/>
    <n v="15386"/>
    <s v="Fiber"/>
    <d v="2024-07-29T00:00:00"/>
    <s v="No"/>
    <n v="0"/>
    <s v="No"/>
    <s v="No"/>
    <s v="No"/>
    <s v="No"/>
    <s v="No"/>
  </r>
  <r>
    <s v="C1896"/>
    <s v="Pooja Kapoor"/>
    <s v="Female"/>
    <n v="32"/>
    <x v="0"/>
    <x v="14"/>
    <s v="One year"/>
    <n v="31"/>
    <x v="1"/>
    <n v="1099"/>
    <n v="34069"/>
    <s v="Fiber"/>
    <d v="2023-02-15T00:00:00"/>
    <s v="No"/>
    <n v="0"/>
    <s v="No"/>
    <s v="No"/>
    <s v="No"/>
    <s v="No"/>
    <s v="No"/>
  </r>
  <r>
    <s v="C1897"/>
    <s v="Sanjay Bose"/>
    <s v="Male"/>
    <n v="49"/>
    <x v="1"/>
    <x v="14"/>
    <s v="Month-to-month"/>
    <n v="10"/>
    <x v="2"/>
    <n v="649"/>
    <n v="6490"/>
    <s v="DSL"/>
    <d v="2024-11-26T00:00:00"/>
    <s v="No"/>
    <n v="0"/>
    <s v="No"/>
    <s v="No"/>
    <s v="No"/>
    <s v="No"/>
    <s v="No"/>
  </r>
  <r>
    <s v="C1898"/>
    <s v="Rohit Kumar"/>
    <s v="Male"/>
    <n v="45"/>
    <x v="3"/>
    <x v="0"/>
    <s v="Month-to-month"/>
    <n v="13"/>
    <x v="0"/>
    <n v="1199"/>
    <n v="15587"/>
    <s v="Fiber"/>
    <m/>
    <s v="Yes"/>
    <n v="1"/>
    <s v="No"/>
    <s v="No"/>
    <s v="No"/>
    <s v="No"/>
    <s v="Date missing"/>
  </r>
  <r>
    <s v="C1899"/>
    <s v="Pankaj Reddy"/>
    <s v="Unknown"/>
    <n v="42"/>
    <x v="3"/>
    <x v="12"/>
    <s v="Month-to-month"/>
    <n v="21"/>
    <x v="0"/>
    <n v="399"/>
    <n v="8379"/>
    <s v="No Internet"/>
    <d v="2023-12-30T00:00:00"/>
    <s v="No"/>
    <n v="0"/>
    <s v="No"/>
    <s v="No"/>
    <s v="No"/>
    <s v="No"/>
    <s v="No"/>
  </r>
  <r>
    <s v="C1900"/>
    <s v="Pankaj Sharma"/>
    <s v="Male"/>
    <n v="68"/>
    <x v="2"/>
    <x v="3"/>
    <s v="Two year"/>
    <n v="44"/>
    <x v="1"/>
    <n v="899"/>
    <n v="39556"/>
    <s v="DSL"/>
    <d v="2022-02-01T00:00:00"/>
    <s v="No"/>
    <n v="0"/>
    <s v="No"/>
    <s v="No"/>
    <s v="No"/>
    <s v="No"/>
    <s v="No"/>
  </r>
  <r>
    <s v="C1901"/>
    <s v="Meera Iyer"/>
    <s v="Female"/>
    <n v="39"/>
    <x v="3"/>
    <x v="7"/>
    <s v="Month-to-month"/>
    <n v="23"/>
    <x v="0"/>
    <n v="699"/>
    <n v="16077"/>
    <s v="DSL"/>
    <d v="2023-10-13T00:00:00"/>
    <s v="Yes"/>
    <n v="1"/>
    <s v="No"/>
    <s v="No"/>
    <s v="No"/>
    <s v="No"/>
    <s v="No"/>
  </r>
  <r>
    <s v="C1902"/>
    <s v="Karan Mishra"/>
    <s v="Male"/>
    <n v="36"/>
    <x v="3"/>
    <x v="4"/>
    <s v="Month-to-month"/>
    <n v="5"/>
    <x v="4"/>
    <n v="349"/>
    <n v="1745"/>
    <s v="No Internet"/>
    <d v="2025-04-19T00:00:00"/>
    <s v="Yes"/>
    <n v="1"/>
    <s v="No"/>
    <s v="No"/>
    <s v="Yes"/>
    <s v="No"/>
    <s v="No"/>
  </r>
  <r>
    <s v="C1903"/>
    <s v="Aman Chopra"/>
    <s v="Male"/>
    <n v="36"/>
    <x v="3"/>
    <x v="0"/>
    <s v="Two year"/>
    <n v="15"/>
    <x v="0"/>
    <n v="999"/>
    <n v="14985"/>
    <s v="Fiber"/>
    <d v="2024-06-26T00:00:00"/>
    <s v="No"/>
    <n v="0"/>
    <s v="No"/>
    <s v="No"/>
    <s v="No"/>
    <s v="No"/>
    <s v="No"/>
  </r>
  <r>
    <s v="C1904"/>
    <s v="Neha Yadav"/>
    <s v="Female"/>
    <n v="39"/>
    <x v="3"/>
    <x v="4"/>
    <s v="Month-to-month"/>
    <n v="3"/>
    <x v="4"/>
    <n v="399"/>
    <n v="1197"/>
    <s v="No Internet"/>
    <d v="2025-06-14T00:00:00"/>
    <s v="Unknown"/>
    <s v=""/>
    <s v="No"/>
    <s v="No"/>
    <s v="No"/>
    <s v="No"/>
    <s v="Churn unknown"/>
  </r>
  <r>
    <s v="C1905"/>
    <s v="Riya Gupta"/>
    <s v="Female"/>
    <n v="61"/>
    <x v="2"/>
    <x v="12"/>
    <s v="Month-to-month"/>
    <n v="10"/>
    <x v="2"/>
    <n v="1299"/>
    <n v="12990"/>
    <s v="Fiber"/>
    <d v="2024-11-29T00:00:00"/>
    <s v="Yes"/>
    <n v="1"/>
    <s v="No"/>
    <s v="No"/>
    <s v="No"/>
    <s v="No"/>
    <s v="No"/>
  </r>
  <r>
    <s v="C1906"/>
    <s v="Komal Saxena"/>
    <s v="Female"/>
    <n v="41"/>
    <x v="3"/>
    <x v="5"/>
    <s v="Two year"/>
    <n v="10"/>
    <x v="2"/>
    <n v="899"/>
    <n v="8990"/>
    <s v="Fiber"/>
    <d v="2024-11-28T00:00:00"/>
    <s v="No"/>
    <n v="0"/>
    <s v="No"/>
    <s v="No"/>
    <s v="No"/>
    <s v="Yes"/>
    <s v="No"/>
  </r>
  <r>
    <s v="C1907"/>
    <s v="Pooja Rao"/>
    <s v="Female"/>
    <n v="46"/>
    <x v="1"/>
    <x v="14"/>
    <s v="One year"/>
    <n v="5"/>
    <x v="4"/>
    <n v="499"/>
    <n v="2495"/>
    <s v="No Internet"/>
    <d v="2025-04-23T00:00:00"/>
    <s v="No"/>
    <n v="0"/>
    <s v="No"/>
    <s v="No"/>
    <s v="No"/>
    <s v="No"/>
    <s v="No"/>
  </r>
  <r>
    <s v="C1908"/>
    <s v="Vikram Joshi"/>
    <s v="Male"/>
    <n v="26"/>
    <x v="0"/>
    <x v="8"/>
    <s v="One year"/>
    <n v="32"/>
    <x v="1"/>
    <n v="1099"/>
    <n v="35168"/>
    <s v="Fiber"/>
    <d v="2023-01-22T00:00:00"/>
    <s v="No"/>
    <n v="0"/>
    <s v="No"/>
    <s v="No"/>
    <s v="No"/>
    <s v="No"/>
    <s v="No"/>
  </r>
  <r>
    <s v="C1909"/>
    <s v="Pooja Chopra"/>
    <s v="Female"/>
    <n v="33"/>
    <x v="0"/>
    <x v="12"/>
    <s v="Month-to-month"/>
    <n v="18"/>
    <x v="0"/>
    <n v="1149"/>
    <n v="20682"/>
    <s v="Fiber"/>
    <d v="2024-03-25T00:00:00"/>
    <s v="No"/>
    <n v="0"/>
    <s v="No"/>
    <s v="No"/>
    <s v="No"/>
    <s v="No"/>
    <s v="No"/>
  </r>
  <r>
    <s v="C1910"/>
    <s v="Rajesh Pandey"/>
    <s v="Male"/>
    <n v="44"/>
    <x v="3"/>
    <x v="1"/>
    <s v="One year"/>
    <n v="15"/>
    <x v="0"/>
    <n v="899"/>
    <n v="13485"/>
    <s v="Fiber"/>
    <d v="2024-06-29T00:00:00"/>
    <s v="No"/>
    <n v="0"/>
    <s v="No"/>
    <s v="No"/>
    <s v="No"/>
    <s v="No"/>
    <s v="No"/>
  </r>
  <r>
    <s v="C1911"/>
    <s v="Aman Mishra"/>
    <s v="Male"/>
    <n v="48"/>
    <x v="1"/>
    <x v="8"/>
    <s v="Two year"/>
    <n v="45"/>
    <x v="1"/>
    <n v="699"/>
    <n v="31455"/>
    <s v="DSL"/>
    <m/>
    <s v="No"/>
    <n v="0"/>
    <s v="No"/>
    <s v="No"/>
    <s v="Yes"/>
    <s v="No"/>
    <s v="Date missing"/>
  </r>
  <r>
    <s v="C1912"/>
    <s v="Ritu Mehta"/>
    <s v="Female"/>
    <n v="70"/>
    <x v="2"/>
    <x v="0"/>
    <s v="Month-to-month"/>
    <n v="23"/>
    <x v="0"/>
    <n v="849"/>
    <n v="19527"/>
    <s v="DSL"/>
    <d v="2023-10-17T00:00:00"/>
    <s v="No"/>
    <n v="0"/>
    <s v="No"/>
    <s v="No"/>
    <s v="No"/>
    <s v="No"/>
    <s v="No"/>
  </r>
  <r>
    <s v="C1913"/>
    <s v="Isha Verma"/>
    <s v="Female"/>
    <n v="62"/>
    <x v="2"/>
    <x v="4"/>
    <s v="One year"/>
    <n v="39"/>
    <x v="1"/>
    <n v="899"/>
    <n v="35061"/>
    <s v="DSL"/>
    <d v="2022-07-12T00:00:00"/>
    <s v="Yes"/>
    <n v="1"/>
    <s v="No"/>
    <s v="No"/>
    <s v="No"/>
    <s v="No"/>
    <s v="No"/>
  </r>
  <r>
    <s v="C1914"/>
    <s v="Manish Kumar"/>
    <s v="Male"/>
    <n v="18"/>
    <x v="4"/>
    <x v="11"/>
    <s v="Two year"/>
    <n v="24"/>
    <x v="0"/>
    <n v="1199"/>
    <n v="28776"/>
    <s v="Fiber"/>
    <d v="2023-09-17T00:00:00"/>
    <s v="No"/>
    <n v="0"/>
    <s v="No"/>
    <s v="No"/>
    <s v="No"/>
    <s v="No"/>
    <s v="No"/>
  </r>
  <r>
    <s v="C1915"/>
    <s v="Komal Tiwari"/>
    <s v="Female"/>
    <n v="64"/>
    <x v="2"/>
    <x v="2"/>
    <s v="Month-to-month"/>
    <n v="1"/>
    <x v="4"/>
    <n v="899"/>
    <n v="899"/>
    <s v="Fiber"/>
    <d v="2025-08-09T00:00:00"/>
    <s v="Yes"/>
    <n v="1"/>
    <s v="No"/>
    <s v="No"/>
    <s v="No"/>
    <s v="No"/>
    <s v="No"/>
  </r>
  <r>
    <s v="C1916"/>
    <s v="Pankaj Gupta"/>
    <s v="Male"/>
    <n v="50"/>
    <x v="1"/>
    <x v="8"/>
    <s v="Month-to-month"/>
    <n v="22"/>
    <x v="0"/>
    <n v="449"/>
    <n v="9878"/>
    <s v="No Internet"/>
    <d v="2023-11-22T00:00:00"/>
    <s v="No"/>
    <n v="0"/>
    <s v="No"/>
    <s v="No"/>
    <s v="No"/>
    <s v="No"/>
    <s v="No"/>
  </r>
  <r>
    <s v="C1917"/>
    <s v="Ritu Tiwari"/>
    <s v="Female"/>
    <n v="28"/>
    <x v="0"/>
    <x v="10"/>
    <s v="Two year"/>
    <n v="17"/>
    <x v="0"/>
    <n v="999"/>
    <n v="16983"/>
    <s v="Fiber"/>
    <d v="2024-04-29T00:00:00"/>
    <s v="No"/>
    <n v="0"/>
    <s v="No"/>
    <s v="No"/>
    <s v="No"/>
    <s v="Yes"/>
    <s v="No"/>
  </r>
  <r>
    <s v="C1918"/>
    <s v="Meera Agarwal"/>
    <s v="Female"/>
    <n v="53"/>
    <x v="1"/>
    <x v="11"/>
    <s v="Two year"/>
    <n v="60"/>
    <x v="3"/>
    <n v="499"/>
    <n v="29940"/>
    <s v="No Internet"/>
    <d v="2020-10-19T00:00:00"/>
    <s v="No"/>
    <n v="0"/>
    <s v="No"/>
    <s v="No"/>
    <s v="No"/>
    <s v="No"/>
    <s v="No"/>
  </r>
  <r>
    <s v="C1919"/>
    <s v="Aman Chopra"/>
    <s v="Male"/>
    <n v="45"/>
    <x v="3"/>
    <x v="0"/>
    <s v="Month-to-month"/>
    <n v="12"/>
    <x v="2"/>
    <n v="799"/>
    <n v="9588"/>
    <s v="DSL"/>
    <d v="2024-09-24T00:00:00"/>
    <s v="Yes"/>
    <n v="1"/>
    <s v="No"/>
    <s v="No"/>
    <s v="No"/>
    <s v="No"/>
    <s v="No"/>
  </r>
  <r>
    <s v="C1920"/>
    <s v="Sachin Reddy"/>
    <s v="Male"/>
    <n v="22"/>
    <x v="4"/>
    <x v="0"/>
    <s v="One year"/>
    <n v="20"/>
    <x v="0"/>
    <n v="1149"/>
    <n v="22980"/>
    <s v="Fiber"/>
    <d v="2024-02-05T00:00:00"/>
    <s v="No"/>
    <n v="0"/>
    <s v="No"/>
    <s v="No"/>
    <s v="No"/>
    <s v="No"/>
    <s v="No"/>
  </r>
  <r>
    <s v="C1921"/>
    <s v="Suresh Kumar"/>
    <s v="Male"/>
    <n v="47"/>
    <x v="1"/>
    <x v="11"/>
    <s v="Month-to-month"/>
    <n v="16"/>
    <x v="0"/>
    <n v="449"/>
    <n v="7184"/>
    <s v="No Internet"/>
    <d v="2024-05-27T00:00:00"/>
    <s v="Yes"/>
    <n v="1"/>
    <s v="Yes"/>
    <s v="No"/>
    <s v="No"/>
    <s v="No"/>
    <s v="No"/>
  </r>
  <r>
    <s v="C1922"/>
    <s v="Aman Iyer"/>
    <s v="Male"/>
    <n v="43"/>
    <x v="3"/>
    <x v="1"/>
    <s v="Month-to-month"/>
    <n v="24"/>
    <x v="0"/>
    <n v="999"/>
    <n v="23976"/>
    <s v="Fiber"/>
    <d v="2023-09-11T00:00:00"/>
    <s v="Yes"/>
    <n v="1"/>
    <s v="No"/>
    <s v="No"/>
    <s v="No"/>
    <s v="No"/>
    <s v="No"/>
  </r>
  <r>
    <s v="C1923"/>
    <s v="Mohit Singh"/>
    <s v="Male"/>
    <n v="19"/>
    <x v="4"/>
    <x v="11"/>
    <s v="One year"/>
    <n v="3"/>
    <x v="4"/>
    <n v="999"/>
    <n v="2997"/>
    <s v="Fiber"/>
    <d v="2025-06-28T00:00:00"/>
    <s v="No"/>
    <n v="0"/>
    <s v="No"/>
    <s v="No"/>
    <s v="No"/>
    <s v="No"/>
    <s v="No"/>
  </r>
  <r>
    <s v="C1924"/>
    <s v="Manish Mehta"/>
    <s v="Male"/>
    <n v="69"/>
    <x v="2"/>
    <x v="9"/>
    <s v="One year"/>
    <n v="11"/>
    <x v="2"/>
    <n v="1149"/>
    <n v="12639"/>
    <s v="Fiber"/>
    <d v="2024-10-04T00:00:00"/>
    <s v="No"/>
    <n v="0"/>
    <s v="No"/>
    <s v="No"/>
    <s v="No"/>
    <s v="No"/>
    <s v="No"/>
  </r>
  <r>
    <s v="C1925"/>
    <s v="Shreya Singh"/>
    <s v="Female"/>
    <n v="39"/>
    <x v="3"/>
    <x v="5"/>
    <s v="Month-to-month"/>
    <n v="14"/>
    <x v="0"/>
    <n v="499"/>
    <n v="6986"/>
    <s v="No Internet"/>
    <d v="2024-07-16T00:00:00"/>
    <s v="Yes"/>
    <n v="1"/>
    <s v="No"/>
    <s v="No"/>
    <s v="No"/>
    <s v="No"/>
    <s v="No"/>
  </r>
  <r>
    <s v="C1926"/>
    <s v="Rohit Bose"/>
    <s v="Male"/>
    <n v="58"/>
    <x v="1"/>
    <x v="7"/>
    <s v="Month-to-month"/>
    <n v="10"/>
    <x v="2"/>
    <n v="799"/>
    <n v="7990"/>
    <s v="DSL"/>
    <d v="2024-11-18T00:00:00"/>
    <s v="No"/>
    <n v="0"/>
    <s v="No"/>
    <s v="No"/>
    <s v="No"/>
    <s v="Yes"/>
    <s v="No"/>
  </r>
  <r>
    <s v="C1927"/>
    <s v="Meera Iyer"/>
    <s v="Female"/>
    <n v="28"/>
    <x v="0"/>
    <x v="4"/>
    <s v="Month-to-month"/>
    <m/>
    <x v="4"/>
    <m/>
    <n v="2997"/>
    <s v="Fiber"/>
    <d v="2025-06-15T00:00:00"/>
    <s v="Yes"/>
    <n v="1"/>
    <s v="No"/>
    <s v="No"/>
    <s v="No"/>
    <s v="No"/>
    <s v="Monthly missing; Tenure missing"/>
  </r>
  <r>
    <s v="C1928"/>
    <s v="Unknown"/>
    <s v="Female"/>
    <n v="26"/>
    <x v="0"/>
    <x v="4"/>
    <s v="Two year"/>
    <n v="47"/>
    <x v="1"/>
    <n v="1049"/>
    <n v="49303"/>
    <s v="Fiber"/>
    <d v="2021-10-30T00:00:00"/>
    <s v="No"/>
    <n v="0"/>
    <s v="No"/>
    <s v="No"/>
    <s v="No"/>
    <s v="No"/>
    <s v="No"/>
  </r>
  <r>
    <s v="C1929"/>
    <s v="Ankit Patel"/>
    <s v="Male"/>
    <n v="50"/>
    <x v="1"/>
    <x v="6"/>
    <s v="One year"/>
    <n v="6"/>
    <x v="4"/>
    <n v="849"/>
    <n v="5094"/>
    <s v="DSL"/>
    <d v="2025-03-04T00:00:00"/>
    <s v="No"/>
    <n v="0"/>
    <s v="No"/>
    <s v="No"/>
    <s v="No"/>
    <s v="No"/>
    <s v="No"/>
  </r>
  <r>
    <s v="C1930"/>
    <s v="Pankaj Chopra"/>
    <s v="Male"/>
    <n v="21"/>
    <x v="4"/>
    <x v="14"/>
    <s v="One year"/>
    <n v="36"/>
    <x v="1"/>
    <n v="999"/>
    <n v="35964"/>
    <s v="Fiber"/>
    <d v="2022-10-09T00:00:00"/>
    <s v="No"/>
    <n v="0"/>
    <s v="No"/>
    <s v="No"/>
    <s v="No"/>
    <s v="No"/>
    <s v="No"/>
  </r>
  <r>
    <s v="C1931"/>
    <s v="Neha Nair"/>
    <s v="Female"/>
    <n v="42"/>
    <x v="3"/>
    <x v="6"/>
    <s v="Month-to-month"/>
    <n v="15"/>
    <x v="0"/>
    <n v="749"/>
    <n v="11235"/>
    <s v="DSL"/>
    <d v="2024-06-21T00:00:00"/>
    <s v="No"/>
    <n v="0"/>
    <s v="No"/>
    <s v="No"/>
    <s v="No"/>
    <s v="No"/>
    <s v="No"/>
  </r>
  <r>
    <s v="C1932"/>
    <s v="Vikram Gupta"/>
    <s v="Male"/>
    <n v="64"/>
    <x v="2"/>
    <x v="4"/>
    <s v="Two year"/>
    <n v="56"/>
    <x v="3"/>
    <n v="449"/>
    <n v="25144"/>
    <s v="No Internet"/>
    <d v="2021-02-11T00:00:00"/>
    <s v="Yes"/>
    <n v="1"/>
    <s v="No"/>
    <s v="No"/>
    <s v="No"/>
    <s v="No"/>
    <s v="No"/>
  </r>
  <r>
    <s v="C1933"/>
    <s v="Deepika Pandey"/>
    <s v="Unknown"/>
    <n v="65"/>
    <x v="2"/>
    <x v="7"/>
    <s v="Month-to-month"/>
    <n v="18"/>
    <x v="0"/>
    <n v="1099"/>
    <n v="19782"/>
    <s v="Fiber"/>
    <d v="2024-03-27T00:00:00"/>
    <s v="No"/>
    <n v="0"/>
    <s v="No"/>
    <s v="No"/>
    <s v="No"/>
    <s v="No"/>
    <s v="No"/>
  </r>
  <r>
    <s v="C1934"/>
    <s v="Pankaj Rao"/>
    <s v="Male"/>
    <n v="21"/>
    <x v="4"/>
    <x v="13"/>
    <s v="Month-to-month"/>
    <n v="16"/>
    <x v="0"/>
    <n v="899"/>
    <n v="14384"/>
    <s v="Fiber"/>
    <d v="2024-05-12T00:00:00"/>
    <s v="No"/>
    <n v="0"/>
    <s v="No"/>
    <s v="No"/>
    <s v="No"/>
    <s v="No"/>
    <s v="No"/>
  </r>
  <r>
    <s v="C1935"/>
    <s v="Kavita Malhotra"/>
    <s v="Female"/>
    <n v="58"/>
    <x v="1"/>
    <x v="8"/>
    <s v="Month-to-month"/>
    <n v="13"/>
    <x v="0"/>
    <n v="599"/>
    <n v="7787"/>
    <s v="DSL"/>
    <d v="2024-08-18T00:00:00"/>
    <s v="No"/>
    <n v="0"/>
    <s v="No"/>
    <s v="No"/>
    <s v="No"/>
    <s v="No"/>
    <s v="No"/>
  </r>
  <r>
    <s v="C1936"/>
    <s v="Suresh Gupta"/>
    <s v="Male"/>
    <n v="71"/>
    <x v="2"/>
    <x v="3"/>
    <s v="Month-to-month"/>
    <n v="11"/>
    <x v="2"/>
    <n v="399"/>
    <n v="4389"/>
    <s v="No Internet"/>
    <d v="2024-10-20T00:00:00"/>
    <s v="Yes"/>
    <n v="1"/>
    <s v="No"/>
    <s v="No"/>
    <s v="No"/>
    <s v="No"/>
    <s v="No"/>
  </r>
  <r>
    <s v="C1937"/>
    <s v="Komal Mishra"/>
    <s v="Female"/>
    <n v="62"/>
    <x v="2"/>
    <x v="13"/>
    <s v="Month-to-month"/>
    <n v="12"/>
    <x v="2"/>
    <n v="1149"/>
    <n v="13788"/>
    <s v="Fiber"/>
    <d v="2024-09-16T00:00:00"/>
    <s v="No"/>
    <n v="0"/>
    <s v="No"/>
    <s v="No"/>
    <s v="No"/>
    <s v="No"/>
    <s v="No"/>
  </r>
  <r>
    <s v="C1938"/>
    <s v="Vikram Agarwal"/>
    <s v="Male"/>
    <n v="60"/>
    <x v="1"/>
    <x v="11"/>
    <s v="One year"/>
    <n v="21"/>
    <x v="0"/>
    <n v="599"/>
    <n v="12579"/>
    <s v="DSL"/>
    <d v="2023-12-23T00:00:00"/>
    <s v="No"/>
    <n v="0"/>
    <s v="No"/>
    <s v="No"/>
    <s v="No"/>
    <s v="No"/>
    <s v="No"/>
  </r>
  <r>
    <s v="C1939"/>
    <s v="Anjali Saxena"/>
    <s v="Female"/>
    <n v="44"/>
    <x v="3"/>
    <x v="5"/>
    <s v="Month-to-month"/>
    <n v="15"/>
    <x v="0"/>
    <n v="899"/>
    <n v="13485"/>
    <s v="DSL"/>
    <d v="2024-06-15T00:00:00"/>
    <s v="No"/>
    <n v="0"/>
    <s v="No"/>
    <s v="No"/>
    <s v="No"/>
    <s v="No"/>
    <s v="No"/>
  </r>
  <r>
    <s v="C1940"/>
    <s v="Amit Mehta"/>
    <s v="Male"/>
    <n v="65"/>
    <x v="2"/>
    <x v="0"/>
    <s v="Month-to-month"/>
    <n v="6"/>
    <x v="4"/>
    <n v="1099"/>
    <n v="6594"/>
    <s v="Fiber"/>
    <m/>
    <s v="Yes"/>
    <n v="1"/>
    <s v="No"/>
    <s v="No"/>
    <s v="No"/>
    <s v="No"/>
    <s v="Date missing"/>
  </r>
  <r>
    <s v="C1941"/>
    <s v="Aman Patel"/>
    <s v="Male"/>
    <n v="19"/>
    <x v="4"/>
    <x v="5"/>
    <s v="Two year"/>
    <n v="16"/>
    <x v="0"/>
    <n v="1099"/>
    <n v="17584"/>
    <s v="Fiber"/>
    <d v="2024-05-25T00:00:00"/>
    <s v="No"/>
    <n v="0"/>
    <s v="No"/>
    <s v="No"/>
    <s v="No"/>
    <s v="No"/>
    <s v="No"/>
  </r>
  <r>
    <s v="C1942"/>
    <s v="Sonal Tiwari"/>
    <s v="Female"/>
    <n v="51"/>
    <x v="1"/>
    <x v="13"/>
    <s v="Month-to-month"/>
    <n v="15"/>
    <x v="0"/>
    <n v="399"/>
    <n v="5985"/>
    <s v="No Internet"/>
    <m/>
    <s v="No"/>
    <n v="0"/>
    <s v="No"/>
    <s v="No"/>
    <s v="No"/>
    <s v="No"/>
    <s v="Date missing"/>
  </r>
  <r>
    <s v="C1943"/>
    <s v="Divya Iyer"/>
    <s v="Female"/>
    <n v="72"/>
    <x v="2"/>
    <x v="9"/>
    <s v="One year"/>
    <n v="19"/>
    <x v="0"/>
    <n v="1149"/>
    <n v="21831"/>
    <s v="Fiber"/>
    <d v="2024-02-11T00:00:00"/>
    <s v="No"/>
    <n v="0"/>
    <s v="No"/>
    <s v="No"/>
    <s v="No"/>
    <s v="Yes"/>
    <s v="No"/>
  </r>
  <r>
    <s v="C1944"/>
    <s v="Vikram Chopra"/>
    <s v="Male"/>
    <n v="19"/>
    <x v="4"/>
    <x v="11"/>
    <s v="Two year"/>
    <n v="70"/>
    <x v="3"/>
    <n v="599"/>
    <n v="41930"/>
    <s v="Unknown"/>
    <d v="2019-12-04T00:00:00"/>
    <s v="No"/>
    <n v="0"/>
    <s v="No"/>
    <s v="No"/>
    <s v="No"/>
    <s v="No"/>
    <s v="No"/>
  </r>
  <r>
    <s v="C1945"/>
    <s v="Harsh Tiwari"/>
    <s v="Male"/>
    <n v="31"/>
    <x v="0"/>
    <x v="0"/>
    <s v="One year"/>
    <n v="8"/>
    <x v="2"/>
    <n v="1299"/>
    <n v="10392"/>
    <s v="Fiber"/>
    <d v="2025-01-20T00:00:00"/>
    <s v="Unknown"/>
    <s v=""/>
    <s v="No"/>
    <s v="No"/>
    <s v="No"/>
    <s v="No"/>
    <s v="Churn unknown"/>
  </r>
  <r>
    <s v="C1946"/>
    <s v="Nisha Chopra"/>
    <s v="Female"/>
    <n v="63"/>
    <x v="2"/>
    <x v="13"/>
    <s v="One year"/>
    <n v="24"/>
    <x v="0"/>
    <n v="899"/>
    <n v="21576"/>
    <s v="DSL"/>
    <d v="2023-09-11T00:00:00"/>
    <s v="No"/>
    <n v="0"/>
    <s v="No"/>
    <s v="Yes"/>
    <s v="No"/>
    <s v="No"/>
    <s v="No"/>
  </r>
  <r>
    <s v="C1947"/>
    <s v="Aditi Tiwari"/>
    <s v="Female"/>
    <n v="61"/>
    <x v="2"/>
    <x v="0"/>
    <s v="Month-to-month"/>
    <n v="2"/>
    <x v="4"/>
    <n v="399"/>
    <n v="798"/>
    <s v="Unknown"/>
    <d v="2025-07-04T00:00:00"/>
    <s v="No"/>
    <n v="0"/>
    <s v="No"/>
    <s v="Yes"/>
    <s v="No"/>
    <s v="No"/>
    <s v="No"/>
  </r>
  <r>
    <s v="C1948"/>
    <s v="Swati Gupta"/>
    <s v="Female"/>
    <n v="54"/>
    <x v="1"/>
    <x v="12"/>
    <s v="Month-to-month"/>
    <n v="7"/>
    <x v="2"/>
    <n v="499"/>
    <n v="3493"/>
    <s v="No Internet"/>
    <d v="2025-02-05T00:00:00"/>
    <s v="No"/>
    <n v="0"/>
    <s v="No"/>
    <s v="No"/>
    <s v="No"/>
    <s v="No"/>
    <s v="No"/>
  </r>
  <r>
    <s v="C1949"/>
    <s v="Pooja Chopra"/>
    <s v="Female"/>
    <n v="42"/>
    <x v="3"/>
    <x v="14"/>
    <s v="Month-to-month"/>
    <n v="17"/>
    <x v="0"/>
    <n v="399"/>
    <n v="6783"/>
    <s v="No Internet"/>
    <d v="2024-04-11T00:00:00"/>
    <s v="Yes"/>
    <n v="1"/>
    <s v="No"/>
    <s v="No"/>
    <s v="No"/>
    <s v="No"/>
    <s v="No"/>
  </r>
  <r>
    <s v="C1950"/>
    <s v="Mohit Reddy"/>
    <s v="Male"/>
    <n v="58"/>
    <x v="1"/>
    <x v="11"/>
    <s v="One year"/>
    <n v="17"/>
    <x v="0"/>
    <n v="399"/>
    <n v="6783"/>
    <s v="No Internet"/>
    <d v="2024-04-30T00:00:00"/>
    <s v="No"/>
    <n v="0"/>
    <s v="No"/>
    <s v="No"/>
    <s v="No"/>
    <s v="No"/>
    <s v="No"/>
  </r>
  <r>
    <s v="C1951"/>
    <s v="Vikram Sharma"/>
    <s v="Male"/>
    <n v="45"/>
    <x v="3"/>
    <x v="3"/>
    <s v="One year"/>
    <n v="2"/>
    <x v="4"/>
    <n v="1199"/>
    <n v="2398"/>
    <s v="Fiber"/>
    <d v="2025-07-28T00:00:00"/>
    <s v="No"/>
    <n v="0"/>
    <s v="No"/>
    <s v="No"/>
    <s v="No"/>
    <s v="No"/>
    <s v="No"/>
  </r>
  <r>
    <s v="C1952"/>
    <s v="Priya Agarwal"/>
    <s v="Unknown"/>
    <n v="64"/>
    <x v="2"/>
    <x v="8"/>
    <s v="Two year"/>
    <n v="46"/>
    <x v="1"/>
    <n v="999"/>
    <n v="45954"/>
    <s v="Fiber"/>
    <d v="2021-12-01T00:00:00"/>
    <s v="No"/>
    <n v="0"/>
    <s v="No"/>
    <s v="No"/>
    <s v="No"/>
    <s v="No"/>
    <s v="No"/>
  </r>
  <r>
    <s v="C1953"/>
    <s v="Deepak Malhotra"/>
    <s v="Male"/>
    <n v="60"/>
    <x v="1"/>
    <x v="3"/>
    <s v="Month-to-month"/>
    <n v="21"/>
    <x v="0"/>
    <n v="549"/>
    <n v="11529"/>
    <s v="No Internet"/>
    <d v="2024-01-04T00:00:00"/>
    <s v="No"/>
    <n v="0"/>
    <s v="No"/>
    <s v="No"/>
    <s v="No"/>
    <s v="No"/>
    <s v="No"/>
  </r>
  <r>
    <s v="C1954"/>
    <s v="Riya Reddy"/>
    <s v="Unknown"/>
    <n v="24"/>
    <x v="4"/>
    <x v="8"/>
    <s v="Month-to-month"/>
    <n v="3"/>
    <x v="4"/>
    <n v="449"/>
    <n v="1347"/>
    <s v="No Internet"/>
    <d v="2025-06-24T00:00:00"/>
    <s v="No"/>
    <n v="0"/>
    <s v="No"/>
    <s v="No"/>
    <s v="No"/>
    <s v="No"/>
    <s v="No"/>
  </r>
  <r>
    <s v="C1955"/>
    <s v="Anjali Desai"/>
    <s v="Female"/>
    <n v="68"/>
    <x v="2"/>
    <x v="3"/>
    <s v="Month-to-month"/>
    <n v="21"/>
    <x v="0"/>
    <n v="999"/>
    <n v="20979"/>
    <s v="Fiber"/>
    <d v="2023-12-28T00:00:00"/>
    <s v="Yes"/>
    <n v="1"/>
    <s v="No"/>
    <s v="No"/>
    <s v="No"/>
    <s v="No"/>
    <s v="No"/>
  </r>
  <r>
    <s v="C1956"/>
    <s v="Meera Gupta"/>
    <s v="Female"/>
    <n v="37"/>
    <x v="3"/>
    <x v="3"/>
    <s v="Two year"/>
    <n v="5"/>
    <x v="4"/>
    <n v="1049"/>
    <n v="5245"/>
    <s v="Fiber"/>
    <d v="2025-04-12T00:00:00"/>
    <s v="No"/>
    <n v="0"/>
    <s v="No"/>
    <s v="No"/>
    <s v="No"/>
    <s v="No"/>
    <s v="No"/>
  </r>
  <r>
    <s v="C1957"/>
    <s v="Arjun Jain"/>
    <s v="Male"/>
    <n v="65"/>
    <x v="2"/>
    <x v="5"/>
    <s v="Two year"/>
    <n v="4"/>
    <x v="4"/>
    <n v="799"/>
    <n v="3196"/>
    <s v="DSL"/>
    <d v="2025-05-27T00:00:00"/>
    <s v="No"/>
    <n v="0"/>
    <s v="No"/>
    <s v="No"/>
    <s v="No"/>
    <s v="No"/>
    <s v="No"/>
  </r>
  <r>
    <s v="C1958"/>
    <s v="Aman Reddy"/>
    <s v="Male"/>
    <n v="75"/>
    <x v="2"/>
    <x v="0"/>
    <s v="Month-to-month"/>
    <n v="3"/>
    <x v="4"/>
    <n v="849"/>
    <n v="2547"/>
    <s v="DSL"/>
    <d v="2025-06-15T00:00:00"/>
    <s v="Yes"/>
    <n v="1"/>
    <s v="No"/>
    <s v="No"/>
    <s v="No"/>
    <s v="No"/>
    <s v="No"/>
  </r>
  <r>
    <s v="C1959"/>
    <s v="Vikram Patel"/>
    <s v="Male"/>
    <n v="63"/>
    <x v="2"/>
    <x v="1"/>
    <s v="One year"/>
    <n v="32"/>
    <x v="1"/>
    <n v="1149"/>
    <n v="36768"/>
    <s v="Fiber"/>
    <d v="2023-02-03T00:00:00"/>
    <s v="No"/>
    <n v="0"/>
    <s v="No"/>
    <s v="No"/>
    <s v="No"/>
    <s v="No"/>
    <s v="No"/>
  </r>
  <r>
    <s v="C1960"/>
    <s v="Sanjay Saxena"/>
    <s v="Male"/>
    <n v="72"/>
    <x v="2"/>
    <x v="14"/>
    <s v="Month-to-month"/>
    <n v="19"/>
    <x v="0"/>
    <n v="1299"/>
    <n v="24681"/>
    <s v="Fiber"/>
    <d v="2024-02-11T00:00:00"/>
    <s v="Yes"/>
    <n v="1"/>
    <s v="No"/>
    <s v="No"/>
    <s v="No"/>
    <s v="No"/>
    <s v="No"/>
  </r>
  <r>
    <s v="C1961"/>
    <s v="Gaurav Tiwari"/>
    <s v="Male"/>
    <n v="74"/>
    <x v="2"/>
    <x v="7"/>
    <s v="Month-to-month"/>
    <n v="11"/>
    <x v="2"/>
    <n v="899"/>
    <n v="9889"/>
    <s v="Fiber"/>
    <d v="2024-10-27T00:00:00"/>
    <s v="Yes"/>
    <n v="1"/>
    <s v="No"/>
    <s v="No"/>
    <s v="No"/>
    <s v="No"/>
    <s v="No"/>
  </r>
  <r>
    <s v="C1962"/>
    <s v="Isha Chopra"/>
    <s v="Female"/>
    <n v="70"/>
    <x v="2"/>
    <x v="4"/>
    <s v="Month-to-month"/>
    <n v="17"/>
    <x v="0"/>
    <n v="499"/>
    <n v="8483"/>
    <s v="No Internet"/>
    <d v="2024-04-10T00:00:00"/>
    <s v="Yes"/>
    <n v="1"/>
    <s v="No"/>
    <s v="No"/>
    <s v="No"/>
    <s v="No"/>
    <s v="No"/>
  </r>
  <r>
    <s v="C1963"/>
    <s v="Divya Sharma"/>
    <s v="Female"/>
    <n v="25"/>
    <x v="4"/>
    <x v="8"/>
    <s v="Two year"/>
    <n v="24"/>
    <x v="0"/>
    <n v="999"/>
    <n v="23976"/>
    <s v="Fiber"/>
    <d v="2023-09-28T00:00:00"/>
    <s v="No"/>
    <n v="0"/>
    <s v="No"/>
    <s v="No"/>
    <s v="No"/>
    <s v="No"/>
    <s v="No"/>
  </r>
  <r>
    <s v="C1964"/>
    <s v="Pooja Joshi"/>
    <s v="Female"/>
    <n v="25"/>
    <x v="4"/>
    <x v="3"/>
    <s v="Month-to-month"/>
    <n v="11"/>
    <x v="2"/>
    <n v="649"/>
    <n v="7139"/>
    <s v="DSL"/>
    <d v="2024-10-05T00:00:00"/>
    <s v="No"/>
    <n v="0"/>
    <s v="No"/>
    <s v="No"/>
    <s v="No"/>
    <s v="No"/>
    <s v="No"/>
  </r>
  <r>
    <s v="C1965"/>
    <s v="Sachin Kumar"/>
    <s v="Male"/>
    <n v="42"/>
    <x v="3"/>
    <x v="5"/>
    <s v="One year"/>
    <n v="7"/>
    <x v="2"/>
    <n v="1049"/>
    <n v="7343"/>
    <s v="Fiber"/>
    <d v="2025-02-05T00:00:00"/>
    <s v="No"/>
    <n v="0"/>
    <s v="No"/>
    <s v="No"/>
    <s v="No"/>
    <s v="No"/>
    <s v="No"/>
  </r>
  <r>
    <s v="C1966"/>
    <s v="Rajesh Chopra"/>
    <s v="Male"/>
    <n v="44"/>
    <x v="3"/>
    <x v="9"/>
    <s v="One year"/>
    <n v="21"/>
    <x v="0"/>
    <n v="649"/>
    <n v="13629"/>
    <s v="DSL"/>
    <d v="2023-12-23T00:00:00"/>
    <s v="No"/>
    <n v="0"/>
    <s v="No"/>
    <s v="No"/>
    <s v="No"/>
    <s v="No"/>
    <s v="No"/>
  </r>
  <r>
    <s v="C1967"/>
    <s v="Suresh Tiwari"/>
    <s v="Male"/>
    <n v="25"/>
    <x v="4"/>
    <x v="4"/>
    <s v="Month-to-month"/>
    <n v="19"/>
    <x v="0"/>
    <n v="999"/>
    <n v="18981"/>
    <s v="Fiber"/>
    <d v="2024-03-07T00:00:00"/>
    <s v="Yes"/>
    <n v="1"/>
    <s v="No"/>
    <s v="No"/>
    <s v="No"/>
    <s v="No"/>
    <s v="No"/>
  </r>
  <r>
    <s v="C1968"/>
    <s v="Ankit Iyer"/>
    <s v="Male"/>
    <n v="26"/>
    <x v="0"/>
    <x v="6"/>
    <s v="Two year"/>
    <n v="69"/>
    <x v="3"/>
    <n v="799"/>
    <n v="55131"/>
    <s v="DSL"/>
    <d v="2020-01-26T00:00:00"/>
    <s v="No"/>
    <n v="0"/>
    <s v="No"/>
    <s v="No"/>
    <s v="No"/>
    <s v="No"/>
    <s v="No"/>
  </r>
  <r>
    <s v="C1969"/>
    <s v="Anjali Tiwari"/>
    <s v="Female"/>
    <n v="64"/>
    <x v="2"/>
    <x v="5"/>
    <s v="Month-to-month"/>
    <n v="13"/>
    <x v="0"/>
    <n v="1149"/>
    <n v="14937"/>
    <s v="Fiber"/>
    <d v="2024-09-02T00:00:00"/>
    <s v="No"/>
    <n v="0"/>
    <s v="No"/>
    <s v="No"/>
    <s v="No"/>
    <s v="No"/>
    <s v="No"/>
  </r>
  <r>
    <s v="C1970"/>
    <s v="Aditi Pandey"/>
    <s v="Female"/>
    <n v="47"/>
    <x v="1"/>
    <x v="7"/>
    <s v="Two year"/>
    <n v="16"/>
    <x v="0"/>
    <n v="549"/>
    <n v="8784"/>
    <s v="No Internet"/>
    <d v="2024-05-29T00:00:00"/>
    <s v="No"/>
    <n v="0"/>
    <s v="No"/>
    <s v="No"/>
    <s v="No"/>
    <s v="No"/>
    <s v="No"/>
  </r>
  <r>
    <s v="C1971"/>
    <s v="Rahul Singh"/>
    <s v="Male"/>
    <n v="24"/>
    <x v="4"/>
    <x v="2"/>
    <s v="Two year"/>
    <n v="29"/>
    <x v="1"/>
    <n v="899"/>
    <n v="26071"/>
    <s v="Fiber"/>
    <d v="2023-04-17T00:00:00"/>
    <s v="No"/>
    <n v="0"/>
    <s v="No"/>
    <s v="No"/>
    <s v="No"/>
    <s v="No"/>
    <s v="No"/>
  </r>
  <r>
    <s v="C1972"/>
    <s v="Sonal Sharma"/>
    <s v="Female"/>
    <n v="62"/>
    <x v="2"/>
    <x v="6"/>
    <s v="Month-to-month"/>
    <n v="2"/>
    <x v="4"/>
    <n v="449"/>
    <n v="898"/>
    <s v="No Internet"/>
    <d v="2025-07-20T00:00:00"/>
    <s v="Yes"/>
    <n v="1"/>
    <s v="No"/>
    <s v="No"/>
    <s v="Yes"/>
    <s v="No"/>
    <s v="No"/>
  </r>
  <r>
    <s v="C1973"/>
    <s v="Kavita Pandey"/>
    <s v="Female"/>
    <n v="47"/>
    <x v="1"/>
    <x v="8"/>
    <s v="One year"/>
    <n v="21"/>
    <x v="0"/>
    <n v="899"/>
    <n v="18879"/>
    <s v="DSL"/>
    <d v="2023-12-10T00:00:00"/>
    <s v="No"/>
    <n v="0"/>
    <s v="Yes"/>
    <s v="No"/>
    <s v="No"/>
    <s v="No"/>
    <s v="No"/>
  </r>
  <r>
    <s v="C1974"/>
    <s v="Shreya Saxena"/>
    <s v="Female"/>
    <n v="25"/>
    <x v="4"/>
    <x v="1"/>
    <s v="Month-to-month"/>
    <n v="22"/>
    <x v="0"/>
    <n v="1049"/>
    <n v="23078"/>
    <s v="Fiber"/>
    <d v="2023-11-23T00:00:00"/>
    <s v="No"/>
    <n v="0"/>
    <s v="No"/>
    <s v="No"/>
    <s v="No"/>
    <s v="No"/>
    <s v="No"/>
  </r>
  <r>
    <s v="C1975"/>
    <s v="Vikram Malhotra"/>
    <s v="Male"/>
    <n v="67"/>
    <x v="2"/>
    <x v="5"/>
    <s v="One year"/>
    <n v="16"/>
    <x v="0"/>
    <n v="1199"/>
    <n v="19184"/>
    <s v="Fiber"/>
    <d v="2024-06-03T00:00:00"/>
    <s v="No"/>
    <n v="0"/>
    <s v="No"/>
    <s v="No"/>
    <s v="No"/>
    <s v="No"/>
    <s v="No"/>
  </r>
  <r>
    <s v="C1976"/>
    <s v="Sneha Mehta"/>
    <s v="Female"/>
    <n v="18"/>
    <x v="4"/>
    <x v="9"/>
    <s v="Month-to-month"/>
    <n v="7"/>
    <x v="2"/>
    <n v="449"/>
    <n v="3143"/>
    <s v="No Internet"/>
    <d v="2025-02-12T00:00:00"/>
    <s v="Yes"/>
    <n v="1"/>
    <s v="No"/>
    <s v="No"/>
    <s v="No"/>
    <s v="No"/>
    <s v="No"/>
  </r>
  <r>
    <s v="C1977"/>
    <s v="Aditi Pandey"/>
    <s v="Female"/>
    <n v="47"/>
    <x v="1"/>
    <x v="9"/>
    <s v="Month-to-month"/>
    <n v="5"/>
    <x v="4"/>
    <n v="1049"/>
    <n v="5245"/>
    <s v="Fiber"/>
    <d v="2025-04-04T00:00:00"/>
    <s v="No"/>
    <n v="0"/>
    <s v="No"/>
    <s v="No"/>
    <s v="No"/>
    <s v="No"/>
    <s v="No"/>
  </r>
  <r>
    <s v="C1978"/>
    <s v="Deepak Mehta"/>
    <s v="Male"/>
    <n v="22"/>
    <x v="4"/>
    <x v="5"/>
    <s v="Month-to-month"/>
    <n v="19"/>
    <x v="0"/>
    <n v="899"/>
    <n v="17081"/>
    <s v="Fiber"/>
    <d v="2024-03-04T00:00:00"/>
    <s v="Yes"/>
    <n v="1"/>
    <s v="No"/>
    <s v="No"/>
    <s v="No"/>
    <s v="No"/>
    <s v="No"/>
  </r>
  <r>
    <s v="C1979"/>
    <s v="Manish Sharma"/>
    <s v="Male"/>
    <n v="75"/>
    <x v="2"/>
    <x v="7"/>
    <s v="Month-to-month"/>
    <n v="22"/>
    <x v="0"/>
    <n v="799"/>
    <n v="17578"/>
    <s v="DSL"/>
    <d v="2023-11-09T00:00:00"/>
    <s v="Yes"/>
    <n v="1"/>
    <s v="No"/>
    <s v="No"/>
    <s v="No"/>
    <s v="No"/>
    <s v="No"/>
  </r>
  <r>
    <s v="C1980"/>
    <s v="Aman Tiwari"/>
    <s v="Male"/>
    <n v="31"/>
    <x v="0"/>
    <x v="8"/>
    <s v="Month-to-month"/>
    <n v="11"/>
    <x v="2"/>
    <n v="1099"/>
    <n v="12089"/>
    <s v="Fiber"/>
    <d v="2024-11-01T00:00:00"/>
    <s v="Yes"/>
    <n v="1"/>
    <s v="No"/>
    <s v="No"/>
    <s v="No"/>
    <s v="No"/>
    <s v="No"/>
  </r>
  <r>
    <s v="C1981"/>
    <s v="Nisha Mehta"/>
    <s v="Female"/>
    <n v="36"/>
    <x v="3"/>
    <x v="0"/>
    <s v="Month-to-month"/>
    <n v="17"/>
    <x v="0"/>
    <n v="1099"/>
    <n v="18683"/>
    <s v="Fiber"/>
    <d v="2024-04-15T00:00:00"/>
    <s v="Yes"/>
    <n v="1"/>
    <s v="No"/>
    <s v="No"/>
    <s v="No"/>
    <s v="No"/>
    <s v="No"/>
  </r>
  <r>
    <s v="C1982"/>
    <s v="Manish Reddy"/>
    <s v="Male"/>
    <n v="32"/>
    <x v="0"/>
    <x v="4"/>
    <s v="Unknown"/>
    <n v="9"/>
    <x v="2"/>
    <n v="649"/>
    <n v="5841"/>
    <s v="DSL"/>
    <d v="2024-12-25T00:00:00"/>
    <s v="Yes"/>
    <n v="1"/>
    <s v="No"/>
    <s v="No"/>
    <s v="Yes"/>
    <s v="No"/>
    <s v="No"/>
  </r>
  <r>
    <s v="C1983"/>
    <s v="Divya Rao"/>
    <s v="Female"/>
    <n v="47"/>
    <x v="1"/>
    <x v="0"/>
    <s v="One year"/>
    <n v="18"/>
    <x v="0"/>
    <n v="399"/>
    <n v="7182"/>
    <s v="No Internet"/>
    <d v="2024-03-26T00:00:00"/>
    <s v="No"/>
    <n v="0"/>
    <s v="Yes"/>
    <s v="No"/>
    <s v="No"/>
    <s v="No"/>
    <s v="No"/>
  </r>
  <r>
    <s v="C1984"/>
    <s v="Riya Iyer"/>
    <s v="Female"/>
    <n v="64"/>
    <x v="2"/>
    <x v="3"/>
    <s v="Month-to-month"/>
    <n v="23"/>
    <x v="0"/>
    <n v="1099"/>
    <n v="25277"/>
    <s v="Fiber"/>
    <d v="2023-10-17T00:00:00"/>
    <s v="No"/>
    <n v="0"/>
    <s v="No"/>
    <s v="No"/>
    <s v="No"/>
    <s v="No"/>
    <s v="No"/>
  </r>
  <r>
    <s v="C1985"/>
    <s v="Arjun Joshi"/>
    <s v="Male"/>
    <n v="61"/>
    <x v="2"/>
    <x v="4"/>
    <s v="Month-to-month"/>
    <n v="15"/>
    <x v="0"/>
    <n v="649"/>
    <n v="9735"/>
    <s v="DSL"/>
    <d v="2024-07-05T00:00:00"/>
    <s v="No"/>
    <n v="0"/>
    <s v="No"/>
    <s v="No"/>
    <s v="No"/>
    <s v="No"/>
    <s v="No"/>
  </r>
  <r>
    <s v="C1986"/>
    <s v="Suresh Kumar"/>
    <s v="Male"/>
    <n v="28"/>
    <x v="0"/>
    <x v="9"/>
    <s v="One year"/>
    <n v="23"/>
    <x v="0"/>
    <n v="749"/>
    <n v="17227"/>
    <s v="DSL"/>
    <d v="2023-11-01T00:00:00"/>
    <s v="No"/>
    <n v="0"/>
    <s v="No"/>
    <s v="No"/>
    <s v="No"/>
    <s v="Yes"/>
    <s v="No"/>
  </r>
  <r>
    <s v="C1987"/>
    <s v="Anjali Verma"/>
    <s v="Female"/>
    <n v="70"/>
    <x v="2"/>
    <x v="3"/>
    <s v="One year"/>
    <n v="15"/>
    <x v="0"/>
    <n v="399"/>
    <n v="5985"/>
    <s v="No Internet"/>
    <d v="2024-06-11T00:00:00"/>
    <s v="Unknown"/>
    <s v=""/>
    <s v="No"/>
    <s v="No"/>
    <s v="No"/>
    <s v="No"/>
    <s v="Churn unknown"/>
  </r>
  <r>
    <s v="C1988"/>
    <s v="Karan Iyer"/>
    <s v="Male"/>
    <n v="69"/>
    <x v="2"/>
    <x v="14"/>
    <s v="Month-to-month"/>
    <n v="12"/>
    <x v="2"/>
    <n v="1049"/>
    <n v="12588"/>
    <s v="Fiber"/>
    <d v="2024-09-19T00:00:00"/>
    <s v="Yes"/>
    <n v="1"/>
    <s v="No"/>
    <s v="No"/>
    <s v="No"/>
    <s v="No"/>
    <s v="No"/>
  </r>
  <r>
    <s v="C1989"/>
    <s v="Aman Iyer"/>
    <s v="Male"/>
    <n v="63"/>
    <x v="2"/>
    <x v="2"/>
    <s v="Two year"/>
    <n v="62"/>
    <x v="3"/>
    <n v="1049"/>
    <n v="65038"/>
    <s v="Fiber"/>
    <d v="2020-08-25T00:00:00"/>
    <s v="No"/>
    <n v="0"/>
    <s v="No"/>
    <s v="Yes"/>
    <s v="No"/>
    <s v="No"/>
    <s v="No"/>
  </r>
  <r>
    <s v="C1990"/>
    <s v="Vivek Nair"/>
    <s v="Male"/>
    <n v="60"/>
    <x v="1"/>
    <x v="8"/>
    <s v="Month-to-month"/>
    <n v="19"/>
    <x v="0"/>
    <n v="849"/>
    <n v="16131"/>
    <s v="DSL"/>
    <d v="2024-02-13T00:00:00"/>
    <s v="Yes"/>
    <n v="1"/>
    <s v="No"/>
    <s v="No"/>
    <s v="No"/>
    <s v="No"/>
    <s v="No"/>
  </r>
  <r>
    <s v="C1991"/>
    <s v="Sanjay Rao"/>
    <s v="Male"/>
    <n v="58"/>
    <x v="1"/>
    <x v="4"/>
    <s v="Two year"/>
    <n v="70"/>
    <x v="3"/>
    <n v="399"/>
    <n v="27930"/>
    <s v="No Internet"/>
    <d v="2019-12-08T00:00:00"/>
    <s v="No"/>
    <n v="0"/>
    <s v="No"/>
    <s v="No"/>
    <s v="No"/>
    <s v="No"/>
    <s v="No"/>
  </r>
  <r>
    <s v="C1992"/>
    <s v="Swati Rao"/>
    <s v="Female"/>
    <n v="55"/>
    <x v="1"/>
    <x v="12"/>
    <s v="Two year"/>
    <n v="25"/>
    <x v="1"/>
    <n v="599"/>
    <n v="14975"/>
    <s v="DSL"/>
    <d v="2023-08-14T00:00:00"/>
    <s v="No"/>
    <n v="0"/>
    <s v="No"/>
    <s v="No"/>
    <s v="No"/>
    <s v="No"/>
    <s v="No"/>
  </r>
  <r>
    <s v="C1993"/>
    <s v="Vivek Kapoor"/>
    <s v="Male"/>
    <n v="54"/>
    <x v="1"/>
    <x v="13"/>
    <s v="One year"/>
    <n v="1"/>
    <x v="4"/>
    <n v="749"/>
    <n v="749"/>
    <s v="DSL"/>
    <d v="2025-08-25T00:00:00"/>
    <s v="No"/>
    <n v="0"/>
    <s v="No"/>
    <s v="No"/>
    <s v="No"/>
    <s v="No"/>
    <s v="No"/>
  </r>
  <r>
    <s v="C1994"/>
    <s v="Riya Mishra"/>
    <s v="Female"/>
    <n v="60"/>
    <x v="1"/>
    <x v="8"/>
    <s v="Unknown"/>
    <n v="10"/>
    <x v="2"/>
    <n v="599"/>
    <n v="5990"/>
    <s v="DSL"/>
    <d v="2024-11-06T00:00:00"/>
    <s v="Yes"/>
    <n v="1"/>
    <s v="No"/>
    <s v="No"/>
    <s v="No"/>
    <s v="Yes"/>
    <s v="No"/>
  </r>
  <r>
    <s v="C1995"/>
    <s v="Amit Desai"/>
    <s v="Male"/>
    <n v="37"/>
    <x v="3"/>
    <x v="3"/>
    <s v="Month-to-month"/>
    <n v="1"/>
    <x v="4"/>
    <n v="1049"/>
    <n v="1049"/>
    <s v="Fiber"/>
    <d v="2025-08-20T00:00:00"/>
    <s v="Yes"/>
    <n v="1"/>
    <s v="No"/>
    <s v="No"/>
    <s v="No"/>
    <s v="No"/>
    <s v="No"/>
  </r>
  <r>
    <s v="C1996"/>
    <s v="Vikram Pandey"/>
    <s v="Male"/>
    <n v="35"/>
    <x v="0"/>
    <x v="8"/>
    <s v="Two year"/>
    <n v="11"/>
    <x v="2"/>
    <n v="699"/>
    <n v="7689"/>
    <s v="DSL"/>
    <d v="2024-10-22T00:00:00"/>
    <s v="No"/>
    <n v="0"/>
    <s v="No"/>
    <s v="No"/>
    <s v="No"/>
    <s v="No"/>
    <s v="No"/>
  </r>
  <r>
    <s v="C1997"/>
    <s v="Deepak Tiwari"/>
    <s v="Male"/>
    <n v="43"/>
    <x v="3"/>
    <x v="4"/>
    <s v="Two year"/>
    <n v="40"/>
    <x v="1"/>
    <n v="499"/>
    <n v="19960"/>
    <s v="No Internet"/>
    <d v="2022-06-06T00:00:00"/>
    <s v="No"/>
    <n v="0"/>
    <s v="No"/>
    <s v="Yes"/>
    <s v="No"/>
    <s v="No"/>
    <s v="No"/>
  </r>
  <r>
    <s v="C1998"/>
    <s v="Sanjay Malhotra"/>
    <s v="Male"/>
    <n v="26"/>
    <x v="0"/>
    <x v="12"/>
    <s v="One year"/>
    <n v="6"/>
    <x v="4"/>
    <n v="699"/>
    <n v="4194"/>
    <s v="Unknown"/>
    <d v="2025-03-20T00:00:00"/>
    <s v="No"/>
    <n v="0"/>
    <s v="No"/>
    <s v="No"/>
    <s v="No"/>
    <s v="No"/>
    <s v="No"/>
  </r>
  <r>
    <s v="C1999"/>
    <s v="Anjali Singh"/>
    <s v="Female"/>
    <n v="47"/>
    <x v="1"/>
    <x v="7"/>
    <s v="One year"/>
    <n v="23"/>
    <x v="0"/>
    <n v="1049"/>
    <n v="24127"/>
    <s v="Fiber"/>
    <d v="2023-10-26T00:00:00"/>
    <s v="No"/>
    <n v="0"/>
    <s v="Yes"/>
    <s v="No"/>
    <s v="No"/>
    <s v="No"/>
    <s v="No"/>
  </r>
  <r>
    <s v="C2000"/>
    <s v="Priya Mishra"/>
    <s v="Female"/>
    <n v="47"/>
    <x v="1"/>
    <x v="13"/>
    <s v="Month-to-month"/>
    <n v="20"/>
    <x v="0"/>
    <n v="1299"/>
    <n v="25980"/>
    <s v="Fiber"/>
    <d v="2024-01-26T00:00:00"/>
    <s v="No"/>
    <n v="0"/>
    <s v="Yes"/>
    <s v="No"/>
    <s v="No"/>
    <s v="No"/>
    <s v="No"/>
  </r>
  <r>
    <s v="C2001"/>
    <s v="Pankaj Mishra"/>
    <s v="Male"/>
    <n v="75"/>
    <x v="2"/>
    <x v="11"/>
    <s v="Two year"/>
    <n v="51"/>
    <x v="3"/>
    <n v="649"/>
    <n v="33099"/>
    <s v="DSL"/>
    <d v="2021-06-27T00:00:00"/>
    <s v="No"/>
    <n v="0"/>
    <s v="No"/>
    <s v="No"/>
    <s v="No"/>
    <s v="No"/>
    <s v="No"/>
  </r>
  <r>
    <s v="C2002"/>
    <s v="Sneha Kumar"/>
    <s v="Female"/>
    <n v="21"/>
    <x v="4"/>
    <x v="5"/>
    <s v="Two year"/>
    <n v="43"/>
    <x v="1"/>
    <n v="899"/>
    <n v="38657"/>
    <s v="Fiber"/>
    <d v="2022-02-24T00:00:00"/>
    <s v="No"/>
    <n v="0"/>
    <s v="No"/>
    <s v="No"/>
    <s v="No"/>
    <s v="No"/>
    <s v="No"/>
  </r>
  <r>
    <s v="C2003"/>
    <s v="Sneha Reddy"/>
    <s v="Female"/>
    <n v="65"/>
    <x v="2"/>
    <x v="11"/>
    <s v="One year"/>
    <n v="4"/>
    <x v="4"/>
    <n v="999"/>
    <n v="3996"/>
    <s v="Fiber"/>
    <d v="2025-05-08T00:00:00"/>
    <s v="Yes"/>
    <n v="1"/>
    <s v="No"/>
    <s v="No"/>
    <s v="No"/>
    <s v="No"/>
    <s v="No"/>
  </r>
  <r>
    <s v="C2004"/>
    <s v="Pooja Nair"/>
    <s v="Female"/>
    <n v="75"/>
    <x v="2"/>
    <x v="9"/>
    <s v="One year"/>
    <n v="20"/>
    <x v="0"/>
    <n v="849"/>
    <n v="16980"/>
    <s v="DSL"/>
    <d v="2024-01-31T00:00:00"/>
    <s v="No"/>
    <n v="0"/>
    <s v="No"/>
    <s v="No"/>
    <s v="No"/>
    <s v="No"/>
    <s v="No"/>
  </r>
  <r>
    <s v="C2005"/>
    <s v="Vikram Sharma"/>
    <s v="Male"/>
    <n v="27"/>
    <x v="0"/>
    <x v="11"/>
    <s v="Two year"/>
    <n v="32"/>
    <x v="1"/>
    <n v="899"/>
    <n v="28768"/>
    <s v="Fiber"/>
    <d v="2023-01-26T00:00:00"/>
    <s v="Yes"/>
    <n v="1"/>
    <s v="No"/>
    <s v="No"/>
    <s v="No"/>
    <s v="No"/>
    <s v="No"/>
  </r>
  <r>
    <s v="C2006"/>
    <s v="Divya Verma"/>
    <s v="Female"/>
    <n v="25"/>
    <x v="4"/>
    <x v="5"/>
    <s v="Month-to-month"/>
    <n v="8"/>
    <x v="2"/>
    <n v="549"/>
    <n v="4392"/>
    <s v="No Internet"/>
    <d v="2025-01-12T00:00:00"/>
    <s v="Yes"/>
    <n v="1"/>
    <s v="No"/>
    <s v="No"/>
    <s v="No"/>
    <s v="No"/>
    <s v="No"/>
  </r>
  <r>
    <s v="C2007"/>
    <s v="Riya Reddy"/>
    <s v="Female"/>
    <n v="45"/>
    <x v="3"/>
    <x v="8"/>
    <s v="One year"/>
    <n v="16"/>
    <x v="0"/>
    <n v="649"/>
    <n v="10384"/>
    <s v="DSL"/>
    <d v="2024-05-21T00:00:00"/>
    <s v="No"/>
    <n v="0"/>
    <s v="No"/>
    <s v="No"/>
    <s v="No"/>
    <s v="No"/>
    <s v="No"/>
  </r>
  <r>
    <s v="C2008"/>
    <s v="Aditi Saxena"/>
    <s v="Female"/>
    <n v="24"/>
    <x v="4"/>
    <x v="11"/>
    <s v="Month-to-month"/>
    <n v="13"/>
    <x v="0"/>
    <n v="1199"/>
    <n v="15587"/>
    <s v="Fiber"/>
    <d v="2024-08-08T00:00:00"/>
    <s v="Yes"/>
    <n v="1"/>
    <s v="No"/>
    <s v="No"/>
    <s v="No"/>
    <s v="No"/>
    <s v="No"/>
  </r>
  <r>
    <s v="C2009"/>
    <s v="Pooja Sharma"/>
    <s v="Female"/>
    <n v="36"/>
    <x v="3"/>
    <x v="7"/>
    <s v="Month-to-month"/>
    <n v="19"/>
    <x v="0"/>
    <n v="899"/>
    <n v="17081"/>
    <s v="Fiber"/>
    <d v="2024-02-07T00:00:00"/>
    <s v="Yes"/>
    <n v="1"/>
    <s v="No"/>
    <s v="No"/>
    <s v="No"/>
    <s v="Yes"/>
    <s v="No"/>
  </r>
  <r>
    <s v="C2010"/>
    <s v="Pooja Kapoor"/>
    <s v="Female"/>
    <n v="74"/>
    <x v="2"/>
    <x v="14"/>
    <s v="Month-to-month"/>
    <n v="6"/>
    <x v="4"/>
    <n v="699"/>
    <n v="4194"/>
    <s v="DSL"/>
    <d v="2025-03-04T00:00:00"/>
    <s v="Yes"/>
    <n v="1"/>
    <s v="No"/>
    <s v="No"/>
    <s v="No"/>
    <s v="No"/>
    <s v="No"/>
  </r>
  <r>
    <s v="C2011"/>
    <s v="Payal Kumar"/>
    <s v="Female"/>
    <n v="29"/>
    <x v="0"/>
    <x v="9"/>
    <s v="Month-to-month"/>
    <n v="19"/>
    <x v="0"/>
    <n v="1099"/>
    <n v="20881"/>
    <s v="Fiber"/>
    <d v="2024-02-12T00:00:00"/>
    <s v="Yes"/>
    <n v="1"/>
    <s v="No"/>
    <s v="No"/>
    <s v="No"/>
    <s v="No"/>
    <s v="No"/>
  </r>
  <r>
    <s v="C2012"/>
    <s v="Divya Kumar"/>
    <s v="Female"/>
    <n v="71"/>
    <x v="2"/>
    <x v="9"/>
    <s v="Month-to-month"/>
    <n v="20"/>
    <x v="0"/>
    <n v="549"/>
    <n v="10980"/>
    <s v="No Internet"/>
    <d v="2024-01-21T00:00:00"/>
    <s v="No"/>
    <n v="0"/>
    <s v="No"/>
    <s v="No"/>
    <s v="No"/>
    <s v="No"/>
    <s v="No"/>
  </r>
  <r>
    <s v="C2013"/>
    <s v="Pooja Pandey"/>
    <s v="Unknown"/>
    <n v="38"/>
    <x v="3"/>
    <x v="11"/>
    <s v="Two year"/>
    <n v="52"/>
    <x v="3"/>
    <n v="599"/>
    <n v="31148"/>
    <s v="DSL"/>
    <d v="2021-06-16T00:00:00"/>
    <s v="No"/>
    <n v="0"/>
    <s v="No"/>
    <s v="No"/>
    <s v="No"/>
    <s v="No"/>
    <s v="No"/>
  </r>
  <r>
    <s v="C2014"/>
    <s v="Karan Saxena"/>
    <s v="Male"/>
    <n v="24"/>
    <x v="4"/>
    <x v="7"/>
    <s v="Two year"/>
    <n v="30"/>
    <x v="1"/>
    <n v="1299"/>
    <n v="38970"/>
    <s v="Fiber"/>
    <d v="2023-03-15T00:00:00"/>
    <s v="Yes"/>
    <n v="1"/>
    <s v="No"/>
    <s v="No"/>
    <s v="No"/>
    <s v="No"/>
    <s v="No"/>
  </r>
  <r>
    <s v="C2015"/>
    <s v="Deepak Tiwari"/>
    <s v="Male"/>
    <n v="22"/>
    <x v="4"/>
    <x v="3"/>
    <s v="One year"/>
    <n v="5"/>
    <x v="4"/>
    <n v="749"/>
    <n v="3745"/>
    <s v="DSL"/>
    <d v="2025-04-05T00:00:00"/>
    <s v="No"/>
    <n v="0"/>
    <s v="No"/>
    <s v="No"/>
    <s v="No"/>
    <s v="No"/>
    <s v="No"/>
  </r>
  <r>
    <s v="C2016"/>
    <s v="Arjun Joshi"/>
    <s v="Male"/>
    <n v="24"/>
    <x v="4"/>
    <x v="14"/>
    <s v="Month-to-month"/>
    <n v="21"/>
    <x v="0"/>
    <n v="799"/>
    <n v="16779"/>
    <s v="DSL"/>
    <d v="2023-12-23T00:00:00"/>
    <s v="Yes"/>
    <n v="1"/>
    <s v="No"/>
    <s v="No"/>
    <s v="No"/>
    <s v="No"/>
    <s v="No"/>
  </r>
  <r>
    <s v="C2017"/>
    <s v="Aditi Nair"/>
    <s v="Female"/>
    <n v="30"/>
    <x v="0"/>
    <x v="14"/>
    <s v="Month-to-month"/>
    <n v="7"/>
    <x v="2"/>
    <n v="349"/>
    <n v="2443"/>
    <s v="No Internet"/>
    <d v="2025-02-09T00:00:00"/>
    <s v="No"/>
    <n v="0"/>
    <s v="No"/>
    <s v="No"/>
    <s v="No"/>
    <s v="No"/>
    <s v="No"/>
  </r>
  <r>
    <s v="C2018"/>
    <s v="Sanjay Verma"/>
    <s v="Male"/>
    <n v="69"/>
    <x v="2"/>
    <x v="8"/>
    <s v="Two year"/>
    <n v="53"/>
    <x v="3"/>
    <n v="1149"/>
    <n v="60897"/>
    <s v="Fiber"/>
    <d v="2021-05-01T00:00:00"/>
    <s v="No"/>
    <n v="0"/>
    <s v="No"/>
    <s v="No"/>
    <s v="No"/>
    <s v="No"/>
    <s v="No"/>
  </r>
  <r>
    <s v="C2019"/>
    <s v="Deepika Mehta"/>
    <s v="Female"/>
    <n v="54"/>
    <x v="1"/>
    <x v="6"/>
    <s v="Month-to-month"/>
    <n v="20"/>
    <x v="0"/>
    <n v="1299"/>
    <n v="25980"/>
    <s v="Fiber"/>
    <d v="2024-01-23T00:00:00"/>
    <s v="No"/>
    <n v="0"/>
    <s v="No"/>
    <s v="No"/>
    <s v="No"/>
    <s v="No"/>
    <s v="No"/>
  </r>
  <r>
    <s v="C2020"/>
    <s v="Divya Kumar"/>
    <s v="Female"/>
    <n v="54"/>
    <x v="1"/>
    <x v="10"/>
    <s v="Month-to-month"/>
    <n v="4"/>
    <x v="4"/>
    <n v="1099"/>
    <n v="4396"/>
    <s v="Fiber"/>
    <d v="2025-05-14T00:00:00"/>
    <s v="Yes"/>
    <n v="1"/>
    <s v="No"/>
    <s v="No"/>
    <s v="Yes"/>
    <s v="No"/>
    <s v="No"/>
  </r>
  <r>
    <s v="C2021"/>
    <s v="Priya Nair"/>
    <s v="Female"/>
    <n v="70"/>
    <x v="2"/>
    <x v="5"/>
    <s v="Two year"/>
    <n v="46"/>
    <x v="1"/>
    <n v="599"/>
    <n v="27554"/>
    <s v="DSL"/>
    <d v="2021-12-16T00:00:00"/>
    <s v="No"/>
    <n v="0"/>
    <s v="No"/>
    <s v="No"/>
    <s v="No"/>
    <s v="No"/>
    <s v="No"/>
  </r>
  <r>
    <s v="C2022"/>
    <s v="Mohit Yadav"/>
    <s v="Male"/>
    <n v="50"/>
    <x v="1"/>
    <x v="5"/>
    <s v="Month-to-month"/>
    <n v="23"/>
    <x v="0"/>
    <n v="599"/>
    <n v="13777"/>
    <s v="DSL"/>
    <d v="2023-10-31T00:00:00"/>
    <s v="Unknown"/>
    <s v=""/>
    <s v="No"/>
    <s v="No"/>
    <s v="No"/>
    <s v="No"/>
    <s v="Churn unknown"/>
  </r>
  <r>
    <s v="C2023"/>
    <s v="Amit Joshi"/>
    <s v="Male"/>
    <n v="44"/>
    <x v="3"/>
    <x v="5"/>
    <s v="Month-to-month"/>
    <n v="2"/>
    <x v="4"/>
    <n v="549"/>
    <n v="1098"/>
    <s v="No Internet"/>
    <d v="2025-07-20T00:00:00"/>
    <s v="No"/>
    <n v="0"/>
    <s v="No"/>
    <s v="No"/>
    <s v="No"/>
    <s v="No"/>
    <s v="No"/>
  </r>
  <r>
    <s v="C2024"/>
    <s v="Manish Desai"/>
    <s v="Male"/>
    <n v="22"/>
    <x v="4"/>
    <x v="13"/>
    <s v="Two year"/>
    <n v="5"/>
    <x v="4"/>
    <n v="499"/>
    <n v="2495"/>
    <s v="No Internet"/>
    <d v="2025-04-12T00:00:00"/>
    <s v="No"/>
    <n v="0"/>
    <s v="No"/>
    <s v="No"/>
    <s v="No"/>
    <s v="No"/>
    <s v="No"/>
  </r>
  <r>
    <s v="C2025"/>
    <s v="Sachin Desai"/>
    <s v="Male"/>
    <n v="26"/>
    <x v="0"/>
    <x v="5"/>
    <s v="One year"/>
    <n v="32"/>
    <x v="1"/>
    <n v="799"/>
    <n v="25568"/>
    <s v="DSL"/>
    <m/>
    <s v="No"/>
    <n v="0"/>
    <s v="No"/>
    <s v="No"/>
    <s v="No"/>
    <s v="No"/>
    <s v="Date missing"/>
  </r>
  <r>
    <s v="C2026"/>
    <s v="Rahul Verma"/>
    <s v="Male"/>
    <n v="19"/>
    <x v="4"/>
    <x v="13"/>
    <s v="One year"/>
    <n v="39"/>
    <x v="1"/>
    <n v="899"/>
    <n v="35061"/>
    <s v="DSL"/>
    <d v="2022-07-15T00:00:00"/>
    <s v="No"/>
    <n v="0"/>
    <s v="No"/>
    <s v="No"/>
    <s v="No"/>
    <s v="No"/>
    <s v="No"/>
  </r>
  <r>
    <s v="C2027"/>
    <s v="Divya Pandey"/>
    <s v="Female"/>
    <n v="26"/>
    <x v="0"/>
    <x v="12"/>
    <s v="One year"/>
    <n v="8"/>
    <x v="2"/>
    <n v="899"/>
    <n v="7192"/>
    <s v="Fiber"/>
    <d v="2025-01-20T00:00:00"/>
    <s v="No"/>
    <n v="0"/>
    <s v="No"/>
    <s v="No"/>
    <s v="No"/>
    <s v="No"/>
    <s v="No"/>
  </r>
  <r>
    <s v="C2028"/>
    <s v="Deepika Joshi"/>
    <s v="Female"/>
    <n v="45"/>
    <x v="3"/>
    <x v="3"/>
    <s v="Month-to-month"/>
    <n v="1"/>
    <x v="4"/>
    <n v="649"/>
    <n v="649"/>
    <s v="DSL"/>
    <d v="2025-08-04T00:00:00"/>
    <s v="Yes"/>
    <n v="1"/>
    <s v="No"/>
    <s v="No"/>
    <s v="Yes"/>
    <s v="No"/>
    <s v="No"/>
  </r>
  <r>
    <s v="C2029"/>
    <s v="Manish Verma"/>
    <s v="Male"/>
    <n v="22"/>
    <x v="4"/>
    <x v="3"/>
    <s v="Month-to-month"/>
    <n v="2"/>
    <x v="4"/>
    <n v="699"/>
    <n v="1398"/>
    <s v="DSL"/>
    <d v="2025-07-23T00:00:00"/>
    <s v="No"/>
    <n v="0"/>
    <s v="No"/>
    <s v="No"/>
    <s v="No"/>
    <s v="No"/>
    <s v="No"/>
  </r>
  <r>
    <s v="C2030"/>
    <s v="Pooja Yadav"/>
    <s v="Female"/>
    <n v="43"/>
    <x v="3"/>
    <x v="7"/>
    <s v="One year"/>
    <n v="5"/>
    <x v="4"/>
    <n v="1149"/>
    <n v="5745"/>
    <s v="Fiber"/>
    <d v="2025-04-08T00:00:00"/>
    <s v="No"/>
    <n v="0"/>
    <s v="No"/>
    <s v="No"/>
    <s v="No"/>
    <s v="No"/>
    <s v="No"/>
  </r>
  <r>
    <s v="C2031"/>
    <s v="Ritu Kapoor"/>
    <s v="Female"/>
    <n v="63"/>
    <x v="2"/>
    <x v="5"/>
    <s v="Two year"/>
    <n v="38"/>
    <x v="1"/>
    <n v="1199"/>
    <n v="45562"/>
    <s v="Fiber"/>
    <d v="2022-08-07T00:00:00"/>
    <s v="No"/>
    <n v="0"/>
    <s v="No"/>
    <s v="No"/>
    <s v="No"/>
    <s v="No"/>
    <s v="No"/>
  </r>
  <r>
    <s v="C2032"/>
    <s v="Sonal Jain"/>
    <s v="Female"/>
    <n v="24"/>
    <x v="4"/>
    <x v="3"/>
    <s v="Month-to-month"/>
    <n v="20"/>
    <x v="0"/>
    <n v="1049"/>
    <n v="20980"/>
    <s v="Fiber"/>
    <d v="2024-02-02T00:00:00"/>
    <s v="Yes"/>
    <n v="1"/>
    <s v="No"/>
    <s v="No"/>
    <s v="No"/>
    <s v="No"/>
    <s v="No"/>
  </r>
  <r>
    <s v="C2033"/>
    <s v="Harsh Agarwal"/>
    <s v="Male"/>
    <n v="53"/>
    <x v="1"/>
    <x v="0"/>
    <s v="Month-to-month"/>
    <n v="5"/>
    <x v="4"/>
    <n v="999"/>
    <n v="4995"/>
    <s v="Fiber"/>
    <d v="2025-04-17T00:00:00"/>
    <s v="No"/>
    <n v="0"/>
    <s v="No"/>
    <s v="No"/>
    <s v="No"/>
    <s v="No"/>
    <s v="No"/>
  </r>
  <r>
    <s v="C2034"/>
    <s v="Rahul Desai"/>
    <s v="Male"/>
    <n v="71"/>
    <x v="2"/>
    <x v="3"/>
    <s v="Month-to-month"/>
    <n v="10"/>
    <x v="2"/>
    <n v="899"/>
    <n v="8990"/>
    <s v="Fiber"/>
    <d v="2024-11-13T00:00:00"/>
    <s v="Yes"/>
    <n v="1"/>
    <s v="No"/>
    <s v="Yes"/>
    <s v="No"/>
    <s v="No"/>
    <s v="No"/>
  </r>
  <r>
    <s v="C2035"/>
    <s v="Komal Sharma"/>
    <s v="Female"/>
    <n v="73"/>
    <x v="2"/>
    <x v="12"/>
    <s v="Month-to-month"/>
    <n v="7"/>
    <x v="2"/>
    <n v="749"/>
    <n v="5243"/>
    <s v="DSL"/>
    <d v="2025-02-09T00:00:00"/>
    <s v="No"/>
    <n v="0"/>
    <s v="No"/>
    <s v="No"/>
    <s v="No"/>
    <s v="No"/>
    <s v="No"/>
  </r>
  <r>
    <s v="C2036"/>
    <s v="Sneha Mishra"/>
    <s v="Female"/>
    <n v="66"/>
    <x v="2"/>
    <x v="2"/>
    <s v="Two year"/>
    <n v="44"/>
    <x v="1"/>
    <n v="549"/>
    <n v="24156"/>
    <s v="No Internet"/>
    <d v="2022-02-16T00:00:00"/>
    <s v="No"/>
    <n v="0"/>
    <s v="No"/>
    <s v="No"/>
    <s v="No"/>
    <s v="No"/>
    <s v="No"/>
  </r>
  <r>
    <s v="C2037"/>
    <s v="Riya Tiwari"/>
    <s v="Female"/>
    <n v="73"/>
    <x v="2"/>
    <x v="12"/>
    <s v="One year"/>
    <n v="4"/>
    <x v="4"/>
    <n v="549"/>
    <n v="2196"/>
    <s v="No Internet"/>
    <d v="2025-05-08T00:00:00"/>
    <s v="No"/>
    <n v="0"/>
    <s v="No"/>
    <s v="No"/>
    <s v="No"/>
    <s v="No"/>
    <s v="No"/>
  </r>
  <r>
    <s v="C2038"/>
    <s v="Sonal Kapoor"/>
    <s v="Female"/>
    <n v="45"/>
    <x v="3"/>
    <x v="11"/>
    <s v="One year"/>
    <n v="17"/>
    <x v="0"/>
    <n v="1099"/>
    <n v="18683"/>
    <s v="Fiber"/>
    <d v="2024-04-07T00:00:00"/>
    <s v="No"/>
    <n v="0"/>
    <s v="No"/>
    <s v="No"/>
    <s v="No"/>
    <s v="Yes"/>
    <s v="No"/>
  </r>
  <r>
    <s v="C2039"/>
    <s v="Rohit Sharma"/>
    <s v="Male"/>
    <n v="35"/>
    <x v="0"/>
    <x v="13"/>
    <s v="One year"/>
    <n v="16"/>
    <x v="0"/>
    <n v="899"/>
    <n v="14384"/>
    <s v="Unknown"/>
    <d v="2024-05-24T00:00:00"/>
    <s v="No"/>
    <n v="0"/>
    <s v="No"/>
    <s v="No"/>
    <s v="No"/>
    <s v="No"/>
    <s v="No"/>
  </r>
  <r>
    <s v="C2040"/>
    <s v="Pankaj Malhotra"/>
    <s v="Male"/>
    <n v="41"/>
    <x v="3"/>
    <x v="10"/>
    <s v="One year"/>
    <n v="39"/>
    <x v="1"/>
    <n v="899"/>
    <n v="35061"/>
    <s v="Fiber"/>
    <d v="2022-07-06T00:00:00"/>
    <s v="No"/>
    <n v="0"/>
    <s v="No"/>
    <s v="No"/>
    <s v="No"/>
    <s v="No"/>
    <s v="No"/>
  </r>
  <r>
    <s v="C2041"/>
    <s v="Meera Kapoor"/>
    <s v="Female"/>
    <n v="47"/>
    <x v="1"/>
    <x v="3"/>
    <s v="Month-to-month"/>
    <n v="12"/>
    <x v="2"/>
    <n v="1199"/>
    <n v="14388"/>
    <s v="Fiber"/>
    <d v="2024-10-02T00:00:00"/>
    <s v="Yes"/>
    <n v="1"/>
    <s v="No"/>
    <s v="No"/>
    <s v="No"/>
    <s v="No"/>
    <s v="No"/>
  </r>
  <r>
    <s v="C2042"/>
    <s v="Suresh Yadav"/>
    <s v="Male"/>
    <n v="47"/>
    <x v="1"/>
    <x v="2"/>
    <s v="Two year"/>
    <n v="34"/>
    <x v="1"/>
    <n v="1299"/>
    <n v="44166"/>
    <s v="Fiber"/>
    <d v="2022-11-28T00:00:00"/>
    <s v="No"/>
    <n v="0"/>
    <s v="Yes"/>
    <s v="No"/>
    <s v="No"/>
    <s v="No"/>
    <s v="No"/>
  </r>
  <r>
    <s v="C2043"/>
    <s v="Manish Chopra"/>
    <s v="Male"/>
    <n v="29"/>
    <x v="0"/>
    <x v="8"/>
    <s v="Two year"/>
    <n v="30"/>
    <x v="1"/>
    <n v="1199"/>
    <n v="35970"/>
    <s v="Fiber"/>
    <d v="2023-03-27T00:00:00"/>
    <s v="No"/>
    <n v="0"/>
    <s v="No"/>
    <s v="No"/>
    <s v="No"/>
    <s v="No"/>
    <s v="No"/>
  </r>
  <r>
    <s v="C2044"/>
    <s v="Tanvi Joshi"/>
    <s v="Female"/>
    <n v="20"/>
    <x v="4"/>
    <x v="1"/>
    <s v="One year"/>
    <n v="17"/>
    <x v="0"/>
    <n v="699"/>
    <n v="11883"/>
    <s v="DSL"/>
    <d v="2024-05-05T00:00:00"/>
    <s v="No"/>
    <n v="0"/>
    <s v="No"/>
    <s v="No"/>
    <s v="No"/>
    <s v="No"/>
    <s v="No"/>
  </r>
  <r>
    <s v="C2045"/>
    <s v="Aman Reddy"/>
    <s v="Unknown"/>
    <n v="22"/>
    <x v="4"/>
    <x v="1"/>
    <s v="Month-to-month"/>
    <n v="8"/>
    <x v="2"/>
    <n v="1049"/>
    <n v="8392"/>
    <s v="Fiber"/>
    <d v="2025-01-05T00:00:00"/>
    <s v="Yes"/>
    <n v="1"/>
    <s v="No"/>
    <s v="No"/>
    <s v="No"/>
    <s v="No"/>
    <s v="No"/>
  </r>
  <r>
    <s v="C2046"/>
    <s v="Neha Chopra"/>
    <s v="Female"/>
    <n v="45"/>
    <x v="3"/>
    <x v="10"/>
    <s v="Month-to-month"/>
    <n v="12"/>
    <x v="2"/>
    <n v="699"/>
    <n v="8388"/>
    <s v="DSL"/>
    <d v="2024-09-24T00:00:00"/>
    <s v="No"/>
    <n v="0"/>
    <s v="No"/>
    <s v="No"/>
    <s v="No"/>
    <s v="No"/>
    <s v="No"/>
  </r>
  <r>
    <s v="C2047"/>
    <s v="Arjun Patel"/>
    <s v="Male"/>
    <n v="20"/>
    <x v="4"/>
    <x v="5"/>
    <s v="Two year"/>
    <n v="4"/>
    <x v="4"/>
    <n v="399"/>
    <n v="1596"/>
    <s v="No Internet"/>
    <d v="2025-05-15T00:00:00"/>
    <s v="No"/>
    <n v="0"/>
    <s v="No"/>
    <s v="No"/>
    <s v="No"/>
    <s v="No"/>
    <s v="No"/>
  </r>
  <r>
    <s v="C2048"/>
    <s v="Deepika Rao"/>
    <s v="Female"/>
    <n v="71"/>
    <x v="2"/>
    <x v="11"/>
    <s v="Month-to-month"/>
    <n v="13"/>
    <x v="0"/>
    <n v="1199"/>
    <n v="15587"/>
    <s v="Fiber"/>
    <d v="2024-08-05T00:00:00"/>
    <s v="No"/>
    <n v="0"/>
    <s v="No"/>
    <s v="No"/>
    <s v="No"/>
    <s v="No"/>
    <s v="No"/>
  </r>
  <r>
    <s v="C2049"/>
    <s v="Rajesh Jain"/>
    <s v="Male"/>
    <n v="54"/>
    <x v="1"/>
    <x v="9"/>
    <s v="Month-to-month"/>
    <n v="24"/>
    <x v="0"/>
    <n v="1299"/>
    <n v="31176"/>
    <s v="Fiber"/>
    <d v="2023-09-20T00:00:00"/>
    <s v="No"/>
    <n v="0"/>
    <s v="No"/>
    <s v="No"/>
    <s v="No"/>
    <s v="No"/>
    <s v="No"/>
  </r>
  <r>
    <s v="C2050"/>
    <s v="Payal Jain"/>
    <s v="Female"/>
    <n v="46"/>
    <x v="1"/>
    <x v="2"/>
    <s v="Month-to-month"/>
    <n v="10"/>
    <x v="2"/>
    <n v="399"/>
    <n v="3990"/>
    <s v="No Internet"/>
    <d v="2024-11-21T00:00:00"/>
    <s v="No"/>
    <n v="0"/>
    <s v="No"/>
    <s v="No"/>
    <s v="No"/>
    <s v="No"/>
    <s v="No"/>
  </r>
  <r>
    <s v="C2051"/>
    <s v="Ankit Joshi"/>
    <s v="Male"/>
    <n v="65"/>
    <x v="2"/>
    <x v="4"/>
    <s v="One year"/>
    <n v="27"/>
    <x v="1"/>
    <n v="899"/>
    <n v="24273"/>
    <s v="Fiber"/>
    <d v="2023-07-09T00:00:00"/>
    <s v="No"/>
    <n v="0"/>
    <s v="No"/>
    <s v="No"/>
    <s v="No"/>
    <s v="No"/>
    <s v="No"/>
  </r>
  <r>
    <s v="C2052"/>
    <s v="Komal Yadav"/>
    <s v="Female"/>
    <n v="32"/>
    <x v="0"/>
    <x v="7"/>
    <s v="One year"/>
    <n v="9"/>
    <x v="2"/>
    <n v="799"/>
    <n v="7191"/>
    <s v="DSL"/>
    <d v="2024-12-11T00:00:00"/>
    <s v="No"/>
    <n v="0"/>
    <s v="No"/>
    <s v="No"/>
    <s v="No"/>
    <s v="No"/>
    <s v="No"/>
  </r>
  <r>
    <s v="C2053"/>
    <s v="Pankaj Malhotra"/>
    <s v="Male"/>
    <n v="68"/>
    <x v="2"/>
    <x v="5"/>
    <s v="Month-to-month"/>
    <n v="14"/>
    <x v="0"/>
    <n v="749"/>
    <n v="10486"/>
    <s v="DSL"/>
    <d v="2024-07-15T00:00:00"/>
    <s v="No"/>
    <n v="0"/>
    <s v="No"/>
    <s v="No"/>
    <s v="No"/>
    <s v="No"/>
    <s v="No"/>
  </r>
  <r>
    <s v="C2054"/>
    <s v="Arjun Kapoor"/>
    <s v="Male"/>
    <n v="18"/>
    <x v="4"/>
    <x v="8"/>
    <s v="Month-to-month"/>
    <n v="18"/>
    <x v="0"/>
    <n v="849"/>
    <n v="15282"/>
    <s v="DSL"/>
    <d v="2024-04-05T00:00:00"/>
    <s v="Yes"/>
    <n v="1"/>
    <s v="No"/>
    <s v="No"/>
    <s v="No"/>
    <s v="No"/>
    <s v="No"/>
  </r>
  <r>
    <s v="C2055"/>
    <s v="Priya Pandey"/>
    <s v="Female"/>
    <n v="28"/>
    <x v="0"/>
    <x v="4"/>
    <s v="Month-to-month"/>
    <n v="13"/>
    <x v="0"/>
    <n v="399"/>
    <n v="5187"/>
    <s v="No Internet"/>
    <d v="2024-08-17T00:00:00"/>
    <s v="Yes"/>
    <n v="1"/>
    <s v="No"/>
    <s v="No"/>
    <s v="No"/>
    <s v="No"/>
    <s v="No"/>
  </r>
  <r>
    <s v="C2056"/>
    <s v="Harsh Reddy"/>
    <s v="Male"/>
    <n v="39"/>
    <x v="3"/>
    <x v="6"/>
    <s v="Two year"/>
    <n v="14"/>
    <x v="0"/>
    <n v="899"/>
    <n v="12586"/>
    <s v="Fiber"/>
    <d v="2024-07-24T00:00:00"/>
    <s v="No"/>
    <n v="0"/>
    <s v="No"/>
    <s v="No"/>
    <s v="No"/>
    <s v="No"/>
    <s v="No"/>
  </r>
  <r>
    <s v="C2057"/>
    <s v="Nisha Chopra"/>
    <s v="Female"/>
    <n v="46"/>
    <x v="1"/>
    <x v="10"/>
    <s v="Two year"/>
    <n v="62"/>
    <x v="3"/>
    <n v="849"/>
    <n v="52638"/>
    <s v="DSL"/>
    <d v="2020-08-07T00:00:00"/>
    <s v="No"/>
    <n v="0"/>
    <s v="No"/>
    <s v="No"/>
    <s v="No"/>
    <s v="No"/>
    <s v="No"/>
  </r>
  <r>
    <s v="C2058"/>
    <s v="Rohit Sharma"/>
    <s v="Male"/>
    <n v="55"/>
    <x v="1"/>
    <x v="11"/>
    <s v="Month-to-month"/>
    <n v="13"/>
    <x v="0"/>
    <n v="1099"/>
    <n v="14287"/>
    <s v="Fiber"/>
    <d v="2024-08-16T00:00:00"/>
    <s v="No"/>
    <n v="0"/>
    <s v="No"/>
    <s v="No"/>
    <s v="No"/>
    <s v="No"/>
    <s v="No"/>
  </r>
  <r>
    <s v="C2059"/>
    <s v="Anjali Nair"/>
    <s v="Female"/>
    <n v="37"/>
    <x v="3"/>
    <x v="7"/>
    <s v="Month-to-month"/>
    <n v="17"/>
    <x v="0"/>
    <n v="1149"/>
    <n v="19533"/>
    <s v="Fiber"/>
    <d v="2024-04-24T00:00:00"/>
    <s v="Yes"/>
    <n v="1"/>
    <s v="No"/>
    <s v="No"/>
    <s v="No"/>
    <s v="No"/>
    <s v="No"/>
  </r>
  <r>
    <s v="C2060"/>
    <s v="Unknown"/>
    <s v="Female"/>
    <n v="20"/>
    <x v="4"/>
    <x v="6"/>
    <s v="Two year"/>
    <n v="27"/>
    <x v="1"/>
    <n v="449"/>
    <n v="12123"/>
    <s v="No Internet"/>
    <d v="2023-06-22T00:00:00"/>
    <s v="No"/>
    <n v="0"/>
    <s v="No"/>
    <s v="No"/>
    <s v="No"/>
    <s v="Yes"/>
    <s v="No"/>
  </r>
  <r>
    <s v="C2061"/>
    <s v="Anjali Patel"/>
    <s v="Female"/>
    <n v="36"/>
    <x v="3"/>
    <x v="8"/>
    <s v="Month-to-month"/>
    <n v="15"/>
    <x v="0"/>
    <n v="649"/>
    <n v="9735"/>
    <s v="DSL"/>
    <d v="2024-06-27T00:00:00"/>
    <s v="No"/>
    <n v="0"/>
    <s v="No"/>
    <s v="No"/>
    <s v="No"/>
    <s v="No"/>
    <s v="No"/>
  </r>
  <r>
    <s v="C2062"/>
    <s v="Manish Saxena"/>
    <s v="Male"/>
    <n v="35"/>
    <x v="0"/>
    <x v="8"/>
    <s v="Month-to-month"/>
    <n v="17"/>
    <x v="0"/>
    <n v="999"/>
    <n v="16983"/>
    <s v="Fiber"/>
    <d v="2024-05-05T00:00:00"/>
    <s v="No"/>
    <n v="0"/>
    <s v="No"/>
    <s v="No"/>
    <s v="No"/>
    <s v="No"/>
    <s v="No"/>
  </r>
  <r>
    <s v="C2063"/>
    <s v="Rahul Desai"/>
    <s v="Male"/>
    <n v="71"/>
    <x v="2"/>
    <x v="6"/>
    <s v="Month-to-month"/>
    <n v="19"/>
    <x v="0"/>
    <n v="749"/>
    <n v="14231"/>
    <s v="DSL"/>
    <d v="2024-02-10T00:00:00"/>
    <s v="No"/>
    <n v="0"/>
    <s v="No"/>
    <s v="No"/>
    <s v="No"/>
    <s v="No"/>
    <s v="No"/>
  </r>
  <r>
    <s v="C2064"/>
    <s v="Aditi Reddy"/>
    <s v="Female"/>
    <n v="63"/>
    <x v="2"/>
    <x v="14"/>
    <s v="Two year"/>
    <n v="56"/>
    <x v="3"/>
    <n v="749"/>
    <n v="41944"/>
    <s v="DSL"/>
    <d v="2021-02-13T00:00:00"/>
    <s v="No"/>
    <n v="0"/>
    <s v="No"/>
    <s v="No"/>
    <s v="No"/>
    <s v="No"/>
    <s v="No"/>
  </r>
  <r>
    <s v="C2065"/>
    <s v="Aman Kumar"/>
    <s v="Male"/>
    <n v="65"/>
    <x v="2"/>
    <x v="13"/>
    <s v="Month-to-month"/>
    <n v="6"/>
    <x v="4"/>
    <n v="799"/>
    <n v="4794"/>
    <s v="DSL"/>
    <d v="2025-03-09T00:00:00"/>
    <s v="No"/>
    <n v="0"/>
    <s v="No"/>
    <s v="No"/>
    <s v="No"/>
    <s v="No"/>
    <s v="No"/>
  </r>
  <r>
    <s v="C2066"/>
    <s v="Nikhil Verma"/>
    <s v="Male"/>
    <n v="45"/>
    <x v="3"/>
    <x v="4"/>
    <s v="Two year"/>
    <n v="41"/>
    <x v="1"/>
    <n v="1299"/>
    <n v="53259"/>
    <s v="Fiber"/>
    <d v="2022-04-19T00:00:00"/>
    <s v="No"/>
    <n v="0"/>
    <s v="No"/>
    <s v="No"/>
    <s v="No"/>
    <s v="No"/>
    <s v="No"/>
  </r>
  <r>
    <s v="C2067"/>
    <s v="Rahul Nair"/>
    <s v="Male"/>
    <n v="26"/>
    <x v="0"/>
    <x v="11"/>
    <s v="Month-to-month"/>
    <n v="22"/>
    <x v="0"/>
    <n v="499"/>
    <n v="10978"/>
    <s v="No Internet"/>
    <d v="2023-11-12T00:00:00"/>
    <s v="Yes"/>
    <n v="1"/>
    <s v="No"/>
    <s v="No"/>
    <s v="No"/>
    <s v="No"/>
    <s v="No"/>
  </r>
  <r>
    <s v="C2068"/>
    <s v="Gaurav Iyer"/>
    <s v="Male"/>
    <n v="26"/>
    <x v="0"/>
    <x v="0"/>
    <s v="One year"/>
    <n v="34"/>
    <x v="1"/>
    <n v="899"/>
    <n v="30566"/>
    <s v="DSL"/>
    <d v="2022-12-11T00:00:00"/>
    <s v="Yes"/>
    <n v="1"/>
    <s v="No"/>
    <s v="No"/>
    <s v="No"/>
    <s v="No"/>
    <s v="No"/>
  </r>
  <r>
    <s v="C2069"/>
    <s v="Sonal Yadav"/>
    <s v="Female"/>
    <n v="31"/>
    <x v="0"/>
    <x v="14"/>
    <s v="Month-to-month"/>
    <n v="9"/>
    <x v="2"/>
    <n v="1099"/>
    <n v="9891"/>
    <s v="Fiber"/>
    <m/>
    <s v="Yes"/>
    <n v="1"/>
    <s v="No"/>
    <s v="No"/>
    <s v="No"/>
    <s v="No"/>
    <s v="Date missing"/>
  </r>
  <r>
    <s v="C2070"/>
    <s v="Payal Saxena"/>
    <s v="Female"/>
    <n v="29"/>
    <x v="0"/>
    <x v="10"/>
    <s v="Two year"/>
    <n v="63"/>
    <x v="3"/>
    <n v="499"/>
    <n v="31437"/>
    <s v="No Internet"/>
    <d v="2020-07-09T00:00:00"/>
    <s v="No"/>
    <n v="0"/>
    <s v="No"/>
    <s v="No"/>
    <s v="No"/>
    <s v="No"/>
    <s v="No"/>
  </r>
  <r>
    <s v="C2071"/>
    <s v="Aditi Reddy"/>
    <s v="Female"/>
    <n v="32"/>
    <x v="0"/>
    <x v="4"/>
    <s v="Two year"/>
    <n v="37"/>
    <x v="1"/>
    <n v="449"/>
    <n v="16613"/>
    <s v="No Internet"/>
    <d v="2022-09-01T00:00:00"/>
    <s v="No"/>
    <n v="0"/>
    <s v="No"/>
    <s v="No"/>
    <s v="No"/>
    <s v="No"/>
    <s v="No"/>
  </r>
  <r>
    <s v="C2072"/>
    <s v="Arjun Kapoor"/>
    <s v="Unknown"/>
    <n v="38"/>
    <x v="3"/>
    <x v="9"/>
    <s v="Month-to-month"/>
    <n v="23"/>
    <x v="0"/>
    <n v="1299"/>
    <n v="29877"/>
    <s v="Fiber"/>
    <d v="2023-10-12T00:00:00"/>
    <s v="No"/>
    <n v="0"/>
    <s v="No"/>
    <s v="No"/>
    <s v="No"/>
    <s v="No"/>
    <s v="No"/>
  </r>
  <r>
    <s v="C2073"/>
    <s v="Riya Tiwari"/>
    <s v="Female"/>
    <n v="61"/>
    <x v="2"/>
    <x v="0"/>
    <s v="Month-to-month"/>
    <n v="7"/>
    <x v="2"/>
    <n v="899"/>
    <n v="6293"/>
    <s v="DSL"/>
    <d v="2025-02-06T00:00:00"/>
    <s v="Yes"/>
    <n v="1"/>
    <s v="No"/>
    <s v="No"/>
    <s v="No"/>
    <s v="No"/>
    <s v="No"/>
  </r>
  <r>
    <s v="C2074"/>
    <s v="Kavita Saxena"/>
    <s v="Female"/>
    <n v="38"/>
    <x v="3"/>
    <x v="12"/>
    <s v="Month-to-month"/>
    <n v="13"/>
    <x v="0"/>
    <n v="899"/>
    <n v="11687"/>
    <s v="Fiber"/>
    <d v="2024-08-27T00:00:00"/>
    <s v="No"/>
    <n v="0"/>
    <s v="No"/>
    <s v="No"/>
    <s v="Yes"/>
    <s v="No"/>
    <s v="No"/>
  </r>
  <r>
    <s v="C2075"/>
    <s v="Sneha Iyer"/>
    <s v="Female"/>
    <n v="46"/>
    <x v="1"/>
    <x v="12"/>
    <s v="Month-to-month"/>
    <n v="18"/>
    <x v="0"/>
    <n v="349"/>
    <n v="6282"/>
    <s v="No Internet"/>
    <d v="2024-03-18T00:00:00"/>
    <s v="No"/>
    <n v="0"/>
    <s v="No"/>
    <s v="No"/>
    <s v="No"/>
    <s v="No"/>
    <s v="No"/>
  </r>
  <r>
    <s v="C2076"/>
    <s v="Pooja Yadav"/>
    <s v="Female"/>
    <n v="52"/>
    <x v="1"/>
    <x v="3"/>
    <s v="Two year"/>
    <n v="49"/>
    <x v="3"/>
    <n v="599"/>
    <n v="29351"/>
    <s v="DSL"/>
    <d v="2021-08-26T00:00:00"/>
    <s v="No"/>
    <n v="0"/>
    <s v="No"/>
    <s v="No"/>
    <s v="No"/>
    <s v="No"/>
    <s v="No"/>
  </r>
  <r>
    <s v="C2077"/>
    <s v="Amit Jain"/>
    <s v="Male"/>
    <n v="31"/>
    <x v="0"/>
    <x v="2"/>
    <s v="Month-to-month"/>
    <n v="18"/>
    <x v="0"/>
    <n v="399"/>
    <n v="7182"/>
    <s v="No Internet"/>
    <d v="2024-04-01T00:00:00"/>
    <s v="Yes"/>
    <n v="1"/>
    <s v="No"/>
    <s v="No"/>
    <s v="Yes"/>
    <s v="No"/>
    <s v="No"/>
  </r>
  <r>
    <s v="C2078"/>
    <s v="Swati Tiwari"/>
    <s v="Female"/>
    <n v="31"/>
    <x v="0"/>
    <x v="1"/>
    <s v="One year"/>
    <n v="3"/>
    <x v="4"/>
    <n v="549"/>
    <n v="1647"/>
    <s v="No Internet"/>
    <d v="2025-06-18T00:00:00"/>
    <s v="Yes"/>
    <n v="1"/>
    <s v="No"/>
    <s v="No"/>
    <s v="No"/>
    <s v="No"/>
    <s v="No"/>
  </r>
  <r>
    <s v="C2079"/>
    <s v="Unknown"/>
    <s v="Female"/>
    <n v="36"/>
    <x v="3"/>
    <x v="5"/>
    <s v="Month-to-month"/>
    <n v="23"/>
    <x v="0"/>
    <n v="899"/>
    <n v="20677"/>
    <s v="Fiber"/>
    <d v="2023-10-13T00:00:00"/>
    <s v="No"/>
    <n v="0"/>
    <s v="No"/>
    <s v="No"/>
    <s v="No"/>
    <s v="No"/>
    <s v="No"/>
  </r>
  <r>
    <s v="C2080"/>
    <s v="Divya Singh"/>
    <s v="Female"/>
    <n v="70"/>
    <x v="2"/>
    <x v="14"/>
    <s v="Two year"/>
    <n v="10"/>
    <x v="2"/>
    <n v="499"/>
    <n v="4990"/>
    <s v="No Internet"/>
    <d v="2024-11-09T00:00:00"/>
    <s v="Yes"/>
    <n v="1"/>
    <s v="No"/>
    <s v="No"/>
    <s v="No"/>
    <s v="No"/>
    <s v="No"/>
  </r>
  <r>
    <s v="C2081"/>
    <s v="Karan Agarwal"/>
    <s v="Male"/>
    <n v="55"/>
    <x v="1"/>
    <x v="13"/>
    <s v="Month-to-month"/>
    <n v="10"/>
    <x v="2"/>
    <n v="499"/>
    <n v="4990"/>
    <s v="No Internet"/>
    <d v="2024-12-02T00:00:00"/>
    <s v="No"/>
    <n v="0"/>
    <s v="No"/>
    <s v="No"/>
    <s v="No"/>
    <s v="No"/>
    <s v="No"/>
  </r>
  <r>
    <s v="C2082"/>
    <s v="Kavita Kapoor"/>
    <s v="Female"/>
    <n v="30"/>
    <x v="0"/>
    <x v="4"/>
    <s v="Month-to-month"/>
    <n v="16"/>
    <x v="0"/>
    <n v="1049"/>
    <n v="16784"/>
    <s v="Fiber"/>
    <d v="2024-05-23T00:00:00"/>
    <s v="Yes"/>
    <n v="1"/>
    <s v="No"/>
    <s v="No"/>
    <s v="No"/>
    <s v="No"/>
    <s v="No"/>
  </r>
  <r>
    <s v="C2083"/>
    <s v="Komal Iyer"/>
    <s v="Female"/>
    <n v="62"/>
    <x v="2"/>
    <x v="1"/>
    <s v="Month-to-month"/>
    <n v="16"/>
    <x v="0"/>
    <n v="1099"/>
    <n v="17584"/>
    <s v="Fiber"/>
    <d v="2024-05-14T00:00:00"/>
    <s v="No"/>
    <n v="0"/>
    <s v="No"/>
    <s v="No"/>
    <s v="No"/>
    <s v="No"/>
    <s v="No"/>
  </r>
  <r>
    <s v="C2084"/>
    <s v="Unknown"/>
    <s v="Male"/>
    <n v="54"/>
    <x v="1"/>
    <x v="10"/>
    <s v="Month-to-month"/>
    <n v="12"/>
    <x v="2"/>
    <n v="749"/>
    <n v="8988"/>
    <s v="DSL"/>
    <d v="2024-09-23T00:00:00"/>
    <s v="Unknown"/>
    <s v=""/>
    <s v="No"/>
    <s v="No"/>
    <s v="No"/>
    <s v="No"/>
    <s v="Churn unknown"/>
  </r>
  <r>
    <s v="C2085"/>
    <s v="Vikram Reddy"/>
    <s v="Male"/>
    <n v="53"/>
    <x v="1"/>
    <x v="8"/>
    <s v="Month-to-month"/>
    <n v="19"/>
    <x v="0"/>
    <n v="399"/>
    <n v="7581"/>
    <s v="No Internet"/>
    <d v="2024-02-10T00:00:00"/>
    <s v="Yes"/>
    <n v="1"/>
    <s v="No"/>
    <s v="No"/>
    <s v="No"/>
    <s v="No"/>
    <s v="No"/>
  </r>
  <r>
    <s v="C2086"/>
    <s v="Payal Agarwal"/>
    <s v="Female"/>
    <n v="71"/>
    <x v="2"/>
    <x v="11"/>
    <s v="One year"/>
    <n v="32"/>
    <x v="1"/>
    <n v="699"/>
    <n v="22368"/>
    <s v="DSL"/>
    <d v="2023-01-16T00:00:00"/>
    <s v="No"/>
    <n v="0"/>
    <s v="No"/>
    <s v="Yes"/>
    <s v="No"/>
    <s v="No"/>
    <s v="No"/>
  </r>
  <r>
    <s v="C2087"/>
    <s v="Amit Joshi"/>
    <s v="Male"/>
    <n v="62"/>
    <x v="2"/>
    <x v="11"/>
    <s v="One year"/>
    <n v="18"/>
    <x v="0"/>
    <n v="549"/>
    <n v="9882"/>
    <s v="No Internet"/>
    <d v="2024-03-20T00:00:00"/>
    <s v="No"/>
    <n v="0"/>
    <s v="No"/>
    <s v="No"/>
    <s v="No"/>
    <s v="No"/>
    <s v="No"/>
  </r>
  <r>
    <s v="C2088"/>
    <s v="Swati Chopra"/>
    <s v="Female"/>
    <n v="33"/>
    <x v="0"/>
    <x v="2"/>
    <s v="Month-to-month"/>
    <n v="18"/>
    <x v="0"/>
    <n v="1199"/>
    <n v="21582"/>
    <s v="Fiber"/>
    <d v="2024-03-24T00:00:00"/>
    <s v="No"/>
    <n v="0"/>
    <s v="No"/>
    <s v="No"/>
    <s v="No"/>
    <s v="No"/>
    <s v="No"/>
  </r>
  <r>
    <s v="C2089"/>
    <s v="Deepak Singh"/>
    <s v="Male"/>
    <n v="66"/>
    <x v="2"/>
    <x v="3"/>
    <s v="Month-to-month"/>
    <n v="6"/>
    <x v="4"/>
    <n v="1099"/>
    <n v="6594"/>
    <s v="Fiber"/>
    <d v="2025-03-19T00:00:00"/>
    <s v="Yes"/>
    <n v="1"/>
    <s v="No"/>
    <s v="No"/>
    <s v="No"/>
    <s v="No"/>
    <s v="No"/>
  </r>
  <r>
    <s v="C2090"/>
    <s v="Meera Chopra"/>
    <s v="Female"/>
    <n v="69"/>
    <x v="2"/>
    <x v="1"/>
    <s v="Month-to-month"/>
    <n v="18"/>
    <x v="0"/>
    <n v="1099"/>
    <n v="19782"/>
    <s v="Fiber"/>
    <d v="2024-03-24T00:00:00"/>
    <s v="Yes"/>
    <n v="1"/>
    <s v="No"/>
    <s v="No"/>
    <s v="No"/>
    <s v="No"/>
    <s v="No"/>
  </r>
  <r>
    <s v="C2091"/>
    <s v="Kavita Jain"/>
    <s v="Female"/>
    <n v="38"/>
    <x v="3"/>
    <x v="11"/>
    <s v="Two year"/>
    <n v="22"/>
    <x v="0"/>
    <n v="1049"/>
    <n v="23078"/>
    <s v="Fiber"/>
    <d v="2023-11-13T00:00:00"/>
    <s v="No"/>
    <n v="0"/>
    <s v="No"/>
    <s v="No"/>
    <s v="Yes"/>
    <s v="No"/>
    <s v="No"/>
  </r>
  <r>
    <s v="C2092"/>
    <s v="Payal Yadav"/>
    <s v="Female"/>
    <n v="34"/>
    <x v="0"/>
    <x v="7"/>
    <s v="Month-to-month"/>
    <n v="24"/>
    <x v="0"/>
    <n v="399"/>
    <n v="9576"/>
    <s v="No Internet"/>
    <d v="2023-09-17T00:00:00"/>
    <s v="Yes"/>
    <n v="1"/>
    <s v="No"/>
    <s v="Yes"/>
    <s v="No"/>
    <s v="No"/>
    <s v="No"/>
  </r>
  <r>
    <s v="C2093"/>
    <s v="Priya Joshi"/>
    <s v="Female"/>
    <n v="44"/>
    <x v="3"/>
    <x v="8"/>
    <s v="Month-to-month"/>
    <n v="1"/>
    <x v="4"/>
    <n v="699"/>
    <n v="699"/>
    <s v="DSL"/>
    <d v="2025-08-26T00:00:00"/>
    <s v="Yes"/>
    <n v="1"/>
    <s v="No"/>
    <s v="No"/>
    <s v="No"/>
    <s v="No"/>
    <s v="No"/>
  </r>
  <r>
    <s v="C2094"/>
    <s v="Swati Reddy"/>
    <s v="Female"/>
    <n v="21"/>
    <x v="4"/>
    <x v="11"/>
    <s v="Month-to-month"/>
    <n v="12"/>
    <x v="2"/>
    <n v="849"/>
    <n v="10188"/>
    <s v="DSL"/>
    <d v="2024-10-03T00:00:00"/>
    <s v="Yes"/>
    <n v="1"/>
    <s v="No"/>
    <s v="No"/>
    <s v="No"/>
    <s v="No"/>
    <s v="No"/>
  </r>
  <r>
    <s v="C2095"/>
    <s v="Unknown"/>
    <s v="Male"/>
    <n v="70"/>
    <x v="2"/>
    <x v="6"/>
    <s v="Month-to-month"/>
    <n v="12"/>
    <x v="2"/>
    <n v="1299"/>
    <n v="15588"/>
    <s v="Fiber"/>
    <d v="2024-09-16T00:00:00"/>
    <s v="No"/>
    <n v="0"/>
    <s v="No"/>
    <s v="No"/>
    <s v="No"/>
    <s v="No"/>
    <s v="No"/>
  </r>
  <r>
    <s v="C2096"/>
    <s v="Vikram Bose"/>
    <s v="Male"/>
    <n v="27"/>
    <x v="0"/>
    <x v="4"/>
    <s v="One year"/>
    <n v="17"/>
    <x v="0"/>
    <n v="799"/>
    <n v="13583"/>
    <s v="DSL"/>
    <m/>
    <s v="No"/>
    <n v="0"/>
    <s v="No"/>
    <s v="No"/>
    <s v="No"/>
    <s v="No"/>
    <s v="Date missing"/>
  </r>
  <r>
    <s v="C2097"/>
    <s v="Swati Bose"/>
    <s v="Female"/>
    <n v="67"/>
    <x v="2"/>
    <x v="6"/>
    <s v="One year"/>
    <n v="40"/>
    <x v="1"/>
    <n v="849"/>
    <n v="33960"/>
    <s v="DSL"/>
    <d v="2022-05-22T00:00:00"/>
    <s v="No"/>
    <n v="0"/>
    <s v="No"/>
    <s v="Yes"/>
    <s v="No"/>
    <s v="No"/>
    <s v="No"/>
  </r>
  <r>
    <s v="C2098"/>
    <s v="Sanjay Kumar"/>
    <s v="Male"/>
    <n v="69"/>
    <x v="2"/>
    <x v="11"/>
    <s v="Month-to-month"/>
    <n v="1"/>
    <x v="4"/>
    <n v="699"/>
    <n v="699"/>
    <s v="DSL"/>
    <d v="2025-08-04T00:00:00"/>
    <s v="Yes"/>
    <n v="1"/>
    <s v="No"/>
    <s v="No"/>
    <s v="Yes"/>
    <s v="No"/>
    <s v="No"/>
  </r>
  <r>
    <s v="C2099"/>
    <s v="Nisha Saxena"/>
    <s v="Female"/>
    <n v="48"/>
    <x v="1"/>
    <x v="2"/>
    <s v="Month-to-month"/>
    <n v="8"/>
    <x v="2"/>
    <n v="1099"/>
    <n v="8792"/>
    <s v="Fiber"/>
    <d v="2025-01-09T00:00:00"/>
    <s v="No"/>
    <n v="0"/>
    <s v="No"/>
    <s v="No"/>
    <s v="No"/>
    <s v="No"/>
    <s v="No"/>
  </r>
  <r>
    <s v="C2100"/>
    <s v="Isha Iyer"/>
    <s v="Female"/>
    <n v="71"/>
    <x v="2"/>
    <x v="1"/>
    <s v="Month-to-month"/>
    <n v="20"/>
    <x v="0"/>
    <n v="899"/>
    <n v="17980"/>
    <s v="DSL"/>
    <d v="2024-01-11T00:00:00"/>
    <s v="No"/>
    <n v="0"/>
    <s v="No"/>
    <s v="No"/>
    <s v="No"/>
    <s v="No"/>
    <s v="No"/>
  </r>
  <r>
    <s v="C2101"/>
    <s v="Pooja Tiwari"/>
    <s v="Female"/>
    <n v="53"/>
    <x v="1"/>
    <x v="7"/>
    <s v="Month-to-month"/>
    <n v="22"/>
    <x v="0"/>
    <n v="1149"/>
    <n v="25278"/>
    <s v="Fiber"/>
    <d v="2023-12-03T00:00:00"/>
    <s v="No"/>
    <n v="0"/>
    <s v="No"/>
    <s v="No"/>
    <s v="Yes"/>
    <s v="No"/>
    <s v="No"/>
  </r>
  <r>
    <s v="C2102"/>
    <s v="Aman Kapoor"/>
    <s v="Male"/>
    <n v="67"/>
    <x v="2"/>
    <x v="9"/>
    <s v="Month-to-month"/>
    <n v="20"/>
    <x v="0"/>
    <n v="999"/>
    <n v="19980"/>
    <s v="Fiber"/>
    <d v="2024-01-08T00:00:00"/>
    <s v="Yes"/>
    <n v="1"/>
    <s v="No"/>
    <s v="No"/>
    <s v="No"/>
    <s v="No"/>
    <s v="No"/>
  </r>
  <r>
    <s v="C2103"/>
    <s v="Sanjay Kapoor"/>
    <s v="Male"/>
    <n v="41"/>
    <x v="3"/>
    <x v="1"/>
    <s v="Month-to-month"/>
    <n v="11"/>
    <x v="2"/>
    <n v="1049"/>
    <n v="11539"/>
    <s v="Fiber"/>
    <d v="2024-11-02T00:00:00"/>
    <s v="No"/>
    <n v="0"/>
    <s v="No"/>
    <s v="No"/>
    <s v="Yes"/>
    <s v="No"/>
    <s v="No"/>
  </r>
  <r>
    <s v="C2104"/>
    <s v="Sneha Chopra"/>
    <s v="Female"/>
    <n v="35"/>
    <x v="0"/>
    <x v="9"/>
    <s v="Month-to-month"/>
    <n v="23"/>
    <x v="0"/>
    <n v="849"/>
    <n v="19527"/>
    <s v="DSL"/>
    <d v="2023-10-21T00:00:00"/>
    <s v="No"/>
    <n v="0"/>
    <s v="No"/>
    <s v="No"/>
    <s v="No"/>
    <s v="No"/>
    <s v="No"/>
  </r>
  <r>
    <s v="C2105"/>
    <s v="Gaurav Yadav"/>
    <s v="Male"/>
    <n v="58"/>
    <x v="1"/>
    <x v="7"/>
    <s v="Month-to-month"/>
    <n v="21"/>
    <x v="0"/>
    <n v="1149"/>
    <n v="24129"/>
    <s v="Fiber"/>
    <d v="2024-01-07T00:00:00"/>
    <s v="Yes"/>
    <n v="1"/>
    <s v="No"/>
    <s v="No"/>
    <s v="No"/>
    <s v="No"/>
    <s v="No"/>
  </r>
  <r>
    <s v="C2106"/>
    <s v="Arjun Singh"/>
    <s v="Male"/>
    <n v="23"/>
    <x v="4"/>
    <x v="12"/>
    <s v="Two year"/>
    <n v="57"/>
    <x v="3"/>
    <n v="849"/>
    <n v="48393"/>
    <s v="DSL"/>
    <d v="2020-12-26T00:00:00"/>
    <s v="No"/>
    <n v="0"/>
    <s v="No"/>
    <s v="No"/>
    <s v="No"/>
    <s v="No"/>
    <s v="No"/>
  </r>
  <r>
    <s v="C2107"/>
    <s v="Deepika Chopra"/>
    <s v="Female"/>
    <n v="57"/>
    <x v="1"/>
    <x v="14"/>
    <s v="Month-to-month"/>
    <n v="11"/>
    <x v="2"/>
    <n v="549"/>
    <n v="6039"/>
    <s v="No Internet"/>
    <d v="2024-10-22T00:00:00"/>
    <s v="No"/>
    <n v="0"/>
    <s v="No"/>
    <s v="No"/>
    <s v="No"/>
    <s v="No"/>
    <s v="No"/>
  </r>
  <r>
    <s v="C2108"/>
    <s v="Deepak Tiwari"/>
    <s v="Male"/>
    <n v="71"/>
    <x v="2"/>
    <x v="9"/>
    <s v="One year"/>
    <n v="33"/>
    <x v="1"/>
    <n v="649"/>
    <n v="21417"/>
    <s v="DSL"/>
    <d v="2022-12-29T00:00:00"/>
    <s v="Yes"/>
    <n v="1"/>
    <s v="No"/>
    <s v="No"/>
    <s v="No"/>
    <s v="No"/>
    <s v="No"/>
  </r>
  <r>
    <s v="C2109"/>
    <s v="Suresh Yadav"/>
    <s v="Male"/>
    <n v="30"/>
    <x v="0"/>
    <x v="14"/>
    <s v="Month-to-month"/>
    <n v="24"/>
    <x v="0"/>
    <n v="899"/>
    <n v="21576"/>
    <s v="DSL"/>
    <d v="2023-09-22T00:00:00"/>
    <s v="Yes"/>
    <n v="1"/>
    <s v="No"/>
    <s v="No"/>
    <s v="No"/>
    <s v="No"/>
    <s v="No"/>
  </r>
  <r>
    <s v="C2110"/>
    <s v="Anjali Joshi"/>
    <s v="Female"/>
    <n v="47"/>
    <x v="1"/>
    <x v="11"/>
    <s v="Two year"/>
    <n v="60"/>
    <x v="3"/>
    <n v="599"/>
    <n v="35940"/>
    <s v="DSL"/>
    <d v="2020-10-22T00:00:00"/>
    <s v="No"/>
    <n v="0"/>
    <s v="No"/>
    <s v="No"/>
    <s v="No"/>
    <s v="No"/>
    <s v="No"/>
  </r>
  <r>
    <s v="C2111"/>
    <s v="Nikhil Bose"/>
    <s v="Male"/>
    <n v="58"/>
    <x v="1"/>
    <x v="3"/>
    <s v="One year"/>
    <n v="14"/>
    <x v="0"/>
    <n v="1049"/>
    <n v="14686"/>
    <s v="Fiber"/>
    <d v="2024-07-12T00:00:00"/>
    <s v="Yes"/>
    <n v="1"/>
    <s v="No"/>
    <s v="No"/>
    <s v="No"/>
    <s v="No"/>
    <s v="No"/>
  </r>
  <r>
    <s v="C2112"/>
    <s v="Harsh Saxena"/>
    <s v="Male"/>
    <n v="59"/>
    <x v="1"/>
    <x v="6"/>
    <s v="Month-to-month"/>
    <n v="5"/>
    <x v="4"/>
    <n v="899"/>
    <n v="4495"/>
    <s v="Fiber"/>
    <d v="2025-04-26T00:00:00"/>
    <s v="No"/>
    <n v="0"/>
    <s v="No"/>
    <s v="No"/>
    <s v="No"/>
    <s v="Yes"/>
    <s v="No"/>
  </r>
  <r>
    <s v="C2113"/>
    <s v="Pooja Bose"/>
    <s v="Female"/>
    <n v="38"/>
    <x v="3"/>
    <x v="12"/>
    <s v="Month-to-month"/>
    <n v="7"/>
    <x v="2"/>
    <n v="649"/>
    <n v="4543"/>
    <s v="DSL"/>
    <d v="2025-02-22T00:00:00"/>
    <s v="No"/>
    <n v="0"/>
    <s v="No"/>
    <s v="No"/>
    <s v="No"/>
    <s v="No"/>
    <s v="No"/>
  </r>
  <r>
    <s v="C2114"/>
    <s v="Gaurav Patel"/>
    <s v="Male"/>
    <n v="55"/>
    <x v="1"/>
    <x v="2"/>
    <s v="Month-to-month"/>
    <n v="15"/>
    <x v="0"/>
    <n v="1199"/>
    <n v="17985"/>
    <s v="Fiber"/>
    <d v="2024-06-09T00:00:00"/>
    <s v="Yes"/>
    <n v="1"/>
    <s v="No"/>
    <s v="No"/>
    <s v="No"/>
    <s v="No"/>
    <s v="No"/>
  </r>
  <r>
    <s v="C2115"/>
    <s v="Pooja Mishra"/>
    <s v="Female"/>
    <n v="54"/>
    <x v="1"/>
    <x v="0"/>
    <s v="Two year"/>
    <n v="37"/>
    <x v="1"/>
    <n v="1049"/>
    <n v="38813"/>
    <s v="Fiber"/>
    <d v="2022-08-22T00:00:00"/>
    <s v="No"/>
    <n v="0"/>
    <s v="No"/>
    <s v="No"/>
    <s v="No"/>
    <s v="No"/>
    <s v="No"/>
  </r>
  <r>
    <s v="C2116"/>
    <s v="Neha Jain"/>
    <s v="Female"/>
    <n v="67"/>
    <x v="2"/>
    <x v="0"/>
    <s v="Month-to-month"/>
    <n v="2"/>
    <x v="4"/>
    <n v="1149"/>
    <n v="2298"/>
    <s v="Fiber"/>
    <d v="2025-07-16T00:00:00"/>
    <s v="Yes"/>
    <n v="1"/>
    <s v="No"/>
    <s v="No"/>
    <s v="No"/>
    <s v="No"/>
    <s v="No"/>
  </r>
  <r>
    <s v="C2117"/>
    <s v="Isha Bose"/>
    <s v="Female"/>
    <n v="42"/>
    <x v="3"/>
    <x v="9"/>
    <s v="One year"/>
    <n v="7"/>
    <x v="2"/>
    <n v="849"/>
    <n v="5943"/>
    <s v="DSL"/>
    <d v="2025-02-15T00:00:00"/>
    <s v="No"/>
    <n v="0"/>
    <s v="No"/>
    <s v="No"/>
    <s v="No"/>
    <s v="No"/>
    <s v="No"/>
  </r>
  <r>
    <s v="C2118"/>
    <s v="Swati Chopra"/>
    <s v="Female"/>
    <n v="75"/>
    <x v="2"/>
    <x v="4"/>
    <s v="Month-to-month"/>
    <n v="6"/>
    <x v="4"/>
    <n v="1149"/>
    <n v="6894"/>
    <s v="Fiber"/>
    <d v="2025-03-18T00:00:00"/>
    <s v="No"/>
    <n v="0"/>
    <s v="No"/>
    <s v="No"/>
    <s v="No"/>
    <s v="No"/>
    <s v="No"/>
  </r>
  <r>
    <s v="C2119"/>
    <s v="Tanvi Bose"/>
    <s v="Female"/>
    <n v="62"/>
    <x v="2"/>
    <x v="12"/>
    <s v="One year"/>
    <n v="16"/>
    <x v="0"/>
    <n v="1199"/>
    <n v="19184"/>
    <s v="Fiber"/>
    <d v="2024-05-21T00:00:00"/>
    <s v="No"/>
    <n v="0"/>
    <s v="No"/>
    <s v="No"/>
    <s v="No"/>
    <s v="No"/>
    <s v="No"/>
  </r>
  <r>
    <s v="C2120"/>
    <s v="Aditi Verma"/>
    <s v="Female"/>
    <n v="74"/>
    <x v="2"/>
    <x v="0"/>
    <s v="One year"/>
    <n v="33"/>
    <x v="1"/>
    <n v="499"/>
    <n v="16467"/>
    <s v="No Internet"/>
    <d v="2022-12-25T00:00:00"/>
    <s v="No"/>
    <n v="0"/>
    <s v="No"/>
    <s v="No"/>
    <s v="No"/>
    <s v="No"/>
    <s v="No"/>
  </r>
  <r>
    <s v="C2121"/>
    <s v="Tanvi Sharma"/>
    <s v="Female"/>
    <n v="28"/>
    <x v="0"/>
    <x v="1"/>
    <s v="Month-to-month"/>
    <m/>
    <x v="4"/>
    <m/>
    <n v="16980"/>
    <s v="DSL"/>
    <d v="2024-01-19T00:00:00"/>
    <s v="No"/>
    <n v="0"/>
    <s v="No"/>
    <s v="No"/>
    <s v="No"/>
    <s v="No"/>
    <s v="Monthly missing; Tenure missing"/>
  </r>
  <r>
    <s v="C2122"/>
    <s v="Rohit Saxena"/>
    <s v="Male"/>
    <n v="39"/>
    <x v="3"/>
    <x v="13"/>
    <s v="Two year"/>
    <n v="40"/>
    <x v="1"/>
    <n v="399"/>
    <n v="15960"/>
    <s v="No Internet"/>
    <d v="2022-06-02T00:00:00"/>
    <s v="No"/>
    <n v="0"/>
    <s v="No"/>
    <s v="No"/>
    <s v="No"/>
    <s v="No"/>
    <s v="No"/>
  </r>
  <r>
    <s v="C2123"/>
    <s v="Meera Kapoor"/>
    <s v="Female"/>
    <n v="18"/>
    <x v="4"/>
    <x v="9"/>
    <s v="Month-to-month"/>
    <n v="10"/>
    <x v="2"/>
    <n v="399"/>
    <n v="3990"/>
    <s v="No Internet"/>
    <d v="2024-11-26T00:00:00"/>
    <s v="Yes"/>
    <n v="1"/>
    <s v="No"/>
    <s v="No"/>
    <s v="No"/>
    <s v="No"/>
    <s v="No"/>
  </r>
  <r>
    <s v="C2124"/>
    <s v="Neha Agarwal"/>
    <s v="Female"/>
    <n v="33"/>
    <x v="0"/>
    <x v="8"/>
    <s v="One year"/>
    <n v="24"/>
    <x v="0"/>
    <n v="399"/>
    <n v="9576"/>
    <s v="No Internet"/>
    <d v="2023-09-24T00:00:00"/>
    <s v="No"/>
    <n v="0"/>
    <s v="No"/>
    <s v="No"/>
    <s v="No"/>
    <s v="No"/>
    <s v="No"/>
  </r>
  <r>
    <s v="C2125"/>
    <s v="Deepika Desai"/>
    <s v="Female"/>
    <n v="60"/>
    <x v="1"/>
    <x v="12"/>
    <s v="Two year"/>
    <n v="13"/>
    <x v="0"/>
    <n v="999"/>
    <n v="12987"/>
    <s v="Fiber"/>
    <d v="2024-08-30T00:00:00"/>
    <s v="No"/>
    <n v="0"/>
    <s v="No"/>
    <s v="No"/>
    <s v="No"/>
    <s v="No"/>
    <s v="No"/>
  </r>
  <r>
    <s v="C2126"/>
    <s v="Swati Iyer"/>
    <s v="Female"/>
    <n v="47"/>
    <x v="1"/>
    <x v="9"/>
    <s v="One year"/>
    <n v="26"/>
    <x v="1"/>
    <n v="899"/>
    <n v="23374"/>
    <s v="Fiber"/>
    <d v="2023-07-18T00:00:00"/>
    <s v="No"/>
    <n v="0"/>
    <s v="Yes"/>
    <s v="No"/>
    <s v="No"/>
    <s v="No"/>
    <s v="No"/>
  </r>
  <r>
    <s v="C2127"/>
    <s v="Manish Yadav"/>
    <s v="Male"/>
    <n v="29"/>
    <x v="0"/>
    <x v="10"/>
    <s v="Month-to-month"/>
    <n v="17"/>
    <x v="0"/>
    <n v="899"/>
    <n v="15283"/>
    <s v="Fiber"/>
    <d v="2024-04-24T00:00:00"/>
    <s v="No"/>
    <n v="0"/>
    <s v="No"/>
    <s v="No"/>
    <s v="No"/>
    <s v="No"/>
    <s v="No"/>
  </r>
  <r>
    <s v="C2128"/>
    <s v="Manish Singh"/>
    <s v="Male"/>
    <n v="49"/>
    <x v="1"/>
    <x v="0"/>
    <s v="Month-to-month"/>
    <n v="3"/>
    <x v="4"/>
    <n v="699"/>
    <n v="2097"/>
    <s v="DSL"/>
    <d v="2025-06-21T00:00:00"/>
    <s v="Yes"/>
    <n v="1"/>
    <s v="No"/>
    <s v="No"/>
    <s v="Yes"/>
    <s v="No"/>
    <s v="No"/>
  </r>
  <r>
    <s v="C2129"/>
    <s v="Divya Saxena"/>
    <s v="Female"/>
    <n v="70"/>
    <x v="2"/>
    <x v="7"/>
    <s v="Month-to-month"/>
    <n v="14"/>
    <x v="0"/>
    <n v="499"/>
    <n v="6986"/>
    <s v="No Internet"/>
    <d v="2024-07-09T00:00:00"/>
    <s v="No"/>
    <n v="0"/>
    <s v="No"/>
    <s v="No"/>
    <s v="Yes"/>
    <s v="No"/>
    <s v="No"/>
  </r>
  <r>
    <s v="C2130"/>
    <s v="Ankit Kumar"/>
    <s v="Male"/>
    <n v="40"/>
    <x v="3"/>
    <x v="9"/>
    <s v="One year"/>
    <n v="26"/>
    <x v="1"/>
    <n v="1299"/>
    <n v="33774"/>
    <s v="Fiber"/>
    <d v="2023-08-06T00:00:00"/>
    <s v="Yes"/>
    <n v="1"/>
    <s v="No"/>
    <s v="Yes"/>
    <s v="No"/>
    <s v="No"/>
    <s v="No"/>
  </r>
  <r>
    <s v="C2131"/>
    <s v="Shreya Sharma"/>
    <s v="Female"/>
    <n v="49"/>
    <x v="1"/>
    <x v="9"/>
    <s v="Two year"/>
    <n v="7"/>
    <x v="2"/>
    <n v="1099"/>
    <n v="7693"/>
    <s v="Fiber"/>
    <d v="2025-02-27T00:00:00"/>
    <s v="No"/>
    <n v="0"/>
    <s v="No"/>
    <s v="No"/>
    <s v="No"/>
    <s v="No"/>
    <s v="No"/>
  </r>
  <r>
    <s v="C2132"/>
    <s v="Payal Patel"/>
    <s v="Female"/>
    <n v="67"/>
    <x v="2"/>
    <x v="7"/>
    <s v="One year"/>
    <n v="24"/>
    <x v="0"/>
    <n v="399"/>
    <n v="9576"/>
    <s v="No Internet"/>
    <d v="2023-09-22T00:00:00"/>
    <s v="No"/>
    <n v="0"/>
    <s v="No"/>
    <s v="No"/>
    <s v="No"/>
    <s v="No"/>
    <s v="No"/>
  </r>
  <r>
    <s v="C2133"/>
    <s v="Neha Singh"/>
    <s v="Female"/>
    <n v="18"/>
    <x v="4"/>
    <x v="2"/>
    <s v="Two year"/>
    <n v="34"/>
    <x v="1"/>
    <n v="1149"/>
    <n v="39066"/>
    <s v="Fiber"/>
    <d v="2022-11-29T00:00:00"/>
    <s v="No"/>
    <n v="0"/>
    <s v="No"/>
    <s v="No"/>
    <s v="No"/>
    <s v="No"/>
    <s v="No"/>
  </r>
  <r>
    <s v="C2134"/>
    <s v="Sneha Kapoor"/>
    <s v="Female"/>
    <n v="36"/>
    <x v="3"/>
    <x v="3"/>
    <s v="Month-to-month"/>
    <n v="12"/>
    <x v="2"/>
    <n v="1149"/>
    <n v="13788"/>
    <s v="Fiber"/>
    <d v="2024-09-23T00:00:00"/>
    <s v="Yes"/>
    <n v="1"/>
    <s v="No"/>
    <s v="No"/>
    <s v="No"/>
    <s v="No"/>
    <s v="No"/>
  </r>
  <r>
    <s v="C2135"/>
    <s v="Priya Mishra"/>
    <s v="Female"/>
    <n v="35"/>
    <x v="0"/>
    <x v="8"/>
    <s v="Month-to-month"/>
    <n v="15"/>
    <x v="0"/>
    <n v="1049"/>
    <n v="15735"/>
    <s v="Fiber"/>
    <m/>
    <s v="No"/>
    <n v="0"/>
    <s v="No"/>
    <s v="No"/>
    <s v="No"/>
    <s v="No"/>
    <s v="Date missing"/>
  </r>
  <r>
    <s v="C2136"/>
    <s v="Sachin Agarwal"/>
    <s v="Male"/>
    <n v="43"/>
    <x v="3"/>
    <x v="0"/>
    <s v="Month-to-month"/>
    <n v="5"/>
    <x v="4"/>
    <n v="999"/>
    <n v="4995"/>
    <s v="Fiber"/>
    <d v="2025-04-23T00:00:00"/>
    <s v="Yes"/>
    <n v="1"/>
    <s v="No"/>
    <s v="No"/>
    <s v="No"/>
    <s v="No"/>
    <s v="No"/>
  </r>
  <r>
    <s v="C2137"/>
    <s v="Shreya Pandey"/>
    <s v="Female"/>
    <n v="57"/>
    <x v="1"/>
    <x v="0"/>
    <s v="Two year"/>
    <n v="68"/>
    <x v="3"/>
    <n v="349"/>
    <n v="23732"/>
    <s v="No Internet"/>
    <d v="2020-02-16T00:00:00"/>
    <s v="No"/>
    <n v="0"/>
    <s v="No"/>
    <s v="No"/>
    <s v="No"/>
    <s v="No"/>
    <s v="No"/>
  </r>
  <r>
    <s v="C2138"/>
    <s v="Rohit Yadav"/>
    <s v="Male"/>
    <n v="64"/>
    <x v="2"/>
    <x v="9"/>
    <s v="Two year"/>
    <n v="66"/>
    <x v="3"/>
    <n v="849"/>
    <n v="56034"/>
    <s v="DSL"/>
    <d v="2020-04-04T00:00:00"/>
    <s v="No"/>
    <n v="0"/>
    <s v="No"/>
    <s v="No"/>
    <s v="No"/>
    <s v="No"/>
    <s v="No"/>
  </r>
  <r>
    <s v="C2139"/>
    <s v="Nisha Rao"/>
    <s v="Female"/>
    <n v="19"/>
    <x v="4"/>
    <x v="8"/>
    <s v="Two year"/>
    <n v="11"/>
    <x v="2"/>
    <n v="899"/>
    <n v="9889"/>
    <s v="DSL"/>
    <d v="2024-10-15T00:00:00"/>
    <s v="No"/>
    <n v="0"/>
    <s v="No"/>
    <s v="No"/>
    <s v="No"/>
    <s v="No"/>
    <s v="No"/>
  </r>
  <r>
    <s v="C2140"/>
    <s v="Aditi Yadav"/>
    <s v="Female"/>
    <n v="50"/>
    <x v="1"/>
    <x v="1"/>
    <s v="Two year"/>
    <n v="7"/>
    <x v="2"/>
    <n v="699"/>
    <n v="4893"/>
    <s v="DSL"/>
    <d v="2025-02-01T00:00:00"/>
    <s v="No"/>
    <n v="0"/>
    <s v="No"/>
    <s v="No"/>
    <s v="No"/>
    <s v="No"/>
    <s v="No"/>
  </r>
  <r>
    <s v="C2141"/>
    <s v="Kavita Agarwal"/>
    <s v="Female"/>
    <n v="62"/>
    <x v="2"/>
    <x v="13"/>
    <s v="Month-to-month"/>
    <n v="2"/>
    <x v="4"/>
    <n v="1099"/>
    <n v="2198"/>
    <s v="Fiber"/>
    <d v="2025-07-22T00:00:00"/>
    <s v="No"/>
    <n v="0"/>
    <s v="No"/>
    <s v="No"/>
    <s v="No"/>
    <s v="No"/>
    <s v="No"/>
  </r>
  <r>
    <s v="C2142"/>
    <s v="Vivek Mehta"/>
    <s v="Male"/>
    <n v="19"/>
    <x v="4"/>
    <x v="13"/>
    <s v="Month-to-month"/>
    <n v="9"/>
    <x v="2"/>
    <n v="749"/>
    <n v="6741"/>
    <s v="DSL"/>
    <d v="2024-12-25T00:00:00"/>
    <s v="Yes"/>
    <n v="1"/>
    <s v="No"/>
    <s v="No"/>
    <s v="No"/>
    <s v="No"/>
    <s v="No"/>
  </r>
  <r>
    <s v="C2143"/>
    <s v="Nikhil Nair"/>
    <s v="Male"/>
    <n v="22"/>
    <x v="4"/>
    <x v="11"/>
    <s v="Month-to-month"/>
    <n v="15"/>
    <x v="0"/>
    <n v="1099"/>
    <n v="16485"/>
    <s v="Fiber"/>
    <d v="2024-06-23T00:00:00"/>
    <s v="Yes"/>
    <n v="1"/>
    <s v="No"/>
    <s v="No"/>
    <s v="No"/>
    <s v="No"/>
    <s v="No"/>
  </r>
  <r>
    <s v="C2144"/>
    <s v="Sonal Sharma"/>
    <s v="Female"/>
    <n v="39"/>
    <x v="3"/>
    <x v="2"/>
    <s v="Month-to-month"/>
    <n v="5"/>
    <x v="4"/>
    <n v="499"/>
    <n v="2495"/>
    <s v="No Internet"/>
    <d v="2025-04-09T00:00:00"/>
    <s v="Yes"/>
    <n v="1"/>
    <s v="No"/>
    <s v="No"/>
    <s v="No"/>
    <s v="No"/>
    <s v="No"/>
  </r>
  <r>
    <s v="C2145"/>
    <s v="Deepak Malhotra"/>
    <s v="Male"/>
    <n v="43"/>
    <x v="3"/>
    <x v="3"/>
    <s v="One year"/>
    <n v="6"/>
    <x v="4"/>
    <m/>
    <m/>
    <s v="Fiber"/>
    <m/>
    <s v="No"/>
    <n v="0"/>
    <s v="No"/>
    <s v="No"/>
    <s v="No"/>
    <s v="No"/>
    <s v="Monthly missing; Total missing; Date missing"/>
  </r>
  <r>
    <s v="C2146"/>
    <s v="Mohit Patel"/>
    <s v="Male"/>
    <n v="37"/>
    <x v="3"/>
    <x v="5"/>
    <s v="One year"/>
    <n v="30"/>
    <x v="1"/>
    <n v="999"/>
    <n v="29970"/>
    <s v="Fiber"/>
    <d v="2023-03-24T00:00:00"/>
    <s v="No"/>
    <n v="0"/>
    <s v="No"/>
    <s v="No"/>
    <s v="No"/>
    <s v="No"/>
    <s v="No"/>
  </r>
  <r>
    <s v="C2147"/>
    <s v="Tanvi Tiwari"/>
    <s v="Female"/>
    <n v="44"/>
    <x v="3"/>
    <x v="13"/>
    <s v="Month-to-month"/>
    <n v="18"/>
    <x v="0"/>
    <n v="399"/>
    <n v="7182"/>
    <s v="No Internet"/>
    <d v="2024-03-20T00:00:00"/>
    <s v="Yes"/>
    <n v="1"/>
    <s v="No"/>
    <s v="No"/>
    <s v="No"/>
    <s v="No"/>
    <s v="No"/>
  </r>
  <r>
    <s v="C2148"/>
    <s v="Deepak Yadav"/>
    <s v="Male"/>
    <n v="47"/>
    <x v="1"/>
    <x v="4"/>
    <s v="Month-to-month"/>
    <n v="4"/>
    <x v="4"/>
    <n v="799"/>
    <n v="3196"/>
    <s v="DSL"/>
    <d v="2025-05-07T00:00:00"/>
    <s v="No"/>
    <n v="0"/>
    <s v="Yes"/>
    <s v="No"/>
    <s v="No"/>
    <s v="No"/>
    <s v="No"/>
  </r>
  <r>
    <s v="C2149"/>
    <s v="Sonal Tiwari"/>
    <s v="Female"/>
    <n v="40"/>
    <x v="3"/>
    <x v="13"/>
    <s v="Month-to-month"/>
    <n v="9"/>
    <x v="2"/>
    <n v="449"/>
    <n v="4041"/>
    <s v="No Internet"/>
    <m/>
    <s v="No"/>
    <n v="0"/>
    <s v="No"/>
    <s v="No"/>
    <s v="No"/>
    <s v="Yes"/>
    <s v="Date missing"/>
  </r>
  <r>
    <s v="C2150"/>
    <s v="Payal Mishra"/>
    <s v="Female"/>
    <n v="52"/>
    <x v="1"/>
    <x v="12"/>
    <s v="Month-to-month"/>
    <n v="15"/>
    <x v="0"/>
    <n v="1299"/>
    <n v="19485"/>
    <s v="Fiber"/>
    <d v="2024-06-08T00:00:00"/>
    <s v="Yes"/>
    <n v="1"/>
    <s v="No"/>
    <s v="No"/>
    <s v="Yes"/>
    <s v="No"/>
    <s v="No"/>
  </r>
  <r>
    <s v="C2151"/>
    <s v="Deepak Iyer"/>
    <s v="Male"/>
    <n v="18"/>
    <x v="4"/>
    <x v="1"/>
    <s v="Two year"/>
    <n v="23"/>
    <x v="0"/>
    <n v="899"/>
    <n v="20677"/>
    <s v="Fiber"/>
    <d v="2023-10-26T00:00:00"/>
    <s v="No"/>
    <n v="0"/>
    <s v="No"/>
    <s v="No"/>
    <s v="No"/>
    <s v="No"/>
    <s v="No"/>
  </r>
  <r>
    <s v="C2152"/>
    <s v="Nisha Mehta"/>
    <s v="Female"/>
    <n v="58"/>
    <x v="1"/>
    <x v="3"/>
    <s v="One year"/>
    <n v="40"/>
    <x v="1"/>
    <n v="799"/>
    <n v="31960"/>
    <s v="DSL"/>
    <d v="2022-06-03T00:00:00"/>
    <s v="No"/>
    <n v="0"/>
    <s v="No"/>
    <s v="No"/>
    <s v="No"/>
    <s v="No"/>
    <s v="No"/>
  </r>
  <r>
    <s v="C2153"/>
    <s v="Nikhil Yadav"/>
    <s v="Male"/>
    <n v="33"/>
    <x v="0"/>
    <x v="8"/>
    <s v="One year"/>
    <n v="6"/>
    <x v="4"/>
    <n v="899"/>
    <n v="5394"/>
    <s v="Fiber"/>
    <d v="2025-03-12T00:00:00"/>
    <s v="No"/>
    <n v="0"/>
    <s v="No"/>
    <s v="No"/>
    <s v="No"/>
    <s v="No"/>
    <s v="No"/>
  </r>
  <r>
    <s v="C2154"/>
    <s v="Sonal Jain"/>
    <s v="Female"/>
    <n v="73"/>
    <x v="2"/>
    <x v="0"/>
    <s v="Two year"/>
    <n v="48"/>
    <x v="1"/>
    <n v="849"/>
    <n v="40752"/>
    <s v="DSL"/>
    <d v="2021-09-20T00:00:00"/>
    <s v="No"/>
    <n v="0"/>
    <s v="No"/>
    <s v="No"/>
    <s v="No"/>
    <s v="No"/>
    <s v="No"/>
  </r>
  <r>
    <s v="C2155"/>
    <s v="Nikhil Singh"/>
    <s v="Male"/>
    <n v="47"/>
    <x v="1"/>
    <x v="4"/>
    <s v="Two year"/>
    <n v="60"/>
    <x v="3"/>
    <n v="749"/>
    <n v="44940"/>
    <s v="DSL"/>
    <d v="2020-10-17T00:00:00"/>
    <s v="No"/>
    <n v="0"/>
    <s v="Yes"/>
    <s v="No"/>
    <s v="No"/>
    <s v="Yes"/>
    <s v="No"/>
  </r>
  <r>
    <s v="C2156"/>
    <s v="Ankit Jain"/>
    <s v="Male"/>
    <n v="59"/>
    <x v="1"/>
    <x v="4"/>
    <s v="Unknown"/>
    <n v="21"/>
    <x v="0"/>
    <n v="349"/>
    <n v="7329"/>
    <s v="No Internet"/>
    <d v="2024-01-06T00:00:00"/>
    <s v="Yes"/>
    <n v="1"/>
    <s v="No"/>
    <s v="No"/>
    <s v="No"/>
    <s v="No"/>
    <s v="No"/>
  </r>
  <r>
    <s v="C2157"/>
    <s v="Payal Desai"/>
    <s v="Female"/>
    <n v="73"/>
    <x v="2"/>
    <x v="12"/>
    <s v="Month-to-month"/>
    <n v="9"/>
    <x v="2"/>
    <n v="1149"/>
    <n v="10341"/>
    <s v="Fiber"/>
    <d v="2024-12-13T00:00:00"/>
    <s v="No"/>
    <n v="0"/>
    <s v="No"/>
    <s v="No"/>
    <s v="No"/>
    <s v="No"/>
    <s v="No"/>
  </r>
  <r>
    <s v="C2158"/>
    <s v="Ankit Desai"/>
    <s v="Male"/>
    <n v="70"/>
    <x v="2"/>
    <x v="14"/>
    <s v="Month-to-month"/>
    <n v="24"/>
    <x v="0"/>
    <n v="449"/>
    <n v="10776"/>
    <s v="No Internet"/>
    <d v="2023-09-10T00:00:00"/>
    <s v="Yes"/>
    <n v="1"/>
    <s v="No"/>
    <s v="No"/>
    <s v="No"/>
    <s v="No"/>
    <s v="No"/>
  </r>
  <r>
    <s v="C2159"/>
    <s v="Nisha Reddy"/>
    <s v="Female"/>
    <n v="24"/>
    <x v="4"/>
    <x v="8"/>
    <s v="Two year"/>
    <n v="15"/>
    <x v="0"/>
    <n v="999"/>
    <n v="14985"/>
    <s v="Fiber"/>
    <d v="2024-06-25T00:00:00"/>
    <s v="No"/>
    <n v="0"/>
    <s v="No"/>
    <s v="No"/>
    <s v="No"/>
    <s v="No"/>
    <s v="No"/>
  </r>
  <r>
    <s v="C2160"/>
    <s v="Manish Desai"/>
    <s v="Male"/>
    <n v="31"/>
    <x v="0"/>
    <x v="5"/>
    <s v="Month-to-month"/>
    <n v="3"/>
    <x v="4"/>
    <n v="1199"/>
    <n v="3597"/>
    <s v="Fiber"/>
    <d v="2025-06-06T00:00:00"/>
    <s v="No"/>
    <n v="0"/>
    <s v="No"/>
    <s v="No"/>
    <s v="No"/>
    <s v="No"/>
    <s v="No"/>
  </r>
  <r>
    <s v="C2161"/>
    <s v="Swati Iyer"/>
    <s v="Female"/>
    <n v="62"/>
    <x v="2"/>
    <x v="7"/>
    <s v="Month-to-month"/>
    <n v="9"/>
    <x v="2"/>
    <n v="1049"/>
    <n v="9441"/>
    <s v="Fiber"/>
    <d v="2024-12-28T00:00:00"/>
    <s v="Yes"/>
    <n v="1"/>
    <s v="No"/>
    <s v="No"/>
    <s v="No"/>
    <s v="No"/>
    <s v="No"/>
  </r>
  <r>
    <s v="C2162"/>
    <s v="Mohit Iyer"/>
    <s v="Male"/>
    <n v="19"/>
    <x v="4"/>
    <x v="0"/>
    <s v="Two year"/>
    <n v="38"/>
    <x v="1"/>
    <n v="1199"/>
    <n v="45562"/>
    <s v="Fiber"/>
    <d v="2022-08-06T00:00:00"/>
    <s v="No"/>
    <n v="0"/>
    <s v="No"/>
    <s v="No"/>
    <s v="No"/>
    <s v="No"/>
    <s v="No"/>
  </r>
  <r>
    <s v="C2163"/>
    <s v="Shreya Saxena"/>
    <s v="Female"/>
    <n v="36"/>
    <x v="3"/>
    <x v="8"/>
    <s v="One year"/>
    <n v="10"/>
    <x v="2"/>
    <n v="1049"/>
    <n v="10490"/>
    <s v="Unknown"/>
    <d v="2024-11-25T00:00:00"/>
    <s v="No"/>
    <n v="0"/>
    <s v="No"/>
    <s v="No"/>
    <s v="No"/>
    <s v="No"/>
    <s v="No"/>
  </r>
  <r>
    <s v="C2164"/>
    <s v="Sanjay Bose"/>
    <s v="Male"/>
    <n v="37"/>
    <x v="3"/>
    <x v="8"/>
    <s v="One year"/>
    <n v="33"/>
    <x v="1"/>
    <n v="849"/>
    <n v="28017"/>
    <s v="DSL"/>
    <m/>
    <s v="No"/>
    <n v="0"/>
    <s v="No"/>
    <s v="No"/>
    <s v="No"/>
    <s v="No"/>
    <s v="Date missing"/>
  </r>
  <r>
    <s v="C2165"/>
    <s v="Aman Chopra"/>
    <s v="Male"/>
    <n v="27"/>
    <x v="0"/>
    <x v="11"/>
    <s v="Two year"/>
    <n v="48"/>
    <x v="1"/>
    <n v="749"/>
    <n v="35952"/>
    <s v="DSL"/>
    <d v="2021-09-22T00:00:00"/>
    <s v="No"/>
    <n v="0"/>
    <s v="No"/>
    <s v="No"/>
    <s v="No"/>
    <s v="No"/>
    <s v="No"/>
  </r>
  <r>
    <s v="C2166"/>
    <s v="Meera Desai"/>
    <s v="Female"/>
    <n v="75"/>
    <x v="2"/>
    <x v="12"/>
    <s v="Month-to-month"/>
    <n v="11"/>
    <x v="2"/>
    <n v="399"/>
    <n v="4389"/>
    <s v="No Internet"/>
    <d v="2024-10-25T00:00:00"/>
    <s v="Yes"/>
    <n v="1"/>
    <s v="No"/>
    <s v="No"/>
    <s v="No"/>
    <s v="No"/>
    <s v="No"/>
  </r>
  <r>
    <s v="C2167"/>
    <s v="Sanjay Patel"/>
    <s v="Male"/>
    <n v="49"/>
    <x v="1"/>
    <x v="7"/>
    <s v="One year"/>
    <n v="1"/>
    <x v="4"/>
    <n v="1199"/>
    <n v="1199"/>
    <s v="Fiber"/>
    <d v="2025-08-06T00:00:00"/>
    <s v="No"/>
    <n v="0"/>
    <s v="No"/>
    <s v="No"/>
    <s v="No"/>
    <s v="No"/>
    <s v="No"/>
  </r>
  <r>
    <s v="C2168"/>
    <s v="Aman Saxena"/>
    <s v="Male"/>
    <n v="20"/>
    <x v="4"/>
    <x v="12"/>
    <s v="One year"/>
    <n v="33"/>
    <x v="1"/>
    <n v="549"/>
    <n v="18117"/>
    <s v="No Internet"/>
    <d v="2022-12-16T00:00:00"/>
    <s v="No"/>
    <n v="0"/>
    <s v="No"/>
    <s v="No"/>
    <s v="No"/>
    <s v="No"/>
    <s v="No"/>
  </r>
  <r>
    <s v="C2169"/>
    <s v="Amit Kapoor"/>
    <s v="Male"/>
    <n v="54"/>
    <x v="1"/>
    <x v="1"/>
    <s v="Month-to-month"/>
    <n v="24"/>
    <x v="0"/>
    <n v="649"/>
    <n v="15576"/>
    <s v="DSL"/>
    <d v="2023-09-17T00:00:00"/>
    <s v="Yes"/>
    <n v="1"/>
    <s v="No"/>
    <s v="No"/>
    <s v="No"/>
    <s v="No"/>
    <s v="No"/>
  </r>
  <r>
    <s v="C2170"/>
    <s v="Meera Verma"/>
    <s v="Female"/>
    <n v="56"/>
    <x v="1"/>
    <x v="5"/>
    <s v="One year"/>
    <n v="13"/>
    <x v="0"/>
    <n v="849"/>
    <n v="11037"/>
    <s v="DSL"/>
    <d v="2024-08-30T00:00:00"/>
    <s v="No"/>
    <n v="0"/>
    <s v="No"/>
    <s v="No"/>
    <s v="No"/>
    <s v="No"/>
    <s v="No"/>
  </r>
  <r>
    <s v="C2171"/>
    <s v="Sneha Mehta"/>
    <s v="Female"/>
    <n v="32"/>
    <x v="0"/>
    <x v="0"/>
    <s v="One year"/>
    <n v="30"/>
    <x v="1"/>
    <n v="1149"/>
    <n v="34470"/>
    <s v="Fiber"/>
    <d v="2023-03-23T00:00:00"/>
    <s v="No"/>
    <n v="0"/>
    <s v="No"/>
    <s v="No"/>
    <s v="No"/>
    <s v="No"/>
    <s v="No"/>
  </r>
  <r>
    <s v="C2172"/>
    <s v="Sanjay Desai"/>
    <s v="Unknown"/>
    <n v="25"/>
    <x v="4"/>
    <x v="7"/>
    <s v="Month-to-month"/>
    <n v="18"/>
    <x v="0"/>
    <n v="799"/>
    <n v="14382"/>
    <s v="DSL"/>
    <d v="2024-03-19T00:00:00"/>
    <s v="No"/>
    <n v="0"/>
    <s v="No"/>
    <s v="No"/>
    <s v="No"/>
    <s v="No"/>
    <s v="No"/>
  </r>
  <r>
    <s v="C2173"/>
    <s v="Rajesh Tiwari"/>
    <s v="Male"/>
    <n v="73"/>
    <x v="2"/>
    <x v="4"/>
    <s v="One year"/>
    <n v="13"/>
    <x v="0"/>
    <n v="1299"/>
    <n v="16887"/>
    <s v="Fiber"/>
    <m/>
    <s v="No"/>
    <n v="0"/>
    <s v="No"/>
    <s v="No"/>
    <s v="No"/>
    <s v="No"/>
    <s v="Date missing"/>
  </r>
  <r>
    <s v="C2174"/>
    <s v="Nisha Yadav"/>
    <s v="Female"/>
    <n v="35"/>
    <x v="0"/>
    <x v="7"/>
    <s v="One year"/>
    <n v="31"/>
    <x v="1"/>
    <n v="799"/>
    <n v="24769"/>
    <s v="DSL"/>
    <d v="2023-02-24T00:00:00"/>
    <s v="No"/>
    <n v="0"/>
    <s v="No"/>
    <s v="No"/>
    <s v="No"/>
    <s v="No"/>
    <s v="No"/>
  </r>
  <r>
    <s v="C2175"/>
    <s v="Nikhil Malhotra"/>
    <s v="Male"/>
    <n v="61"/>
    <x v="2"/>
    <x v="1"/>
    <s v="Month-to-month"/>
    <n v="4"/>
    <x v="4"/>
    <n v="999"/>
    <n v="3996"/>
    <s v="Fiber"/>
    <d v="2025-05-03T00:00:00"/>
    <s v="Yes"/>
    <n v="1"/>
    <s v="No"/>
    <s v="No"/>
    <s v="No"/>
    <s v="No"/>
    <s v="No"/>
  </r>
  <r>
    <s v="C2176"/>
    <s v="Komal Gupta"/>
    <s v="Female"/>
    <n v="29"/>
    <x v="0"/>
    <x v="4"/>
    <s v="One year"/>
    <n v="7"/>
    <x v="2"/>
    <n v="1099"/>
    <n v="7693"/>
    <s v="Fiber"/>
    <d v="2025-02-13T00:00:00"/>
    <s v="No"/>
    <n v="0"/>
    <s v="No"/>
    <s v="No"/>
    <s v="No"/>
    <s v="No"/>
    <s v="No"/>
  </r>
  <r>
    <s v="C2177"/>
    <s v="Sanjay Reddy"/>
    <s v="Male"/>
    <n v="66"/>
    <x v="2"/>
    <x v="0"/>
    <s v="Month-to-month"/>
    <n v="11"/>
    <x v="2"/>
    <n v="1149"/>
    <n v="12639"/>
    <s v="Fiber"/>
    <d v="2024-10-24T00:00:00"/>
    <s v="Unknown"/>
    <s v=""/>
    <s v="No"/>
    <s v="No"/>
    <s v="No"/>
    <s v="No"/>
    <s v="Churn unknown"/>
  </r>
  <r>
    <s v="C2178"/>
    <s v="Rajesh Saxena"/>
    <s v="Male"/>
    <n v="27"/>
    <x v="0"/>
    <x v="2"/>
    <s v="Month-to-month"/>
    <n v="6"/>
    <x v="4"/>
    <n v="999"/>
    <n v="5994"/>
    <s v="Fiber"/>
    <d v="2025-03-22T00:00:00"/>
    <s v="No"/>
    <n v="0"/>
    <s v="No"/>
    <s v="No"/>
    <s v="No"/>
    <s v="No"/>
    <s v="No"/>
  </r>
  <r>
    <s v="C2179"/>
    <s v="Riya Tiwari"/>
    <s v="Female"/>
    <n v="67"/>
    <x v="2"/>
    <x v="14"/>
    <s v="Month-to-month"/>
    <n v="16"/>
    <x v="0"/>
    <n v="449"/>
    <n v="7184"/>
    <s v="No Internet"/>
    <d v="2024-05-27T00:00:00"/>
    <s v="Yes"/>
    <n v="1"/>
    <s v="No"/>
    <s v="No"/>
    <s v="Yes"/>
    <s v="No"/>
    <s v="No"/>
  </r>
  <r>
    <s v="C2180"/>
    <s v="Isha Agarwal"/>
    <s v="Female"/>
    <n v="38"/>
    <x v="3"/>
    <x v="7"/>
    <s v="Month-to-month"/>
    <n v="14"/>
    <x v="0"/>
    <n v="1299"/>
    <n v="18186"/>
    <s v="Fiber"/>
    <d v="2024-07-22T00:00:00"/>
    <s v="Yes"/>
    <n v="1"/>
    <s v="No"/>
    <s v="No"/>
    <s v="No"/>
    <s v="No"/>
    <s v="No"/>
  </r>
  <r>
    <s v="C2181"/>
    <s v="Pooja Kapoor"/>
    <s v="Female"/>
    <n v="67"/>
    <x v="2"/>
    <x v="5"/>
    <s v="Month-to-month"/>
    <n v="7"/>
    <x v="2"/>
    <n v="1199"/>
    <n v="8393"/>
    <s v="Fiber"/>
    <d v="2025-02-19T00:00:00"/>
    <s v="Yes"/>
    <n v="1"/>
    <s v="No"/>
    <s v="No"/>
    <s v="No"/>
    <s v="No"/>
    <s v="No"/>
  </r>
  <r>
    <s v="C2182"/>
    <s v="Nikhil Tiwari"/>
    <s v="Male"/>
    <n v="68"/>
    <x v="2"/>
    <x v="12"/>
    <s v="Month-to-month"/>
    <n v="7"/>
    <x v="2"/>
    <n v="999"/>
    <n v="6993"/>
    <s v="Fiber"/>
    <d v="2025-02-03T00:00:00"/>
    <s v="No"/>
    <n v="0"/>
    <s v="No"/>
    <s v="No"/>
    <s v="No"/>
    <s v="No"/>
    <s v="No"/>
  </r>
  <r>
    <s v="C2183"/>
    <s v="Anjali Kumar"/>
    <s v="Female"/>
    <n v="33"/>
    <x v="0"/>
    <x v="8"/>
    <s v="Unknown"/>
    <n v="24"/>
    <x v="0"/>
    <n v="1099"/>
    <n v="26376"/>
    <s v="Fiber"/>
    <d v="2023-09-27T00:00:00"/>
    <s v="No"/>
    <n v="0"/>
    <s v="No"/>
    <s v="No"/>
    <s v="No"/>
    <s v="No"/>
    <s v="No"/>
  </r>
  <r>
    <s v="C2184"/>
    <s v="Ritu Malhotra"/>
    <s v="Female"/>
    <n v="56"/>
    <x v="1"/>
    <x v="11"/>
    <s v="Month-to-month"/>
    <n v="21"/>
    <x v="0"/>
    <n v="699"/>
    <n v="14679"/>
    <s v="DSL"/>
    <m/>
    <s v="Yes"/>
    <n v="1"/>
    <s v="No"/>
    <s v="No"/>
    <s v="Yes"/>
    <s v="No"/>
    <s v="Date missing"/>
  </r>
  <r>
    <s v="C2185"/>
    <s v="Anjali Desai"/>
    <s v="Female"/>
    <n v="47"/>
    <x v="1"/>
    <x v="14"/>
    <s v="Month-to-month"/>
    <n v="24"/>
    <x v="0"/>
    <n v="399"/>
    <n v="9576"/>
    <s v="No Internet"/>
    <d v="2023-09-21T00:00:00"/>
    <s v="No"/>
    <n v="0"/>
    <s v="Yes"/>
    <s v="No"/>
    <s v="No"/>
    <s v="No"/>
    <s v="No"/>
  </r>
  <r>
    <s v="C2186"/>
    <s v="Tanvi Mehta"/>
    <s v="Female"/>
    <n v="53"/>
    <x v="1"/>
    <x v="4"/>
    <s v="Month-to-month"/>
    <n v="18"/>
    <x v="0"/>
    <n v="899"/>
    <n v="16182"/>
    <s v="DSL"/>
    <d v="2024-03-11T00:00:00"/>
    <s v="No"/>
    <n v="0"/>
    <s v="No"/>
    <s v="No"/>
    <s v="No"/>
    <s v="No"/>
    <s v="No"/>
  </r>
  <r>
    <s v="C2187"/>
    <s v="Priya Singh"/>
    <s v="Female"/>
    <n v="67"/>
    <x v="2"/>
    <x v="13"/>
    <s v="Month-to-month"/>
    <n v="23"/>
    <x v="0"/>
    <n v="1049"/>
    <n v="24127"/>
    <s v="Fiber"/>
    <d v="2023-10-25T00:00:00"/>
    <s v="No"/>
    <n v="0"/>
    <s v="No"/>
    <s v="No"/>
    <s v="No"/>
    <s v="Yes"/>
    <s v="No"/>
  </r>
  <r>
    <s v="C2188"/>
    <s v="Arjun Joshi"/>
    <s v="Male"/>
    <n v="47"/>
    <x v="1"/>
    <x v="0"/>
    <s v="Month-to-month"/>
    <n v="22"/>
    <x v="0"/>
    <n v="849"/>
    <n v="18678"/>
    <s v="DSL"/>
    <d v="2023-11-09T00:00:00"/>
    <s v="No"/>
    <n v="0"/>
    <s v="No"/>
    <s v="No"/>
    <s v="No"/>
    <s v="No"/>
    <s v="No"/>
  </r>
  <r>
    <s v="C2189"/>
    <s v="Rohit Reddy"/>
    <s v="Unknown"/>
    <n v="59"/>
    <x v="1"/>
    <x v="12"/>
    <s v="Month-to-month"/>
    <n v="2"/>
    <x v="4"/>
    <n v="349"/>
    <n v="698"/>
    <s v="No Internet"/>
    <d v="2025-07-14T00:00:00"/>
    <s v="No"/>
    <n v="0"/>
    <s v="No"/>
    <s v="No"/>
    <s v="No"/>
    <s v="No"/>
    <s v="No"/>
  </r>
  <r>
    <s v="C2190"/>
    <s v="Priya Bose"/>
    <s v="Female"/>
    <n v="45"/>
    <x v="3"/>
    <x v="3"/>
    <s v="Two year"/>
    <n v="42"/>
    <x v="1"/>
    <n v="499"/>
    <n v="20958"/>
    <s v="No Internet"/>
    <d v="2022-04-07T00:00:00"/>
    <s v="No"/>
    <n v="0"/>
    <s v="No"/>
    <s v="No"/>
    <s v="No"/>
    <s v="No"/>
    <s v="No"/>
  </r>
  <r>
    <s v="C2191"/>
    <s v="Unknown"/>
    <s v="Male"/>
    <n v="23"/>
    <x v="4"/>
    <x v="1"/>
    <s v="One year"/>
    <n v="33"/>
    <x v="1"/>
    <n v="1299"/>
    <n v="42867"/>
    <s v="Fiber"/>
    <d v="2022-12-29T00:00:00"/>
    <s v="No"/>
    <n v="0"/>
    <s v="No"/>
    <s v="No"/>
    <s v="No"/>
    <s v="No"/>
    <s v="No"/>
  </r>
  <r>
    <s v="C2192"/>
    <s v="Vikram Saxena"/>
    <s v="Male"/>
    <n v="45"/>
    <x v="3"/>
    <x v="6"/>
    <s v="Month-to-month"/>
    <n v="24"/>
    <x v="0"/>
    <n v="1199"/>
    <n v="28776"/>
    <s v="Fiber"/>
    <d v="2023-09-19T00:00:00"/>
    <s v="Yes"/>
    <n v="1"/>
    <s v="No"/>
    <s v="No"/>
    <s v="No"/>
    <s v="No"/>
    <s v="No"/>
  </r>
  <r>
    <s v="C2193"/>
    <s v="Shreya Jain"/>
    <s v="Female"/>
    <n v="67"/>
    <x v="2"/>
    <x v="14"/>
    <s v="One year"/>
    <n v="2"/>
    <x v="4"/>
    <n v="449"/>
    <n v="898"/>
    <s v="No Internet"/>
    <d v="2025-07-04T00:00:00"/>
    <s v="Yes"/>
    <n v="1"/>
    <s v="No"/>
    <s v="No"/>
    <s v="No"/>
    <s v="No"/>
    <s v="No"/>
  </r>
  <r>
    <s v="C2194"/>
    <s v="Priya Sharma"/>
    <s v="Female"/>
    <n v="32"/>
    <x v="0"/>
    <x v="2"/>
    <s v="Month-to-month"/>
    <n v="8"/>
    <x v="2"/>
    <n v="799"/>
    <n v="6392"/>
    <s v="DSL"/>
    <d v="2025-01-11T00:00:00"/>
    <s v="No"/>
    <n v="0"/>
    <s v="No"/>
    <s v="No"/>
    <s v="No"/>
    <s v="No"/>
    <s v="No"/>
  </r>
  <r>
    <s v="C2195"/>
    <s v="Rajesh Patel"/>
    <s v="Male"/>
    <n v="47"/>
    <x v="1"/>
    <x v="14"/>
    <s v="Two year"/>
    <n v="19"/>
    <x v="0"/>
    <n v="649"/>
    <n v="12331"/>
    <s v="DSL"/>
    <d v="2024-02-19T00:00:00"/>
    <s v="No"/>
    <n v="0"/>
    <s v="Yes"/>
    <s v="No"/>
    <s v="No"/>
    <s v="No"/>
    <s v="No"/>
  </r>
  <r>
    <s v="C2196"/>
    <s v="Rohit Mishra"/>
    <s v="Unknown"/>
    <n v="40"/>
    <x v="3"/>
    <x v="4"/>
    <s v="Month-to-month"/>
    <n v="8"/>
    <x v="2"/>
    <n v="849"/>
    <n v="6792"/>
    <s v="DSL"/>
    <d v="2025-01-18T00:00:00"/>
    <s v="Yes"/>
    <n v="1"/>
    <s v="No"/>
    <s v="No"/>
    <s v="No"/>
    <s v="No"/>
    <s v="No"/>
  </r>
  <r>
    <s v="C2197"/>
    <s v="Ritu Mehta"/>
    <s v="Female"/>
    <n v="67"/>
    <x v="2"/>
    <x v="2"/>
    <s v="Month-to-month"/>
    <n v="15"/>
    <x v="0"/>
    <n v="499"/>
    <n v="7485"/>
    <s v="No Internet"/>
    <d v="2024-06-08T00:00:00"/>
    <s v="Yes"/>
    <n v="1"/>
    <s v="No"/>
    <s v="No"/>
    <s v="No"/>
    <s v="No"/>
    <s v="No"/>
  </r>
  <r>
    <s v="C2198"/>
    <s v="Deepak Verma"/>
    <s v="Male"/>
    <n v="46"/>
    <x v="1"/>
    <x v="7"/>
    <s v="Month-to-month"/>
    <n v="13"/>
    <x v="0"/>
    <n v="799"/>
    <n v="10387"/>
    <s v="DSL"/>
    <d v="2024-08-29T00:00:00"/>
    <s v="Yes"/>
    <n v="1"/>
    <s v="No"/>
    <s v="No"/>
    <s v="No"/>
    <s v="No"/>
    <s v="No"/>
  </r>
  <r>
    <s v="C2199"/>
    <s v="Arjun Mehta"/>
    <s v="Male"/>
    <n v="25"/>
    <x v="4"/>
    <x v="7"/>
    <s v="One year"/>
    <n v="21"/>
    <x v="0"/>
    <n v="999"/>
    <n v="20979"/>
    <s v="Fiber"/>
    <d v="2023-12-13T00:00:00"/>
    <s v="No"/>
    <n v="0"/>
    <s v="No"/>
    <s v="No"/>
    <s v="No"/>
    <s v="No"/>
    <s v="No"/>
  </r>
  <r>
    <s v="C2200"/>
    <s v="Komal Malhotra"/>
    <s v="Female"/>
    <n v="50"/>
    <x v="1"/>
    <x v="4"/>
    <s v="Two year"/>
    <n v="49"/>
    <x v="3"/>
    <n v="899"/>
    <n v="44051"/>
    <s v="DSL"/>
    <d v="2021-09-16T00:00:00"/>
    <s v="No"/>
    <n v="0"/>
    <s v="No"/>
    <s v="No"/>
    <s v="No"/>
    <s v="No"/>
    <s v="No"/>
  </r>
  <r>
    <s v="C2201"/>
    <s v="Isha Iyer"/>
    <s v="Female"/>
    <n v="71"/>
    <x v="2"/>
    <x v="4"/>
    <s v="Month-to-month"/>
    <n v="10"/>
    <x v="2"/>
    <n v="349"/>
    <n v="3490"/>
    <s v="No Internet"/>
    <d v="2024-11-07T00:00:00"/>
    <s v="Unknown"/>
    <s v=""/>
    <s v="No"/>
    <s v="No"/>
    <s v="No"/>
    <s v="No"/>
    <s v="Churn unknown"/>
  </r>
  <r>
    <s v="C2202"/>
    <s v="Komal Sharma"/>
    <s v="Female"/>
    <n v="35"/>
    <x v="0"/>
    <x v="14"/>
    <s v="One year"/>
    <n v="10"/>
    <x v="2"/>
    <n v="899"/>
    <n v="8990"/>
    <s v="DSL"/>
    <d v="2024-11-28T00:00:00"/>
    <s v="No"/>
    <n v="0"/>
    <s v="No"/>
    <s v="No"/>
    <s v="No"/>
    <s v="No"/>
    <s v="No"/>
  </r>
  <r>
    <s v="C2203"/>
    <s v="Rohit Pandey"/>
    <s v="Male"/>
    <n v="48"/>
    <x v="1"/>
    <x v="13"/>
    <s v="Month-to-month"/>
    <n v="7"/>
    <x v="2"/>
    <n v="1199"/>
    <n v="8393"/>
    <s v="Fiber"/>
    <d v="2025-02-17T00:00:00"/>
    <s v="Yes"/>
    <n v="1"/>
    <s v="No"/>
    <s v="No"/>
    <s v="Yes"/>
    <s v="No"/>
    <s v="No"/>
  </r>
  <r>
    <s v="C2204"/>
    <s v="Vivek Gupta"/>
    <s v="Male"/>
    <n v="29"/>
    <x v="0"/>
    <x v="1"/>
    <s v="Two year"/>
    <n v="24"/>
    <x v="0"/>
    <n v="899"/>
    <n v="21576"/>
    <s v="Fiber"/>
    <d v="2023-10-03T00:00:00"/>
    <s v="Yes"/>
    <n v="1"/>
    <s v="No"/>
    <s v="No"/>
    <s v="No"/>
    <s v="No"/>
    <s v="No"/>
  </r>
  <r>
    <s v="C2205"/>
    <s v="Divya Chopra"/>
    <s v="Female"/>
    <n v="41"/>
    <x v="3"/>
    <x v="6"/>
    <s v="Month-to-month"/>
    <n v="1"/>
    <x v="4"/>
    <n v="699"/>
    <n v="699"/>
    <s v="DSL"/>
    <d v="2025-08-02T00:00:00"/>
    <s v="Yes"/>
    <n v="1"/>
    <s v="No"/>
    <s v="No"/>
    <s v="No"/>
    <s v="No"/>
    <s v="No"/>
  </r>
  <r>
    <s v="C2206"/>
    <s v="Vivek Verma"/>
    <s v="Male"/>
    <n v="52"/>
    <x v="1"/>
    <x v="12"/>
    <s v="One year"/>
    <n v="11"/>
    <x v="2"/>
    <n v="899"/>
    <n v="9889"/>
    <s v="Fiber"/>
    <d v="2024-10-26T00:00:00"/>
    <s v="No"/>
    <n v="0"/>
    <s v="No"/>
    <s v="No"/>
    <s v="No"/>
    <s v="No"/>
    <s v="No"/>
  </r>
  <r>
    <s v="C2207"/>
    <s v="Vivek Kumar"/>
    <s v="Male"/>
    <n v="25"/>
    <x v="4"/>
    <x v="7"/>
    <s v="Month-to-month"/>
    <n v="18"/>
    <x v="0"/>
    <n v="999"/>
    <n v="17982"/>
    <s v="Fiber"/>
    <d v="2024-04-06T00:00:00"/>
    <s v="No"/>
    <n v="0"/>
    <s v="No"/>
    <s v="No"/>
    <s v="No"/>
    <s v="No"/>
    <s v="No"/>
  </r>
  <r>
    <s v="C2208"/>
    <s v="Komal Desai"/>
    <s v="Female"/>
    <n v="75"/>
    <x v="2"/>
    <x v="5"/>
    <s v="Month-to-month"/>
    <n v="12"/>
    <x v="2"/>
    <n v="1199"/>
    <n v="14388"/>
    <s v="Fiber"/>
    <d v="2024-09-10T00:00:00"/>
    <s v="No"/>
    <n v="0"/>
    <s v="No"/>
    <s v="No"/>
    <s v="Yes"/>
    <s v="No"/>
    <s v="No"/>
  </r>
  <r>
    <s v="C2209"/>
    <s v="Rohit Nair"/>
    <s v="Male"/>
    <n v="47"/>
    <x v="1"/>
    <x v="8"/>
    <s v="Two year"/>
    <n v="11"/>
    <x v="2"/>
    <n v="849"/>
    <n v="9339"/>
    <s v="DSL"/>
    <d v="2024-10-14T00:00:00"/>
    <s v="No"/>
    <n v="0"/>
    <s v="Yes"/>
    <s v="No"/>
    <s v="No"/>
    <s v="No"/>
    <s v="No"/>
  </r>
  <r>
    <s v="C2210"/>
    <s v="Manish Nair"/>
    <s v="Male"/>
    <n v="34"/>
    <x v="0"/>
    <x v="8"/>
    <s v="One year"/>
    <n v="30"/>
    <x v="1"/>
    <n v="849"/>
    <n v="25470"/>
    <s v="DSL"/>
    <d v="2023-03-15T00:00:00"/>
    <s v="No"/>
    <n v="0"/>
    <s v="No"/>
    <s v="No"/>
    <s v="No"/>
    <s v="No"/>
    <s v="No"/>
  </r>
  <r>
    <s v="C2211"/>
    <s v="Pooja Joshi"/>
    <s v="Female"/>
    <n v="45"/>
    <x v="3"/>
    <x v="2"/>
    <s v="One year"/>
    <n v="3"/>
    <x v="4"/>
    <n v="1299"/>
    <n v="3897"/>
    <s v="Fiber"/>
    <d v="2025-06-05T00:00:00"/>
    <s v="No"/>
    <n v="0"/>
    <s v="No"/>
    <s v="No"/>
    <s v="No"/>
    <s v="No"/>
    <s v="No"/>
  </r>
  <r>
    <s v="C2212"/>
    <s v="Arjun Sharma"/>
    <s v="Male"/>
    <n v="27"/>
    <x v="0"/>
    <x v="9"/>
    <s v="Month-to-month"/>
    <n v="6"/>
    <x v="4"/>
    <n v="1049"/>
    <n v="6294"/>
    <s v="Fiber"/>
    <d v="2025-03-17T00:00:00"/>
    <s v="No"/>
    <n v="0"/>
    <s v="No"/>
    <s v="No"/>
    <s v="No"/>
    <s v="No"/>
    <s v="No"/>
  </r>
  <r>
    <s v="C2213"/>
    <s v="Deepika Chopra"/>
    <s v="Female"/>
    <n v="73"/>
    <x v="2"/>
    <x v="6"/>
    <s v="Two year"/>
    <n v="28"/>
    <x v="1"/>
    <n v="1149"/>
    <n v="32172"/>
    <s v="Fiber"/>
    <d v="2023-06-08T00:00:00"/>
    <s v="No"/>
    <n v="0"/>
    <s v="No"/>
    <s v="No"/>
    <s v="No"/>
    <s v="Yes"/>
    <s v="No"/>
  </r>
  <r>
    <s v="C2214"/>
    <s v="Payal Joshi"/>
    <s v="Female"/>
    <n v="39"/>
    <x v="3"/>
    <x v="8"/>
    <s v="Month-to-month"/>
    <n v="16"/>
    <x v="0"/>
    <n v="499"/>
    <n v="7984"/>
    <s v="No Internet"/>
    <d v="2024-05-15T00:00:00"/>
    <s v="No"/>
    <n v="0"/>
    <s v="No"/>
    <s v="No"/>
    <s v="No"/>
    <s v="Yes"/>
    <s v="No"/>
  </r>
  <r>
    <s v="C2215"/>
    <s v="Payal Malhotra"/>
    <s v="Female"/>
    <n v="22"/>
    <x v="4"/>
    <x v="13"/>
    <s v="Month-to-month"/>
    <n v="18"/>
    <x v="0"/>
    <n v="899"/>
    <n v="16182"/>
    <s v="Fiber"/>
    <d v="2024-03-11T00:00:00"/>
    <s v="No"/>
    <n v="0"/>
    <s v="No"/>
    <s v="No"/>
    <s v="No"/>
    <s v="No"/>
    <s v="No"/>
  </r>
  <r>
    <s v="C2216"/>
    <s v="Karan Mishra"/>
    <s v="Unknown"/>
    <n v="63"/>
    <x v="2"/>
    <x v="5"/>
    <s v="Month-to-month"/>
    <n v="15"/>
    <x v="0"/>
    <n v="749"/>
    <n v="11235"/>
    <s v="DSL"/>
    <d v="2024-06-19T00:00:00"/>
    <s v="No"/>
    <n v="0"/>
    <s v="No"/>
    <s v="No"/>
    <s v="No"/>
    <s v="No"/>
    <s v="No"/>
  </r>
  <r>
    <s v="C2217"/>
    <s v="Deepak Jain"/>
    <s v="Male"/>
    <n v="30"/>
    <x v="0"/>
    <x v="10"/>
    <s v="Two year"/>
    <n v="3"/>
    <x v="4"/>
    <n v="649"/>
    <n v="1947"/>
    <s v="DSL"/>
    <d v="2025-06-06T00:00:00"/>
    <s v="Unknown"/>
    <s v=""/>
    <s v="No"/>
    <s v="No"/>
    <s v="No"/>
    <s v="No"/>
    <s v="Churn unknown"/>
  </r>
  <r>
    <s v="C2218"/>
    <s v="Rajesh Jain"/>
    <s v="Male"/>
    <n v="51"/>
    <x v="1"/>
    <x v="3"/>
    <s v="Two year"/>
    <m/>
    <x v="4"/>
    <m/>
    <n v="34470"/>
    <s v="Fiber"/>
    <d v="2023-04-09T00:00:00"/>
    <s v="No"/>
    <n v="0"/>
    <s v="No"/>
    <s v="No"/>
    <s v="No"/>
    <s v="No"/>
    <s v="Monthly missing; Tenure missing"/>
  </r>
  <r>
    <s v="C2219"/>
    <s v="Pankaj Nair"/>
    <s v="Male"/>
    <n v="71"/>
    <x v="2"/>
    <x v="13"/>
    <s v="One year"/>
    <n v="40"/>
    <x v="1"/>
    <n v="1299"/>
    <n v="51960"/>
    <s v="Fiber"/>
    <d v="2022-06-04T00:00:00"/>
    <s v="No"/>
    <n v="0"/>
    <s v="No"/>
    <s v="No"/>
    <s v="No"/>
    <s v="No"/>
    <s v="No"/>
  </r>
  <r>
    <s v="C2220"/>
    <s v="Divya Jain"/>
    <s v="Female"/>
    <n v="44"/>
    <x v="3"/>
    <x v="7"/>
    <s v="Month-to-month"/>
    <m/>
    <x v="4"/>
    <m/>
    <n v="5990"/>
    <s v="DSL"/>
    <d v="2024-11-11T00:00:00"/>
    <s v="No"/>
    <n v="0"/>
    <s v="No"/>
    <s v="No"/>
    <s v="No"/>
    <s v="No"/>
    <s v="Monthly missing; Tenure missing"/>
  </r>
  <r>
    <s v="C2221"/>
    <s v="Deepika Agarwal"/>
    <s v="Female"/>
    <n v="57"/>
    <x v="1"/>
    <x v="11"/>
    <s v="Two year"/>
    <n v="53"/>
    <x v="3"/>
    <n v="649"/>
    <n v="34397"/>
    <s v="DSL"/>
    <d v="2021-04-28T00:00:00"/>
    <s v="No"/>
    <n v="0"/>
    <s v="No"/>
    <s v="No"/>
    <s v="No"/>
    <s v="No"/>
    <s v="No"/>
  </r>
  <r>
    <s v="C2222"/>
    <s v="Deepak Gupta"/>
    <s v="Male"/>
    <n v="59"/>
    <x v="1"/>
    <x v="12"/>
    <s v="Month-to-month"/>
    <n v="12"/>
    <x v="2"/>
    <n v="599"/>
    <n v="7188"/>
    <s v="DSL"/>
    <d v="2024-09-21T00:00:00"/>
    <s v="Yes"/>
    <n v="1"/>
    <s v="No"/>
    <s v="No"/>
    <s v="No"/>
    <s v="No"/>
    <s v="No"/>
  </r>
  <r>
    <s v="C2223"/>
    <s v="Rajesh Saxena"/>
    <s v="Male"/>
    <n v="27"/>
    <x v="0"/>
    <x v="0"/>
    <s v="Month-to-month"/>
    <n v="11"/>
    <x v="2"/>
    <n v="1199"/>
    <n v="13189"/>
    <s v="Fiber"/>
    <d v="2024-10-17T00:00:00"/>
    <s v="No"/>
    <n v="0"/>
    <s v="No"/>
    <s v="No"/>
    <s v="No"/>
    <s v="No"/>
    <s v="No"/>
  </r>
  <r>
    <s v="C2224"/>
    <s v="Pankaj Desai"/>
    <s v="Male"/>
    <n v="32"/>
    <x v="0"/>
    <x v="9"/>
    <s v="Month-to-month"/>
    <n v="18"/>
    <x v="0"/>
    <n v="499"/>
    <n v="8982"/>
    <s v="No Internet"/>
    <d v="2024-03-09T00:00:00"/>
    <s v="Yes"/>
    <n v="1"/>
    <s v="No"/>
    <s v="No"/>
    <s v="No"/>
    <s v="Yes"/>
    <s v="No"/>
  </r>
  <r>
    <s v="C2225"/>
    <s v="Kavita Verma"/>
    <s v="Female"/>
    <n v="42"/>
    <x v="3"/>
    <x v="6"/>
    <s v="Two year"/>
    <n v="60"/>
    <x v="3"/>
    <n v="749"/>
    <n v="44940"/>
    <s v="DSL"/>
    <d v="2020-10-02T00:00:00"/>
    <s v="No"/>
    <n v="0"/>
    <s v="No"/>
    <s v="No"/>
    <s v="No"/>
    <s v="No"/>
    <s v="No"/>
  </r>
  <r>
    <s v="C2226"/>
    <s v="Aditi Nair"/>
    <s v="Female"/>
    <n v="51"/>
    <x v="1"/>
    <x v="4"/>
    <s v="Month-to-month"/>
    <n v="20"/>
    <x v="0"/>
    <n v="1049"/>
    <n v="20980"/>
    <s v="Fiber"/>
    <d v="2024-01-16T00:00:00"/>
    <s v="No"/>
    <n v="0"/>
    <s v="No"/>
    <s v="No"/>
    <s v="No"/>
    <s v="No"/>
    <s v="No"/>
  </r>
  <r>
    <s v="C2227"/>
    <s v="Nisha Tiwari"/>
    <s v="Female"/>
    <n v="21"/>
    <x v="4"/>
    <x v="9"/>
    <s v="Month-to-month"/>
    <n v="24"/>
    <x v="0"/>
    <n v="1049"/>
    <n v="25176"/>
    <s v="Fiber"/>
    <d v="2023-09-29T00:00:00"/>
    <s v="No"/>
    <n v="0"/>
    <s v="No"/>
    <s v="No"/>
    <s v="No"/>
    <s v="No"/>
    <s v="No"/>
  </r>
  <r>
    <s v="C2228"/>
    <s v="Kavita Patel"/>
    <s v="Female"/>
    <n v="23"/>
    <x v="4"/>
    <x v="3"/>
    <s v="Month-to-month"/>
    <n v="8"/>
    <x v="2"/>
    <n v="399"/>
    <n v="3192"/>
    <s v="No Internet"/>
    <d v="2025-01-10T00:00:00"/>
    <s v="No"/>
    <n v="0"/>
    <s v="No"/>
    <s v="No"/>
    <s v="No"/>
    <s v="No"/>
    <s v="No"/>
  </r>
  <r>
    <s v="C2229"/>
    <s v="Anjali Pandey"/>
    <s v="Female"/>
    <n v="49"/>
    <x v="1"/>
    <x v="1"/>
    <s v="One year"/>
    <n v="39"/>
    <x v="1"/>
    <n v="1299"/>
    <n v="50661"/>
    <s v="Fiber"/>
    <d v="2022-07-13T00:00:00"/>
    <s v="Yes"/>
    <n v="1"/>
    <s v="No"/>
    <s v="No"/>
    <s v="No"/>
    <s v="No"/>
    <s v="No"/>
  </r>
  <r>
    <s v="C2230"/>
    <s v="Rajesh Reddy"/>
    <s v="Male"/>
    <n v="25"/>
    <x v="4"/>
    <x v="13"/>
    <s v="Month-to-month"/>
    <n v="23"/>
    <x v="0"/>
    <n v="1099"/>
    <n v="25277"/>
    <s v="Fiber"/>
    <d v="2023-11-07T00:00:00"/>
    <s v="No"/>
    <n v="0"/>
    <s v="No"/>
    <s v="No"/>
    <s v="No"/>
    <s v="No"/>
    <s v="No"/>
  </r>
  <r>
    <s v="C2231"/>
    <s v="Shreya Kapoor"/>
    <s v="Female"/>
    <n v="54"/>
    <x v="1"/>
    <x v="6"/>
    <s v="Month-to-month"/>
    <n v="21"/>
    <x v="0"/>
    <n v="499"/>
    <n v="10479"/>
    <s v="No Internet"/>
    <d v="2024-01-07T00:00:00"/>
    <s v="No"/>
    <n v="0"/>
    <s v="No"/>
    <s v="No"/>
    <s v="No"/>
    <s v="No"/>
    <s v="No"/>
  </r>
  <r>
    <s v="C2232"/>
    <s v="Rajesh Gupta"/>
    <s v="Male"/>
    <n v="19"/>
    <x v="4"/>
    <x v="9"/>
    <s v="Two year"/>
    <n v="53"/>
    <x v="3"/>
    <n v="899"/>
    <n v="47647"/>
    <s v="DSL"/>
    <d v="2021-05-14T00:00:00"/>
    <s v="No"/>
    <n v="0"/>
    <s v="No"/>
    <s v="No"/>
    <s v="No"/>
    <s v="No"/>
    <s v="No"/>
  </r>
  <r>
    <s v="C2233"/>
    <s v="Isha Patel"/>
    <s v="Female"/>
    <n v="33"/>
    <x v="0"/>
    <x v="5"/>
    <s v="Month-to-month"/>
    <n v="15"/>
    <x v="0"/>
    <n v="849"/>
    <n v="12735"/>
    <s v="DSL"/>
    <d v="2024-06-30T00:00:00"/>
    <s v="No"/>
    <n v="0"/>
    <s v="No"/>
    <s v="No"/>
    <s v="No"/>
    <s v="No"/>
    <s v="No"/>
  </r>
  <r>
    <s v="C2234"/>
    <s v="Sachin Mishra"/>
    <s v="Male"/>
    <n v="59"/>
    <x v="1"/>
    <x v="2"/>
    <s v="One year"/>
    <n v="12"/>
    <x v="2"/>
    <n v="1099"/>
    <n v="13188"/>
    <s v="Fiber"/>
    <d v="2024-09-14T00:00:00"/>
    <s v="No"/>
    <n v="0"/>
    <s v="No"/>
    <s v="No"/>
    <s v="No"/>
    <s v="No"/>
    <s v="No"/>
  </r>
  <r>
    <s v="C2235"/>
    <s v="Nikhil Iyer"/>
    <s v="Male"/>
    <n v="47"/>
    <x v="1"/>
    <x v="14"/>
    <s v="Month-to-month"/>
    <n v="20"/>
    <x v="0"/>
    <n v="1199"/>
    <n v="23980"/>
    <s v="Fiber"/>
    <d v="2024-01-31T00:00:00"/>
    <s v="No"/>
    <n v="0"/>
    <s v="Yes"/>
    <s v="No"/>
    <s v="No"/>
    <s v="No"/>
    <s v="No"/>
  </r>
  <r>
    <s v="C2236"/>
    <s v="Komal Patel"/>
    <s v="Female"/>
    <n v="39"/>
    <x v="3"/>
    <x v="13"/>
    <s v="Month-to-month"/>
    <n v="6"/>
    <x v="4"/>
    <n v="1049"/>
    <n v="6294"/>
    <s v="Fiber"/>
    <d v="2025-03-14T00:00:00"/>
    <s v="Yes"/>
    <n v="1"/>
    <s v="No"/>
    <s v="No"/>
    <s v="No"/>
    <s v="No"/>
    <s v="No"/>
  </r>
  <r>
    <s v="C2237"/>
    <s v="Payal Pandey"/>
    <s v="Female"/>
    <n v="59"/>
    <x v="1"/>
    <x v="1"/>
    <s v="Month-to-month"/>
    <n v="6"/>
    <x v="4"/>
    <n v="1149"/>
    <n v="6894"/>
    <s v="Fiber"/>
    <d v="2025-03-30T00:00:00"/>
    <s v="Yes"/>
    <n v="1"/>
    <s v="No"/>
    <s v="No"/>
    <s v="No"/>
    <s v="Yes"/>
    <s v="No"/>
  </r>
  <r>
    <s v="C2238"/>
    <s v="Kavita Singh"/>
    <s v="Female"/>
    <n v="63"/>
    <x v="2"/>
    <x v="2"/>
    <s v="Month-to-month"/>
    <n v="13"/>
    <x v="0"/>
    <n v="1299"/>
    <n v="16887"/>
    <s v="Fiber"/>
    <d v="2024-09-01T00:00:00"/>
    <s v="No"/>
    <n v="0"/>
    <s v="No"/>
    <s v="No"/>
    <s v="No"/>
    <s v="No"/>
    <s v="No"/>
  </r>
  <r>
    <s v="C2239"/>
    <s v="Ritu Kapoor"/>
    <s v="Unknown"/>
    <n v="70"/>
    <x v="2"/>
    <x v="3"/>
    <s v="Month-to-month"/>
    <n v="9"/>
    <x v="2"/>
    <n v="599"/>
    <n v="5391"/>
    <s v="DSL"/>
    <d v="2024-12-25T00:00:00"/>
    <s v="No"/>
    <n v="0"/>
    <s v="No"/>
    <s v="No"/>
    <s v="No"/>
    <s v="No"/>
    <s v="No"/>
  </r>
  <r>
    <s v="C2240"/>
    <s v="Manish Kapoor"/>
    <s v="Male"/>
    <n v="59"/>
    <x v="1"/>
    <x v="13"/>
    <s v="Month-to-month"/>
    <n v="8"/>
    <x v="2"/>
    <n v="599"/>
    <n v="4792"/>
    <s v="DSL"/>
    <d v="2025-01-17T00:00:00"/>
    <s v="No"/>
    <n v="0"/>
    <s v="No"/>
    <s v="No"/>
    <s v="No"/>
    <s v="No"/>
    <s v="No"/>
  </r>
  <r>
    <s v="C2241"/>
    <s v="Sonal Mishra"/>
    <s v="Female"/>
    <n v="54"/>
    <x v="1"/>
    <x v="0"/>
    <s v="Month-to-month"/>
    <n v="19"/>
    <x v="0"/>
    <n v="549"/>
    <n v="10431"/>
    <s v="No Internet"/>
    <d v="2024-02-24T00:00:00"/>
    <s v="No"/>
    <n v="0"/>
    <s v="No"/>
    <s v="No"/>
    <s v="No"/>
    <s v="No"/>
    <s v="No"/>
  </r>
  <r>
    <s v="C2242"/>
    <s v="Isha Malhotra"/>
    <s v="Female"/>
    <n v="45"/>
    <x v="3"/>
    <x v="2"/>
    <s v="Month-to-month"/>
    <n v="8"/>
    <x v="2"/>
    <n v="449"/>
    <n v="3592"/>
    <s v="No Internet"/>
    <d v="2025-01-09T00:00:00"/>
    <s v="Yes"/>
    <n v="1"/>
    <s v="No"/>
    <s v="No"/>
    <s v="No"/>
    <s v="No"/>
    <s v="No"/>
  </r>
  <r>
    <s v="C2243"/>
    <s v="Nikhil Pandey"/>
    <s v="Male"/>
    <n v="33"/>
    <x v="0"/>
    <x v="13"/>
    <s v="Month-to-month"/>
    <n v="17"/>
    <x v="0"/>
    <n v="849"/>
    <n v="14433"/>
    <s v="DSL"/>
    <d v="2024-04-11T00:00:00"/>
    <s v="Yes"/>
    <n v="1"/>
    <s v="No"/>
    <s v="No"/>
    <s v="No"/>
    <s v="No"/>
    <s v="No"/>
  </r>
  <r>
    <s v="C2244"/>
    <s v="Aman Pandey"/>
    <s v="Male"/>
    <n v="62"/>
    <x v="2"/>
    <x v="9"/>
    <s v="Two year"/>
    <n v="29"/>
    <x v="1"/>
    <n v="549"/>
    <n v="15921"/>
    <s v="No Internet"/>
    <d v="2023-04-28T00:00:00"/>
    <s v="No"/>
    <n v="0"/>
    <s v="No"/>
    <s v="No"/>
    <s v="No"/>
    <s v="Yes"/>
    <s v="No"/>
  </r>
  <r>
    <s v="C2245"/>
    <s v="Komal Bose"/>
    <s v="Female"/>
    <n v="45"/>
    <x v="3"/>
    <x v="4"/>
    <s v="Two year"/>
    <n v="72"/>
    <x v="3"/>
    <n v="749"/>
    <n v="53928"/>
    <s v="DSL"/>
    <d v="2019-10-15T00:00:00"/>
    <s v="No"/>
    <n v="0"/>
    <s v="No"/>
    <s v="No"/>
    <s v="No"/>
    <s v="No"/>
    <s v="No"/>
  </r>
  <r>
    <s v="C2246"/>
    <s v="Vikram Saxena"/>
    <s v="Unknown"/>
    <n v="40"/>
    <x v="3"/>
    <x v="4"/>
    <s v="Two year"/>
    <n v="33"/>
    <x v="1"/>
    <n v="849"/>
    <n v="28017"/>
    <s v="DSL"/>
    <d v="2022-12-21T00:00:00"/>
    <s v="No"/>
    <n v="0"/>
    <s v="No"/>
    <s v="Yes"/>
    <s v="No"/>
    <s v="No"/>
    <s v="No"/>
  </r>
  <r>
    <s v="C2247"/>
    <s v="Deepak Mehta"/>
    <s v="Male"/>
    <n v="60"/>
    <x v="1"/>
    <x v="7"/>
    <s v="Month-to-month"/>
    <n v="10"/>
    <x v="2"/>
    <n v="999"/>
    <n v="9990"/>
    <s v="Fiber"/>
    <d v="2024-11-16T00:00:00"/>
    <s v="No"/>
    <n v="0"/>
    <s v="No"/>
    <s v="No"/>
    <s v="No"/>
    <s v="No"/>
    <s v="No"/>
  </r>
  <r>
    <s v="C2248"/>
    <s v="Pooja Mishra"/>
    <s v="Female"/>
    <n v="61"/>
    <x v="2"/>
    <x v="11"/>
    <s v="Month-to-month"/>
    <n v="20"/>
    <x v="0"/>
    <n v="599"/>
    <n v="11980"/>
    <s v="DSL"/>
    <d v="2024-01-13T00:00:00"/>
    <s v="No"/>
    <n v="0"/>
    <s v="No"/>
    <s v="No"/>
    <s v="No"/>
    <s v="No"/>
    <s v="No"/>
  </r>
  <r>
    <s v="C2249"/>
    <s v="Pankaj Kumar"/>
    <s v="Male"/>
    <n v="51"/>
    <x v="1"/>
    <x v="12"/>
    <s v="One year"/>
    <n v="16"/>
    <x v="0"/>
    <n v="1299"/>
    <n v="20784"/>
    <s v="Fiber"/>
    <d v="2024-06-05T00:00:00"/>
    <s v="No"/>
    <n v="0"/>
    <s v="No"/>
    <s v="No"/>
    <s v="No"/>
    <s v="No"/>
    <s v="No"/>
  </r>
  <r>
    <s v="C2250"/>
    <s v="Anjali Joshi"/>
    <s v="Female"/>
    <n v="23"/>
    <x v="4"/>
    <x v="4"/>
    <s v="Two year"/>
    <n v="50"/>
    <x v="3"/>
    <n v="1099"/>
    <n v="54950"/>
    <s v="Fiber"/>
    <d v="2021-08-16T00:00:00"/>
    <s v="No"/>
    <n v="0"/>
    <s v="No"/>
    <s v="No"/>
    <s v="No"/>
    <s v="No"/>
    <s v="No"/>
  </r>
  <r>
    <s v="C2251"/>
    <s v="Meera Reddy"/>
    <s v="Female"/>
    <n v="37"/>
    <x v="3"/>
    <x v="2"/>
    <s v="Month-to-month"/>
    <n v="9"/>
    <x v="2"/>
    <n v="899"/>
    <n v="8091"/>
    <s v="Fiber"/>
    <d v="2024-12-26T00:00:00"/>
    <s v="Yes"/>
    <n v="1"/>
    <s v="No"/>
    <s v="No"/>
    <s v="No"/>
    <s v="No"/>
    <s v="No"/>
  </r>
  <r>
    <s v="C2252"/>
    <s v="Aman Chopra"/>
    <s v="Male"/>
    <n v="58"/>
    <x v="1"/>
    <x v="4"/>
    <s v="Month-to-month"/>
    <n v="17"/>
    <x v="0"/>
    <n v="899"/>
    <n v="15283"/>
    <s v="Fiber"/>
    <d v="2024-04-19T00:00:00"/>
    <s v="Yes"/>
    <n v="1"/>
    <s v="No"/>
    <s v="No"/>
    <s v="No"/>
    <s v="No"/>
    <s v="No"/>
  </r>
  <r>
    <s v="C2253"/>
    <s v="Aman Reddy"/>
    <s v="Male"/>
    <n v="28"/>
    <x v="0"/>
    <x v="3"/>
    <s v="Two year"/>
    <n v="1"/>
    <x v="4"/>
    <n v="1099"/>
    <n v="1099"/>
    <s v="Fiber"/>
    <d v="2025-08-01T00:00:00"/>
    <s v="Yes"/>
    <n v="1"/>
    <s v="No"/>
    <s v="No"/>
    <s v="No"/>
    <s v="No"/>
    <s v="No"/>
  </r>
  <r>
    <s v="C2254"/>
    <s v="Neha Gupta"/>
    <s v="Female"/>
    <n v="30"/>
    <x v="0"/>
    <x v="9"/>
    <s v="One year"/>
    <n v="14"/>
    <x v="0"/>
    <n v="699"/>
    <n v="9786"/>
    <s v="DSL"/>
    <d v="2024-07-17T00:00:00"/>
    <s v="No"/>
    <n v="0"/>
    <s v="No"/>
    <s v="No"/>
    <s v="No"/>
    <s v="No"/>
    <s v="No"/>
  </r>
  <r>
    <s v="C2255"/>
    <s v="Ankit Pandey"/>
    <s v="Male"/>
    <n v="47"/>
    <x v="1"/>
    <x v="13"/>
    <s v="Month-to-month"/>
    <n v="15"/>
    <x v="0"/>
    <n v="599"/>
    <n v="8985"/>
    <s v="DSL"/>
    <d v="2024-06-07T00:00:00"/>
    <s v="No"/>
    <n v="0"/>
    <s v="Yes"/>
    <s v="No"/>
    <s v="No"/>
    <s v="No"/>
    <s v="No"/>
  </r>
  <r>
    <s v="C2256"/>
    <s v="Unknown"/>
    <s v="Male"/>
    <n v="24"/>
    <x v="4"/>
    <x v="2"/>
    <s v="One year"/>
    <n v="11"/>
    <x v="2"/>
    <n v="1099"/>
    <n v="12089"/>
    <s v="Fiber"/>
    <d v="2024-10-14T00:00:00"/>
    <s v="No"/>
    <n v="0"/>
    <s v="No"/>
    <s v="No"/>
    <s v="No"/>
    <s v="No"/>
    <s v="No"/>
  </r>
  <r>
    <s v="C2257"/>
    <s v="Shreya Saxena"/>
    <s v="Female"/>
    <n v="53"/>
    <x v="1"/>
    <x v="6"/>
    <s v="Month-to-month"/>
    <n v="4"/>
    <x v="4"/>
    <n v="1149"/>
    <n v="4596"/>
    <s v="Fiber"/>
    <d v="2025-05-20T00:00:00"/>
    <s v="Yes"/>
    <n v="1"/>
    <s v="No"/>
    <s v="No"/>
    <s v="No"/>
    <s v="Yes"/>
    <s v="No"/>
  </r>
  <r>
    <s v="C2258"/>
    <s v="Manish Desai"/>
    <s v="Male"/>
    <n v="30"/>
    <x v="0"/>
    <x v="13"/>
    <s v="Month-to-month"/>
    <n v="16"/>
    <x v="0"/>
    <n v="1299"/>
    <n v="20784"/>
    <s v="Fiber"/>
    <d v="2024-05-20T00:00:00"/>
    <s v="Yes"/>
    <n v="1"/>
    <s v="No"/>
    <s v="No"/>
    <s v="No"/>
    <s v="No"/>
    <s v="No"/>
  </r>
  <r>
    <s v="C2259"/>
    <s v="Nikhil Jain"/>
    <s v="Male"/>
    <n v="54"/>
    <x v="1"/>
    <x v="11"/>
    <s v="One year"/>
    <n v="35"/>
    <x v="1"/>
    <n v="999"/>
    <n v="34965"/>
    <s v="Fiber"/>
    <d v="2022-10-30T00:00:00"/>
    <s v="No"/>
    <n v="0"/>
    <s v="No"/>
    <s v="No"/>
    <s v="No"/>
    <s v="No"/>
    <s v="No"/>
  </r>
  <r>
    <s v="C2260"/>
    <s v="Harsh Chopra"/>
    <s v="Male"/>
    <n v="45"/>
    <x v="3"/>
    <x v="12"/>
    <s v="Month-to-month"/>
    <n v="1"/>
    <x v="4"/>
    <n v="749"/>
    <n v="749"/>
    <s v="DSL"/>
    <d v="2025-08-10T00:00:00"/>
    <s v="Yes"/>
    <n v="1"/>
    <s v="No"/>
    <s v="No"/>
    <s v="No"/>
    <s v="No"/>
    <s v="No"/>
  </r>
  <r>
    <s v="C2261"/>
    <s v="Aditi Desai"/>
    <s v="Female"/>
    <n v="68"/>
    <x v="2"/>
    <x v="13"/>
    <s v="Month-to-month"/>
    <n v="2"/>
    <x v="4"/>
    <n v="1299"/>
    <n v="2598"/>
    <s v="Fiber"/>
    <d v="2025-07-28T00:00:00"/>
    <s v="Yes"/>
    <n v="1"/>
    <s v="No"/>
    <s v="No"/>
    <s v="No"/>
    <s v="No"/>
    <s v="No"/>
  </r>
  <r>
    <s v="C2262"/>
    <s v="Tanvi Agarwal"/>
    <s v="Female"/>
    <n v="75"/>
    <x v="2"/>
    <x v="11"/>
    <s v="Month-to-month"/>
    <n v="24"/>
    <x v="0"/>
    <n v="1149"/>
    <n v="27576"/>
    <s v="Fiber"/>
    <d v="2023-09-30T00:00:00"/>
    <s v="Yes"/>
    <n v="1"/>
    <s v="No"/>
    <s v="No"/>
    <s v="No"/>
    <s v="No"/>
    <s v="No"/>
  </r>
  <r>
    <s v="C2263"/>
    <s v="Deepika Patel"/>
    <s v="Female"/>
    <n v="52"/>
    <x v="1"/>
    <x v="3"/>
    <s v="Two year"/>
    <n v="56"/>
    <x v="3"/>
    <n v="1149"/>
    <n v="64344"/>
    <s v="Fiber"/>
    <d v="2021-02-05T00:00:00"/>
    <s v="No"/>
    <n v="0"/>
    <s v="No"/>
    <s v="No"/>
    <s v="No"/>
    <s v="No"/>
    <s v="No"/>
  </r>
  <r>
    <s v="C2264"/>
    <s v="Sneha Mehta"/>
    <s v="Female"/>
    <n v="24"/>
    <x v="4"/>
    <x v="7"/>
    <s v="Unknown"/>
    <n v="41"/>
    <x v="1"/>
    <n v="399"/>
    <n v="16359"/>
    <s v="No Internet"/>
    <d v="2022-04-29T00:00:00"/>
    <s v="No"/>
    <n v="0"/>
    <s v="No"/>
    <s v="No"/>
    <s v="No"/>
    <s v="No"/>
    <s v="No"/>
  </r>
  <r>
    <s v="C2265"/>
    <s v="Amit Rao"/>
    <s v="Male"/>
    <n v="31"/>
    <x v="0"/>
    <x v="14"/>
    <s v="Month-to-month"/>
    <n v="8"/>
    <x v="2"/>
    <n v="849"/>
    <n v="6792"/>
    <s v="DSL"/>
    <d v="2025-01-19T00:00:00"/>
    <s v="No"/>
    <n v="0"/>
    <s v="No"/>
    <s v="No"/>
    <s v="No"/>
    <s v="No"/>
    <s v="No"/>
  </r>
  <r>
    <s v="C2266"/>
    <s v="Aman Rao"/>
    <s v="Male"/>
    <n v="20"/>
    <x v="4"/>
    <x v="8"/>
    <s v="Month-to-month"/>
    <n v="22"/>
    <x v="0"/>
    <n v="699"/>
    <n v="15378"/>
    <s v="DSL"/>
    <d v="2023-11-10T00:00:00"/>
    <s v="No"/>
    <n v="0"/>
    <s v="No"/>
    <s v="No"/>
    <s v="No"/>
    <s v="Yes"/>
    <s v="No"/>
  </r>
  <r>
    <s v="C2267"/>
    <s v="Deepika Chopra"/>
    <s v="Female"/>
    <n v="65"/>
    <x v="2"/>
    <x v="5"/>
    <s v="Month-to-month"/>
    <n v="14"/>
    <x v="0"/>
    <n v="749"/>
    <n v="10486"/>
    <s v="DSL"/>
    <d v="2024-07-20T00:00:00"/>
    <s v="No"/>
    <n v="0"/>
    <s v="No"/>
    <s v="No"/>
    <s v="No"/>
    <s v="No"/>
    <s v="No"/>
  </r>
  <r>
    <s v="C2268"/>
    <s v="Riya Sharma"/>
    <s v="Female"/>
    <n v="58"/>
    <x v="1"/>
    <x v="14"/>
    <s v="Month-to-month"/>
    <n v="15"/>
    <x v="0"/>
    <n v="1199"/>
    <n v="17985"/>
    <s v="Fiber"/>
    <d v="2024-07-02T00:00:00"/>
    <s v="Yes"/>
    <n v="1"/>
    <s v="No"/>
    <s v="No"/>
    <s v="No"/>
    <s v="No"/>
    <s v="No"/>
  </r>
  <r>
    <s v="C2269"/>
    <s v="Arjun Desai"/>
    <s v="Unknown"/>
    <n v="22"/>
    <x v="4"/>
    <x v="8"/>
    <s v="Month-to-month"/>
    <n v="24"/>
    <x v="0"/>
    <n v="699"/>
    <n v="16776"/>
    <s v="DSL"/>
    <d v="2023-09-30T00:00:00"/>
    <s v="Yes"/>
    <n v="1"/>
    <s v="No"/>
    <s v="Yes"/>
    <s v="No"/>
    <s v="No"/>
    <s v="No"/>
  </r>
  <r>
    <s v="C2270"/>
    <s v="Tanvi Malhotra"/>
    <s v="Female"/>
    <n v="24"/>
    <x v="4"/>
    <x v="13"/>
    <s v="Month-to-month"/>
    <n v="7"/>
    <x v="2"/>
    <n v="499"/>
    <n v="3493"/>
    <s v="No Internet"/>
    <d v="2025-02-14T00:00:00"/>
    <s v="Yes"/>
    <n v="1"/>
    <s v="No"/>
    <s v="No"/>
    <s v="Yes"/>
    <s v="No"/>
    <s v="No"/>
  </r>
  <r>
    <s v="C2271"/>
    <s v="Gaurav Desai"/>
    <s v="Male"/>
    <n v="24"/>
    <x v="4"/>
    <x v="4"/>
    <s v="Month-to-month"/>
    <n v="6"/>
    <x v="4"/>
    <n v="349"/>
    <n v="2094"/>
    <s v="No Internet"/>
    <d v="2025-03-13T00:00:00"/>
    <s v="Yes"/>
    <n v="1"/>
    <s v="No"/>
    <s v="No"/>
    <s v="No"/>
    <s v="No"/>
    <s v="No"/>
  </r>
  <r>
    <s v="C2272"/>
    <s v="Shreya Agarwal"/>
    <s v="Female"/>
    <n v="27"/>
    <x v="0"/>
    <x v="7"/>
    <s v="One year"/>
    <n v="33"/>
    <x v="1"/>
    <n v="899"/>
    <n v="29667"/>
    <s v="DSL"/>
    <d v="2023-01-11T00:00:00"/>
    <s v="No"/>
    <n v="0"/>
    <s v="No"/>
    <s v="No"/>
    <s v="No"/>
    <s v="No"/>
    <s v="No"/>
  </r>
  <r>
    <s v="C2273"/>
    <s v="Rohit Joshi"/>
    <s v="Male"/>
    <n v="73"/>
    <x v="2"/>
    <x v="5"/>
    <s v="Two year"/>
    <n v="26"/>
    <x v="1"/>
    <n v="899"/>
    <n v="23374"/>
    <s v="Fiber"/>
    <d v="2023-08-01T00:00:00"/>
    <s v="No"/>
    <n v="0"/>
    <s v="No"/>
    <s v="No"/>
    <s v="No"/>
    <s v="No"/>
    <s v="No"/>
  </r>
  <r>
    <s v="C2274"/>
    <s v="Manish Gupta"/>
    <s v="Male"/>
    <n v="58"/>
    <x v="1"/>
    <x v="0"/>
    <s v="Month-to-month"/>
    <n v="1"/>
    <x v="4"/>
    <n v="1099"/>
    <n v="1099"/>
    <s v="Fiber"/>
    <d v="2025-08-10T00:00:00"/>
    <s v="No"/>
    <n v="0"/>
    <s v="No"/>
    <s v="No"/>
    <s v="No"/>
    <s v="No"/>
    <s v="No"/>
  </r>
  <r>
    <s v="C2275"/>
    <s v="Sonal Gupta"/>
    <s v="Female"/>
    <n v="47"/>
    <x v="1"/>
    <x v="1"/>
    <s v="Two year"/>
    <n v="9"/>
    <x v="2"/>
    <n v="749"/>
    <n v="6741"/>
    <s v="DSL"/>
    <d v="2024-12-09T00:00:00"/>
    <s v="Yes"/>
    <n v="1"/>
    <s v="Yes"/>
    <s v="No"/>
    <s v="Yes"/>
    <s v="No"/>
    <s v="No"/>
  </r>
  <r>
    <s v="C2276"/>
    <s v="Nikhil Patel"/>
    <s v="Male"/>
    <n v="20"/>
    <x v="4"/>
    <x v="8"/>
    <s v="Two year"/>
    <n v="1"/>
    <x v="4"/>
    <n v="899"/>
    <n v="899"/>
    <s v="Fiber"/>
    <d v="2025-08-17T00:00:00"/>
    <s v="Yes"/>
    <n v="1"/>
    <s v="No"/>
    <s v="No"/>
    <s v="No"/>
    <s v="No"/>
    <s v="No"/>
  </r>
  <r>
    <s v="C2277"/>
    <s v="Manish Chopra"/>
    <s v="Male"/>
    <n v="20"/>
    <x v="4"/>
    <x v="11"/>
    <s v="Month-to-month"/>
    <n v="16"/>
    <x v="0"/>
    <n v="799"/>
    <n v="12784"/>
    <s v="DSL"/>
    <d v="2024-05-17T00:00:00"/>
    <s v="Yes"/>
    <n v="1"/>
    <s v="No"/>
    <s v="No"/>
    <s v="No"/>
    <s v="No"/>
    <s v="No"/>
  </r>
  <r>
    <s v="C2278"/>
    <s v="Shreya Agarwal"/>
    <s v="Female"/>
    <n v="33"/>
    <x v="0"/>
    <x v="9"/>
    <s v="Month-to-month"/>
    <n v="21"/>
    <x v="0"/>
    <n v="749"/>
    <n v="15729"/>
    <s v="DSL"/>
    <d v="2023-12-10T00:00:00"/>
    <s v="No"/>
    <n v="0"/>
    <s v="No"/>
    <s v="No"/>
    <s v="No"/>
    <s v="No"/>
    <s v="No"/>
  </r>
  <r>
    <s v="C2279"/>
    <s v="Ritu Singh"/>
    <s v="Female"/>
    <n v="36"/>
    <x v="3"/>
    <x v="9"/>
    <s v="Unknown"/>
    <n v="25"/>
    <x v="1"/>
    <n v="449"/>
    <n v="11225"/>
    <s v="Unknown"/>
    <d v="2023-08-27T00:00:00"/>
    <s v="No"/>
    <n v="0"/>
    <s v="No"/>
    <s v="No"/>
    <s v="No"/>
    <s v="No"/>
    <s v="No"/>
  </r>
  <r>
    <s v="C2280"/>
    <s v="Pooja Verma"/>
    <s v="Female"/>
    <n v="47"/>
    <x v="1"/>
    <x v="12"/>
    <s v="One year"/>
    <n v="15"/>
    <x v="0"/>
    <n v="999"/>
    <n v="14985"/>
    <s v="Fiber"/>
    <d v="2024-06-23T00:00:00"/>
    <s v="No"/>
    <n v="0"/>
    <s v="No"/>
    <s v="No"/>
    <s v="No"/>
    <s v="No"/>
    <s v="No"/>
  </r>
  <r>
    <s v="C2281"/>
    <s v="Nisha Kapoor"/>
    <s v="Female"/>
    <n v="64"/>
    <x v="2"/>
    <x v="7"/>
    <s v="Month-to-month"/>
    <n v="12"/>
    <x v="2"/>
    <n v="1049"/>
    <n v="12588"/>
    <s v="Fiber"/>
    <d v="2024-09-17T00:00:00"/>
    <s v="Yes"/>
    <n v="1"/>
    <s v="No"/>
    <s v="No"/>
    <s v="No"/>
    <s v="No"/>
    <s v="No"/>
  </r>
  <r>
    <s v="C2282"/>
    <s v="Manish Mehta"/>
    <s v="Male"/>
    <n v="63"/>
    <x v="2"/>
    <x v="0"/>
    <s v="One year"/>
    <n v="40"/>
    <x v="1"/>
    <n v="549"/>
    <n v="21960"/>
    <s v="No Internet"/>
    <d v="2022-05-22T00:00:00"/>
    <s v="No"/>
    <n v="0"/>
    <s v="No"/>
    <s v="No"/>
    <s v="No"/>
    <s v="No"/>
    <s v="No"/>
  </r>
  <r>
    <s v="C2283"/>
    <s v="Isha Chopra"/>
    <s v="Female"/>
    <n v="37"/>
    <x v="3"/>
    <x v="0"/>
    <s v="Month-to-month"/>
    <n v="18"/>
    <x v="0"/>
    <n v="1099"/>
    <n v="19782"/>
    <s v="Fiber"/>
    <d v="2024-03-13T00:00:00"/>
    <s v="No"/>
    <n v="0"/>
    <s v="No"/>
    <s v="No"/>
    <s v="No"/>
    <s v="No"/>
    <s v="No"/>
  </r>
  <r>
    <s v="C2284"/>
    <s v="Unknown"/>
    <s v="Female"/>
    <n v="31"/>
    <x v="0"/>
    <x v="2"/>
    <s v="One year"/>
    <n v="25"/>
    <x v="1"/>
    <n v="799"/>
    <n v="19975"/>
    <s v="DSL"/>
    <d v="2023-09-09T00:00:00"/>
    <s v="No"/>
    <n v="0"/>
    <s v="No"/>
    <s v="No"/>
    <s v="No"/>
    <s v="No"/>
    <s v="No"/>
  </r>
  <r>
    <s v="C2285"/>
    <s v="Deepak Bose"/>
    <s v="Male"/>
    <n v="60"/>
    <x v="1"/>
    <x v="8"/>
    <s v="Month-to-month"/>
    <n v="19"/>
    <x v="0"/>
    <n v="999"/>
    <n v="18981"/>
    <s v="Fiber"/>
    <d v="2024-02-11T00:00:00"/>
    <s v="No"/>
    <n v="0"/>
    <s v="No"/>
    <s v="No"/>
    <s v="No"/>
    <s v="No"/>
    <s v="No"/>
  </r>
  <r>
    <s v="C2286"/>
    <s v="Unknown"/>
    <s v="Male"/>
    <n v="38"/>
    <x v="3"/>
    <x v="7"/>
    <s v="Month-to-month"/>
    <n v="16"/>
    <x v="0"/>
    <n v="1149"/>
    <n v="18384"/>
    <s v="Fiber"/>
    <d v="2024-05-16T00:00:00"/>
    <s v="No"/>
    <n v="0"/>
    <s v="No"/>
    <s v="No"/>
    <s v="No"/>
    <s v="No"/>
    <s v="No"/>
  </r>
  <r>
    <s v="C2287"/>
    <s v="Karan Kumar"/>
    <s v="Male"/>
    <n v="23"/>
    <x v="4"/>
    <x v="3"/>
    <s v="Month-to-month"/>
    <n v="2"/>
    <x v="4"/>
    <n v="349"/>
    <n v="698"/>
    <s v="No Internet"/>
    <d v="2025-07-02T00:00:00"/>
    <s v="Yes"/>
    <n v="1"/>
    <s v="No"/>
    <s v="No"/>
    <s v="No"/>
    <s v="No"/>
    <s v="No"/>
  </r>
  <r>
    <s v="C2288"/>
    <s v="Deepika Agarwal"/>
    <s v="Female"/>
    <n v="27"/>
    <x v="0"/>
    <x v="0"/>
    <s v="Month-to-month"/>
    <n v="20"/>
    <x v="0"/>
    <n v="699"/>
    <n v="13980"/>
    <s v="DSL"/>
    <d v="2024-01-15T00:00:00"/>
    <s v="No"/>
    <n v="0"/>
    <s v="No"/>
    <s v="No"/>
    <s v="No"/>
    <s v="No"/>
    <s v="No"/>
  </r>
  <r>
    <s v="C2289"/>
    <s v="Harsh Iyer"/>
    <s v="Male"/>
    <n v="24"/>
    <x v="4"/>
    <x v="13"/>
    <s v="One year"/>
    <n v="10"/>
    <x v="2"/>
    <n v="349"/>
    <n v="3490"/>
    <s v="No Internet"/>
    <d v="2024-11-13T00:00:00"/>
    <s v="Unknown"/>
    <s v=""/>
    <s v="No"/>
    <s v="No"/>
    <s v="No"/>
    <s v="No"/>
    <s v="Churn unknown"/>
  </r>
  <r>
    <s v="C2290"/>
    <s v="Meera Mishra"/>
    <s v="Female"/>
    <n v="53"/>
    <x v="1"/>
    <x v="9"/>
    <s v="Month-to-month"/>
    <n v="23"/>
    <x v="0"/>
    <n v="349"/>
    <n v="8027"/>
    <s v="No Internet"/>
    <d v="2023-11-04T00:00:00"/>
    <s v="No"/>
    <n v="0"/>
    <s v="No"/>
    <s v="No"/>
    <s v="No"/>
    <s v="No"/>
    <s v="No"/>
  </r>
  <r>
    <s v="C2291"/>
    <s v="Anjali Verma"/>
    <s v="Female"/>
    <n v="26"/>
    <x v="0"/>
    <x v="12"/>
    <s v="Month-to-month"/>
    <n v="1"/>
    <x v="4"/>
    <n v="1199"/>
    <n v="1199"/>
    <s v="Fiber"/>
    <d v="2025-08-11T00:00:00"/>
    <s v="No"/>
    <n v="0"/>
    <s v="No"/>
    <s v="No"/>
    <s v="No"/>
    <s v="No"/>
    <s v="No"/>
  </r>
  <r>
    <s v="C2292"/>
    <s v="Ankit Sharma"/>
    <s v="Male"/>
    <n v="49"/>
    <x v="1"/>
    <x v="9"/>
    <s v="One year"/>
    <n v="6"/>
    <x v="4"/>
    <n v="399"/>
    <n v="2394"/>
    <s v="No Internet"/>
    <d v="2025-03-23T00:00:00"/>
    <s v="Yes"/>
    <n v="1"/>
    <s v="No"/>
    <s v="No"/>
    <s v="No"/>
    <s v="No"/>
    <s v="No"/>
  </r>
  <r>
    <s v="C2293"/>
    <s v="Pooja Reddy"/>
    <s v="Female"/>
    <n v="68"/>
    <x v="2"/>
    <x v="10"/>
    <s v="Month-to-month"/>
    <n v="10"/>
    <x v="2"/>
    <n v="1299"/>
    <n v="12990"/>
    <s v="Fiber"/>
    <d v="2024-11-07T00:00:00"/>
    <s v="Unknown"/>
    <s v=""/>
    <s v="No"/>
    <s v="No"/>
    <s v="No"/>
    <s v="No"/>
    <s v="Churn unknown"/>
  </r>
  <r>
    <s v="C2294"/>
    <s v="Priya Yadav"/>
    <s v="Female"/>
    <n v="47"/>
    <x v="1"/>
    <x v="11"/>
    <s v="Month-to-month"/>
    <n v="9"/>
    <x v="2"/>
    <n v="649"/>
    <n v="5841"/>
    <s v="DSL"/>
    <d v="2024-12-04T00:00:00"/>
    <s v="No"/>
    <n v="0"/>
    <s v="Yes"/>
    <s v="No"/>
    <s v="No"/>
    <s v="No"/>
    <s v="No"/>
  </r>
  <r>
    <s v="C2295"/>
    <s v="Gaurav Joshi"/>
    <s v="Male"/>
    <n v="75"/>
    <x v="2"/>
    <x v="8"/>
    <s v="Month-to-month"/>
    <n v="10"/>
    <x v="2"/>
    <n v="699"/>
    <n v="6990"/>
    <s v="DSL"/>
    <d v="2024-11-24T00:00:00"/>
    <s v="Yes"/>
    <n v="1"/>
    <s v="No"/>
    <s v="No"/>
    <s v="No"/>
    <s v="No"/>
    <s v="No"/>
  </r>
  <r>
    <s v="C2296"/>
    <s v="Neha Joshi"/>
    <s v="Female"/>
    <n v="53"/>
    <x v="1"/>
    <x v="3"/>
    <s v="Month-to-month"/>
    <n v="20"/>
    <x v="0"/>
    <n v="549"/>
    <n v="10980"/>
    <s v="No Internet"/>
    <d v="2024-01-25T00:00:00"/>
    <s v="Yes"/>
    <n v="1"/>
    <s v="No"/>
    <s v="No"/>
    <s v="No"/>
    <s v="Yes"/>
    <s v="No"/>
  </r>
  <r>
    <s v="C2297"/>
    <s v="Gaurav Rao"/>
    <s v="Male"/>
    <n v="42"/>
    <x v="3"/>
    <x v="3"/>
    <s v="One year"/>
    <n v="25"/>
    <x v="1"/>
    <n v="699"/>
    <n v="17475"/>
    <s v="DSL"/>
    <d v="2023-08-15T00:00:00"/>
    <s v="No"/>
    <n v="0"/>
    <s v="No"/>
    <s v="No"/>
    <s v="No"/>
    <s v="No"/>
    <s v="No"/>
  </r>
  <r>
    <s v="C2298"/>
    <s v="Nisha Pandey"/>
    <s v="Female"/>
    <n v="39"/>
    <x v="3"/>
    <x v="8"/>
    <s v="Two year"/>
    <n v="71"/>
    <x v="3"/>
    <n v="1099"/>
    <n v="78029"/>
    <s v="Fiber"/>
    <d v="2019-10-31T00:00:00"/>
    <s v="No"/>
    <n v="0"/>
    <s v="No"/>
    <s v="No"/>
    <s v="No"/>
    <s v="No"/>
    <s v="No"/>
  </r>
  <r>
    <s v="C2299"/>
    <s v="Unknown"/>
    <s v="Female"/>
    <n v="38"/>
    <x v="3"/>
    <x v="6"/>
    <s v="Month-to-month"/>
    <n v="5"/>
    <x v="4"/>
    <n v="899"/>
    <n v="4495"/>
    <s v="DSL"/>
    <d v="2025-04-26T00:00:00"/>
    <s v="Yes"/>
    <n v="1"/>
    <s v="No"/>
    <s v="No"/>
    <s v="No"/>
    <s v="Yes"/>
    <s v="No"/>
  </r>
  <r>
    <s v="C2300"/>
    <s v="Neha Singh"/>
    <s v="Female"/>
    <n v="54"/>
    <x v="1"/>
    <x v="13"/>
    <s v="Month-to-month"/>
    <n v="3"/>
    <x v="4"/>
    <n v="599"/>
    <n v="1797"/>
    <s v="DSL"/>
    <d v="2025-06-20T00:00:00"/>
    <s v="No"/>
    <n v="0"/>
    <s v="No"/>
    <s v="No"/>
    <s v="No"/>
    <s v="No"/>
    <s v="No"/>
  </r>
  <r>
    <s v="C2301"/>
    <s v="Rohit Bose"/>
    <s v="Male"/>
    <n v="58"/>
    <x v="1"/>
    <x v="6"/>
    <s v="Two year"/>
    <n v="43"/>
    <x v="1"/>
    <n v="1199"/>
    <n v="51557"/>
    <s v="Fiber"/>
    <d v="2022-03-17T00:00:00"/>
    <s v="No"/>
    <n v="0"/>
    <s v="No"/>
    <s v="No"/>
    <s v="No"/>
    <s v="No"/>
    <s v="No"/>
  </r>
  <r>
    <s v="C2302"/>
    <s v="Sanjay Agarwal"/>
    <s v="Male"/>
    <n v="23"/>
    <x v="4"/>
    <x v="8"/>
    <s v="Month-to-month"/>
    <n v="1"/>
    <x v="4"/>
    <n v="399"/>
    <n v="399"/>
    <s v="No Internet"/>
    <d v="2025-08-07T00:00:00"/>
    <s v="Yes"/>
    <n v="1"/>
    <s v="No"/>
    <s v="No"/>
    <s v="No"/>
    <s v="No"/>
    <s v="No"/>
  </r>
  <r>
    <s v="C2303"/>
    <s v="Deepak Joshi"/>
    <s v="Male"/>
    <n v="58"/>
    <x v="1"/>
    <x v="1"/>
    <s v="Month-to-month"/>
    <n v="23"/>
    <x v="0"/>
    <n v="399"/>
    <n v="9177"/>
    <s v="Unknown"/>
    <d v="2023-10-16T00:00:00"/>
    <s v="No"/>
    <n v="0"/>
    <s v="No"/>
    <s v="No"/>
    <s v="Yes"/>
    <s v="No"/>
    <s v="No"/>
  </r>
  <r>
    <s v="C2304"/>
    <s v="Ankit Gupta"/>
    <s v="Male"/>
    <n v="50"/>
    <x v="1"/>
    <x v="3"/>
    <s v="Month-to-month"/>
    <n v="9"/>
    <x v="2"/>
    <n v="549"/>
    <n v="4941"/>
    <s v="No Internet"/>
    <d v="2024-12-10T00:00:00"/>
    <s v="No"/>
    <n v="0"/>
    <s v="No"/>
    <s v="No"/>
    <s v="No"/>
    <s v="No"/>
    <s v="No"/>
  </r>
  <r>
    <s v="C2305"/>
    <s v="Vikram Mehta"/>
    <s v="Male"/>
    <n v="29"/>
    <x v="0"/>
    <x v="6"/>
    <s v="Month-to-month"/>
    <n v="6"/>
    <x v="4"/>
    <n v="549"/>
    <n v="3294"/>
    <s v="No Internet"/>
    <d v="2025-03-19T00:00:00"/>
    <s v="Yes"/>
    <n v="1"/>
    <s v="No"/>
    <s v="No"/>
    <s v="No"/>
    <s v="No"/>
    <s v="No"/>
  </r>
  <r>
    <s v="C2306"/>
    <s v="Deepika Tiwari"/>
    <s v="Female"/>
    <n v="34"/>
    <x v="0"/>
    <x v="6"/>
    <s v="Month-to-month"/>
    <n v="1"/>
    <x v="4"/>
    <n v="849"/>
    <n v="849"/>
    <s v="DSL"/>
    <d v="2025-08-24T00:00:00"/>
    <s v="Yes"/>
    <n v="1"/>
    <s v="No"/>
    <s v="No"/>
    <s v="No"/>
    <s v="No"/>
    <s v="No"/>
  </r>
  <r>
    <s v="C2307"/>
    <s v="Amit Kumar"/>
    <s v="Unknown"/>
    <n v="49"/>
    <x v="1"/>
    <x v="2"/>
    <s v="Two year"/>
    <n v="56"/>
    <x v="3"/>
    <n v="599"/>
    <n v="33544"/>
    <s v="DSL"/>
    <d v="2021-01-29T00:00:00"/>
    <s v="Yes"/>
    <n v="1"/>
    <s v="No"/>
    <s v="No"/>
    <s v="No"/>
    <s v="No"/>
    <s v="No"/>
  </r>
  <r>
    <s v="C2308"/>
    <s v="Nikhil Bose"/>
    <s v="Male"/>
    <n v="67"/>
    <x v="2"/>
    <x v="2"/>
    <s v="One year"/>
    <n v="5"/>
    <x v="4"/>
    <n v="1049"/>
    <n v="5245"/>
    <s v="Fiber"/>
    <d v="2025-04-08T00:00:00"/>
    <s v="No"/>
    <n v="0"/>
    <s v="No"/>
    <s v="No"/>
    <s v="No"/>
    <s v="No"/>
    <s v="No"/>
  </r>
  <r>
    <s v="C2309"/>
    <s v="Isha Desai"/>
    <s v="Female"/>
    <n v="37"/>
    <x v="3"/>
    <x v="13"/>
    <s v="Month-to-month"/>
    <n v="24"/>
    <x v="0"/>
    <n v="999"/>
    <n v="23976"/>
    <s v="Fiber"/>
    <d v="2023-09-17T00:00:00"/>
    <s v="Yes"/>
    <n v="1"/>
    <s v="No"/>
    <s v="No"/>
    <s v="No"/>
    <s v="No"/>
    <s v="No"/>
  </r>
  <r>
    <s v="C2310"/>
    <s v="Nisha Kapoor"/>
    <s v="Female"/>
    <n v="74"/>
    <x v="2"/>
    <x v="7"/>
    <s v="Month-to-month"/>
    <n v="13"/>
    <x v="0"/>
    <n v="1299"/>
    <n v="16887"/>
    <s v="Fiber"/>
    <d v="2024-08-30T00:00:00"/>
    <s v="Yes"/>
    <n v="1"/>
    <s v="No"/>
    <s v="No"/>
    <s v="No"/>
    <s v="No"/>
    <s v="No"/>
  </r>
  <r>
    <s v="C2311"/>
    <s v="Nisha Sharma"/>
    <s v="Female"/>
    <n v="73"/>
    <x v="2"/>
    <x v="8"/>
    <s v="One year"/>
    <n v="10"/>
    <x v="2"/>
    <n v="1049"/>
    <n v="10490"/>
    <s v="Fiber"/>
    <d v="2024-11-06T00:00:00"/>
    <s v="No"/>
    <n v="0"/>
    <s v="No"/>
    <s v="No"/>
    <s v="No"/>
    <s v="No"/>
    <s v="No"/>
  </r>
  <r>
    <s v="C2312"/>
    <s v="Rohit Bose"/>
    <s v="Male"/>
    <n v="29"/>
    <x v="0"/>
    <x v="0"/>
    <s v="Month-to-month"/>
    <n v="5"/>
    <x v="4"/>
    <n v="1049"/>
    <n v="5245"/>
    <s v="Fiber"/>
    <d v="2025-04-19T00:00:00"/>
    <s v="Yes"/>
    <n v="1"/>
    <s v="No"/>
    <s v="No"/>
    <s v="No"/>
    <s v="No"/>
    <s v="No"/>
  </r>
  <r>
    <s v="C2313"/>
    <s v="Harsh Mishra"/>
    <s v="Male"/>
    <n v="35"/>
    <x v="0"/>
    <x v="0"/>
    <s v="Month-to-month"/>
    <n v="16"/>
    <x v="0"/>
    <n v="1099"/>
    <n v="17584"/>
    <s v="Fiber"/>
    <d v="2024-05-15T00:00:00"/>
    <s v="No"/>
    <n v="0"/>
    <s v="No"/>
    <s v="No"/>
    <s v="No"/>
    <s v="No"/>
    <s v="No"/>
  </r>
  <r>
    <s v="C2314"/>
    <s v="Aman Reddy"/>
    <s v="Male"/>
    <n v="22"/>
    <x v="4"/>
    <x v="2"/>
    <s v="One year"/>
    <n v="10"/>
    <x v="2"/>
    <n v="1149"/>
    <n v="11490"/>
    <s v="Fiber"/>
    <d v="2024-11-19T00:00:00"/>
    <s v="No"/>
    <n v="0"/>
    <s v="No"/>
    <s v="No"/>
    <s v="No"/>
    <s v="No"/>
    <s v="No"/>
  </r>
  <r>
    <s v="C2315"/>
    <s v="Priya Iyer"/>
    <s v="Female"/>
    <n v="58"/>
    <x v="1"/>
    <x v="10"/>
    <s v="Month-to-month"/>
    <n v="20"/>
    <x v="0"/>
    <n v="749"/>
    <n v="14980"/>
    <s v="DSL"/>
    <d v="2024-01-21T00:00:00"/>
    <s v="No"/>
    <n v="0"/>
    <s v="No"/>
    <s v="No"/>
    <s v="No"/>
    <s v="No"/>
    <s v="No"/>
  </r>
  <r>
    <s v="C2316"/>
    <s v="Swati Agarwal"/>
    <s v="Female"/>
    <n v="41"/>
    <x v="3"/>
    <x v="13"/>
    <s v="One year"/>
    <n v="37"/>
    <x v="1"/>
    <n v="749"/>
    <n v="27713"/>
    <s v="DSL"/>
    <d v="2022-09-01T00:00:00"/>
    <s v="No"/>
    <n v="0"/>
    <s v="No"/>
    <s v="No"/>
    <s v="No"/>
    <s v="No"/>
    <s v="No"/>
  </r>
  <r>
    <s v="C2317"/>
    <s v="Sanjay Joshi"/>
    <s v="Male"/>
    <n v="62"/>
    <x v="2"/>
    <x v="0"/>
    <s v="Two year"/>
    <n v="61"/>
    <x v="3"/>
    <n v="549"/>
    <n v="33489"/>
    <s v="No Internet"/>
    <d v="2020-08-30T00:00:00"/>
    <s v="No"/>
    <n v="0"/>
    <s v="No"/>
    <s v="No"/>
    <s v="No"/>
    <s v="No"/>
    <s v="No"/>
  </r>
  <r>
    <s v="C2318"/>
    <s v="Deepika Singh"/>
    <s v="Female"/>
    <n v="38"/>
    <x v="3"/>
    <x v="13"/>
    <s v="One year"/>
    <n v="15"/>
    <x v="0"/>
    <n v="549"/>
    <n v="8235"/>
    <s v="No Internet"/>
    <d v="2024-06-09T00:00:00"/>
    <s v="No"/>
    <n v="0"/>
    <s v="No"/>
    <s v="No"/>
    <s v="No"/>
    <s v="No"/>
    <s v="No"/>
  </r>
  <r>
    <s v="C2319"/>
    <s v="Unknown"/>
    <s v="Male"/>
    <n v="48"/>
    <x v="1"/>
    <x v="3"/>
    <s v="Month-to-month"/>
    <n v="13"/>
    <x v="0"/>
    <n v="549"/>
    <n v="7137"/>
    <s v="No Internet"/>
    <d v="2024-08-18T00:00:00"/>
    <s v="Yes"/>
    <n v="1"/>
    <s v="No"/>
    <s v="No"/>
    <s v="No"/>
    <s v="No"/>
    <s v="No"/>
  </r>
  <r>
    <s v="C2320"/>
    <s v="Shreya Yadav"/>
    <s v="Female"/>
    <n v="75"/>
    <x v="2"/>
    <x v="14"/>
    <s v="Month-to-month"/>
    <n v="7"/>
    <x v="2"/>
    <n v="1299"/>
    <n v="9093"/>
    <s v="Fiber"/>
    <d v="2025-02-19T00:00:00"/>
    <s v="No"/>
    <n v="0"/>
    <s v="No"/>
    <s v="No"/>
    <s v="Yes"/>
    <s v="No"/>
    <s v="No"/>
  </r>
  <r>
    <s v="C2321"/>
    <s v="Gaurav Nair"/>
    <s v="Male"/>
    <n v="32"/>
    <x v="0"/>
    <x v="9"/>
    <s v="Month-to-month"/>
    <n v="20"/>
    <x v="0"/>
    <n v="1149"/>
    <n v="22980"/>
    <s v="Fiber"/>
    <d v="2024-01-27T00:00:00"/>
    <s v="Unknown"/>
    <s v=""/>
    <s v="No"/>
    <s v="No"/>
    <s v="No"/>
    <s v="No"/>
    <s v="Churn unknown"/>
  </r>
  <r>
    <s v="C2322"/>
    <s v="Swati Yadav"/>
    <s v="Female"/>
    <n v="74"/>
    <x v="2"/>
    <x v="1"/>
    <s v="Month-to-month"/>
    <n v="7"/>
    <x v="2"/>
    <n v="349"/>
    <n v="2443"/>
    <s v="No Internet"/>
    <d v="2025-03-01T00:00:00"/>
    <s v="Yes"/>
    <n v="1"/>
    <s v="No"/>
    <s v="Yes"/>
    <s v="No"/>
    <s v="No"/>
    <s v="No"/>
  </r>
  <r>
    <s v="C2323"/>
    <s v="Mohit Jain"/>
    <s v="Male"/>
    <n v="36"/>
    <x v="3"/>
    <x v="0"/>
    <s v="One year"/>
    <n v="1"/>
    <x v="4"/>
    <n v="1049"/>
    <n v="1049"/>
    <s v="Fiber"/>
    <d v="2025-08-29T00:00:00"/>
    <s v="Yes"/>
    <n v="1"/>
    <s v="No"/>
    <s v="No"/>
    <s v="No"/>
    <s v="No"/>
    <s v="No"/>
  </r>
  <r>
    <s v="C2324"/>
    <s v="Vivek Kumar"/>
    <s v="Male"/>
    <n v="41"/>
    <x v="3"/>
    <x v="7"/>
    <s v="One year"/>
    <n v="29"/>
    <x v="1"/>
    <n v="549"/>
    <n v="15921"/>
    <s v="No Internet"/>
    <d v="2023-04-28T00:00:00"/>
    <s v="No"/>
    <n v="0"/>
    <s v="No"/>
    <s v="No"/>
    <s v="No"/>
    <s v="No"/>
    <s v="No"/>
  </r>
  <r>
    <s v="C2325"/>
    <s v="Anjali Malhotra"/>
    <s v="Female"/>
    <n v="47"/>
    <x v="1"/>
    <x v="5"/>
    <s v="Month-to-month"/>
    <n v="10"/>
    <x v="2"/>
    <n v="1149"/>
    <n v="11490"/>
    <s v="Fiber"/>
    <d v="2024-12-02T00:00:00"/>
    <s v="Yes"/>
    <n v="1"/>
    <s v="No"/>
    <s v="No"/>
    <s v="No"/>
    <s v="No"/>
    <s v="No"/>
  </r>
  <r>
    <s v="C2326"/>
    <s v="Amit Joshi"/>
    <s v="Male"/>
    <n v="53"/>
    <x v="1"/>
    <x v="7"/>
    <s v="Month-to-month"/>
    <n v="24"/>
    <x v="0"/>
    <n v="749"/>
    <n v="17976"/>
    <s v="DSL"/>
    <d v="2023-09-19T00:00:00"/>
    <s v="No"/>
    <n v="0"/>
    <s v="No"/>
    <s v="No"/>
    <s v="No"/>
    <s v="No"/>
    <s v="No"/>
  </r>
  <r>
    <s v="C2327"/>
    <s v="Divya Gupta"/>
    <s v="Female"/>
    <n v="38"/>
    <x v="3"/>
    <x v="11"/>
    <s v="Two year"/>
    <n v="37"/>
    <x v="1"/>
    <n v="699"/>
    <n v="25863"/>
    <s v="DSL"/>
    <d v="2022-08-29T00:00:00"/>
    <s v="Yes"/>
    <n v="1"/>
    <s v="No"/>
    <s v="No"/>
    <s v="No"/>
    <s v="No"/>
    <s v="No"/>
  </r>
  <r>
    <s v="C2328"/>
    <s v="Rohit Desai"/>
    <s v="Male"/>
    <n v="22"/>
    <x v="4"/>
    <x v="4"/>
    <s v="Month-to-month"/>
    <n v="6"/>
    <x v="4"/>
    <n v="849"/>
    <n v="5094"/>
    <s v="DSL"/>
    <d v="2025-03-21T00:00:00"/>
    <s v="No"/>
    <n v="0"/>
    <s v="No"/>
    <s v="No"/>
    <s v="No"/>
    <s v="No"/>
    <s v="No"/>
  </r>
  <r>
    <s v="C2329"/>
    <s v="Neha Tiwari"/>
    <s v="Female"/>
    <n v="39"/>
    <x v="3"/>
    <x v="13"/>
    <s v="Month-to-month"/>
    <n v="2"/>
    <x v="4"/>
    <n v="1099"/>
    <n v="2198"/>
    <s v="Fiber"/>
    <d v="2025-07-13T00:00:00"/>
    <s v="No"/>
    <n v="0"/>
    <s v="No"/>
    <s v="No"/>
    <s v="No"/>
    <s v="No"/>
    <s v="No"/>
  </r>
  <r>
    <s v="C2330"/>
    <s v="Sanjay Kapoor"/>
    <s v="Male"/>
    <n v="28"/>
    <x v="0"/>
    <x v="4"/>
    <s v="One year"/>
    <n v="15"/>
    <x v="0"/>
    <n v="549"/>
    <n v="8235"/>
    <s v="No Internet"/>
    <d v="2024-06-15T00:00:00"/>
    <s v="Yes"/>
    <n v="1"/>
    <s v="No"/>
    <s v="No"/>
    <s v="Yes"/>
    <s v="No"/>
    <s v="No"/>
  </r>
  <r>
    <s v="C2331"/>
    <s v="Gaurav Verma"/>
    <s v="Male"/>
    <n v="20"/>
    <x v="4"/>
    <x v="0"/>
    <s v="One year"/>
    <n v="9"/>
    <x v="2"/>
    <n v="449"/>
    <n v="4041"/>
    <s v="No Internet"/>
    <d v="2024-12-12T00:00:00"/>
    <s v="No"/>
    <n v="0"/>
    <s v="No"/>
    <s v="No"/>
    <s v="No"/>
    <s v="No"/>
    <s v="No"/>
  </r>
  <r>
    <s v="C2332"/>
    <s v="Priya Jain"/>
    <s v="Female"/>
    <n v="66"/>
    <x v="2"/>
    <x v="5"/>
    <s v="Month-to-month"/>
    <n v="23"/>
    <x v="0"/>
    <n v="1149"/>
    <n v="26427"/>
    <s v="Fiber"/>
    <d v="2023-10-21T00:00:00"/>
    <s v="Yes"/>
    <n v="1"/>
    <s v="No"/>
    <s v="No"/>
    <s v="No"/>
    <s v="No"/>
    <s v="No"/>
  </r>
  <r>
    <s v="C2333"/>
    <s v="Sanjay Nair"/>
    <s v="Male"/>
    <n v="55"/>
    <x v="1"/>
    <x v="7"/>
    <s v="Month-to-month"/>
    <n v="19"/>
    <x v="0"/>
    <n v="1149"/>
    <n v="21831"/>
    <s v="Fiber"/>
    <d v="2024-03-03T00:00:00"/>
    <s v="Yes"/>
    <n v="1"/>
    <s v="No"/>
    <s v="No"/>
    <s v="No"/>
    <s v="No"/>
    <s v="No"/>
  </r>
  <r>
    <s v="C2334"/>
    <s v="Pankaj Iyer"/>
    <s v="Male"/>
    <n v="35"/>
    <x v="0"/>
    <x v="1"/>
    <s v="Month-to-month"/>
    <n v="7"/>
    <x v="2"/>
    <n v="1149"/>
    <n v="8043"/>
    <s v="Fiber"/>
    <d v="2025-02-20T00:00:00"/>
    <s v="Yes"/>
    <n v="1"/>
    <s v="No"/>
    <s v="No"/>
    <s v="No"/>
    <s v="No"/>
    <s v="No"/>
  </r>
  <r>
    <s v="C2335"/>
    <s v="Divya Reddy"/>
    <s v="Female"/>
    <n v="59"/>
    <x v="1"/>
    <x v="5"/>
    <s v="Month-to-month"/>
    <n v="21"/>
    <x v="0"/>
    <n v="1149"/>
    <n v="24129"/>
    <s v="Fiber"/>
    <d v="2024-01-04T00:00:00"/>
    <s v="Yes"/>
    <n v="1"/>
    <s v="No"/>
    <s v="No"/>
    <s v="No"/>
    <s v="No"/>
    <s v="No"/>
  </r>
  <r>
    <s v="C2336"/>
    <s v="Deepak Reddy"/>
    <s v="Male"/>
    <n v="65"/>
    <x v="2"/>
    <x v="6"/>
    <s v="Month-to-month"/>
    <n v="24"/>
    <x v="0"/>
    <n v="1049"/>
    <n v="25176"/>
    <s v="Fiber"/>
    <d v="2023-09-13T00:00:00"/>
    <s v="No"/>
    <n v="0"/>
    <s v="No"/>
    <s v="No"/>
    <s v="No"/>
    <s v="No"/>
    <s v="No"/>
  </r>
  <r>
    <s v="C2337"/>
    <s v="Isha Kapoor"/>
    <s v="Female"/>
    <n v="21"/>
    <x v="4"/>
    <x v="9"/>
    <s v="One year"/>
    <n v="17"/>
    <x v="0"/>
    <n v="1149"/>
    <n v="19533"/>
    <s v="Fiber"/>
    <d v="2024-04-30T00:00:00"/>
    <s v="No"/>
    <n v="0"/>
    <s v="No"/>
    <s v="No"/>
    <s v="No"/>
    <s v="No"/>
    <s v="No"/>
  </r>
  <r>
    <s v="C2338"/>
    <s v="Nikhil Mehta"/>
    <s v="Male"/>
    <n v="49"/>
    <x v="1"/>
    <x v="14"/>
    <s v="Month-to-month"/>
    <n v="13"/>
    <x v="0"/>
    <n v="799"/>
    <n v="10387"/>
    <s v="DSL"/>
    <d v="2024-08-19T00:00:00"/>
    <s v="No"/>
    <n v="0"/>
    <s v="No"/>
    <s v="No"/>
    <s v="No"/>
    <s v="No"/>
    <s v="No"/>
  </r>
  <r>
    <s v="C2339"/>
    <s v="Ritu Kumar"/>
    <s v="Female"/>
    <n v="57"/>
    <x v="1"/>
    <x v="4"/>
    <s v="Two year"/>
    <n v="7"/>
    <x v="2"/>
    <n v="449"/>
    <n v="3143"/>
    <s v="No Internet"/>
    <d v="2025-02-21T00:00:00"/>
    <s v="No"/>
    <n v="0"/>
    <s v="No"/>
    <s v="No"/>
    <s v="No"/>
    <s v="No"/>
    <s v="No"/>
  </r>
  <r>
    <s v="C2340"/>
    <s v="Divya Agarwal"/>
    <s v="Female"/>
    <n v="54"/>
    <x v="1"/>
    <x v="8"/>
    <s v="Month-to-month"/>
    <n v="21"/>
    <x v="0"/>
    <n v="1099"/>
    <n v="23079"/>
    <s v="Fiber"/>
    <d v="2023-12-25T00:00:00"/>
    <s v="Yes"/>
    <n v="1"/>
    <s v="No"/>
    <s v="No"/>
    <s v="No"/>
    <s v="No"/>
    <s v="No"/>
  </r>
  <r>
    <s v="C2341"/>
    <s v="Harsh Verma"/>
    <s v="Male"/>
    <n v="75"/>
    <x v="2"/>
    <x v="4"/>
    <s v="Month-to-month"/>
    <n v="7"/>
    <x v="2"/>
    <n v="599"/>
    <n v="4193"/>
    <s v="DSL"/>
    <d v="2025-02-01T00:00:00"/>
    <s v="No"/>
    <n v="0"/>
    <s v="No"/>
    <s v="No"/>
    <s v="No"/>
    <s v="No"/>
    <s v="No"/>
  </r>
  <r>
    <s v="C2342"/>
    <s v="Meera Sharma"/>
    <s v="Female"/>
    <n v="25"/>
    <x v="4"/>
    <x v="4"/>
    <s v="One year"/>
    <n v="38"/>
    <x v="1"/>
    <n v="1149"/>
    <n v="43662"/>
    <s v="Fiber"/>
    <d v="2022-07-24T00:00:00"/>
    <s v="No"/>
    <n v="0"/>
    <s v="No"/>
    <s v="No"/>
    <s v="No"/>
    <s v="No"/>
    <s v="No"/>
  </r>
  <r>
    <s v="C2343"/>
    <s v="Neha Agarwal"/>
    <s v="Female"/>
    <n v="62"/>
    <x v="2"/>
    <x v="8"/>
    <s v="Month-to-month"/>
    <m/>
    <x v="4"/>
    <m/>
    <n v="11687"/>
    <s v="Fiber"/>
    <d v="2024-08-20T00:00:00"/>
    <s v="Yes"/>
    <n v="1"/>
    <s v="No"/>
    <s v="No"/>
    <s v="No"/>
    <s v="No"/>
    <s v="Monthly missing; Tenure missing"/>
  </r>
  <r>
    <s v="C2344"/>
    <s v="Meera Sharma"/>
    <s v="Female"/>
    <n v="54"/>
    <x v="1"/>
    <x v="3"/>
    <s v="One year"/>
    <n v="18"/>
    <x v="0"/>
    <m/>
    <m/>
    <s v="No Internet"/>
    <d v="2024-03-29T00:00:00"/>
    <s v="No"/>
    <n v="0"/>
    <s v="No"/>
    <s v="No"/>
    <s v="No"/>
    <s v="No"/>
    <s v="Monthly missing; Total missing"/>
  </r>
  <r>
    <s v="C2345"/>
    <s v="Suresh Mehta"/>
    <s v="Male"/>
    <n v="33"/>
    <x v="0"/>
    <x v="14"/>
    <s v="Month-to-month"/>
    <n v="21"/>
    <x v="0"/>
    <n v="599"/>
    <n v="12579"/>
    <s v="DSL"/>
    <d v="2023-12-25T00:00:00"/>
    <s v="No"/>
    <n v="0"/>
    <s v="No"/>
    <s v="No"/>
    <s v="No"/>
    <s v="Yes"/>
    <s v="No"/>
  </r>
  <r>
    <s v="C2346"/>
    <s v="Ritu Pandey"/>
    <s v="Female"/>
    <n v="72"/>
    <x v="2"/>
    <x v="14"/>
    <s v="Month-to-month"/>
    <n v="20"/>
    <x v="0"/>
    <n v="1099"/>
    <n v="21980"/>
    <s v="Fiber"/>
    <d v="2024-01-26T00:00:00"/>
    <s v="No"/>
    <n v="0"/>
    <s v="No"/>
    <s v="Yes"/>
    <s v="No"/>
    <s v="No"/>
    <s v="No"/>
  </r>
  <r>
    <s v="C2347"/>
    <s v="Sonal Mishra"/>
    <s v="Female"/>
    <n v="27"/>
    <x v="0"/>
    <x v="2"/>
    <s v="One year"/>
    <n v="12"/>
    <x v="2"/>
    <n v="799"/>
    <n v="9588"/>
    <s v="DSL"/>
    <d v="2024-09-22T00:00:00"/>
    <s v="No"/>
    <n v="0"/>
    <s v="No"/>
    <s v="No"/>
    <s v="No"/>
    <s v="No"/>
    <s v="No"/>
  </r>
  <r>
    <s v="C2348"/>
    <s v="Pooja Saxena"/>
    <s v="Female"/>
    <n v="66"/>
    <x v="2"/>
    <x v="7"/>
    <s v="One year"/>
    <n v="28"/>
    <x v="1"/>
    <n v="1149"/>
    <n v="32172"/>
    <s v="Fiber"/>
    <d v="2023-06-01T00:00:00"/>
    <s v="No"/>
    <n v="0"/>
    <s v="No"/>
    <s v="No"/>
    <s v="No"/>
    <s v="No"/>
    <s v="No"/>
  </r>
  <r>
    <s v="C2349"/>
    <s v="Shreya Kapoor"/>
    <s v="Female"/>
    <n v="66"/>
    <x v="2"/>
    <x v="1"/>
    <s v="Unknown"/>
    <n v="6"/>
    <x v="4"/>
    <n v="699"/>
    <n v="4194"/>
    <s v="DSL"/>
    <d v="2025-03-15T00:00:00"/>
    <s v="No"/>
    <n v="0"/>
    <s v="No"/>
    <s v="No"/>
    <s v="No"/>
    <s v="No"/>
    <s v="No"/>
  </r>
  <r>
    <s v="C2350"/>
    <s v="Rajesh Singh"/>
    <s v="Male"/>
    <n v="70"/>
    <x v="2"/>
    <x v="13"/>
    <s v="Month-to-month"/>
    <n v="3"/>
    <x v="4"/>
    <n v="1099"/>
    <n v="3297"/>
    <s v="Fiber"/>
    <d v="2025-06-13T00:00:00"/>
    <s v="No"/>
    <n v="0"/>
    <s v="No"/>
    <s v="No"/>
    <s v="No"/>
    <s v="No"/>
    <s v="No"/>
  </r>
  <r>
    <s v="C2351"/>
    <s v="Mohit Reddy"/>
    <s v="Male"/>
    <n v="54"/>
    <x v="1"/>
    <x v="3"/>
    <s v="Month-to-month"/>
    <n v="6"/>
    <x v="4"/>
    <n v="999"/>
    <n v="5994"/>
    <s v="Fiber"/>
    <d v="2025-03-22T00:00:00"/>
    <s v="No"/>
    <n v="0"/>
    <s v="No"/>
    <s v="No"/>
    <s v="No"/>
    <s v="No"/>
    <s v="No"/>
  </r>
  <r>
    <s v="C2352"/>
    <s v="Sonal Rao"/>
    <s v="Female"/>
    <n v="51"/>
    <x v="1"/>
    <x v="9"/>
    <s v="Two year"/>
    <n v="45"/>
    <x v="1"/>
    <n v="849"/>
    <n v="38205"/>
    <s v="DSL"/>
    <d v="2021-12-28T00:00:00"/>
    <s v="No"/>
    <n v="0"/>
    <s v="No"/>
    <s v="No"/>
    <s v="No"/>
    <s v="No"/>
    <s v="No"/>
  </r>
  <r>
    <s v="C2353"/>
    <s v="Pooja Pandey"/>
    <s v="Female"/>
    <n v="47"/>
    <x v="1"/>
    <x v="13"/>
    <s v="Month-to-month"/>
    <n v="17"/>
    <x v="0"/>
    <n v="899"/>
    <n v="15283"/>
    <s v="DSL"/>
    <d v="2024-05-04T00:00:00"/>
    <s v="Unknown"/>
    <s v=""/>
    <s v="Yes"/>
    <s v="No"/>
    <s v="No"/>
    <s v="Yes"/>
    <s v="Churn unknown"/>
  </r>
  <r>
    <s v="C2354"/>
    <s v="Ritu Rao"/>
    <s v="Female"/>
    <n v="37"/>
    <x v="3"/>
    <x v="6"/>
    <s v="Month-to-month"/>
    <n v="7"/>
    <x v="2"/>
    <n v="899"/>
    <n v="6293"/>
    <s v="Fiber"/>
    <d v="2025-02-24T00:00:00"/>
    <s v="Yes"/>
    <n v="1"/>
    <s v="No"/>
    <s v="No"/>
    <s v="No"/>
    <s v="Yes"/>
    <s v="No"/>
  </r>
  <r>
    <s v="C2355"/>
    <s v="Vikram Kumar"/>
    <s v="Male"/>
    <n v="34"/>
    <x v="0"/>
    <x v="7"/>
    <s v="Two year"/>
    <n v="46"/>
    <x v="1"/>
    <n v="1099"/>
    <n v="50554"/>
    <s v="Fiber"/>
    <d v="2021-12-09T00:00:00"/>
    <s v="No"/>
    <n v="0"/>
    <s v="No"/>
    <s v="No"/>
    <s v="No"/>
    <s v="No"/>
    <s v="No"/>
  </r>
  <r>
    <s v="C2356"/>
    <s v="Divya Patel"/>
    <s v="Female"/>
    <n v="31"/>
    <x v="0"/>
    <x v="5"/>
    <s v="Month-to-month"/>
    <n v="16"/>
    <x v="0"/>
    <n v="1149"/>
    <n v="18384"/>
    <s v="Fiber"/>
    <d v="2024-05-21T00:00:00"/>
    <s v="Yes"/>
    <n v="1"/>
    <s v="No"/>
    <s v="Yes"/>
    <s v="No"/>
    <s v="No"/>
    <s v="No"/>
  </r>
  <r>
    <s v="C2357"/>
    <s v="Gaurav Joshi"/>
    <s v="Male"/>
    <n v="40"/>
    <x v="3"/>
    <x v="3"/>
    <s v="Month-to-month"/>
    <n v="13"/>
    <x v="0"/>
    <n v="1149"/>
    <n v="14937"/>
    <s v="Fiber"/>
    <d v="2024-08-16T00:00:00"/>
    <s v="Yes"/>
    <n v="1"/>
    <s v="No"/>
    <s v="Yes"/>
    <s v="No"/>
    <s v="No"/>
    <s v="No"/>
  </r>
  <r>
    <s v="C2358"/>
    <s v="Komal Sharma"/>
    <s v="Female"/>
    <n v="42"/>
    <x v="3"/>
    <x v="3"/>
    <s v="Two year"/>
    <n v="12"/>
    <x v="2"/>
    <n v="1049"/>
    <n v="12588"/>
    <s v="Fiber"/>
    <d v="2024-09-26T00:00:00"/>
    <s v="Yes"/>
    <n v="1"/>
    <s v="No"/>
    <s v="No"/>
    <s v="No"/>
    <s v="No"/>
    <s v="No"/>
  </r>
  <r>
    <s v="C2359"/>
    <s v="Ankit Rao"/>
    <s v="Male"/>
    <n v="65"/>
    <x v="2"/>
    <x v="2"/>
    <s v="Month-to-month"/>
    <n v="2"/>
    <x v="4"/>
    <n v="549"/>
    <n v="1098"/>
    <s v="No Internet"/>
    <d v="2025-07-03T00:00:00"/>
    <s v="No"/>
    <n v="0"/>
    <s v="No"/>
    <s v="No"/>
    <s v="No"/>
    <s v="No"/>
    <s v="No"/>
  </r>
  <r>
    <s v="C2360"/>
    <s v="Deepika Yadav"/>
    <s v="Female"/>
    <n v="44"/>
    <x v="3"/>
    <x v="4"/>
    <s v="Month-to-month"/>
    <n v="22"/>
    <x v="0"/>
    <n v="899"/>
    <n v="19778"/>
    <s v="DSL"/>
    <d v="2023-11-22T00:00:00"/>
    <s v="No"/>
    <n v="0"/>
    <s v="No"/>
    <s v="No"/>
    <s v="No"/>
    <s v="No"/>
    <s v="No"/>
  </r>
  <r>
    <s v="C2361"/>
    <s v="Ankit Malhotra"/>
    <s v="Male"/>
    <n v="62"/>
    <x v="2"/>
    <x v="11"/>
    <s v="Month-to-month"/>
    <n v="21"/>
    <x v="0"/>
    <n v="449"/>
    <n v="9429"/>
    <s v="No Internet"/>
    <d v="2023-12-16T00:00:00"/>
    <s v="No"/>
    <n v="0"/>
    <s v="No"/>
    <s v="No"/>
    <s v="Yes"/>
    <s v="No"/>
    <s v="No"/>
  </r>
  <r>
    <s v="C2362"/>
    <s v="Meera Kapoor"/>
    <s v="Female"/>
    <n v="36"/>
    <x v="3"/>
    <x v="6"/>
    <s v="Month-to-month"/>
    <n v="11"/>
    <x v="2"/>
    <n v="749"/>
    <n v="8239"/>
    <s v="DSL"/>
    <d v="2024-10-31T00:00:00"/>
    <s v="No"/>
    <n v="0"/>
    <s v="No"/>
    <s v="No"/>
    <s v="No"/>
    <s v="No"/>
    <s v="No"/>
  </r>
  <r>
    <s v="C2363"/>
    <s v="Gaurav Desai"/>
    <s v="Male"/>
    <n v="33"/>
    <x v="0"/>
    <x v="3"/>
    <s v="Month-to-month"/>
    <n v="21"/>
    <x v="0"/>
    <n v="1299"/>
    <n v="27279"/>
    <s v="Fiber"/>
    <d v="2024-01-02T00:00:00"/>
    <s v="Unknown"/>
    <s v=""/>
    <s v="No"/>
    <s v="No"/>
    <s v="No"/>
    <s v="No"/>
    <s v="Churn unknown"/>
  </r>
  <r>
    <s v="C2364"/>
    <s v="Nikhil Saxena"/>
    <s v="Male"/>
    <n v="55"/>
    <x v="1"/>
    <x v="6"/>
    <s v="Month-to-month"/>
    <n v="23"/>
    <x v="0"/>
    <n v="899"/>
    <n v="20677"/>
    <s v="Fiber"/>
    <d v="2023-10-16T00:00:00"/>
    <s v="Yes"/>
    <n v="1"/>
    <s v="No"/>
    <s v="No"/>
    <s v="No"/>
    <s v="No"/>
    <s v="No"/>
  </r>
  <r>
    <s v="C2365"/>
    <s v="Ankit Desai"/>
    <s v="Male"/>
    <n v="41"/>
    <x v="3"/>
    <x v="13"/>
    <s v="One year"/>
    <n v="34"/>
    <x v="1"/>
    <n v="849"/>
    <n v="28866"/>
    <s v="DSL"/>
    <d v="2022-11-28T00:00:00"/>
    <s v="Yes"/>
    <n v="1"/>
    <s v="No"/>
    <s v="No"/>
    <s v="No"/>
    <s v="No"/>
    <s v="No"/>
  </r>
  <r>
    <s v="C2366"/>
    <s v="Suresh Tiwari"/>
    <s v="Male"/>
    <n v="53"/>
    <x v="1"/>
    <x v="14"/>
    <s v="Month-to-month"/>
    <n v="9"/>
    <x v="2"/>
    <n v="849"/>
    <n v="7641"/>
    <s v="DSL"/>
    <d v="2024-12-03T00:00:00"/>
    <s v="Yes"/>
    <n v="1"/>
    <s v="No"/>
    <s v="No"/>
    <s v="No"/>
    <s v="No"/>
    <s v="No"/>
  </r>
  <r>
    <s v="C2367"/>
    <s v="Rohit Reddy"/>
    <s v="Male"/>
    <n v="19"/>
    <x v="4"/>
    <x v="8"/>
    <s v="Month-to-month"/>
    <n v="7"/>
    <x v="2"/>
    <n v="749"/>
    <n v="5243"/>
    <s v="DSL"/>
    <d v="2025-02-22T00:00:00"/>
    <s v="Yes"/>
    <n v="1"/>
    <s v="No"/>
    <s v="No"/>
    <s v="No"/>
    <s v="Yes"/>
    <s v="No"/>
  </r>
  <r>
    <s v="C2368"/>
    <s v="Neha Saxena"/>
    <s v="Female"/>
    <n v="29"/>
    <x v="0"/>
    <x v="11"/>
    <s v="Month-to-month"/>
    <n v="8"/>
    <x v="2"/>
    <n v="999"/>
    <n v="7992"/>
    <s v="Fiber"/>
    <d v="2025-01-09T00:00:00"/>
    <s v="Yes"/>
    <n v="1"/>
    <s v="No"/>
    <s v="No"/>
    <s v="No"/>
    <s v="No"/>
    <s v="No"/>
  </r>
  <r>
    <s v="C2369"/>
    <s v="Priya Patel"/>
    <s v="Female"/>
    <n v="21"/>
    <x v="4"/>
    <x v="1"/>
    <s v="One year"/>
    <n v="18"/>
    <x v="0"/>
    <n v="799"/>
    <n v="14382"/>
    <s v="DSL"/>
    <d v="2024-03-12T00:00:00"/>
    <s v="No"/>
    <n v="0"/>
    <s v="No"/>
    <s v="No"/>
    <s v="No"/>
    <s v="No"/>
    <s v="No"/>
  </r>
  <r>
    <s v="C2370"/>
    <s v="Nikhil Nair"/>
    <s v="Male"/>
    <n v="73"/>
    <x v="2"/>
    <x v="7"/>
    <s v="Two year"/>
    <n v="61"/>
    <x v="3"/>
    <n v="749"/>
    <n v="45689"/>
    <s v="DSL"/>
    <d v="2020-09-12T00:00:00"/>
    <s v="Unknown"/>
    <s v=""/>
    <s v="No"/>
    <s v="No"/>
    <s v="No"/>
    <s v="No"/>
    <s v="Churn unknown"/>
  </r>
  <r>
    <s v="C2371"/>
    <s v="Rohit Saxena"/>
    <s v="Male"/>
    <n v="26"/>
    <x v="0"/>
    <x v="6"/>
    <s v="Month-to-month"/>
    <n v="3"/>
    <x v="4"/>
    <n v="349"/>
    <n v="1047"/>
    <s v="No Internet"/>
    <d v="2025-06-23T00:00:00"/>
    <s v="Yes"/>
    <n v="1"/>
    <s v="No"/>
    <s v="No"/>
    <s v="No"/>
    <s v="No"/>
    <s v="No"/>
  </r>
  <r>
    <s v="C2372"/>
    <s v="Isha Nair"/>
    <s v="Unknown"/>
    <n v="70"/>
    <x v="2"/>
    <x v="5"/>
    <s v="Month-to-month"/>
    <n v="2"/>
    <x v="4"/>
    <n v="1049"/>
    <n v="2098"/>
    <s v="Fiber"/>
    <d v="2025-07-09T00:00:00"/>
    <s v="Yes"/>
    <n v="1"/>
    <s v="No"/>
    <s v="No"/>
    <s v="No"/>
    <s v="No"/>
    <s v="No"/>
  </r>
  <r>
    <s v="C2373"/>
    <s v="Divya Kapoor"/>
    <s v="Female"/>
    <n v="56"/>
    <x v="1"/>
    <x v="6"/>
    <s v="Two year"/>
    <n v="17"/>
    <x v="0"/>
    <n v="1149"/>
    <n v="19533"/>
    <s v="Fiber"/>
    <d v="2024-04-16T00:00:00"/>
    <s v="No"/>
    <n v="0"/>
    <s v="No"/>
    <s v="Yes"/>
    <s v="No"/>
    <s v="No"/>
    <s v="No"/>
  </r>
  <r>
    <s v="C2374"/>
    <s v="Manish Yadav"/>
    <s v="Male"/>
    <n v="51"/>
    <x v="1"/>
    <x v="5"/>
    <s v="Month-to-month"/>
    <n v="20"/>
    <x v="0"/>
    <n v="599"/>
    <n v="11980"/>
    <s v="DSL"/>
    <d v="2024-01-15T00:00:00"/>
    <s v="No"/>
    <n v="0"/>
    <s v="No"/>
    <s v="No"/>
    <s v="No"/>
    <s v="No"/>
    <s v="No"/>
  </r>
  <r>
    <s v="C2375"/>
    <s v="Amit Patel"/>
    <s v="Male"/>
    <n v="35"/>
    <x v="0"/>
    <x v="12"/>
    <s v="Month-to-month"/>
    <n v="11"/>
    <x v="2"/>
    <n v="1299"/>
    <n v="14289"/>
    <s v="Fiber"/>
    <d v="2024-10-04T00:00:00"/>
    <s v="No"/>
    <n v="0"/>
    <s v="No"/>
    <s v="No"/>
    <s v="No"/>
    <s v="No"/>
    <s v="No"/>
  </r>
  <r>
    <s v="C2376"/>
    <s v="Komal Jain"/>
    <s v="Female"/>
    <n v="49"/>
    <x v="1"/>
    <x v="12"/>
    <s v="One year"/>
    <n v="38"/>
    <x v="1"/>
    <n v="549"/>
    <n v="20862"/>
    <s v="No Internet"/>
    <d v="2022-07-21T00:00:00"/>
    <s v="No"/>
    <n v="0"/>
    <s v="No"/>
    <s v="No"/>
    <s v="No"/>
    <s v="No"/>
    <s v="No"/>
  </r>
  <r>
    <s v="C2377"/>
    <s v="Gaurav Joshi"/>
    <s v="Male"/>
    <n v="23"/>
    <x v="4"/>
    <x v="14"/>
    <s v="Month-to-month"/>
    <n v="17"/>
    <x v="0"/>
    <n v="799"/>
    <n v="13583"/>
    <s v="DSL"/>
    <m/>
    <s v="Yes"/>
    <n v="1"/>
    <s v="No"/>
    <s v="No"/>
    <s v="No"/>
    <s v="No"/>
    <s v="Date missing"/>
  </r>
  <r>
    <s v="C2378"/>
    <s v="Aditi Yadav"/>
    <s v="Female"/>
    <n v="50"/>
    <x v="1"/>
    <x v="10"/>
    <s v="Month-to-month"/>
    <n v="8"/>
    <x v="2"/>
    <n v="449"/>
    <n v="3592"/>
    <s v="No Internet"/>
    <d v="2025-01-25T00:00:00"/>
    <s v="No"/>
    <n v="0"/>
    <s v="No"/>
    <s v="No"/>
    <s v="No"/>
    <s v="No"/>
    <s v="No"/>
  </r>
  <r>
    <s v="C2379"/>
    <s v="Payal Saxena"/>
    <s v="Female"/>
    <n v="44"/>
    <x v="3"/>
    <x v="5"/>
    <s v="Month-to-month"/>
    <n v="22"/>
    <x v="0"/>
    <n v="1299"/>
    <n v="28578"/>
    <s v="Fiber"/>
    <d v="2023-12-04T00:00:00"/>
    <s v="No"/>
    <n v="0"/>
    <s v="No"/>
    <s v="No"/>
    <s v="No"/>
    <s v="No"/>
    <s v="No"/>
  </r>
  <r>
    <s v="C2380"/>
    <s v="Deepika Saxena"/>
    <s v="Female"/>
    <n v="61"/>
    <x v="2"/>
    <x v="2"/>
    <s v="One year"/>
    <n v="14"/>
    <x v="0"/>
    <n v="1099"/>
    <n v="15386"/>
    <s v="Unknown"/>
    <d v="2024-08-01T00:00:00"/>
    <s v="No"/>
    <n v="0"/>
    <s v="No"/>
    <s v="Yes"/>
    <s v="No"/>
    <s v="No"/>
    <s v="No"/>
  </r>
  <r>
    <s v="C2381"/>
    <s v="Ritu Mehta"/>
    <s v="Female"/>
    <n v="56"/>
    <x v="1"/>
    <x v="13"/>
    <s v="One year"/>
    <n v="32"/>
    <x v="1"/>
    <n v="699"/>
    <n v="22368"/>
    <s v="DSL"/>
    <d v="2023-02-03T00:00:00"/>
    <s v="No"/>
    <n v="0"/>
    <s v="No"/>
    <s v="No"/>
    <s v="No"/>
    <s v="No"/>
    <s v="No"/>
  </r>
  <r>
    <s v="C2382"/>
    <s v="Sonal Joshi"/>
    <s v="Female"/>
    <n v="27"/>
    <x v="0"/>
    <x v="5"/>
    <s v="One year"/>
    <n v="25"/>
    <x v="1"/>
    <n v="899"/>
    <n v="22475"/>
    <s v="DSL"/>
    <d v="2023-09-03T00:00:00"/>
    <s v="Yes"/>
    <n v="1"/>
    <s v="No"/>
    <s v="No"/>
    <s v="No"/>
    <s v="No"/>
    <s v="No"/>
  </r>
  <r>
    <s v="C2383"/>
    <s v="Komal Kapoor"/>
    <s v="Female"/>
    <n v="53"/>
    <x v="1"/>
    <x v="11"/>
    <s v="Two year"/>
    <n v="54"/>
    <x v="3"/>
    <n v="1049"/>
    <n v="56646"/>
    <s v="Fiber"/>
    <d v="2021-04-02T00:00:00"/>
    <s v="No"/>
    <n v="0"/>
    <s v="No"/>
    <s v="No"/>
    <s v="No"/>
    <s v="No"/>
    <s v="No"/>
  </r>
  <r>
    <s v="C2384"/>
    <s v="Riya Reddy"/>
    <s v="Female"/>
    <n v="48"/>
    <x v="1"/>
    <x v="12"/>
    <s v="Month-to-month"/>
    <n v="6"/>
    <x v="4"/>
    <m/>
    <m/>
    <s v="DSL"/>
    <d v="2025-03-30T00:00:00"/>
    <s v="Yes"/>
    <n v="1"/>
    <s v="No"/>
    <s v="No"/>
    <s v="No"/>
    <s v="No"/>
    <s v="Monthly missing; Total missing"/>
  </r>
  <r>
    <s v="C2385"/>
    <s v="Anjali Mishra"/>
    <s v="Female"/>
    <n v="52"/>
    <x v="1"/>
    <x v="5"/>
    <s v="Month-to-month"/>
    <n v="24"/>
    <x v="0"/>
    <n v="849"/>
    <n v="20376"/>
    <s v="DSL"/>
    <d v="2023-09-18T00:00:00"/>
    <s v="Yes"/>
    <n v="1"/>
    <s v="No"/>
    <s v="No"/>
    <s v="No"/>
    <s v="No"/>
    <s v="No"/>
  </r>
  <r>
    <s v="C2386"/>
    <s v="Rahul Reddy"/>
    <s v="Male"/>
    <n v="39"/>
    <x v="3"/>
    <x v="11"/>
    <s v="One year"/>
    <n v="16"/>
    <x v="0"/>
    <n v="649"/>
    <n v="10384"/>
    <s v="DSL"/>
    <d v="2024-05-12T00:00:00"/>
    <s v="No"/>
    <n v="0"/>
    <s v="No"/>
    <s v="No"/>
    <s v="No"/>
    <s v="No"/>
    <s v="No"/>
  </r>
  <r>
    <s v="C2387"/>
    <s v="Sonal Patel"/>
    <s v="Female"/>
    <n v="71"/>
    <x v="2"/>
    <x v="0"/>
    <s v="Month-to-month"/>
    <n v="11"/>
    <x v="2"/>
    <n v="999"/>
    <n v="10989"/>
    <s v="Fiber"/>
    <d v="2024-10-07T00:00:00"/>
    <s v="No"/>
    <n v="0"/>
    <s v="No"/>
    <s v="No"/>
    <s v="No"/>
    <s v="No"/>
    <s v="No"/>
  </r>
  <r>
    <s v="C2388"/>
    <s v="Deepika Mishra"/>
    <s v="Female"/>
    <n v="57"/>
    <x v="1"/>
    <x v="3"/>
    <s v="Two year"/>
    <n v="35"/>
    <x v="1"/>
    <n v="899"/>
    <n v="31465"/>
    <s v="DSL"/>
    <d v="2022-10-17T00:00:00"/>
    <s v="No"/>
    <n v="0"/>
    <s v="No"/>
    <s v="No"/>
    <s v="No"/>
    <s v="No"/>
    <s v="No"/>
  </r>
  <r>
    <s v="C2389"/>
    <s v="Ritu Nair"/>
    <s v="Female"/>
    <n v="47"/>
    <x v="1"/>
    <x v="11"/>
    <s v="Month-to-month"/>
    <n v="8"/>
    <x v="2"/>
    <n v="699"/>
    <n v="5592"/>
    <s v="DSL"/>
    <d v="2025-01-22T00:00:00"/>
    <s v="Yes"/>
    <n v="1"/>
    <s v="No"/>
    <s v="No"/>
    <s v="No"/>
    <s v="No"/>
    <s v="No"/>
  </r>
  <r>
    <s v="C2390"/>
    <s v="Tanvi Yadav"/>
    <s v="Female"/>
    <n v="72"/>
    <x v="2"/>
    <x v="12"/>
    <s v="Month-to-month"/>
    <n v="3"/>
    <x v="4"/>
    <n v="749"/>
    <n v="2247"/>
    <s v="DSL"/>
    <d v="2025-06-07T00:00:00"/>
    <s v="Yes"/>
    <n v="1"/>
    <s v="No"/>
    <s v="No"/>
    <s v="No"/>
    <s v="No"/>
    <s v="No"/>
  </r>
  <r>
    <s v="C2391"/>
    <s v="Riya Rao"/>
    <s v="Female"/>
    <n v="19"/>
    <x v="4"/>
    <x v="1"/>
    <s v="One year"/>
    <n v="32"/>
    <x v="1"/>
    <n v="749"/>
    <n v="23968"/>
    <s v="DSL"/>
    <d v="2023-02-11T00:00:00"/>
    <s v="No"/>
    <n v="0"/>
    <s v="No"/>
    <s v="No"/>
    <s v="No"/>
    <s v="No"/>
    <s v="No"/>
  </r>
  <r>
    <s v="C2392"/>
    <s v="Payal Yadav"/>
    <s v="Female"/>
    <n v="42"/>
    <x v="3"/>
    <x v="6"/>
    <s v="Month-to-month"/>
    <n v="5"/>
    <x v="4"/>
    <n v="849"/>
    <n v="4245"/>
    <s v="DSL"/>
    <d v="2025-04-10T00:00:00"/>
    <s v="No"/>
    <n v="0"/>
    <s v="No"/>
    <s v="No"/>
    <s v="No"/>
    <s v="No"/>
    <s v="No"/>
  </r>
  <r>
    <s v="C2393"/>
    <s v="Meera Rao"/>
    <s v="Female"/>
    <n v="31"/>
    <x v="0"/>
    <x v="0"/>
    <s v="Month-to-month"/>
    <n v="8"/>
    <x v="2"/>
    <n v="1049"/>
    <n v="8392"/>
    <s v="Fiber"/>
    <d v="2025-01-03T00:00:00"/>
    <s v="Yes"/>
    <n v="1"/>
    <s v="No"/>
    <s v="No"/>
    <s v="No"/>
    <s v="No"/>
    <s v="No"/>
  </r>
  <r>
    <s v="C2394"/>
    <s v="Priya Saxena"/>
    <s v="Female"/>
    <n v="54"/>
    <x v="1"/>
    <x v="0"/>
    <s v="One year"/>
    <n v="2"/>
    <x v="4"/>
    <n v="749"/>
    <n v="1498"/>
    <s v="DSL"/>
    <d v="2025-07-30T00:00:00"/>
    <s v="No"/>
    <n v="0"/>
    <s v="No"/>
    <s v="Yes"/>
    <s v="No"/>
    <s v="No"/>
    <s v="No"/>
  </r>
  <r>
    <s v="C2395"/>
    <s v="Nisha Agarwal"/>
    <s v="Female"/>
    <n v="46"/>
    <x v="1"/>
    <x v="12"/>
    <s v="Month-to-month"/>
    <n v="8"/>
    <x v="2"/>
    <n v="699"/>
    <n v="5592"/>
    <s v="DSL"/>
    <d v="2025-01-26T00:00:00"/>
    <s v="No"/>
    <n v="0"/>
    <s v="No"/>
    <s v="No"/>
    <s v="No"/>
    <s v="No"/>
    <s v="No"/>
  </r>
  <r>
    <s v="C2396"/>
    <s v="Rajesh Chopra"/>
    <s v="Male"/>
    <n v="51"/>
    <x v="1"/>
    <x v="11"/>
    <s v="Month-to-month"/>
    <n v="2"/>
    <x v="4"/>
    <n v="749"/>
    <n v="1498"/>
    <s v="DSL"/>
    <d v="2025-07-28T00:00:00"/>
    <s v="No"/>
    <n v="0"/>
    <s v="No"/>
    <s v="No"/>
    <s v="No"/>
    <s v="No"/>
    <s v="No"/>
  </r>
  <r>
    <s v="C2397"/>
    <s v="Vikram Yadav"/>
    <s v="Male"/>
    <n v="62"/>
    <x v="2"/>
    <x v="1"/>
    <s v="Month-to-month"/>
    <n v="9"/>
    <x v="2"/>
    <n v="749"/>
    <n v="6741"/>
    <s v="DSL"/>
    <d v="2024-12-19T00:00:00"/>
    <s v="Yes"/>
    <n v="1"/>
    <s v="No"/>
    <s v="No"/>
    <s v="No"/>
    <s v="Yes"/>
    <s v="No"/>
  </r>
  <r>
    <s v="C2398"/>
    <s v="Meera Nair"/>
    <s v="Female"/>
    <n v="44"/>
    <x v="3"/>
    <x v="5"/>
    <s v="Month-to-month"/>
    <n v="3"/>
    <x v="4"/>
    <n v="799"/>
    <n v="2397"/>
    <s v="DSL"/>
    <d v="2025-06-05T00:00:00"/>
    <s v="No"/>
    <n v="0"/>
    <s v="No"/>
    <s v="No"/>
    <s v="No"/>
    <s v="No"/>
    <s v="No"/>
  </r>
  <r>
    <s v="C2399"/>
    <s v="Harsh Mishra"/>
    <s v="Male"/>
    <n v="48"/>
    <x v="1"/>
    <x v="12"/>
    <s v="Two year"/>
    <n v="26"/>
    <x v="1"/>
    <n v="799"/>
    <n v="20774"/>
    <s v="DSL"/>
    <d v="2023-08-07T00:00:00"/>
    <s v="Yes"/>
    <n v="1"/>
    <s v="No"/>
    <s v="No"/>
    <s v="No"/>
    <s v="Yes"/>
    <s v="No"/>
  </r>
  <r>
    <s v="C2400"/>
    <s v="Meera Mishra"/>
    <s v="Female"/>
    <n v="25"/>
    <x v="4"/>
    <x v="13"/>
    <s v="Month-to-month"/>
    <n v="24"/>
    <x v="0"/>
    <n v="999"/>
    <n v="23976"/>
    <s v="Fiber"/>
    <d v="2023-10-02T00:00:00"/>
    <s v="No"/>
    <n v="0"/>
    <s v="No"/>
    <s v="No"/>
    <s v="No"/>
    <s v="No"/>
    <s v="No"/>
  </r>
  <r>
    <s v="C2401"/>
    <s v="Nikhil Gupta"/>
    <s v="Male"/>
    <n v="67"/>
    <x v="2"/>
    <x v="5"/>
    <s v="Month-to-month"/>
    <n v="17"/>
    <x v="0"/>
    <n v="599"/>
    <n v="10183"/>
    <s v="DSL"/>
    <d v="2024-04-21T00:00:00"/>
    <s v="Yes"/>
    <n v="1"/>
    <s v="No"/>
    <s v="No"/>
    <s v="No"/>
    <s v="No"/>
    <s v="No"/>
  </r>
  <r>
    <s v="C2402"/>
    <s v="Unknown"/>
    <s v="Male"/>
    <n v="73"/>
    <x v="2"/>
    <x v="11"/>
    <s v="Two year"/>
    <n v="36"/>
    <x v="1"/>
    <n v="999"/>
    <n v="35964"/>
    <s v="Fiber"/>
    <d v="2022-10-11T00:00:00"/>
    <s v="Unknown"/>
    <s v=""/>
    <s v="No"/>
    <s v="No"/>
    <s v="No"/>
    <s v="No"/>
    <s v="Churn unknown"/>
  </r>
  <r>
    <s v="C2403"/>
    <s v="Arjun Chopra"/>
    <s v="Male"/>
    <n v="56"/>
    <x v="1"/>
    <x v="13"/>
    <s v="Month-to-month"/>
    <n v="5"/>
    <x v="4"/>
    <n v="499"/>
    <n v="2495"/>
    <s v="No Internet"/>
    <d v="2025-04-16T00:00:00"/>
    <s v="Yes"/>
    <n v="1"/>
    <s v="No"/>
    <s v="No"/>
    <s v="Yes"/>
    <s v="No"/>
    <s v="No"/>
  </r>
  <r>
    <s v="C2404"/>
    <s v="Sonal Mishra"/>
    <s v="Female"/>
    <n v="64"/>
    <x v="2"/>
    <x v="12"/>
    <s v="Two year"/>
    <n v="67"/>
    <x v="3"/>
    <n v="1299"/>
    <n v="87033"/>
    <s v="Fiber"/>
    <d v="2020-03-02T00:00:00"/>
    <s v="No"/>
    <n v="0"/>
    <s v="No"/>
    <s v="No"/>
    <s v="No"/>
    <s v="Yes"/>
    <s v="No"/>
  </r>
  <r>
    <s v="C2405"/>
    <s v="Kavita Jain"/>
    <s v="Female"/>
    <n v="44"/>
    <x v="3"/>
    <x v="8"/>
    <s v="Month-to-month"/>
    <n v="2"/>
    <x v="4"/>
    <n v="899"/>
    <n v="1798"/>
    <s v="Fiber"/>
    <d v="2025-07-04T00:00:00"/>
    <s v="No"/>
    <n v="0"/>
    <s v="No"/>
    <s v="No"/>
    <s v="No"/>
    <s v="No"/>
    <s v="No"/>
  </r>
  <r>
    <s v="C2406"/>
    <s v="Anjali Yadav"/>
    <s v="Female"/>
    <n v="75"/>
    <x v="2"/>
    <x v="12"/>
    <s v="Month-to-month"/>
    <n v="1"/>
    <x v="4"/>
    <n v="699"/>
    <n v="699"/>
    <s v="DSL"/>
    <d v="2025-08-23T00:00:00"/>
    <s v="No"/>
    <n v="0"/>
    <s v="No"/>
    <s v="No"/>
    <s v="No"/>
    <s v="No"/>
    <s v="No"/>
  </r>
  <r>
    <s v="C2407"/>
    <s v="Pooja Kapoor"/>
    <s v="Female"/>
    <n v="47"/>
    <x v="1"/>
    <x v="11"/>
    <s v="One year"/>
    <n v="20"/>
    <x v="0"/>
    <n v="999"/>
    <n v="19980"/>
    <s v="Fiber"/>
    <d v="2024-01-30T00:00:00"/>
    <s v="Yes"/>
    <n v="1"/>
    <s v="Yes"/>
    <s v="No"/>
    <s v="No"/>
    <s v="No"/>
    <s v="No"/>
  </r>
  <r>
    <s v="C2408"/>
    <s v="Kavita Desai"/>
    <s v="Female"/>
    <n v="43"/>
    <x v="3"/>
    <x v="7"/>
    <s v="One year"/>
    <n v="14"/>
    <x v="0"/>
    <n v="999"/>
    <n v="13986"/>
    <s v="Fiber"/>
    <d v="2024-07-28T00:00:00"/>
    <s v="No"/>
    <n v="0"/>
    <s v="No"/>
    <s v="No"/>
    <s v="No"/>
    <s v="No"/>
    <s v="No"/>
  </r>
  <r>
    <s v="C2409"/>
    <s v="Karan Iyer"/>
    <s v="Male"/>
    <n v="41"/>
    <x v="3"/>
    <x v="3"/>
    <s v="Month-to-month"/>
    <n v="21"/>
    <x v="0"/>
    <n v="349"/>
    <n v="7329"/>
    <s v="No Internet"/>
    <d v="2023-12-27T00:00:00"/>
    <s v="No"/>
    <n v="0"/>
    <s v="No"/>
    <s v="No"/>
    <s v="No"/>
    <s v="No"/>
    <s v="No"/>
  </r>
  <r>
    <s v="C2410"/>
    <s v="Sneha Desai"/>
    <s v="Female"/>
    <n v="22"/>
    <x v="4"/>
    <x v="2"/>
    <s v="Month-to-month"/>
    <n v="17"/>
    <x v="0"/>
    <n v="649"/>
    <n v="11033"/>
    <s v="DSL"/>
    <d v="2024-04-14T00:00:00"/>
    <s v="Yes"/>
    <n v="1"/>
    <s v="No"/>
    <s v="No"/>
    <s v="No"/>
    <s v="No"/>
    <s v="No"/>
  </r>
  <r>
    <s v="C2411"/>
    <s v="Sneha Sharma"/>
    <s v="Female"/>
    <n v="50"/>
    <x v="1"/>
    <x v="0"/>
    <s v="One year"/>
    <n v="29"/>
    <x v="1"/>
    <n v="1049"/>
    <n v="30421"/>
    <s v="Fiber"/>
    <d v="2023-04-23T00:00:00"/>
    <s v="No"/>
    <n v="0"/>
    <s v="No"/>
    <s v="No"/>
    <s v="No"/>
    <s v="No"/>
    <s v="No"/>
  </r>
  <r>
    <s v="C2412"/>
    <s v="Aditi Patel"/>
    <s v="Female"/>
    <n v="21"/>
    <x v="4"/>
    <x v="13"/>
    <s v="Month-to-month"/>
    <n v="15"/>
    <x v="0"/>
    <n v="899"/>
    <n v="13485"/>
    <s v="DSL"/>
    <d v="2024-07-04T00:00:00"/>
    <s v="No"/>
    <n v="0"/>
    <s v="No"/>
    <s v="No"/>
    <s v="No"/>
    <s v="Yes"/>
    <s v="No"/>
  </r>
  <r>
    <s v="C2413"/>
    <s v="Rohit Rao"/>
    <s v="Male"/>
    <n v="39"/>
    <x v="3"/>
    <x v="9"/>
    <s v="One year"/>
    <n v="18"/>
    <x v="0"/>
    <n v="999"/>
    <n v="17982"/>
    <s v="Fiber"/>
    <d v="2024-03-25T00:00:00"/>
    <s v="Yes"/>
    <n v="1"/>
    <s v="No"/>
    <s v="No"/>
    <s v="No"/>
    <s v="No"/>
    <s v="No"/>
  </r>
  <r>
    <s v="C2414"/>
    <s v="Divya Nair"/>
    <s v="Unknown"/>
    <n v="20"/>
    <x v="4"/>
    <x v="3"/>
    <s v="Month-to-month"/>
    <n v="7"/>
    <x v="2"/>
    <n v="399"/>
    <n v="2793"/>
    <s v="No Internet"/>
    <d v="2025-02-04T00:00:00"/>
    <s v="Yes"/>
    <n v="1"/>
    <s v="No"/>
    <s v="No"/>
    <s v="No"/>
    <s v="No"/>
    <s v="No"/>
  </r>
  <r>
    <s v="C2415"/>
    <s v="Vivek Mishra"/>
    <s v="Male"/>
    <n v="54"/>
    <x v="1"/>
    <x v="5"/>
    <s v="Two year"/>
    <n v="9"/>
    <x v="2"/>
    <n v="649"/>
    <n v="5841"/>
    <s v="DSL"/>
    <d v="2024-12-17T00:00:00"/>
    <s v="No"/>
    <n v="0"/>
    <s v="No"/>
    <s v="No"/>
    <s v="No"/>
    <s v="No"/>
    <s v="No"/>
  </r>
  <r>
    <s v="C2416"/>
    <s v="Manish Kapoor"/>
    <s v="Male"/>
    <n v="28"/>
    <x v="0"/>
    <x v="9"/>
    <s v="Month-to-month"/>
    <n v="15"/>
    <x v="0"/>
    <n v="899"/>
    <n v="13485"/>
    <s v="DSL"/>
    <d v="2024-06-24T00:00:00"/>
    <s v="No"/>
    <n v="0"/>
    <s v="No"/>
    <s v="No"/>
    <s v="Yes"/>
    <s v="No"/>
    <s v="No"/>
  </r>
  <r>
    <s v="C2417"/>
    <s v="Kavita Bose"/>
    <s v="Female"/>
    <n v="53"/>
    <x v="1"/>
    <x v="1"/>
    <s v="Two year"/>
    <n v="43"/>
    <x v="1"/>
    <n v="449"/>
    <n v="19307"/>
    <s v="No Internet"/>
    <d v="2022-02-25T00:00:00"/>
    <s v="No"/>
    <n v="0"/>
    <s v="No"/>
    <s v="No"/>
    <s v="No"/>
    <s v="No"/>
    <s v="No"/>
  </r>
  <r>
    <s v="C2418"/>
    <s v="Riya Nair"/>
    <s v="Female"/>
    <n v="32"/>
    <x v="0"/>
    <x v="6"/>
    <s v="Month-to-month"/>
    <n v="11"/>
    <x v="2"/>
    <n v="1049"/>
    <n v="11539"/>
    <s v="Fiber"/>
    <d v="2024-10-21T00:00:00"/>
    <s v="No"/>
    <n v="0"/>
    <s v="No"/>
    <s v="No"/>
    <s v="No"/>
    <s v="No"/>
    <s v="No"/>
  </r>
  <r>
    <s v="C2419"/>
    <s v="Rajesh Iyer"/>
    <s v="Male"/>
    <n v="69"/>
    <x v="2"/>
    <x v="10"/>
    <s v="Month-to-month"/>
    <n v="18"/>
    <x v="0"/>
    <n v="399"/>
    <n v="7182"/>
    <s v="No Internet"/>
    <d v="2024-03-30T00:00:00"/>
    <s v="No"/>
    <n v="0"/>
    <s v="No"/>
    <s v="No"/>
    <s v="No"/>
    <s v="No"/>
    <s v="No"/>
  </r>
  <r>
    <s v="C2420"/>
    <s v="Pooja Reddy"/>
    <s v="Female"/>
    <n v="62"/>
    <x v="2"/>
    <x v="1"/>
    <s v="Month-to-month"/>
    <n v="13"/>
    <x v="0"/>
    <n v="1149"/>
    <n v="14937"/>
    <s v="Fiber"/>
    <d v="2024-08-27T00:00:00"/>
    <s v="Yes"/>
    <n v="1"/>
    <s v="No"/>
    <s v="No"/>
    <s v="No"/>
    <s v="No"/>
    <s v="No"/>
  </r>
  <r>
    <s v="C2421"/>
    <s v="Pankaj Desai"/>
    <s v="Male"/>
    <n v="60"/>
    <x v="1"/>
    <x v="4"/>
    <s v="One year"/>
    <n v="4"/>
    <x v="4"/>
    <n v="499"/>
    <n v="1996"/>
    <s v="No Internet"/>
    <d v="2025-05-16T00:00:00"/>
    <s v="Yes"/>
    <n v="1"/>
    <s v="No"/>
    <s v="No"/>
    <s v="No"/>
    <s v="No"/>
    <s v="No"/>
  </r>
  <r>
    <s v="C2422"/>
    <s v="Nikhil Patel"/>
    <s v="Male"/>
    <n v="25"/>
    <x v="4"/>
    <x v="5"/>
    <s v="Month-to-month"/>
    <n v="16"/>
    <x v="0"/>
    <n v="399"/>
    <n v="6384"/>
    <s v="No Internet"/>
    <d v="2024-05-09T00:00:00"/>
    <s v="Yes"/>
    <n v="1"/>
    <s v="No"/>
    <s v="No"/>
    <s v="No"/>
    <s v="No"/>
    <s v="No"/>
  </r>
  <r>
    <s v="C2423"/>
    <s v="Harsh Nair"/>
    <s v="Male"/>
    <n v="57"/>
    <x v="1"/>
    <x v="13"/>
    <s v="Month-to-month"/>
    <n v="11"/>
    <x v="2"/>
    <n v="799"/>
    <n v="8789"/>
    <s v="DSL"/>
    <d v="2024-10-31T00:00:00"/>
    <s v="Yes"/>
    <n v="1"/>
    <s v="No"/>
    <s v="No"/>
    <s v="No"/>
    <s v="No"/>
    <s v="No"/>
  </r>
  <r>
    <s v="C2424"/>
    <s v="Rohit Mishra"/>
    <s v="Male"/>
    <n v="45"/>
    <x v="3"/>
    <x v="7"/>
    <s v="Two year"/>
    <n v="20"/>
    <x v="0"/>
    <n v="499"/>
    <n v="9980"/>
    <s v="No Internet"/>
    <d v="2024-02-02T00:00:00"/>
    <s v="No"/>
    <n v="0"/>
    <s v="No"/>
    <s v="No"/>
    <s v="No"/>
    <s v="No"/>
    <s v="No"/>
  </r>
  <r>
    <s v="C2425"/>
    <s v="Isha Saxena"/>
    <s v="Female"/>
    <n v="61"/>
    <x v="2"/>
    <x v="6"/>
    <s v="One year"/>
    <n v="6"/>
    <x v="4"/>
    <n v="999"/>
    <n v="5994"/>
    <s v="Fiber"/>
    <d v="2025-03-31T00:00:00"/>
    <s v="No"/>
    <n v="0"/>
    <s v="No"/>
    <s v="No"/>
    <s v="No"/>
    <s v="No"/>
    <s v="No"/>
  </r>
  <r>
    <s v="C2426"/>
    <s v="Amit Yadav"/>
    <s v="Male"/>
    <n v="47"/>
    <x v="1"/>
    <x v="6"/>
    <s v="Two year"/>
    <n v="51"/>
    <x v="3"/>
    <n v="1099"/>
    <n v="56049"/>
    <s v="Unknown"/>
    <d v="2021-07-12T00:00:00"/>
    <s v="No"/>
    <n v="0"/>
    <s v="Yes"/>
    <s v="No"/>
    <s v="No"/>
    <s v="No"/>
    <s v="No"/>
  </r>
  <r>
    <s v="C2427"/>
    <s v="Pankaj Iyer"/>
    <s v="Male"/>
    <n v="26"/>
    <x v="0"/>
    <x v="4"/>
    <s v="Month-to-month"/>
    <n v="6"/>
    <x v="4"/>
    <n v="549"/>
    <n v="3294"/>
    <s v="No Internet"/>
    <d v="2025-03-13T00:00:00"/>
    <s v="Yes"/>
    <n v="1"/>
    <s v="No"/>
    <s v="No"/>
    <s v="No"/>
    <s v="No"/>
    <s v="No"/>
  </r>
  <r>
    <s v="C2428"/>
    <s v="Harsh Verma"/>
    <s v="Male"/>
    <n v="47"/>
    <x v="1"/>
    <x v="6"/>
    <s v="Month-to-month"/>
    <n v="16"/>
    <x v="0"/>
    <n v="899"/>
    <n v="14384"/>
    <s v="DSL"/>
    <d v="2024-05-27T00:00:00"/>
    <s v="No"/>
    <n v="0"/>
    <s v="Yes"/>
    <s v="No"/>
    <s v="No"/>
    <s v="No"/>
    <s v="No"/>
  </r>
  <r>
    <s v="C2429"/>
    <s v="Divya Tiwari"/>
    <s v="Female"/>
    <n v="69"/>
    <x v="2"/>
    <x v="0"/>
    <s v="One year"/>
    <n v="21"/>
    <x v="0"/>
    <n v="499"/>
    <n v="10479"/>
    <s v="No Internet"/>
    <d v="2024-01-03T00:00:00"/>
    <s v="Yes"/>
    <n v="1"/>
    <s v="No"/>
    <s v="No"/>
    <s v="No"/>
    <s v="No"/>
    <s v="No"/>
  </r>
  <r>
    <s v="C2430"/>
    <s v="Vikram Verma"/>
    <s v="Male"/>
    <n v="55"/>
    <x v="1"/>
    <x v="4"/>
    <s v="Month-to-month"/>
    <n v="5"/>
    <x v="4"/>
    <n v="349"/>
    <n v="1745"/>
    <s v="No Internet"/>
    <d v="2025-04-21T00:00:00"/>
    <s v="Yes"/>
    <n v="1"/>
    <s v="No"/>
    <s v="No"/>
    <s v="No"/>
    <s v="No"/>
    <s v="No"/>
  </r>
  <r>
    <s v="C2431"/>
    <s v="Tanvi Nair"/>
    <s v="Female"/>
    <n v="63"/>
    <x v="2"/>
    <x v="7"/>
    <s v="Month-to-month"/>
    <n v="21"/>
    <x v="0"/>
    <n v="849"/>
    <n v="17829"/>
    <s v="DSL"/>
    <d v="2023-12-29T00:00:00"/>
    <s v="No"/>
    <n v="0"/>
    <s v="No"/>
    <s v="No"/>
    <s v="No"/>
    <s v="No"/>
    <s v="No"/>
  </r>
  <r>
    <s v="C2432"/>
    <s v="Gaurav Chopra"/>
    <s v="Male"/>
    <n v="20"/>
    <x v="4"/>
    <x v="2"/>
    <s v="Month-to-month"/>
    <n v="3"/>
    <x v="4"/>
    <n v="599"/>
    <n v="1797"/>
    <s v="DSL"/>
    <d v="2025-06-04T00:00:00"/>
    <s v="Yes"/>
    <n v="1"/>
    <s v="No"/>
    <s v="No"/>
    <s v="No"/>
    <s v="No"/>
    <s v="No"/>
  </r>
  <r>
    <s v="C2433"/>
    <s v="Shreya Saxena"/>
    <s v="Female"/>
    <n v="43"/>
    <x v="3"/>
    <x v="13"/>
    <s v="One year"/>
    <n v="9"/>
    <x v="2"/>
    <n v="899"/>
    <n v="8091"/>
    <s v="DSL"/>
    <d v="2024-12-03T00:00:00"/>
    <s v="No"/>
    <n v="0"/>
    <s v="No"/>
    <s v="No"/>
    <s v="No"/>
    <s v="No"/>
    <s v="No"/>
  </r>
  <r>
    <s v="C2434"/>
    <s v="Unknown"/>
    <s v="Male"/>
    <n v="34"/>
    <x v="0"/>
    <x v="12"/>
    <s v="Month-to-month"/>
    <n v="11"/>
    <x v="2"/>
    <n v="399"/>
    <n v="4389"/>
    <s v="No Internet"/>
    <d v="2024-10-14T00:00:00"/>
    <s v="Yes"/>
    <n v="1"/>
    <s v="No"/>
    <s v="No"/>
    <s v="No"/>
    <s v="No"/>
    <s v="No"/>
  </r>
  <r>
    <s v="C2435"/>
    <s v="Kavita Mehta"/>
    <s v="Female"/>
    <n v="64"/>
    <x v="2"/>
    <x v="8"/>
    <s v="Month-to-month"/>
    <n v="21"/>
    <x v="0"/>
    <n v="1199"/>
    <n v="25179"/>
    <s v="Fiber"/>
    <d v="2023-12-27T00:00:00"/>
    <s v="No"/>
    <n v="0"/>
    <s v="No"/>
    <s v="No"/>
    <s v="No"/>
    <s v="No"/>
    <s v="No"/>
  </r>
  <r>
    <s v="C2436"/>
    <s v="Priya Reddy"/>
    <s v="Female"/>
    <n v="48"/>
    <x v="1"/>
    <x v="13"/>
    <s v="Two year"/>
    <n v="28"/>
    <x v="1"/>
    <n v="1049"/>
    <n v="29372"/>
    <s v="Fiber"/>
    <d v="2023-05-30T00:00:00"/>
    <s v="No"/>
    <n v="0"/>
    <s v="No"/>
    <s v="No"/>
    <s v="No"/>
    <s v="Yes"/>
    <s v="No"/>
  </r>
  <r>
    <s v="C2437"/>
    <s v="Vivek Agarwal"/>
    <s v="Male"/>
    <n v="69"/>
    <x v="2"/>
    <x v="3"/>
    <s v="Month-to-month"/>
    <n v="18"/>
    <x v="0"/>
    <n v="1149"/>
    <n v="20682"/>
    <s v="Fiber"/>
    <d v="2024-03-27T00:00:00"/>
    <s v="Yes"/>
    <n v="1"/>
    <s v="No"/>
    <s v="No"/>
    <s v="No"/>
    <s v="No"/>
    <s v="No"/>
  </r>
  <r>
    <s v="C2438"/>
    <s v="Vivek Bose"/>
    <s v="Male"/>
    <n v="58"/>
    <x v="1"/>
    <x v="13"/>
    <s v="Month-to-month"/>
    <n v="14"/>
    <x v="0"/>
    <n v="549"/>
    <n v="7686"/>
    <s v="No Internet"/>
    <d v="2024-07-25T00:00:00"/>
    <s v="Yes"/>
    <n v="1"/>
    <s v="No"/>
    <s v="No"/>
    <s v="No"/>
    <s v="No"/>
    <s v="No"/>
  </r>
  <r>
    <s v="C2439"/>
    <s v="Ankit Malhotra"/>
    <s v="Male"/>
    <n v="37"/>
    <x v="3"/>
    <x v="9"/>
    <s v="Two year"/>
    <n v="33"/>
    <x v="1"/>
    <n v="349"/>
    <n v="11517"/>
    <s v="No Internet"/>
    <d v="2023-01-11T00:00:00"/>
    <s v="No"/>
    <n v="0"/>
    <s v="No"/>
    <s v="No"/>
    <s v="No"/>
    <s v="No"/>
    <s v="No"/>
  </r>
  <r>
    <s v="C2440"/>
    <s v="Ankit Nair"/>
    <s v="Male"/>
    <n v="43"/>
    <x v="3"/>
    <x v="3"/>
    <s v="Month-to-month"/>
    <n v="9"/>
    <x v="2"/>
    <n v="549"/>
    <n v="4941"/>
    <s v="No Internet"/>
    <d v="2025-01-01T00:00:00"/>
    <s v="No"/>
    <n v="0"/>
    <s v="No"/>
    <s v="No"/>
    <s v="No"/>
    <s v="No"/>
    <s v="No"/>
  </r>
  <r>
    <s v="C2441"/>
    <s v="Riya Saxena"/>
    <s v="Female"/>
    <n v="47"/>
    <x v="1"/>
    <x v="7"/>
    <s v="Two year"/>
    <n v="71"/>
    <x v="3"/>
    <n v="699"/>
    <n v="49629"/>
    <s v="Unknown"/>
    <d v="2019-10-31T00:00:00"/>
    <s v="No"/>
    <n v="0"/>
    <s v="Yes"/>
    <s v="No"/>
    <s v="No"/>
    <s v="No"/>
    <s v="No"/>
  </r>
  <r>
    <s v="C2442"/>
    <s v="Sonal Agarwal"/>
    <s v="Female"/>
    <n v="39"/>
    <x v="3"/>
    <x v="8"/>
    <s v="Month-to-month"/>
    <n v="22"/>
    <x v="0"/>
    <n v="749"/>
    <n v="16478"/>
    <s v="DSL"/>
    <d v="2023-11-23T00:00:00"/>
    <s v="No"/>
    <n v="0"/>
    <s v="No"/>
    <s v="No"/>
    <s v="No"/>
    <s v="No"/>
    <s v="No"/>
  </r>
  <r>
    <s v="C2443"/>
    <s v="Karan Singh"/>
    <s v="Male"/>
    <n v="65"/>
    <x v="2"/>
    <x v="14"/>
    <s v="Month-to-month"/>
    <n v="22"/>
    <x v="0"/>
    <n v="1099"/>
    <n v="24178"/>
    <s v="Fiber"/>
    <d v="2023-12-02T00:00:00"/>
    <s v="No"/>
    <n v="0"/>
    <s v="No"/>
    <s v="No"/>
    <s v="No"/>
    <s v="No"/>
    <s v="No"/>
  </r>
  <r>
    <s v="C2444"/>
    <s v="Aman Reddy"/>
    <s v="Male"/>
    <n v="66"/>
    <x v="2"/>
    <x v="5"/>
    <s v="Month-to-month"/>
    <n v="18"/>
    <x v="0"/>
    <n v="899"/>
    <n v="16182"/>
    <s v="Fiber"/>
    <d v="2024-03-10T00:00:00"/>
    <s v="No"/>
    <n v="0"/>
    <s v="No"/>
    <s v="No"/>
    <s v="No"/>
    <s v="No"/>
    <s v="No"/>
  </r>
  <r>
    <s v="C2445"/>
    <s v="Rahul Nair"/>
    <s v="Male"/>
    <n v="22"/>
    <x v="4"/>
    <x v="13"/>
    <s v="One year"/>
    <n v="18"/>
    <x v="0"/>
    <n v="899"/>
    <n v="16182"/>
    <s v="Fiber"/>
    <d v="2024-03-21T00:00:00"/>
    <s v="No"/>
    <n v="0"/>
    <s v="No"/>
    <s v="No"/>
    <s v="No"/>
    <s v="No"/>
    <s v="No"/>
  </r>
  <r>
    <s v="C2446"/>
    <s v="Payal Reddy"/>
    <s v="Female"/>
    <n v="48"/>
    <x v="1"/>
    <x v="9"/>
    <s v="One year"/>
    <n v="23"/>
    <x v="0"/>
    <n v="899"/>
    <n v="20677"/>
    <s v="Fiber"/>
    <m/>
    <s v="Yes"/>
    <n v="1"/>
    <s v="No"/>
    <s v="No"/>
    <s v="No"/>
    <s v="No"/>
    <s v="Date missing"/>
  </r>
  <r>
    <s v="C2447"/>
    <s v="Sachin Malhotra"/>
    <s v="Male"/>
    <n v="64"/>
    <x v="2"/>
    <x v="3"/>
    <s v="Two year"/>
    <n v="12"/>
    <x v="2"/>
    <n v="999"/>
    <n v="11988"/>
    <s v="Fiber"/>
    <d v="2024-09-17T00:00:00"/>
    <s v="No"/>
    <n v="0"/>
    <s v="No"/>
    <s v="No"/>
    <s v="No"/>
    <s v="No"/>
    <s v="No"/>
  </r>
  <r>
    <s v="C2448"/>
    <s v="Gaurav Chopra"/>
    <s v="Male"/>
    <n v="40"/>
    <x v="3"/>
    <x v="3"/>
    <s v="Month-to-month"/>
    <n v="14"/>
    <x v="0"/>
    <n v="1299"/>
    <n v="18186"/>
    <s v="Fiber"/>
    <d v="2024-07-23T00:00:00"/>
    <s v="No"/>
    <n v="0"/>
    <s v="No"/>
    <s v="No"/>
    <s v="No"/>
    <s v="No"/>
    <s v="No"/>
  </r>
  <r>
    <s v="C2449"/>
    <s v="Arjun Mehta"/>
    <s v="Male"/>
    <n v="57"/>
    <x v="1"/>
    <x v="9"/>
    <s v="Month-to-month"/>
    <n v="23"/>
    <x v="0"/>
    <n v="1199"/>
    <n v="27577"/>
    <s v="Fiber"/>
    <d v="2023-10-10T00:00:00"/>
    <s v="No"/>
    <n v="0"/>
    <s v="No"/>
    <s v="No"/>
    <s v="No"/>
    <s v="No"/>
    <s v="No"/>
  </r>
  <r>
    <s v="C2450"/>
    <s v="Sonal Kapoor"/>
    <s v="Female"/>
    <n v="42"/>
    <x v="3"/>
    <x v="2"/>
    <s v="One year"/>
    <n v="3"/>
    <x v="4"/>
    <n v="599"/>
    <n v="1797"/>
    <s v="DSL"/>
    <d v="2025-06-19T00:00:00"/>
    <s v="Yes"/>
    <n v="1"/>
    <s v="No"/>
    <s v="No"/>
    <s v="No"/>
    <s v="No"/>
    <s v="No"/>
  </r>
  <r>
    <s v="C2451"/>
    <s v="Aman Chopra"/>
    <s v="Male"/>
    <n v="39"/>
    <x v="3"/>
    <x v="12"/>
    <s v="One year"/>
    <n v="21"/>
    <x v="0"/>
    <n v="899"/>
    <n v="18879"/>
    <s v="DSL"/>
    <d v="2024-01-04T00:00:00"/>
    <s v="Yes"/>
    <n v="1"/>
    <s v="No"/>
    <s v="No"/>
    <s v="No"/>
    <s v="No"/>
    <s v="No"/>
  </r>
  <r>
    <s v="C2452"/>
    <s v="Rajesh Singh"/>
    <s v="Male"/>
    <n v="48"/>
    <x v="1"/>
    <x v="7"/>
    <s v="One year"/>
    <n v="22"/>
    <x v="0"/>
    <n v="1149"/>
    <n v="25278"/>
    <s v="Fiber"/>
    <d v="2023-11-18T00:00:00"/>
    <s v="No"/>
    <n v="0"/>
    <s v="No"/>
    <s v="No"/>
    <s v="No"/>
    <s v="No"/>
    <s v="No"/>
  </r>
  <r>
    <s v="C2453"/>
    <s v="Ritu Iyer"/>
    <s v="Female"/>
    <n v="52"/>
    <x v="1"/>
    <x v="6"/>
    <s v="Month-to-month"/>
    <n v="4"/>
    <x v="4"/>
    <n v="599"/>
    <n v="2396"/>
    <s v="DSL"/>
    <d v="2025-05-05T00:00:00"/>
    <s v="No"/>
    <n v="0"/>
    <s v="No"/>
    <s v="No"/>
    <s v="No"/>
    <s v="No"/>
    <s v="No"/>
  </r>
  <r>
    <s v="C2454"/>
    <s v="Pooja Malhotra"/>
    <s v="Female"/>
    <n v="39"/>
    <x v="3"/>
    <x v="6"/>
    <s v="Month-to-month"/>
    <n v="17"/>
    <x v="0"/>
    <n v="699"/>
    <n v="11883"/>
    <s v="DSL"/>
    <d v="2024-04-27T00:00:00"/>
    <s v="Yes"/>
    <n v="1"/>
    <s v="No"/>
    <s v="No"/>
    <s v="No"/>
    <s v="No"/>
    <s v="No"/>
  </r>
  <r>
    <s v="C2455"/>
    <s v="Priya Sharma"/>
    <s v="Female"/>
    <n v="36"/>
    <x v="3"/>
    <x v="2"/>
    <s v="Month-to-month"/>
    <n v="5"/>
    <x v="4"/>
    <n v="799"/>
    <n v="3995"/>
    <s v="DSL"/>
    <d v="2025-04-20T00:00:00"/>
    <s v="No"/>
    <n v="0"/>
    <s v="No"/>
    <s v="No"/>
    <s v="No"/>
    <s v="No"/>
    <s v="No"/>
  </r>
  <r>
    <s v="C2456"/>
    <s v="Karan Malhotra"/>
    <s v="Male"/>
    <n v="67"/>
    <x v="2"/>
    <x v="2"/>
    <s v="Month-to-month"/>
    <n v="19"/>
    <x v="0"/>
    <n v="649"/>
    <n v="12331"/>
    <s v="DSL"/>
    <d v="2024-02-28T00:00:00"/>
    <s v="Yes"/>
    <n v="1"/>
    <s v="No"/>
    <s v="No"/>
    <s v="No"/>
    <s v="No"/>
    <s v="No"/>
  </r>
  <r>
    <s v="C2457"/>
    <s v="Sonal Mishra"/>
    <s v="Female"/>
    <n v="47"/>
    <x v="1"/>
    <x v="4"/>
    <s v="Two year"/>
    <n v="70"/>
    <x v="3"/>
    <n v="1149"/>
    <n v="80430"/>
    <s v="Fiber"/>
    <d v="2019-12-17T00:00:00"/>
    <s v="Yes"/>
    <n v="1"/>
    <s v="Yes"/>
    <s v="No"/>
    <s v="No"/>
    <s v="No"/>
    <s v="No"/>
  </r>
  <r>
    <s v="C2458"/>
    <s v="Harsh Tiwari"/>
    <s v="Male"/>
    <n v="23"/>
    <x v="4"/>
    <x v="9"/>
    <s v="Month-to-month"/>
    <n v="5"/>
    <x v="4"/>
    <n v="899"/>
    <n v="4495"/>
    <s v="Fiber"/>
    <d v="2025-04-03T00:00:00"/>
    <s v="Yes"/>
    <n v="1"/>
    <s v="No"/>
    <s v="No"/>
    <s v="No"/>
    <s v="No"/>
    <s v="No"/>
  </r>
  <r>
    <s v="C2459"/>
    <s v="Sneha Desai"/>
    <s v="Female"/>
    <n v="69"/>
    <x v="2"/>
    <x v="2"/>
    <s v="Month-to-month"/>
    <n v="6"/>
    <x v="4"/>
    <n v="799"/>
    <n v="4794"/>
    <s v="DSL"/>
    <d v="2025-03-27T00:00:00"/>
    <s v="Yes"/>
    <n v="1"/>
    <s v="No"/>
    <s v="No"/>
    <s v="No"/>
    <s v="No"/>
    <s v="No"/>
  </r>
  <r>
    <s v="C2460"/>
    <s v="Rajesh Pandey"/>
    <s v="Male"/>
    <n v="73"/>
    <x v="2"/>
    <x v="4"/>
    <s v="One year"/>
    <n v="14"/>
    <x v="0"/>
    <n v="849"/>
    <n v="11886"/>
    <s v="DSL"/>
    <d v="2024-07-09T00:00:00"/>
    <s v="No"/>
    <n v="0"/>
    <s v="No"/>
    <s v="No"/>
    <s v="No"/>
    <s v="No"/>
    <s v="No"/>
  </r>
  <r>
    <s v="C2461"/>
    <s v="Vivek Sharma"/>
    <s v="Male"/>
    <n v="61"/>
    <x v="2"/>
    <x v="1"/>
    <s v="Two year"/>
    <n v="25"/>
    <x v="1"/>
    <n v="1149"/>
    <n v="28725"/>
    <s v="Fiber"/>
    <d v="2023-09-03T00:00:00"/>
    <s v="Unknown"/>
    <s v=""/>
    <s v="No"/>
    <s v="No"/>
    <s v="No"/>
    <s v="No"/>
    <s v="Churn unknown"/>
  </r>
  <r>
    <s v="C2462"/>
    <s v="Deepika Jain"/>
    <s v="Female"/>
    <n v="36"/>
    <x v="3"/>
    <x v="2"/>
    <s v="Month-to-month"/>
    <n v="14"/>
    <x v="0"/>
    <n v="449"/>
    <n v="6286"/>
    <s v="No Internet"/>
    <d v="2024-07-08T00:00:00"/>
    <s v="Yes"/>
    <n v="1"/>
    <s v="No"/>
    <s v="No"/>
    <s v="No"/>
    <s v="No"/>
    <s v="No"/>
  </r>
  <r>
    <s v="C2463"/>
    <s v="Vivek Malhotra"/>
    <s v="Male"/>
    <n v="59"/>
    <x v="1"/>
    <x v="11"/>
    <s v="Month-to-month"/>
    <n v="13"/>
    <x v="0"/>
    <n v="449"/>
    <n v="5837"/>
    <s v="No Internet"/>
    <d v="2024-08-16T00:00:00"/>
    <s v="No"/>
    <n v="0"/>
    <s v="No"/>
    <s v="No"/>
    <s v="No"/>
    <s v="No"/>
    <s v="No"/>
  </r>
  <r>
    <s v="C2464"/>
    <s v="Rajesh Reddy"/>
    <s v="Male"/>
    <n v="60"/>
    <x v="1"/>
    <x v="0"/>
    <s v="Month-to-month"/>
    <n v="8"/>
    <x v="2"/>
    <n v="849"/>
    <n v="6792"/>
    <s v="DSL"/>
    <d v="2025-01-27T00:00:00"/>
    <s v="No"/>
    <n v="0"/>
    <s v="No"/>
    <s v="No"/>
    <s v="No"/>
    <s v="Yes"/>
    <s v="No"/>
  </r>
  <r>
    <s v="C2465"/>
    <s v="Suresh Reddy"/>
    <s v="Male"/>
    <n v="54"/>
    <x v="1"/>
    <x v="3"/>
    <s v="One year"/>
    <n v="1"/>
    <x v="4"/>
    <n v="899"/>
    <n v="899"/>
    <s v="Fiber"/>
    <d v="2025-08-25T00:00:00"/>
    <s v="Yes"/>
    <n v="1"/>
    <s v="No"/>
    <s v="No"/>
    <s v="Yes"/>
    <s v="No"/>
    <s v="No"/>
  </r>
  <r>
    <s v="C2466"/>
    <s v="Karan Patel"/>
    <s v="Male"/>
    <n v="38"/>
    <x v="3"/>
    <x v="12"/>
    <s v="Month-to-month"/>
    <n v="9"/>
    <x v="2"/>
    <n v="1199"/>
    <n v="10791"/>
    <s v="Fiber"/>
    <d v="2024-12-28T00:00:00"/>
    <s v="No"/>
    <n v="0"/>
    <s v="No"/>
    <s v="No"/>
    <s v="No"/>
    <s v="No"/>
    <s v="No"/>
  </r>
  <r>
    <s v="C2467"/>
    <s v="Deepak Patel"/>
    <s v="Male"/>
    <n v="30"/>
    <x v="0"/>
    <x v="6"/>
    <s v="One year"/>
    <n v="16"/>
    <x v="0"/>
    <n v="449"/>
    <n v="7184"/>
    <s v="No Internet"/>
    <d v="2024-05-28T00:00:00"/>
    <s v="No"/>
    <n v="0"/>
    <s v="No"/>
    <s v="No"/>
    <s v="No"/>
    <s v="No"/>
    <s v="No"/>
  </r>
  <r>
    <s v="C2468"/>
    <s v="Vivek Kapoor"/>
    <s v="Male"/>
    <n v="28"/>
    <x v="0"/>
    <x v="3"/>
    <s v="One year"/>
    <n v="30"/>
    <x v="1"/>
    <n v="399"/>
    <n v="11970"/>
    <s v="No Internet"/>
    <d v="2023-03-15T00:00:00"/>
    <s v="No"/>
    <n v="0"/>
    <s v="No"/>
    <s v="No"/>
    <s v="No"/>
    <s v="No"/>
    <s v="No"/>
  </r>
  <r>
    <s v="C2469"/>
    <s v="Pooja Iyer"/>
    <s v="Female"/>
    <n v="35"/>
    <x v="0"/>
    <x v="8"/>
    <s v="Month-to-month"/>
    <n v="17"/>
    <x v="0"/>
    <n v="599"/>
    <n v="10183"/>
    <s v="DSL"/>
    <d v="2024-04-16T00:00:00"/>
    <s v="Yes"/>
    <n v="1"/>
    <s v="No"/>
    <s v="No"/>
    <s v="No"/>
    <s v="No"/>
    <s v="No"/>
  </r>
  <r>
    <s v="C2470"/>
    <s v="Ankit Mehta"/>
    <s v="Male"/>
    <n v="62"/>
    <x v="2"/>
    <x v="6"/>
    <s v="Month-to-month"/>
    <n v="13"/>
    <x v="0"/>
    <n v="999"/>
    <n v="12987"/>
    <s v="Fiber"/>
    <d v="2024-08-06T00:00:00"/>
    <s v="Yes"/>
    <n v="1"/>
    <s v="No"/>
    <s v="No"/>
    <s v="No"/>
    <s v="No"/>
    <s v="No"/>
  </r>
  <r>
    <s v="C2471"/>
    <s v="Rahul Nair"/>
    <s v="Male"/>
    <n v="59"/>
    <x v="1"/>
    <x v="7"/>
    <s v="Month-to-month"/>
    <n v="18"/>
    <x v="0"/>
    <n v="399"/>
    <n v="7182"/>
    <s v="No Internet"/>
    <d v="2024-03-14T00:00:00"/>
    <s v="Yes"/>
    <n v="1"/>
    <s v="No"/>
    <s v="No"/>
    <s v="No"/>
    <s v="No"/>
    <s v="No"/>
  </r>
  <r>
    <s v="C2472"/>
    <s v="Payal Malhotra"/>
    <s v="Female"/>
    <n v="62"/>
    <x v="2"/>
    <x v="4"/>
    <s v="Month-to-month"/>
    <n v="10"/>
    <x v="2"/>
    <n v="1099"/>
    <n v="10990"/>
    <s v="Fiber"/>
    <d v="2024-11-04T00:00:00"/>
    <s v="Yes"/>
    <n v="1"/>
    <s v="No"/>
    <s v="No"/>
    <s v="Yes"/>
    <s v="No"/>
    <s v="No"/>
  </r>
  <r>
    <s v="C2473"/>
    <s v="Manish Iyer"/>
    <s v="Male"/>
    <n v="34"/>
    <x v="0"/>
    <x v="13"/>
    <s v="Month-to-month"/>
    <n v="18"/>
    <x v="0"/>
    <n v="549"/>
    <n v="9882"/>
    <s v="No Internet"/>
    <d v="2024-03-21T00:00:00"/>
    <s v="No"/>
    <n v="0"/>
    <s v="No"/>
    <s v="No"/>
    <s v="No"/>
    <s v="No"/>
    <s v="No"/>
  </r>
  <r>
    <s v="C2474"/>
    <s v="Gaurav Jain"/>
    <s v="Male"/>
    <n v="18"/>
    <x v="4"/>
    <x v="8"/>
    <s v="Two year"/>
    <n v="71"/>
    <x v="3"/>
    <n v="749"/>
    <n v="53179"/>
    <s v="DSL"/>
    <d v="2019-11-23T00:00:00"/>
    <s v="Yes"/>
    <n v="1"/>
    <s v="No"/>
    <s v="No"/>
    <s v="No"/>
    <s v="No"/>
    <s v="No"/>
  </r>
  <r>
    <s v="C2475"/>
    <s v="Karan Agarwal"/>
    <s v="Male"/>
    <n v="37"/>
    <x v="3"/>
    <x v="14"/>
    <s v="One year"/>
    <n v="18"/>
    <x v="0"/>
    <n v="799"/>
    <n v="14382"/>
    <s v="DSL"/>
    <d v="2024-03-18T00:00:00"/>
    <s v="No"/>
    <n v="0"/>
    <s v="No"/>
    <s v="No"/>
    <s v="No"/>
    <s v="No"/>
    <s v="No"/>
  </r>
  <r>
    <s v="C2476"/>
    <s v="Anjali Rao"/>
    <s v="Female"/>
    <n v="48"/>
    <x v="1"/>
    <x v="11"/>
    <s v="Month-to-month"/>
    <n v="2"/>
    <x v="4"/>
    <n v="899"/>
    <n v="1798"/>
    <s v="DSL"/>
    <d v="2025-07-23T00:00:00"/>
    <s v="Yes"/>
    <n v="1"/>
    <s v="No"/>
    <s v="No"/>
    <s v="No"/>
    <s v="No"/>
    <s v="No"/>
  </r>
  <r>
    <s v="C2477"/>
    <s v="Komal Nair"/>
    <s v="Female"/>
    <n v="45"/>
    <x v="3"/>
    <x v="1"/>
    <s v="Month-to-month"/>
    <n v="19"/>
    <x v="0"/>
    <n v="649"/>
    <n v="12331"/>
    <s v="DSL"/>
    <d v="2024-03-01T00:00:00"/>
    <s v="No"/>
    <n v="0"/>
    <s v="No"/>
    <s v="No"/>
    <s v="No"/>
    <s v="No"/>
    <s v="No"/>
  </r>
  <r>
    <s v="C2478"/>
    <s v="Nisha Mishra"/>
    <s v="Female"/>
    <n v="65"/>
    <x v="2"/>
    <x v="4"/>
    <s v="Month-to-month"/>
    <n v="18"/>
    <x v="0"/>
    <n v="399"/>
    <n v="7182"/>
    <s v="No Internet"/>
    <d v="2024-03-31T00:00:00"/>
    <s v="Yes"/>
    <n v="1"/>
    <s v="No"/>
    <s v="No"/>
    <s v="No"/>
    <s v="No"/>
    <s v="No"/>
  </r>
  <r>
    <s v="C2479"/>
    <s v="Aman Reddy"/>
    <s v="Male"/>
    <n v="20"/>
    <x v="4"/>
    <x v="5"/>
    <s v="Month-to-month"/>
    <n v="4"/>
    <x v="4"/>
    <n v="1199"/>
    <n v="4796"/>
    <s v="Fiber"/>
    <d v="2025-05-03T00:00:00"/>
    <s v="No"/>
    <n v="0"/>
    <s v="No"/>
    <s v="No"/>
    <s v="No"/>
    <s v="No"/>
    <s v="No"/>
  </r>
  <r>
    <s v="C2480"/>
    <s v="Vikram Joshi"/>
    <s v="Male"/>
    <n v="47"/>
    <x v="1"/>
    <x v="11"/>
    <s v="Month-to-month"/>
    <n v="20"/>
    <x v="0"/>
    <n v="399"/>
    <n v="7980"/>
    <s v="No Internet"/>
    <d v="2024-01-15T00:00:00"/>
    <s v="Yes"/>
    <n v="1"/>
    <s v="Yes"/>
    <s v="No"/>
    <s v="No"/>
    <s v="No"/>
    <s v="No"/>
  </r>
  <r>
    <s v="C2481"/>
    <s v="Sonal Gupta"/>
    <s v="Female"/>
    <n v="60"/>
    <x v="1"/>
    <x v="13"/>
    <s v="One year"/>
    <n v="32"/>
    <x v="1"/>
    <n v="899"/>
    <n v="28768"/>
    <s v="DSL"/>
    <d v="2023-02-08T00:00:00"/>
    <s v="No"/>
    <n v="0"/>
    <s v="No"/>
    <s v="No"/>
    <s v="No"/>
    <s v="No"/>
    <s v="No"/>
  </r>
  <r>
    <s v="C2482"/>
    <s v="Mohit Bose"/>
    <s v="Male"/>
    <n v="32"/>
    <x v="0"/>
    <x v="11"/>
    <s v="Month-to-month"/>
    <n v="12"/>
    <x v="2"/>
    <n v="1299"/>
    <n v="15588"/>
    <s v="Fiber"/>
    <d v="2024-09-28T00:00:00"/>
    <s v="No"/>
    <n v="0"/>
    <s v="No"/>
    <s v="No"/>
    <s v="No"/>
    <s v="No"/>
    <s v="No"/>
  </r>
  <r>
    <s v="C2483"/>
    <s v="Karan Chopra"/>
    <s v="Unknown"/>
    <n v="54"/>
    <x v="1"/>
    <x v="3"/>
    <s v="One year"/>
    <n v="11"/>
    <x v="2"/>
    <n v="649"/>
    <n v="7139"/>
    <s v="DSL"/>
    <d v="2024-10-27T00:00:00"/>
    <s v="No"/>
    <n v="0"/>
    <s v="No"/>
    <s v="No"/>
    <s v="No"/>
    <s v="No"/>
    <s v="No"/>
  </r>
  <r>
    <s v="C2484"/>
    <s v="Sanjay Singh"/>
    <s v="Male"/>
    <n v="36"/>
    <x v="3"/>
    <x v="7"/>
    <s v="Month-to-month"/>
    <n v="20"/>
    <x v="0"/>
    <n v="899"/>
    <n v="17980"/>
    <s v="Fiber"/>
    <d v="2024-01-14T00:00:00"/>
    <s v="No"/>
    <n v="0"/>
    <s v="No"/>
    <s v="No"/>
    <s v="No"/>
    <s v="No"/>
    <s v="No"/>
  </r>
  <r>
    <s v="C2485"/>
    <s v="Aman Chopra"/>
    <s v="Male"/>
    <n v="66"/>
    <x v="2"/>
    <x v="13"/>
    <s v="Unknown"/>
    <n v="5"/>
    <x v="4"/>
    <n v="899"/>
    <n v="4495"/>
    <s v="Fiber"/>
    <d v="2025-05-01T00:00:00"/>
    <s v="Yes"/>
    <n v="1"/>
    <s v="No"/>
    <s v="No"/>
    <s v="No"/>
    <s v="No"/>
    <s v="No"/>
  </r>
  <r>
    <s v="C2486"/>
    <s v="Aman Verma"/>
    <s v="Male"/>
    <n v="52"/>
    <x v="1"/>
    <x v="8"/>
    <s v="One year"/>
    <n v="7"/>
    <x v="2"/>
    <n v="399"/>
    <n v="2793"/>
    <s v="No Internet"/>
    <d v="2025-02-26T00:00:00"/>
    <s v="Unknown"/>
    <s v=""/>
    <s v="No"/>
    <s v="No"/>
    <s v="No"/>
    <s v="No"/>
    <s v="Churn unknown"/>
  </r>
  <r>
    <s v="C2487"/>
    <s v="Anjali Tiwari"/>
    <s v="Female"/>
    <n v="32"/>
    <x v="0"/>
    <x v="14"/>
    <s v="Two year"/>
    <n v="67"/>
    <x v="3"/>
    <n v="849"/>
    <n v="56883"/>
    <s v="DSL"/>
    <d v="2020-02-28T00:00:00"/>
    <s v="No"/>
    <n v="0"/>
    <s v="No"/>
    <s v="No"/>
    <s v="No"/>
    <s v="No"/>
    <s v="No"/>
  </r>
  <r>
    <s v="C2488"/>
    <s v="Shreya Gupta"/>
    <s v="Female"/>
    <n v="71"/>
    <x v="2"/>
    <x v="11"/>
    <s v="Month-to-month"/>
    <n v="15"/>
    <x v="0"/>
    <n v="999"/>
    <n v="14985"/>
    <s v="Fiber"/>
    <d v="2024-06-21T00:00:00"/>
    <s v="No"/>
    <n v="0"/>
    <s v="No"/>
    <s v="No"/>
    <s v="No"/>
    <s v="No"/>
    <s v="No"/>
  </r>
  <r>
    <s v="C2489"/>
    <s v="Swati Malhotra"/>
    <s v="Female"/>
    <n v="56"/>
    <x v="1"/>
    <x v="0"/>
    <s v="Two year"/>
    <n v="3"/>
    <x v="4"/>
    <n v="1099"/>
    <n v="3297"/>
    <s v="Fiber"/>
    <d v="2025-06-13T00:00:00"/>
    <s v="No"/>
    <n v="0"/>
    <s v="No"/>
    <s v="No"/>
    <s v="No"/>
    <s v="No"/>
    <s v="No"/>
  </r>
  <r>
    <s v="C2490"/>
    <s v="Neha Bose"/>
    <s v="Female"/>
    <n v="25"/>
    <x v="4"/>
    <x v="13"/>
    <s v="One year"/>
    <n v="15"/>
    <x v="0"/>
    <n v="549"/>
    <n v="8235"/>
    <s v="No Internet"/>
    <d v="2024-07-02T00:00:00"/>
    <s v="No"/>
    <n v="0"/>
    <s v="No"/>
    <s v="No"/>
    <s v="No"/>
    <s v="No"/>
    <s v="No"/>
  </r>
  <r>
    <s v="C2491"/>
    <s v="Divya Chopra"/>
    <s v="Female"/>
    <n v="55"/>
    <x v="1"/>
    <x v="14"/>
    <s v="One year"/>
    <n v="34"/>
    <x v="1"/>
    <n v="649"/>
    <n v="22066"/>
    <s v="DSL"/>
    <d v="2022-12-06T00:00:00"/>
    <s v="No"/>
    <n v="0"/>
    <s v="No"/>
    <s v="No"/>
    <s v="No"/>
    <s v="No"/>
    <s v="No"/>
  </r>
  <r>
    <s v="C2492"/>
    <s v="Mohit Yadav"/>
    <s v="Male"/>
    <n v="52"/>
    <x v="1"/>
    <x v="4"/>
    <s v="Month-to-month"/>
    <n v="11"/>
    <x v="2"/>
    <n v="1149"/>
    <n v="12639"/>
    <s v="Fiber"/>
    <d v="2024-10-23T00:00:00"/>
    <s v="Yes"/>
    <n v="1"/>
    <s v="No"/>
    <s v="No"/>
    <s v="No"/>
    <s v="No"/>
    <s v="No"/>
  </r>
  <r>
    <s v="C2493"/>
    <s v="Arjun Verma"/>
    <s v="Male"/>
    <n v="45"/>
    <x v="3"/>
    <x v="7"/>
    <s v="Two year"/>
    <n v="29"/>
    <x v="1"/>
    <n v="849"/>
    <n v="24621"/>
    <s v="DSL"/>
    <d v="2023-04-23T00:00:00"/>
    <s v="No"/>
    <n v="0"/>
    <s v="No"/>
    <s v="No"/>
    <s v="No"/>
    <s v="No"/>
    <s v="No"/>
  </r>
  <r>
    <s v="C2494"/>
    <s v="Neha Tiwari"/>
    <s v="Female"/>
    <n v="64"/>
    <x v="2"/>
    <x v="9"/>
    <s v="Month-to-month"/>
    <n v="11"/>
    <x v="2"/>
    <n v="999"/>
    <n v="10989"/>
    <s v="Fiber"/>
    <d v="2024-10-23T00:00:00"/>
    <s v="No"/>
    <n v="0"/>
    <s v="No"/>
    <s v="No"/>
    <s v="No"/>
    <s v="No"/>
    <s v="No"/>
  </r>
  <r>
    <s v="C2495"/>
    <s v="Amit Sharma"/>
    <s v="Male"/>
    <n v="67"/>
    <x v="2"/>
    <x v="3"/>
    <s v="One year"/>
    <n v="2"/>
    <x v="4"/>
    <n v="1049"/>
    <n v="2098"/>
    <s v="Fiber"/>
    <d v="2025-07-05T00:00:00"/>
    <s v="No"/>
    <n v="0"/>
    <s v="No"/>
    <s v="No"/>
    <s v="No"/>
    <s v="No"/>
    <s v="No"/>
  </r>
  <r>
    <s v="C2496"/>
    <s v="Vikram Pandey"/>
    <s v="Male"/>
    <n v="30"/>
    <x v="0"/>
    <x v="7"/>
    <s v="Two year"/>
    <n v="69"/>
    <x v="3"/>
    <n v="849"/>
    <n v="58581"/>
    <s v="DSL"/>
    <d v="2020-01-05T00:00:00"/>
    <s v="No"/>
    <n v="0"/>
    <s v="No"/>
    <s v="No"/>
    <s v="No"/>
    <s v="No"/>
    <s v="No"/>
  </r>
  <r>
    <s v="C2497"/>
    <s v="Rohit Patel"/>
    <s v="Male"/>
    <n v="38"/>
    <x v="3"/>
    <x v="12"/>
    <s v="One year"/>
    <n v="33"/>
    <x v="1"/>
    <n v="1049"/>
    <n v="34617"/>
    <s v="Fiber"/>
    <d v="2023-01-10T00:00:00"/>
    <s v="No"/>
    <n v="0"/>
    <s v="No"/>
    <s v="No"/>
    <s v="No"/>
    <s v="Yes"/>
    <s v="No"/>
  </r>
  <r>
    <s v="C2498"/>
    <s v="Pankaj Saxena"/>
    <s v="Male"/>
    <n v="54"/>
    <x v="1"/>
    <x v="1"/>
    <s v="Month-to-month"/>
    <n v="3"/>
    <x v="4"/>
    <n v="999"/>
    <n v="2997"/>
    <s v="Fiber"/>
    <d v="2025-06-05T00:00:00"/>
    <s v="Yes"/>
    <n v="1"/>
    <s v="No"/>
    <s v="No"/>
    <s v="No"/>
    <s v="Yes"/>
    <s v="No"/>
  </r>
  <r>
    <s v="C2499"/>
    <s v="Nikhil Rao"/>
    <s v="Unknown"/>
    <n v="48"/>
    <x v="1"/>
    <x v="3"/>
    <s v="Month-to-month"/>
    <n v="2"/>
    <x v="4"/>
    <n v="899"/>
    <n v="1798"/>
    <s v="Unknown"/>
    <d v="2025-07-02T00:00:00"/>
    <s v="No"/>
    <n v="0"/>
    <s v="No"/>
    <s v="No"/>
    <s v="No"/>
    <s v="No"/>
    <s v="No"/>
  </r>
  <r>
    <s v="C2500"/>
    <s v="Deepak Patel"/>
    <s v="Male"/>
    <n v="58"/>
    <x v="1"/>
    <x v="2"/>
    <s v="Month-to-month"/>
    <n v="9"/>
    <x v="2"/>
    <n v="999"/>
    <n v="8991"/>
    <s v="Fiber"/>
    <d v="2024-12-29T00:00:00"/>
    <s v="Yes"/>
    <n v="1"/>
    <s v="No"/>
    <s v="No"/>
    <s v="No"/>
    <s v="No"/>
    <s v="No"/>
  </r>
  <r>
    <s v="C2501"/>
    <s v="Vivek Singh"/>
    <s v="Male"/>
    <n v="69"/>
    <x v="2"/>
    <x v="5"/>
    <s v="Month-to-month"/>
    <n v="12"/>
    <x v="2"/>
    <n v="449"/>
    <n v="5388"/>
    <s v="No Internet"/>
    <d v="2024-09-28T00:00:00"/>
    <s v="Yes"/>
    <n v="1"/>
    <s v="No"/>
    <s v="No"/>
    <s v="No"/>
    <s v="No"/>
    <s v="No"/>
  </r>
  <r>
    <s v="C2502"/>
    <s v="Sneha Mishra"/>
    <s v="Female"/>
    <n v="63"/>
    <x v="2"/>
    <x v="3"/>
    <s v="One year"/>
    <n v="14"/>
    <x v="0"/>
    <n v="649"/>
    <n v="9086"/>
    <s v="DSL"/>
    <d v="2024-07-18T00:00:00"/>
    <s v="No"/>
    <n v="0"/>
    <s v="No"/>
    <s v="Yes"/>
    <s v="No"/>
    <s v="No"/>
    <s v="No"/>
  </r>
  <r>
    <s v="C2503"/>
    <s v="Riya Patel"/>
    <s v="Female"/>
    <n v="68"/>
    <x v="2"/>
    <x v="3"/>
    <s v="One year"/>
    <n v="34"/>
    <x v="1"/>
    <n v="999"/>
    <n v="33966"/>
    <s v="Fiber"/>
    <d v="2022-11-18T00:00:00"/>
    <s v="Yes"/>
    <n v="1"/>
    <s v="No"/>
    <s v="No"/>
    <s v="No"/>
    <s v="No"/>
    <s v="No"/>
  </r>
  <r>
    <s v="C2504"/>
    <s v="Karan Rao"/>
    <s v="Male"/>
    <n v="34"/>
    <x v="0"/>
    <x v="6"/>
    <s v="Month-to-month"/>
    <m/>
    <x v="4"/>
    <n v="449"/>
    <m/>
    <s v="No Internet"/>
    <d v="2024-04-28T00:00:00"/>
    <s v="No"/>
    <n v="0"/>
    <s v="No"/>
    <s v="No"/>
    <s v="No"/>
    <s v="No"/>
    <s v="Total missing; Tenure missing"/>
  </r>
  <r>
    <s v="C2505"/>
    <s v="Sachin Desai"/>
    <s v="Male"/>
    <n v="49"/>
    <x v="1"/>
    <x v="0"/>
    <s v="Month-to-month"/>
    <n v="7"/>
    <x v="2"/>
    <n v="1199"/>
    <n v="8393"/>
    <s v="Fiber"/>
    <d v="2025-02-23T00:00:00"/>
    <s v="Yes"/>
    <n v="1"/>
    <s v="No"/>
    <s v="Yes"/>
    <s v="No"/>
    <s v="No"/>
    <s v="No"/>
  </r>
  <r>
    <s v="C2506"/>
    <s v="Vikram Singh"/>
    <s v="Male"/>
    <n v="62"/>
    <x v="2"/>
    <x v="10"/>
    <s v="One year"/>
    <n v="11"/>
    <x v="2"/>
    <n v="799"/>
    <n v="8789"/>
    <s v="DSL"/>
    <d v="2024-10-28T00:00:00"/>
    <s v="No"/>
    <n v="0"/>
    <s v="No"/>
    <s v="No"/>
    <s v="No"/>
    <s v="No"/>
    <s v="No"/>
  </r>
  <r>
    <s v="C2507"/>
    <s v="Manish Tiwari"/>
    <s v="Male"/>
    <n v="66"/>
    <x v="2"/>
    <x v="14"/>
    <s v="Month-to-month"/>
    <n v="17"/>
    <x v="0"/>
    <n v="999"/>
    <n v="16983"/>
    <s v="Fiber"/>
    <d v="2024-04-12T00:00:00"/>
    <s v="Yes"/>
    <n v="1"/>
    <s v="No"/>
    <s v="No"/>
    <s v="No"/>
    <s v="No"/>
    <s v="No"/>
  </r>
  <r>
    <s v="C2508"/>
    <s v="Neha Kapoor"/>
    <s v="Female"/>
    <n v="73"/>
    <x v="2"/>
    <x v="3"/>
    <s v="Two year"/>
    <n v="50"/>
    <x v="3"/>
    <n v="649"/>
    <n v="32450"/>
    <s v="DSL"/>
    <d v="2021-07-24T00:00:00"/>
    <s v="No"/>
    <n v="0"/>
    <s v="No"/>
    <s v="No"/>
    <s v="No"/>
    <s v="No"/>
    <s v="No"/>
  </r>
  <r>
    <s v="C2509"/>
    <s v="Arjun Rao"/>
    <s v="Male"/>
    <n v="68"/>
    <x v="2"/>
    <x v="0"/>
    <s v="One year"/>
    <n v="35"/>
    <x v="1"/>
    <n v="999"/>
    <n v="34965"/>
    <s v="Fiber"/>
    <d v="2022-10-17T00:00:00"/>
    <s v="Yes"/>
    <n v="1"/>
    <s v="No"/>
    <s v="No"/>
    <s v="No"/>
    <s v="No"/>
    <s v="No"/>
  </r>
  <r>
    <s v="C2510"/>
    <s v="Vikram Desai"/>
    <s v="Male"/>
    <n v="42"/>
    <x v="3"/>
    <x v="5"/>
    <s v="Month-to-month"/>
    <n v="10"/>
    <x v="2"/>
    <n v="799"/>
    <n v="7990"/>
    <s v="DSL"/>
    <d v="2024-11-03T00:00:00"/>
    <s v="No"/>
    <n v="0"/>
    <s v="No"/>
    <s v="No"/>
    <s v="No"/>
    <s v="No"/>
    <s v="No"/>
  </r>
  <r>
    <s v="C2511"/>
    <s v="Manish Agarwal"/>
    <s v="Male"/>
    <n v="24"/>
    <x v="4"/>
    <x v="2"/>
    <s v="Month-to-month"/>
    <n v="17"/>
    <x v="0"/>
    <n v="1299"/>
    <n v="22083"/>
    <s v="Fiber"/>
    <d v="2024-05-02T00:00:00"/>
    <s v="Yes"/>
    <n v="1"/>
    <s v="No"/>
    <s v="No"/>
    <s v="No"/>
    <s v="No"/>
    <s v="No"/>
  </r>
  <r>
    <s v="C2512"/>
    <s v="Riya Pandey"/>
    <s v="Female"/>
    <n v="21"/>
    <x v="4"/>
    <x v="9"/>
    <s v="One year"/>
    <n v="4"/>
    <x v="4"/>
    <n v="899"/>
    <n v="3596"/>
    <s v="DSL"/>
    <d v="2025-05-25T00:00:00"/>
    <s v="Yes"/>
    <n v="1"/>
    <s v="No"/>
    <s v="No"/>
    <s v="Yes"/>
    <s v="No"/>
    <s v="No"/>
  </r>
  <r>
    <s v="C2513"/>
    <s v="Aman Mehta"/>
    <s v="Male"/>
    <n v="71"/>
    <x v="2"/>
    <x v="1"/>
    <s v="Month-to-month"/>
    <n v="23"/>
    <x v="0"/>
    <n v="599"/>
    <n v="13777"/>
    <s v="DSL"/>
    <d v="2023-10-14T00:00:00"/>
    <s v="No"/>
    <n v="0"/>
    <s v="No"/>
    <s v="No"/>
    <s v="No"/>
    <s v="No"/>
    <s v="No"/>
  </r>
  <r>
    <s v="C2514"/>
    <s v="Vikram Reddy"/>
    <s v="Male"/>
    <n v="63"/>
    <x v="2"/>
    <x v="11"/>
    <s v="Month-to-month"/>
    <n v="4"/>
    <x v="4"/>
    <n v="899"/>
    <n v="3596"/>
    <s v="Fiber"/>
    <d v="2025-05-24T00:00:00"/>
    <s v="No"/>
    <n v="0"/>
    <s v="No"/>
    <s v="No"/>
    <s v="No"/>
    <s v="No"/>
    <s v="No"/>
  </r>
  <r>
    <s v="C2515"/>
    <s v="Sanjay Desai"/>
    <s v="Male"/>
    <n v="31"/>
    <x v="0"/>
    <x v="8"/>
    <s v="Month-to-month"/>
    <n v="8"/>
    <x v="2"/>
    <n v="599"/>
    <n v="4792"/>
    <s v="DSL"/>
    <d v="2025-01-29T00:00:00"/>
    <s v="No"/>
    <n v="0"/>
    <s v="No"/>
    <s v="No"/>
    <s v="No"/>
    <s v="No"/>
    <s v="No"/>
  </r>
  <r>
    <s v="C2516"/>
    <s v="Swati Rao"/>
    <s v="Female"/>
    <n v="24"/>
    <x v="4"/>
    <x v="7"/>
    <s v="Two year"/>
    <n v="71"/>
    <x v="3"/>
    <n v="549"/>
    <n v="38979"/>
    <s v="No Internet"/>
    <d v="2019-11-29T00:00:00"/>
    <s v="No"/>
    <n v="0"/>
    <s v="No"/>
    <s v="No"/>
    <s v="No"/>
    <s v="No"/>
    <s v="No"/>
  </r>
  <r>
    <s v="C2517"/>
    <s v="Sanjay Sharma"/>
    <s v="Male"/>
    <n v="69"/>
    <x v="2"/>
    <x v="3"/>
    <s v="One year"/>
    <n v="27"/>
    <x v="1"/>
    <n v="599"/>
    <n v="16173"/>
    <s v="DSL"/>
    <d v="2023-06-25T00:00:00"/>
    <s v="No"/>
    <n v="0"/>
    <s v="No"/>
    <s v="No"/>
    <s v="No"/>
    <s v="No"/>
    <s v="No"/>
  </r>
  <r>
    <s v="C2518"/>
    <s v="Manish Pandey"/>
    <s v="Male"/>
    <n v="42"/>
    <x v="3"/>
    <x v="2"/>
    <s v="Month-to-month"/>
    <n v="9"/>
    <x v="2"/>
    <n v="1049"/>
    <n v="9441"/>
    <s v="Fiber"/>
    <d v="2024-12-09T00:00:00"/>
    <s v="Yes"/>
    <n v="1"/>
    <s v="No"/>
    <s v="No"/>
    <s v="No"/>
    <s v="No"/>
    <s v="No"/>
  </r>
  <r>
    <s v="C2519"/>
    <s v="Priya Yadav"/>
    <s v="Female"/>
    <n v="61"/>
    <x v="2"/>
    <x v="0"/>
    <s v="Month-to-month"/>
    <n v="12"/>
    <x v="2"/>
    <n v="899"/>
    <n v="10788"/>
    <s v="Fiber"/>
    <d v="2024-10-01T00:00:00"/>
    <s v="Yes"/>
    <n v="1"/>
    <s v="No"/>
    <s v="No"/>
    <s v="No"/>
    <s v="No"/>
    <s v="No"/>
  </r>
  <r>
    <s v="C2520"/>
    <s v="Mohit Chopra"/>
    <s v="Male"/>
    <n v="67"/>
    <x v="2"/>
    <x v="11"/>
    <s v="Month-to-month"/>
    <n v="8"/>
    <x v="2"/>
    <n v="1099"/>
    <n v="8792"/>
    <s v="Fiber"/>
    <d v="2025-01-05T00:00:00"/>
    <s v="No"/>
    <n v="0"/>
    <s v="No"/>
    <s v="No"/>
    <s v="No"/>
    <s v="No"/>
    <s v="No"/>
  </r>
  <r>
    <s v="C2521"/>
    <s v="Rajesh Singh"/>
    <s v="Male"/>
    <n v="66"/>
    <x v="2"/>
    <x v="12"/>
    <s v="Month-to-month"/>
    <n v="6"/>
    <x v="4"/>
    <n v="549"/>
    <n v="3294"/>
    <s v="No Internet"/>
    <d v="2025-03-30T00:00:00"/>
    <s v="No"/>
    <n v="0"/>
    <s v="No"/>
    <s v="No"/>
    <s v="No"/>
    <s v="No"/>
    <s v="No"/>
  </r>
  <r>
    <s v="C2522"/>
    <s v="Ankit Malhotra"/>
    <s v="Male"/>
    <n v="39"/>
    <x v="3"/>
    <x v="2"/>
    <s v="Month-to-month"/>
    <n v="2"/>
    <x v="4"/>
    <n v="849"/>
    <n v="1698"/>
    <s v="DSL"/>
    <d v="2025-07-13T00:00:00"/>
    <s v="Yes"/>
    <n v="1"/>
    <s v="No"/>
    <s v="No"/>
    <s v="No"/>
    <s v="No"/>
    <s v="No"/>
  </r>
  <r>
    <s v="C2523"/>
    <s v="Sneha Patel"/>
    <s v="Female"/>
    <n v="58"/>
    <x v="1"/>
    <x v="3"/>
    <s v="One year"/>
    <n v="32"/>
    <x v="1"/>
    <n v="749"/>
    <n v="23968"/>
    <s v="DSL"/>
    <d v="2023-01-19T00:00:00"/>
    <s v="No"/>
    <n v="0"/>
    <s v="No"/>
    <s v="No"/>
    <s v="No"/>
    <s v="No"/>
    <s v="No"/>
  </r>
  <r>
    <s v="C2524"/>
    <s v="Mohit Pandey"/>
    <s v="Male"/>
    <n v="24"/>
    <x v="4"/>
    <x v="4"/>
    <s v="One year"/>
    <n v="2"/>
    <x v="4"/>
    <n v="999"/>
    <n v="1998"/>
    <s v="Fiber"/>
    <m/>
    <s v="No"/>
    <n v="0"/>
    <s v="No"/>
    <s v="No"/>
    <s v="No"/>
    <s v="No"/>
    <s v="Date missing"/>
  </r>
  <r>
    <s v="C2525"/>
    <s v="Divya Rao"/>
    <s v="Female"/>
    <n v="74"/>
    <x v="2"/>
    <x v="11"/>
    <s v="Month-to-month"/>
    <n v="1"/>
    <x v="4"/>
    <n v="499"/>
    <n v="499"/>
    <s v="No Internet"/>
    <m/>
    <s v="Yes"/>
    <n v="1"/>
    <s v="No"/>
    <s v="No"/>
    <s v="No"/>
    <s v="No"/>
    <s v="Date missing"/>
  </r>
  <r>
    <s v="C2526"/>
    <s v="Karan Gupta"/>
    <s v="Unknown"/>
    <n v="67"/>
    <x v="2"/>
    <x v="0"/>
    <s v="Month-to-month"/>
    <n v="2"/>
    <x v="4"/>
    <n v="899"/>
    <n v="1798"/>
    <s v="DSL"/>
    <d v="2025-07-17T00:00:00"/>
    <s v="Yes"/>
    <n v="1"/>
    <s v="No"/>
    <s v="No"/>
    <s v="No"/>
    <s v="No"/>
    <s v="No"/>
  </r>
  <r>
    <s v="C2527"/>
    <s v="Gaurav Chopra"/>
    <s v="Male"/>
    <n v="72"/>
    <x v="2"/>
    <x v="7"/>
    <s v="Month-to-month"/>
    <n v="5"/>
    <x v="4"/>
    <n v="999"/>
    <n v="4995"/>
    <s v="Fiber"/>
    <d v="2025-04-22T00:00:00"/>
    <s v="No"/>
    <n v="0"/>
    <s v="No"/>
    <s v="No"/>
    <s v="Yes"/>
    <s v="No"/>
    <s v="No"/>
  </r>
  <r>
    <s v="C2528"/>
    <s v="Karan Nair"/>
    <s v="Male"/>
    <n v="37"/>
    <x v="3"/>
    <x v="1"/>
    <s v="Month-to-month"/>
    <n v="15"/>
    <x v="0"/>
    <n v="999"/>
    <n v="14985"/>
    <s v="Fiber"/>
    <d v="2024-06-20T00:00:00"/>
    <s v="Yes"/>
    <n v="1"/>
    <s v="No"/>
    <s v="No"/>
    <s v="No"/>
    <s v="No"/>
    <s v="No"/>
  </r>
  <r>
    <s v="C2529"/>
    <s v="Vivek Verma"/>
    <s v="Male"/>
    <n v="31"/>
    <x v="0"/>
    <x v="0"/>
    <s v="One year"/>
    <n v="8"/>
    <x v="2"/>
    <n v="899"/>
    <n v="7192"/>
    <s v="Fiber"/>
    <d v="2025-01-09T00:00:00"/>
    <s v="No"/>
    <n v="0"/>
    <s v="No"/>
    <s v="No"/>
    <s v="No"/>
    <s v="No"/>
    <s v="No"/>
  </r>
  <r>
    <s v="C2530"/>
    <s v="Pankaj Verma"/>
    <s v="Male"/>
    <n v="50"/>
    <x v="1"/>
    <x v="2"/>
    <s v="Two year"/>
    <n v="9"/>
    <x v="2"/>
    <n v="1049"/>
    <n v="9441"/>
    <s v="Fiber"/>
    <d v="2024-12-03T00:00:00"/>
    <s v="No"/>
    <n v="0"/>
    <s v="No"/>
    <s v="No"/>
    <s v="No"/>
    <s v="Yes"/>
    <s v="No"/>
  </r>
  <r>
    <s v="C2531"/>
    <s v="Ankit Malhotra"/>
    <s v="Male"/>
    <n v="55"/>
    <x v="1"/>
    <x v="13"/>
    <s v="Month-to-month"/>
    <n v="23"/>
    <x v="0"/>
    <n v="1149"/>
    <n v="26427"/>
    <s v="Fiber"/>
    <d v="2023-10-21T00:00:00"/>
    <s v="No"/>
    <n v="0"/>
    <s v="No"/>
    <s v="No"/>
    <s v="No"/>
    <s v="No"/>
    <s v="No"/>
  </r>
  <r>
    <s v="C2532"/>
    <s v="Aditi Mishra"/>
    <s v="Female"/>
    <n v="59"/>
    <x v="1"/>
    <x v="11"/>
    <s v="One year"/>
    <m/>
    <x v="4"/>
    <m/>
    <n v="34470"/>
    <s v="Unknown"/>
    <d v="2023-03-18T00:00:00"/>
    <s v="Yes"/>
    <n v="1"/>
    <s v="No"/>
    <s v="No"/>
    <s v="No"/>
    <s v="No"/>
    <s v="Monthly missing; Tenure missing"/>
  </r>
  <r>
    <s v="C2533"/>
    <s v="Tanvi Rao"/>
    <s v="Female"/>
    <n v="58"/>
    <x v="1"/>
    <x v="11"/>
    <s v="Month-to-month"/>
    <n v="4"/>
    <x v="4"/>
    <n v="699"/>
    <n v="2796"/>
    <s v="DSL"/>
    <d v="2025-05-13T00:00:00"/>
    <s v="No"/>
    <n v="0"/>
    <s v="No"/>
    <s v="No"/>
    <s v="No"/>
    <s v="No"/>
    <s v="No"/>
  </r>
  <r>
    <s v="C2534"/>
    <s v="Arjun Mehta"/>
    <s v="Male"/>
    <n v="24"/>
    <x v="4"/>
    <x v="8"/>
    <s v="Two year"/>
    <n v="29"/>
    <x v="1"/>
    <n v="399"/>
    <n v="11571"/>
    <s v="No Internet"/>
    <d v="2023-04-29T00:00:00"/>
    <s v="No"/>
    <n v="0"/>
    <s v="No"/>
    <s v="No"/>
    <s v="No"/>
    <s v="No"/>
    <s v="No"/>
  </r>
  <r>
    <s v="C2535"/>
    <s v="Tanvi Mishra"/>
    <s v="Female"/>
    <n v="21"/>
    <x v="4"/>
    <x v="12"/>
    <s v="One year"/>
    <n v="36"/>
    <x v="1"/>
    <n v="749"/>
    <n v="26964"/>
    <s v="Unknown"/>
    <d v="2022-09-30T00:00:00"/>
    <s v="No"/>
    <n v="0"/>
    <s v="No"/>
    <s v="No"/>
    <s v="No"/>
    <s v="No"/>
    <s v="No"/>
  </r>
  <r>
    <s v="C2536"/>
    <s v="Priya Chopra"/>
    <s v="Female"/>
    <n v="46"/>
    <x v="1"/>
    <x v="8"/>
    <s v="One year"/>
    <n v="15"/>
    <x v="0"/>
    <n v="799"/>
    <n v="11985"/>
    <s v="DSL"/>
    <d v="2024-06-14T00:00:00"/>
    <s v="No"/>
    <n v="0"/>
    <s v="No"/>
    <s v="No"/>
    <s v="No"/>
    <s v="No"/>
    <s v="No"/>
  </r>
  <r>
    <s v="C2537"/>
    <s v="Ritu Jain"/>
    <s v="Female"/>
    <n v="26"/>
    <x v="0"/>
    <x v="9"/>
    <s v="Two year"/>
    <n v="37"/>
    <x v="1"/>
    <n v="899"/>
    <n v="33263"/>
    <s v="Fiber"/>
    <d v="2022-08-17T00:00:00"/>
    <s v="No"/>
    <n v="0"/>
    <s v="No"/>
    <s v="No"/>
    <s v="No"/>
    <s v="No"/>
    <s v="No"/>
  </r>
  <r>
    <s v="C2538"/>
    <s v="Rohit Pandey"/>
    <s v="Male"/>
    <n v="54"/>
    <x v="1"/>
    <x v="11"/>
    <s v="Month-to-month"/>
    <n v="5"/>
    <x v="4"/>
    <n v="749"/>
    <n v="3745"/>
    <s v="DSL"/>
    <d v="2025-04-27T00:00:00"/>
    <s v="Yes"/>
    <n v="1"/>
    <s v="No"/>
    <s v="No"/>
    <s v="No"/>
    <s v="No"/>
    <s v="No"/>
  </r>
  <r>
    <s v="C2539"/>
    <s v="Kavita Kumar"/>
    <s v="Female"/>
    <n v="68"/>
    <x v="2"/>
    <x v="1"/>
    <s v="Month-to-month"/>
    <n v="14"/>
    <x v="0"/>
    <n v="899"/>
    <n v="12586"/>
    <s v="Fiber"/>
    <d v="2024-07-20T00:00:00"/>
    <s v="Yes"/>
    <n v="1"/>
    <s v="No"/>
    <s v="No"/>
    <s v="No"/>
    <s v="Yes"/>
    <s v="No"/>
  </r>
  <r>
    <s v="C2540"/>
    <s v="Anjali Saxena"/>
    <s v="Female"/>
    <n v="71"/>
    <x v="2"/>
    <x v="9"/>
    <s v="Two year"/>
    <n v="68"/>
    <x v="3"/>
    <n v="1149"/>
    <n v="78132"/>
    <s v="Fiber"/>
    <d v="2020-02-03T00:00:00"/>
    <s v="No"/>
    <n v="0"/>
    <s v="No"/>
    <s v="No"/>
    <s v="No"/>
    <s v="No"/>
    <s v="No"/>
  </r>
  <r>
    <s v="C2541"/>
    <s v="Suresh Mehta"/>
    <s v="Male"/>
    <n v="67"/>
    <x v="2"/>
    <x v="5"/>
    <s v="Month-to-month"/>
    <n v="19"/>
    <x v="0"/>
    <n v="899"/>
    <n v="17081"/>
    <s v="DSL"/>
    <d v="2024-02-28T00:00:00"/>
    <s v="No"/>
    <n v="0"/>
    <s v="No"/>
    <s v="No"/>
    <s v="No"/>
    <s v="No"/>
    <s v="No"/>
  </r>
  <r>
    <s v="C2542"/>
    <s v="Rahul Gupta"/>
    <s v="Male"/>
    <n v="48"/>
    <x v="1"/>
    <x v="13"/>
    <s v="Month-to-month"/>
    <n v="17"/>
    <x v="0"/>
    <n v="749"/>
    <n v="12733"/>
    <s v="DSL"/>
    <d v="2024-04-24T00:00:00"/>
    <s v="No"/>
    <n v="0"/>
    <s v="No"/>
    <s v="No"/>
    <s v="No"/>
    <s v="No"/>
    <s v="No"/>
  </r>
  <r>
    <s v="C2543"/>
    <s v="Amit Reddy"/>
    <s v="Male"/>
    <n v="71"/>
    <x v="2"/>
    <x v="13"/>
    <s v="Month-to-month"/>
    <n v="3"/>
    <x v="4"/>
    <n v="849"/>
    <n v="2547"/>
    <s v="DSL"/>
    <d v="2025-06-04T00:00:00"/>
    <s v="Yes"/>
    <n v="1"/>
    <s v="No"/>
    <s v="No"/>
    <s v="No"/>
    <s v="No"/>
    <s v="No"/>
  </r>
  <r>
    <s v="C2544"/>
    <s v="Amit Kumar"/>
    <s v="Male"/>
    <n v="42"/>
    <x v="3"/>
    <x v="1"/>
    <s v="Month-to-month"/>
    <n v="3"/>
    <x v="4"/>
    <n v="1199"/>
    <n v="3597"/>
    <s v="Fiber"/>
    <d v="2025-06-07T00:00:00"/>
    <s v="Yes"/>
    <n v="1"/>
    <s v="No"/>
    <s v="No"/>
    <s v="No"/>
    <s v="No"/>
    <s v="No"/>
  </r>
  <r>
    <s v="C2545"/>
    <s v="Sneha Kapoor"/>
    <s v="Female"/>
    <n v="44"/>
    <x v="3"/>
    <x v="13"/>
    <s v="Month-to-month"/>
    <n v="7"/>
    <x v="2"/>
    <n v="1149"/>
    <n v="8043"/>
    <s v="Fiber"/>
    <d v="2025-02-10T00:00:00"/>
    <s v="No"/>
    <n v="0"/>
    <s v="No"/>
    <s v="No"/>
    <s v="No"/>
    <s v="No"/>
    <s v="No"/>
  </r>
  <r>
    <s v="C2546"/>
    <s v="Amit Agarwal"/>
    <s v="Male"/>
    <n v="41"/>
    <x v="3"/>
    <x v="0"/>
    <s v="One year"/>
    <n v="32"/>
    <x v="1"/>
    <n v="749"/>
    <n v="23968"/>
    <s v="DSL"/>
    <d v="2023-02-06T00:00:00"/>
    <s v="No"/>
    <n v="0"/>
    <s v="No"/>
    <s v="No"/>
    <s v="No"/>
    <s v="Yes"/>
    <s v="No"/>
  </r>
  <r>
    <s v="C2547"/>
    <s v="Ankit Singh"/>
    <s v="Unknown"/>
    <n v="64"/>
    <x v="2"/>
    <x v="12"/>
    <s v="One year"/>
    <n v="9"/>
    <x v="2"/>
    <n v="999"/>
    <n v="8991"/>
    <s v="Fiber"/>
    <d v="2024-12-07T00:00:00"/>
    <s v="Yes"/>
    <n v="1"/>
    <s v="No"/>
    <s v="No"/>
    <s v="Yes"/>
    <s v="No"/>
    <s v="No"/>
  </r>
  <r>
    <s v="C2548"/>
    <s v="Gaurav Agarwal"/>
    <s v="Male"/>
    <n v="58"/>
    <x v="1"/>
    <x v="6"/>
    <s v="Month-to-month"/>
    <n v="2"/>
    <x v="4"/>
    <n v="1149"/>
    <n v="2298"/>
    <s v="Fiber"/>
    <d v="2025-07-06T00:00:00"/>
    <s v="Unknown"/>
    <s v=""/>
    <s v="No"/>
    <s v="No"/>
    <s v="No"/>
    <s v="Yes"/>
    <s v="Churn unknown"/>
  </r>
  <r>
    <s v="C2549"/>
    <s v="Priya Rao"/>
    <s v="Female"/>
    <n v="51"/>
    <x v="1"/>
    <x v="9"/>
    <s v="Month-to-month"/>
    <n v="7"/>
    <x v="2"/>
    <n v="649"/>
    <n v="4543"/>
    <s v="DSL"/>
    <d v="2025-02-01T00:00:00"/>
    <s v="Yes"/>
    <n v="1"/>
    <s v="No"/>
    <s v="No"/>
    <s v="No"/>
    <s v="No"/>
    <s v="No"/>
  </r>
  <r>
    <s v="C2550"/>
    <s v="Nikhil Patel"/>
    <s v="Male"/>
    <n v="63"/>
    <x v="2"/>
    <x v="8"/>
    <s v="Month-to-month"/>
    <n v="13"/>
    <x v="0"/>
    <n v="549"/>
    <n v="7137"/>
    <s v="No Internet"/>
    <d v="2024-08-20T00:00:00"/>
    <s v="No"/>
    <n v="0"/>
    <s v="No"/>
    <s v="No"/>
    <s v="No"/>
    <s v="No"/>
    <s v="No"/>
  </r>
  <r>
    <s v="C2551"/>
    <s v="Sanjay Gupta"/>
    <s v="Male"/>
    <n v="61"/>
    <x v="2"/>
    <x v="4"/>
    <s v="Month-to-month"/>
    <n v="13"/>
    <x v="0"/>
    <n v="599"/>
    <n v="7787"/>
    <s v="DSL"/>
    <d v="2024-08-18T00:00:00"/>
    <s v="Yes"/>
    <n v="1"/>
    <s v="No"/>
    <s v="No"/>
    <s v="No"/>
    <s v="No"/>
    <s v="No"/>
  </r>
  <r>
    <s v="C2552"/>
    <s v="Pooja Kapoor"/>
    <s v="Female"/>
    <n v="49"/>
    <x v="1"/>
    <x v="1"/>
    <s v="One year"/>
    <n v="8"/>
    <x v="2"/>
    <n v="649"/>
    <n v="5192"/>
    <s v="DSL"/>
    <d v="2025-01-10T00:00:00"/>
    <s v="Yes"/>
    <n v="1"/>
    <s v="No"/>
    <s v="No"/>
    <s v="No"/>
    <s v="No"/>
    <s v="No"/>
  </r>
  <r>
    <s v="C2553"/>
    <s v="Aditi Malhotra"/>
    <s v="Female"/>
    <n v="55"/>
    <x v="1"/>
    <x v="3"/>
    <s v="One year"/>
    <n v="38"/>
    <x v="1"/>
    <n v="699"/>
    <n v="26562"/>
    <s v="DSL"/>
    <d v="2022-08-06T00:00:00"/>
    <s v="No"/>
    <n v="0"/>
    <s v="No"/>
    <s v="No"/>
    <s v="No"/>
    <s v="No"/>
    <s v="No"/>
  </r>
  <r>
    <s v="C2554"/>
    <s v="Karan Tiwari"/>
    <s v="Male"/>
    <n v="35"/>
    <x v="0"/>
    <x v="5"/>
    <s v="Two year"/>
    <n v="27"/>
    <x v="1"/>
    <n v="849"/>
    <n v="22923"/>
    <s v="DSL"/>
    <d v="2023-06-24T00:00:00"/>
    <s v="No"/>
    <n v="0"/>
    <s v="No"/>
    <s v="No"/>
    <s v="No"/>
    <s v="No"/>
    <s v="No"/>
  </r>
  <r>
    <s v="C2555"/>
    <s v="Rohit Kapoor"/>
    <s v="Male"/>
    <n v="65"/>
    <x v="2"/>
    <x v="13"/>
    <s v="Month-to-month"/>
    <n v="6"/>
    <x v="4"/>
    <n v="899"/>
    <n v="5394"/>
    <s v="Fiber"/>
    <m/>
    <s v="No"/>
    <n v="0"/>
    <s v="No"/>
    <s v="No"/>
    <s v="No"/>
    <s v="No"/>
    <s v="Date missing"/>
  </r>
  <r>
    <s v="C2556"/>
    <s v="Tanvi Mishra"/>
    <s v="Female"/>
    <n v="70"/>
    <x v="2"/>
    <x v="10"/>
    <s v="Month-to-month"/>
    <n v="17"/>
    <x v="0"/>
    <n v="749"/>
    <n v="12733"/>
    <s v="DSL"/>
    <d v="2024-04-13T00:00:00"/>
    <s v="No"/>
    <n v="0"/>
    <s v="No"/>
    <s v="No"/>
    <s v="No"/>
    <s v="No"/>
    <s v="No"/>
  </r>
  <r>
    <s v="C2557"/>
    <s v="Riya Kapoor"/>
    <s v="Female"/>
    <n v="32"/>
    <x v="0"/>
    <x v="13"/>
    <s v="Month-to-month"/>
    <n v="18"/>
    <x v="0"/>
    <n v="549"/>
    <n v="9882"/>
    <s v="No Internet"/>
    <d v="2024-03-16T00:00:00"/>
    <s v="Yes"/>
    <n v="1"/>
    <s v="No"/>
    <s v="No"/>
    <s v="No"/>
    <s v="Yes"/>
    <s v="No"/>
  </r>
  <r>
    <s v="C2558"/>
    <s v="Nisha Sharma"/>
    <s v="Female"/>
    <n v="39"/>
    <x v="3"/>
    <x v="0"/>
    <s v="One year"/>
    <n v="2"/>
    <x v="4"/>
    <n v="1299"/>
    <n v="2598"/>
    <s v="Fiber"/>
    <d v="2025-07-10T00:00:00"/>
    <s v="No"/>
    <n v="0"/>
    <s v="No"/>
    <s v="No"/>
    <s v="No"/>
    <s v="No"/>
    <s v="No"/>
  </r>
  <r>
    <s v="C2559"/>
    <s v="Divya Saxena"/>
    <s v="Female"/>
    <n v="25"/>
    <x v="4"/>
    <x v="7"/>
    <s v="Month-to-month"/>
    <n v="16"/>
    <x v="0"/>
    <n v="649"/>
    <n v="10384"/>
    <s v="DSL"/>
    <d v="2024-06-01T00:00:00"/>
    <s v="No"/>
    <n v="0"/>
    <s v="No"/>
    <s v="No"/>
    <s v="No"/>
    <s v="No"/>
    <s v="No"/>
  </r>
  <r>
    <s v="C2560"/>
    <s v="Aman Sharma"/>
    <s v="Male"/>
    <n v="42"/>
    <x v="3"/>
    <x v="1"/>
    <s v="Month-to-month"/>
    <n v="6"/>
    <x v="4"/>
    <n v="999"/>
    <n v="5994"/>
    <s v="Fiber"/>
    <d v="2025-03-27T00:00:00"/>
    <s v="Yes"/>
    <n v="1"/>
    <s v="No"/>
    <s v="No"/>
    <s v="No"/>
    <s v="No"/>
    <s v="No"/>
  </r>
  <r>
    <s v="C2561"/>
    <s v="Deepak Saxena"/>
    <s v="Male"/>
    <n v="73"/>
    <x v="2"/>
    <x v="9"/>
    <s v="Month-to-month"/>
    <n v="18"/>
    <x v="0"/>
    <n v="899"/>
    <n v="16182"/>
    <s v="Fiber"/>
    <d v="2024-04-02T00:00:00"/>
    <s v="Yes"/>
    <n v="1"/>
    <s v="No"/>
    <s v="No"/>
    <s v="No"/>
    <s v="No"/>
    <s v="No"/>
  </r>
  <r>
    <s v="C2562"/>
    <s v="Unknown"/>
    <s v="Male"/>
    <n v="47"/>
    <x v="1"/>
    <x v="8"/>
    <s v="Month-to-month"/>
    <n v="11"/>
    <x v="2"/>
    <n v="1099"/>
    <n v="12089"/>
    <s v="Fiber"/>
    <d v="2024-11-01T00:00:00"/>
    <s v="No"/>
    <n v="0"/>
    <s v="Yes"/>
    <s v="No"/>
    <s v="No"/>
    <s v="Yes"/>
    <s v="No"/>
  </r>
  <r>
    <s v="C2563"/>
    <s v="Ritu Tiwari"/>
    <s v="Female"/>
    <n v="57"/>
    <x v="1"/>
    <x v="11"/>
    <s v="Month-to-month"/>
    <n v="1"/>
    <x v="4"/>
    <n v="999"/>
    <n v="999"/>
    <s v="Fiber"/>
    <d v="2025-08-04T00:00:00"/>
    <s v="No"/>
    <n v="0"/>
    <s v="No"/>
    <s v="No"/>
    <s v="No"/>
    <s v="Yes"/>
    <s v="No"/>
  </r>
  <r>
    <s v="C2564"/>
    <s v="Pankaj Pandey"/>
    <s v="Male"/>
    <n v="64"/>
    <x v="2"/>
    <x v="0"/>
    <s v="One year"/>
    <n v="39"/>
    <x v="1"/>
    <n v="1199"/>
    <n v="46761"/>
    <s v="Fiber"/>
    <d v="2022-07-07T00:00:00"/>
    <s v="No"/>
    <n v="0"/>
    <s v="No"/>
    <s v="No"/>
    <s v="No"/>
    <s v="No"/>
    <s v="No"/>
  </r>
  <r>
    <s v="C2565"/>
    <s v="Harsh Yadav"/>
    <s v="Male"/>
    <n v="39"/>
    <x v="3"/>
    <x v="6"/>
    <s v="One year"/>
    <n v="5"/>
    <x v="4"/>
    <n v="899"/>
    <n v="4495"/>
    <s v="Fiber"/>
    <d v="2025-04-11T00:00:00"/>
    <s v="Yes"/>
    <n v="1"/>
    <s v="No"/>
    <s v="No"/>
    <s v="No"/>
    <s v="No"/>
    <s v="No"/>
  </r>
  <r>
    <s v="C2566"/>
    <s v="Sneha Pandey"/>
    <s v="Female"/>
    <n v="59"/>
    <x v="1"/>
    <x v="7"/>
    <s v="Month-to-month"/>
    <n v="8"/>
    <x v="2"/>
    <n v="499"/>
    <n v="3992"/>
    <s v="No Internet"/>
    <d v="2025-01-25T00:00:00"/>
    <s v="Yes"/>
    <n v="1"/>
    <s v="No"/>
    <s v="No"/>
    <s v="No"/>
    <s v="No"/>
    <s v="No"/>
  </r>
  <r>
    <s v="C2567"/>
    <s v="Rahul Yadav"/>
    <s v="Male"/>
    <n v="46"/>
    <x v="1"/>
    <x v="10"/>
    <s v="Month-to-month"/>
    <n v="20"/>
    <x v="0"/>
    <n v="599"/>
    <n v="11980"/>
    <s v="DSL"/>
    <d v="2024-01-20T00:00:00"/>
    <s v="No"/>
    <n v="0"/>
    <s v="No"/>
    <s v="Yes"/>
    <s v="No"/>
    <s v="No"/>
    <s v="No"/>
  </r>
  <r>
    <s v="C2568"/>
    <s v="Divya Mishra"/>
    <s v="Female"/>
    <n v="27"/>
    <x v="0"/>
    <x v="6"/>
    <s v="One year"/>
    <n v="33"/>
    <x v="1"/>
    <n v="399"/>
    <n v="13167"/>
    <s v="No Internet"/>
    <d v="2023-01-08T00:00:00"/>
    <s v="No"/>
    <n v="0"/>
    <s v="No"/>
    <s v="No"/>
    <s v="No"/>
    <s v="No"/>
    <s v="No"/>
  </r>
  <r>
    <s v="C2569"/>
    <s v="Payal Bose"/>
    <s v="Female"/>
    <n v="30"/>
    <x v="0"/>
    <x v="7"/>
    <s v="Two year"/>
    <n v="69"/>
    <x v="3"/>
    <n v="699"/>
    <n v="48231"/>
    <s v="DSL"/>
    <d v="2020-01-08T00:00:00"/>
    <s v="Yes"/>
    <n v="1"/>
    <s v="No"/>
    <s v="No"/>
    <s v="No"/>
    <s v="No"/>
    <s v="No"/>
  </r>
  <r>
    <s v="C2570"/>
    <s v="Manish Patel"/>
    <s v="Male"/>
    <n v="21"/>
    <x v="4"/>
    <x v="14"/>
    <s v="Month-to-month"/>
    <n v="12"/>
    <x v="2"/>
    <n v="899"/>
    <n v="10788"/>
    <s v="DSL"/>
    <d v="2024-09-23T00:00:00"/>
    <s v="No"/>
    <n v="0"/>
    <s v="No"/>
    <s v="No"/>
    <s v="No"/>
    <s v="No"/>
    <s v="No"/>
  </r>
  <r>
    <s v="C2571"/>
    <s v="Tanvi Verma"/>
    <s v="Female"/>
    <n v="19"/>
    <x v="4"/>
    <x v="9"/>
    <s v="Month-to-month"/>
    <n v="18"/>
    <x v="0"/>
    <n v="649"/>
    <n v="11682"/>
    <s v="DSL"/>
    <d v="2024-03-29T00:00:00"/>
    <s v="No"/>
    <n v="0"/>
    <s v="No"/>
    <s v="No"/>
    <s v="No"/>
    <s v="No"/>
    <s v="No"/>
  </r>
  <r>
    <s v="C2572"/>
    <s v="Meera Jain"/>
    <s v="Female"/>
    <n v="43"/>
    <x v="3"/>
    <x v="7"/>
    <s v="One year"/>
    <n v="23"/>
    <x v="0"/>
    <n v="899"/>
    <n v="20677"/>
    <s v="DSL"/>
    <d v="2023-10-19T00:00:00"/>
    <s v="No"/>
    <n v="0"/>
    <s v="No"/>
    <s v="No"/>
    <s v="No"/>
    <s v="No"/>
    <s v="No"/>
  </r>
  <r>
    <s v="C2573"/>
    <s v="Rohit Saxena"/>
    <s v="Male"/>
    <n v="52"/>
    <x v="1"/>
    <x v="14"/>
    <s v="One year"/>
    <n v="26"/>
    <x v="1"/>
    <n v="899"/>
    <n v="23374"/>
    <s v="DSL"/>
    <m/>
    <s v="No"/>
    <n v="0"/>
    <s v="No"/>
    <s v="No"/>
    <s v="No"/>
    <s v="No"/>
    <s v="Date missing"/>
  </r>
  <r>
    <s v="C2574"/>
    <s v="Nikhil Rao"/>
    <s v="Male"/>
    <n v="28"/>
    <x v="0"/>
    <x v="5"/>
    <s v="Month-to-month"/>
    <n v="11"/>
    <x v="2"/>
    <n v="1149"/>
    <n v="12639"/>
    <s v="Fiber"/>
    <d v="2024-10-04T00:00:00"/>
    <s v="No"/>
    <n v="0"/>
    <s v="No"/>
    <s v="No"/>
    <s v="Yes"/>
    <s v="No"/>
    <s v="No"/>
  </r>
  <r>
    <s v="C2575"/>
    <s v="Meera Joshi"/>
    <s v="Female"/>
    <n v="42"/>
    <x v="3"/>
    <x v="8"/>
    <s v="Two year"/>
    <n v="29"/>
    <x v="1"/>
    <n v="899"/>
    <n v="26071"/>
    <s v="DSL"/>
    <d v="2023-04-23T00:00:00"/>
    <s v="No"/>
    <n v="0"/>
    <s v="No"/>
    <s v="No"/>
    <s v="No"/>
    <s v="No"/>
    <s v="No"/>
  </r>
  <r>
    <s v="C2576"/>
    <s v="Anjali Nair"/>
    <s v="Female"/>
    <n v="47"/>
    <x v="1"/>
    <x v="1"/>
    <s v="Month-to-month"/>
    <n v="12"/>
    <x v="2"/>
    <n v="899"/>
    <n v="10788"/>
    <s v="Fiber"/>
    <d v="2024-09-21T00:00:00"/>
    <s v="No"/>
    <n v="0"/>
    <s v="Yes"/>
    <s v="No"/>
    <s v="No"/>
    <s v="No"/>
    <s v="No"/>
  </r>
  <r>
    <s v="C2577"/>
    <s v="Priya Yadav"/>
    <s v="Female"/>
    <n v="38"/>
    <x v="3"/>
    <x v="13"/>
    <s v="Month-to-month"/>
    <n v="9"/>
    <x v="2"/>
    <n v="899"/>
    <n v="8091"/>
    <s v="Fiber"/>
    <d v="2024-12-13T00:00:00"/>
    <s v="Yes"/>
    <n v="1"/>
    <s v="No"/>
    <s v="No"/>
    <s v="No"/>
    <s v="Yes"/>
    <s v="No"/>
  </r>
  <r>
    <s v="C2578"/>
    <s v="Mohit Bose"/>
    <s v="Male"/>
    <n v="47"/>
    <x v="1"/>
    <x v="6"/>
    <s v="Month-to-month"/>
    <n v="16"/>
    <x v="0"/>
    <n v="899"/>
    <n v="14384"/>
    <s v="Fiber"/>
    <d v="2024-05-14T00:00:00"/>
    <s v="No"/>
    <n v="0"/>
    <s v="Yes"/>
    <s v="No"/>
    <s v="No"/>
    <s v="No"/>
    <s v="No"/>
  </r>
  <r>
    <s v="C2579"/>
    <s v="Tanvi Nair"/>
    <s v="Female"/>
    <n v="35"/>
    <x v="0"/>
    <x v="13"/>
    <s v="Month-to-month"/>
    <n v="7"/>
    <x v="2"/>
    <n v="349"/>
    <n v="2443"/>
    <s v="No Internet"/>
    <m/>
    <s v="Yes"/>
    <n v="1"/>
    <s v="No"/>
    <s v="No"/>
    <s v="No"/>
    <s v="No"/>
    <s v="Date missing"/>
  </r>
  <r>
    <s v="C2580"/>
    <s v="Nikhil Joshi"/>
    <s v="Unknown"/>
    <n v="30"/>
    <x v="0"/>
    <x v="4"/>
    <s v="Month-to-month"/>
    <n v="20"/>
    <x v="0"/>
    <n v="649"/>
    <n v="12980"/>
    <s v="DSL"/>
    <d v="2024-01-10T00:00:00"/>
    <s v="No"/>
    <n v="0"/>
    <s v="No"/>
    <s v="No"/>
    <s v="No"/>
    <s v="No"/>
    <s v="No"/>
  </r>
  <r>
    <s v="C2581"/>
    <s v="Manish Tiwari"/>
    <s v="Unknown"/>
    <n v="46"/>
    <x v="1"/>
    <x v="6"/>
    <s v="Month-to-month"/>
    <n v="20"/>
    <x v="0"/>
    <n v="699"/>
    <n v="13980"/>
    <s v="DSL"/>
    <d v="2024-01-17T00:00:00"/>
    <s v="No"/>
    <n v="0"/>
    <s v="No"/>
    <s v="No"/>
    <s v="No"/>
    <s v="No"/>
    <s v="No"/>
  </r>
  <r>
    <s v="C2582"/>
    <s v="Harsh Kumar"/>
    <s v="Male"/>
    <n v="20"/>
    <x v="4"/>
    <x v="10"/>
    <s v="Month-to-month"/>
    <n v="20"/>
    <x v="0"/>
    <n v="899"/>
    <n v="17980"/>
    <s v="Fiber"/>
    <d v="2024-01-20T00:00:00"/>
    <s v="No"/>
    <n v="0"/>
    <s v="No"/>
    <s v="No"/>
    <s v="No"/>
    <s v="Yes"/>
    <s v="No"/>
  </r>
  <r>
    <s v="C2583"/>
    <s v="Pankaj Agarwal"/>
    <s v="Male"/>
    <n v="71"/>
    <x v="2"/>
    <x v="8"/>
    <s v="One year"/>
    <n v="24"/>
    <x v="0"/>
    <n v="649"/>
    <n v="15576"/>
    <s v="DSL"/>
    <d v="2023-09-12T00:00:00"/>
    <s v="No"/>
    <n v="0"/>
    <s v="No"/>
    <s v="No"/>
    <s v="No"/>
    <s v="No"/>
    <s v="No"/>
  </r>
  <r>
    <s v="C2584"/>
    <s v="Divya Gupta"/>
    <s v="Female"/>
    <n v="74"/>
    <x v="2"/>
    <x v="8"/>
    <s v="Two year"/>
    <n v="55"/>
    <x v="3"/>
    <n v="899"/>
    <n v="49445"/>
    <s v="Fiber"/>
    <d v="2021-03-05T00:00:00"/>
    <s v="No"/>
    <n v="0"/>
    <s v="No"/>
    <s v="No"/>
    <s v="No"/>
    <s v="Yes"/>
    <s v="No"/>
  </r>
  <r>
    <s v="C2585"/>
    <s v="Shreya Mishra"/>
    <s v="Unknown"/>
    <n v="46"/>
    <x v="1"/>
    <x v="5"/>
    <s v="Month-to-month"/>
    <n v="16"/>
    <x v="0"/>
    <n v="849"/>
    <n v="13584"/>
    <s v="DSL"/>
    <d v="2024-05-13T00:00:00"/>
    <s v="Yes"/>
    <n v="1"/>
    <s v="No"/>
    <s v="No"/>
    <s v="No"/>
    <s v="No"/>
    <s v="No"/>
  </r>
  <r>
    <s v="C2586"/>
    <s v="Sonal Chopra"/>
    <s v="Female"/>
    <n v="39"/>
    <x v="3"/>
    <x v="14"/>
    <s v="One year"/>
    <n v="21"/>
    <x v="0"/>
    <n v="549"/>
    <n v="11529"/>
    <s v="No Internet"/>
    <m/>
    <s v="No"/>
    <n v="0"/>
    <s v="No"/>
    <s v="No"/>
    <s v="No"/>
    <s v="No"/>
    <s v="Date missing"/>
  </r>
  <r>
    <s v="C2587"/>
    <s v="Harsh Yadav"/>
    <s v="Male"/>
    <n v="25"/>
    <x v="4"/>
    <x v="4"/>
    <s v="Two year"/>
    <n v="43"/>
    <x v="1"/>
    <n v="999"/>
    <n v="42957"/>
    <s v="Fiber"/>
    <d v="2022-03-17T00:00:00"/>
    <s v="No"/>
    <n v="0"/>
    <s v="No"/>
    <s v="No"/>
    <s v="No"/>
    <s v="No"/>
    <s v="No"/>
  </r>
  <r>
    <s v="C2588"/>
    <s v="Harsh Patel"/>
    <s v="Male"/>
    <n v="58"/>
    <x v="1"/>
    <x v="0"/>
    <s v="One year"/>
    <n v="5"/>
    <x v="4"/>
    <n v="349"/>
    <n v="1745"/>
    <s v="No Internet"/>
    <d v="2025-04-04T00:00:00"/>
    <s v="No"/>
    <n v="0"/>
    <s v="No"/>
    <s v="No"/>
    <s v="No"/>
    <s v="No"/>
    <s v="No"/>
  </r>
  <r>
    <s v="C2589"/>
    <s v="Neha Mehta"/>
    <s v="Female"/>
    <n v="18"/>
    <x v="4"/>
    <x v="2"/>
    <s v="Month-to-month"/>
    <n v="7"/>
    <x v="2"/>
    <n v="849"/>
    <n v="5943"/>
    <s v="DSL"/>
    <d v="2025-02-25T00:00:00"/>
    <s v="No"/>
    <n v="0"/>
    <s v="No"/>
    <s v="No"/>
    <s v="No"/>
    <s v="No"/>
    <s v="No"/>
  </r>
  <r>
    <s v="C2590"/>
    <s v="Harsh Iyer"/>
    <s v="Male"/>
    <n v="36"/>
    <x v="3"/>
    <x v="6"/>
    <s v="Month-to-month"/>
    <n v="13"/>
    <x v="0"/>
    <n v="1149"/>
    <n v="14937"/>
    <s v="Fiber"/>
    <d v="2024-08-07T00:00:00"/>
    <s v="Yes"/>
    <n v="1"/>
    <s v="No"/>
    <s v="No"/>
    <s v="No"/>
    <s v="No"/>
    <s v="No"/>
  </r>
  <r>
    <s v="C2591"/>
    <s v="Vivek Kapoor"/>
    <s v="Unknown"/>
    <n v="75"/>
    <x v="2"/>
    <x v="9"/>
    <s v="One year"/>
    <n v="19"/>
    <x v="0"/>
    <n v="1099"/>
    <n v="20881"/>
    <s v="Fiber"/>
    <d v="2024-03-03T00:00:00"/>
    <s v="No"/>
    <n v="0"/>
    <s v="No"/>
    <s v="No"/>
    <s v="No"/>
    <s v="No"/>
    <s v="No"/>
  </r>
  <r>
    <s v="C2592"/>
    <s v="Payal Agarwal"/>
    <s v="Unknown"/>
    <n v="63"/>
    <x v="2"/>
    <x v="8"/>
    <s v="Two year"/>
    <n v="9"/>
    <x v="2"/>
    <n v="799"/>
    <n v="7191"/>
    <s v="DSL"/>
    <d v="2024-12-07T00:00:00"/>
    <s v="No"/>
    <n v="0"/>
    <s v="No"/>
    <s v="No"/>
    <s v="No"/>
    <s v="No"/>
    <s v="No"/>
  </r>
  <r>
    <s v="C2593"/>
    <s v="Rohit Mehta"/>
    <s v="Male"/>
    <n v="71"/>
    <x v="2"/>
    <x v="4"/>
    <s v="Month-to-month"/>
    <n v="21"/>
    <x v="0"/>
    <n v="1199"/>
    <n v="25179"/>
    <s v="Fiber"/>
    <d v="2024-01-06T00:00:00"/>
    <s v="No"/>
    <n v="0"/>
    <s v="No"/>
    <s v="No"/>
    <s v="No"/>
    <s v="No"/>
    <s v="No"/>
  </r>
  <r>
    <s v="C2594"/>
    <s v="Priya Kumar"/>
    <s v="Female"/>
    <n v="51"/>
    <x v="1"/>
    <x v="0"/>
    <s v="Month-to-month"/>
    <n v="7"/>
    <x v="2"/>
    <n v="1149"/>
    <n v="8043"/>
    <s v="Fiber"/>
    <d v="2025-02-13T00:00:00"/>
    <s v="Yes"/>
    <n v="1"/>
    <s v="No"/>
    <s v="No"/>
    <s v="No"/>
    <s v="No"/>
    <s v="No"/>
  </r>
  <r>
    <s v="C2595"/>
    <s v="Gaurav Rao"/>
    <s v="Male"/>
    <n v="51"/>
    <x v="1"/>
    <x v="14"/>
    <s v="Month-to-month"/>
    <n v="6"/>
    <x v="4"/>
    <n v="1099"/>
    <n v="6594"/>
    <s v="Fiber"/>
    <d v="2025-03-09T00:00:00"/>
    <s v="Yes"/>
    <n v="1"/>
    <s v="No"/>
    <s v="No"/>
    <s v="No"/>
    <s v="No"/>
    <s v="No"/>
  </r>
  <r>
    <s v="C2596"/>
    <s v="Sonal Chopra"/>
    <s v="Female"/>
    <n v="35"/>
    <x v="0"/>
    <x v="7"/>
    <s v="Month-to-month"/>
    <n v="19"/>
    <x v="0"/>
    <n v="599"/>
    <n v="11381"/>
    <s v="DSL"/>
    <d v="2024-02-20T00:00:00"/>
    <s v="No"/>
    <n v="0"/>
    <s v="No"/>
    <s v="No"/>
    <s v="No"/>
    <s v="No"/>
    <s v="No"/>
  </r>
  <r>
    <s v="C2597"/>
    <s v="Divya Saxena"/>
    <s v="Female"/>
    <n v="53"/>
    <x v="1"/>
    <x v="0"/>
    <s v="One year"/>
    <n v="36"/>
    <x v="1"/>
    <n v="999"/>
    <n v="35964"/>
    <s v="Fiber"/>
    <d v="2022-09-24T00:00:00"/>
    <s v="No"/>
    <n v="0"/>
    <s v="No"/>
    <s v="No"/>
    <s v="No"/>
    <s v="No"/>
    <s v="No"/>
  </r>
  <r>
    <s v="C2598"/>
    <s v="Meera Kumar"/>
    <s v="Female"/>
    <n v="47"/>
    <x v="1"/>
    <x v="9"/>
    <s v="Month-to-month"/>
    <n v="23"/>
    <x v="0"/>
    <n v="999"/>
    <n v="22977"/>
    <s v="Fiber"/>
    <d v="2023-11-03T00:00:00"/>
    <s v="No"/>
    <n v="0"/>
    <s v="No"/>
    <s v="No"/>
    <s v="No"/>
    <s v="No"/>
    <s v="No"/>
  </r>
  <r>
    <s v="C2599"/>
    <s v="Nikhil Gupta"/>
    <s v="Male"/>
    <n v="29"/>
    <x v="0"/>
    <x v="8"/>
    <s v="One year"/>
    <n v="40"/>
    <x v="1"/>
    <n v="1199"/>
    <n v="47960"/>
    <s v="Fiber"/>
    <d v="2022-06-13T00:00:00"/>
    <s v="No"/>
    <n v="0"/>
    <s v="No"/>
    <s v="No"/>
    <s v="No"/>
    <s v="No"/>
    <s v="No"/>
  </r>
  <r>
    <s v="C2600"/>
    <s v="Swati Saxena"/>
    <s v="Female"/>
    <n v="72"/>
    <x v="2"/>
    <x v="11"/>
    <s v="Unknown"/>
    <n v="18"/>
    <x v="0"/>
    <n v="799"/>
    <n v="14382"/>
    <s v="DSL"/>
    <d v="2024-03-27T00:00:00"/>
    <s v="No"/>
    <n v="0"/>
    <s v="No"/>
    <s v="No"/>
    <s v="No"/>
    <s v="No"/>
    <s v="No"/>
  </r>
  <r>
    <s v="C2601"/>
    <s v="Ritu Bose"/>
    <s v="Female"/>
    <n v="72"/>
    <x v="2"/>
    <x v="1"/>
    <s v="Month-to-month"/>
    <n v="10"/>
    <x v="2"/>
    <n v="1099"/>
    <n v="10990"/>
    <s v="Fiber"/>
    <d v="2024-11-12T00:00:00"/>
    <s v="No"/>
    <n v="0"/>
    <s v="No"/>
    <s v="No"/>
    <s v="No"/>
    <s v="No"/>
    <s v="No"/>
  </r>
  <r>
    <s v="C2602"/>
    <s v="Komal Nair"/>
    <s v="Female"/>
    <n v="28"/>
    <x v="0"/>
    <x v="10"/>
    <s v="Month-to-month"/>
    <n v="1"/>
    <x v="4"/>
    <n v="799"/>
    <n v="799"/>
    <s v="DSL"/>
    <d v="2025-08-11T00:00:00"/>
    <s v="No"/>
    <n v="0"/>
    <s v="No"/>
    <s v="No"/>
    <s v="No"/>
    <s v="No"/>
    <s v="No"/>
  </r>
  <r>
    <s v="C2603"/>
    <s v="Riya Pandey"/>
    <s v="Female"/>
    <n v="64"/>
    <x v="2"/>
    <x v="4"/>
    <s v="Month-to-month"/>
    <n v="19"/>
    <x v="0"/>
    <n v="899"/>
    <n v="17081"/>
    <s v="Fiber"/>
    <d v="2024-02-22T00:00:00"/>
    <s v="No"/>
    <n v="0"/>
    <s v="No"/>
    <s v="No"/>
    <s v="No"/>
    <s v="No"/>
    <s v="No"/>
  </r>
  <r>
    <s v="C2604"/>
    <s v="Arjun Verma"/>
    <s v="Male"/>
    <n v="39"/>
    <x v="3"/>
    <x v="0"/>
    <s v="One year"/>
    <n v="34"/>
    <x v="1"/>
    <n v="1199"/>
    <n v="40766"/>
    <s v="Fiber"/>
    <d v="2022-11-21T00:00:00"/>
    <s v="No"/>
    <n v="0"/>
    <s v="No"/>
    <s v="No"/>
    <s v="No"/>
    <s v="No"/>
    <s v="No"/>
  </r>
  <r>
    <s v="C2605"/>
    <s v="Pooja Bose"/>
    <s v="Female"/>
    <n v="53"/>
    <x v="1"/>
    <x v="1"/>
    <s v="Month-to-month"/>
    <n v="22"/>
    <x v="0"/>
    <n v="899"/>
    <n v="19778"/>
    <s v="DSL"/>
    <d v="2023-11-26T00:00:00"/>
    <s v="No"/>
    <n v="0"/>
    <s v="No"/>
    <s v="No"/>
    <s v="No"/>
    <s v="No"/>
    <s v="No"/>
  </r>
  <r>
    <s v="C2606"/>
    <s v="Sachin Mehta"/>
    <s v="Unknown"/>
    <n v="29"/>
    <x v="0"/>
    <x v="3"/>
    <s v="Two year"/>
    <n v="71"/>
    <x v="3"/>
    <n v="749"/>
    <n v="53179"/>
    <s v="DSL"/>
    <d v="2019-11-13T00:00:00"/>
    <s v="No"/>
    <n v="0"/>
    <s v="No"/>
    <s v="No"/>
    <s v="No"/>
    <s v="No"/>
    <s v="No"/>
  </r>
  <r>
    <s v="C2607"/>
    <s v="Isha Saxena"/>
    <s v="Female"/>
    <n v="31"/>
    <x v="0"/>
    <x v="14"/>
    <s v="One year"/>
    <n v="24"/>
    <x v="0"/>
    <n v="1149"/>
    <n v="27576"/>
    <s v="Fiber"/>
    <d v="2023-09-19T00:00:00"/>
    <s v="Yes"/>
    <n v="1"/>
    <s v="No"/>
    <s v="No"/>
    <s v="No"/>
    <s v="No"/>
    <s v="No"/>
  </r>
  <r>
    <s v="C2608"/>
    <s v="Sneha Verma"/>
    <s v="Female"/>
    <n v="30"/>
    <x v="0"/>
    <x v="3"/>
    <s v="Month-to-month"/>
    <n v="13"/>
    <x v="0"/>
    <n v="849"/>
    <n v="11037"/>
    <s v="DSL"/>
    <d v="2024-08-16T00:00:00"/>
    <s v="No"/>
    <n v="0"/>
    <s v="No"/>
    <s v="No"/>
    <s v="No"/>
    <s v="No"/>
    <s v="No"/>
  </r>
  <r>
    <s v="C2609"/>
    <s v="Anjali Kapoor"/>
    <s v="Female"/>
    <n v="22"/>
    <x v="4"/>
    <x v="2"/>
    <s v="Two year"/>
    <n v="27"/>
    <x v="1"/>
    <n v="899"/>
    <n v="24273"/>
    <s v="DSL"/>
    <d v="2023-06-14T00:00:00"/>
    <s v="No"/>
    <n v="0"/>
    <s v="No"/>
    <s v="No"/>
    <s v="No"/>
    <s v="Yes"/>
    <s v="No"/>
  </r>
  <r>
    <s v="C2610"/>
    <s v="Rahul Singh"/>
    <s v="Male"/>
    <n v="59"/>
    <x v="1"/>
    <x v="11"/>
    <s v="Month-to-month"/>
    <n v="19"/>
    <x v="0"/>
    <n v="349"/>
    <n v="6631"/>
    <s v="No Internet"/>
    <d v="2024-03-01T00:00:00"/>
    <s v="Yes"/>
    <n v="1"/>
    <s v="No"/>
    <s v="No"/>
    <s v="No"/>
    <s v="No"/>
    <s v="No"/>
  </r>
  <r>
    <s v="C2611"/>
    <s v="Kavita Chopra"/>
    <s v="Unknown"/>
    <n v="73"/>
    <x v="2"/>
    <x v="14"/>
    <s v="Month-to-month"/>
    <n v="7"/>
    <x v="2"/>
    <n v="599"/>
    <n v="4193"/>
    <s v="DSL"/>
    <d v="2025-02-28T00:00:00"/>
    <s v="No"/>
    <n v="0"/>
    <s v="No"/>
    <s v="No"/>
    <s v="No"/>
    <s v="No"/>
    <s v="No"/>
  </r>
  <r>
    <s v="C2612"/>
    <s v="Rajesh Desai"/>
    <s v="Male"/>
    <n v="23"/>
    <x v="4"/>
    <x v="11"/>
    <s v="Two year"/>
    <n v="7"/>
    <x v="2"/>
    <n v="849"/>
    <n v="5943"/>
    <s v="DSL"/>
    <d v="2025-02-25T00:00:00"/>
    <s v="No"/>
    <n v="0"/>
    <s v="No"/>
    <s v="No"/>
    <s v="No"/>
    <s v="No"/>
    <s v="No"/>
  </r>
  <r>
    <s v="C2613"/>
    <s v="Ankit Tiwari"/>
    <s v="Male"/>
    <n v="47"/>
    <x v="1"/>
    <x v="13"/>
    <s v="One year"/>
    <n v="39"/>
    <x v="1"/>
    <n v="899"/>
    <n v="35061"/>
    <s v="DSL"/>
    <d v="2022-07-04T00:00:00"/>
    <s v="Yes"/>
    <n v="1"/>
    <s v="No"/>
    <s v="No"/>
    <s v="No"/>
    <s v="No"/>
    <s v="No"/>
  </r>
  <r>
    <s v="C2614"/>
    <s v="Anjali Singh"/>
    <s v="Female"/>
    <n v="29"/>
    <x v="0"/>
    <x v="3"/>
    <s v="Month-to-month"/>
    <n v="15"/>
    <x v="0"/>
    <n v="1199"/>
    <n v="17985"/>
    <s v="Fiber"/>
    <d v="2024-06-06T00:00:00"/>
    <s v="No"/>
    <n v="0"/>
    <s v="No"/>
    <s v="No"/>
    <s v="No"/>
    <s v="No"/>
    <s v="No"/>
  </r>
  <r>
    <s v="C2615"/>
    <s v="Ritu Mehta"/>
    <s v="Unknown"/>
    <n v="57"/>
    <x v="1"/>
    <x v="14"/>
    <s v="One year"/>
    <n v="37"/>
    <x v="1"/>
    <n v="649"/>
    <n v="24013"/>
    <s v="DSL"/>
    <d v="2022-08-28T00:00:00"/>
    <s v="No"/>
    <n v="0"/>
    <s v="No"/>
    <s v="No"/>
    <s v="Yes"/>
    <s v="No"/>
    <s v="No"/>
  </r>
  <r>
    <s v="C2616"/>
    <s v="Arjun Kapoor"/>
    <s v="Male"/>
    <n v="59"/>
    <x v="1"/>
    <x v="9"/>
    <s v="Two year"/>
    <n v="14"/>
    <x v="0"/>
    <n v="1299"/>
    <n v="18186"/>
    <s v="Fiber"/>
    <d v="2024-08-02T00:00:00"/>
    <s v="No"/>
    <n v="0"/>
    <s v="No"/>
    <s v="No"/>
    <s v="No"/>
    <s v="No"/>
    <s v="No"/>
  </r>
  <r>
    <s v="C2617"/>
    <s v="Priya Mishra"/>
    <s v="Female"/>
    <n v="61"/>
    <x v="2"/>
    <x v="12"/>
    <s v="One year"/>
    <n v="22"/>
    <x v="0"/>
    <n v="899"/>
    <n v="19778"/>
    <s v="DSL"/>
    <d v="2023-12-04T00:00:00"/>
    <s v="No"/>
    <n v="0"/>
    <s v="No"/>
    <s v="No"/>
    <s v="No"/>
    <s v="No"/>
    <s v="No"/>
  </r>
  <r>
    <s v="C2618"/>
    <s v="Pankaj Iyer"/>
    <s v="Male"/>
    <n v="42"/>
    <x v="3"/>
    <x v="8"/>
    <s v="Month-to-month"/>
    <n v="7"/>
    <x v="2"/>
    <n v="449"/>
    <n v="3143"/>
    <s v="No Internet"/>
    <d v="2025-02-19T00:00:00"/>
    <s v="No"/>
    <n v="0"/>
    <s v="No"/>
    <s v="No"/>
    <s v="No"/>
    <s v="No"/>
    <s v="No"/>
  </r>
  <r>
    <s v="C2619"/>
    <s v="Neha Agarwal"/>
    <s v="Female"/>
    <n v="65"/>
    <x v="2"/>
    <x v="9"/>
    <s v="Month-to-month"/>
    <n v="23"/>
    <x v="0"/>
    <n v="549"/>
    <n v="12627"/>
    <s v="No Internet"/>
    <d v="2023-10-15T00:00:00"/>
    <s v="Yes"/>
    <n v="1"/>
    <s v="No"/>
    <s v="No"/>
    <s v="No"/>
    <s v="No"/>
    <s v="No"/>
  </r>
  <r>
    <s v="C2620"/>
    <s v="Priya Reddy"/>
    <s v="Female"/>
    <n v="32"/>
    <x v="0"/>
    <x v="7"/>
    <s v="Month-to-month"/>
    <n v="14"/>
    <x v="0"/>
    <n v="699"/>
    <n v="9786"/>
    <s v="DSL"/>
    <d v="2024-07-23T00:00:00"/>
    <s v="No"/>
    <n v="0"/>
    <s v="No"/>
    <s v="No"/>
    <s v="Yes"/>
    <s v="No"/>
    <s v="No"/>
  </r>
  <r>
    <s v="C2621"/>
    <s v="Pooja Mehta"/>
    <s v="Female"/>
    <n v="72"/>
    <x v="2"/>
    <x v="3"/>
    <s v="Month-to-month"/>
    <n v="24"/>
    <x v="0"/>
    <n v="899"/>
    <n v="21576"/>
    <s v="DSL"/>
    <d v="2023-09-24T00:00:00"/>
    <s v="Yes"/>
    <n v="1"/>
    <s v="No"/>
    <s v="No"/>
    <s v="No"/>
    <s v="No"/>
    <s v="No"/>
  </r>
  <r>
    <s v="C2622"/>
    <s v="Vivek Reddy"/>
    <s v="Male"/>
    <n v="41"/>
    <x v="3"/>
    <x v="11"/>
    <s v="Month-to-month"/>
    <n v="16"/>
    <x v="0"/>
    <n v="699"/>
    <n v="11184"/>
    <s v="DSL"/>
    <d v="2024-06-04T00:00:00"/>
    <s v="No"/>
    <n v="0"/>
    <s v="No"/>
    <s v="No"/>
    <s v="Yes"/>
    <s v="No"/>
    <s v="No"/>
  </r>
  <r>
    <s v="C2623"/>
    <s v="Neha Tiwari"/>
    <s v="Female"/>
    <n v="47"/>
    <x v="1"/>
    <x v="6"/>
    <s v="One year"/>
    <n v="9"/>
    <x v="2"/>
    <n v="1299"/>
    <n v="11691"/>
    <s v="Fiber"/>
    <d v="2024-12-04T00:00:00"/>
    <s v="No"/>
    <n v="0"/>
    <s v="Yes"/>
    <s v="No"/>
    <s v="No"/>
    <s v="No"/>
    <s v="No"/>
  </r>
  <r>
    <s v="C2624"/>
    <s v="Nikhil Joshi"/>
    <s v="Male"/>
    <n v="34"/>
    <x v="0"/>
    <x v="6"/>
    <s v="Month-to-month"/>
    <n v="21"/>
    <x v="0"/>
    <n v="399"/>
    <n v="8379"/>
    <s v="Unknown"/>
    <d v="2023-12-11T00:00:00"/>
    <s v="No"/>
    <n v="0"/>
    <s v="No"/>
    <s v="No"/>
    <s v="No"/>
    <s v="No"/>
    <s v="No"/>
  </r>
  <r>
    <s v="C2625"/>
    <s v="Sneha Nair"/>
    <s v="Female"/>
    <n v="21"/>
    <x v="4"/>
    <x v="4"/>
    <s v="Month-to-month"/>
    <n v="13"/>
    <x v="0"/>
    <n v="1149"/>
    <n v="14937"/>
    <s v="Fiber"/>
    <d v="2024-08-06T00:00:00"/>
    <s v="Yes"/>
    <n v="1"/>
    <s v="No"/>
    <s v="No"/>
    <s v="No"/>
    <s v="No"/>
    <s v="No"/>
  </r>
  <r>
    <s v="C2626"/>
    <s v="Riya Kumar"/>
    <s v="Female"/>
    <n v="41"/>
    <x v="3"/>
    <x v="7"/>
    <s v="One year"/>
    <n v="23"/>
    <x v="0"/>
    <n v="1049"/>
    <n v="24127"/>
    <s v="Fiber"/>
    <d v="2023-11-01T00:00:00"/>
    <s v="No"/>
    <n v="0"/>
    <s v="No"/>
    <s v="No"/>
    <s v="Yes"/>
    <s v="No"/>
    <s v="No"/>
  </r>
  <r>
    <s v="C2627"/>
    <s v="Komal Reddy"/>
    <s v="Female"/>
    <n v="26"/>
    <x v="0"/>
    <x v="6"/>
    <s v="Two year"/>
    <n v="1"/>
    <x v="4"/>
    <n v="899"/>
    <n v="899"/>
    <s v="Fiber"/>
    <d v="2025-08-26T00:00:00"/>
    <s v="Yes"/>
    <n v="1"/>
    <s v="No"/>
    <s v="No"/>
    <s v="No"/>
    <s v="No"/>
    <s v="No"/>
  </r>
  <r>
    <s v="C2628"/>
    <s v="Amit Mehta"/>
    <s v="Unknown"/>
    <n v="47"/>
    <x v="1"/>
    <x v="13"/>
    <s v="Two year"/>
    <n v="71"/>
    <x v="3"/>
    <n v="899"/>
    <n v="63829"/>
    <s v="Fiber"/>
    <d v="2019-11-05T00:00:00"/>
    <s v="No"/>
    <n v="0"/>
    <s v="Yes"/>
    <s v="No"/>
    <s v="No"/>
    <s v="No"/>
    <s v="No"/>
  </r>
  <r>
    <s v="C2629"/>
    <s v="Gaurav Gupta"/>
    <s v="Male"/>
    <n v="45"/>
    <x v="3"/>
    <x v="1"/>
    <s v="Month-to-month"/>
    <m/>
    <x v="4"/>
    <m/>
    <n v="3596"/>
    <s v="Unknown"/>
    <d v="2025-05-27T00:00:00"/>
    <s v="Yes"/>
    <n v="1"/>
    <s v="No"/>
    <s v="No"/>
    <s v="No"/>
    <s v="No"/>
    <s v="Monthly missing; Tenure missing"/>
  </r>
  <r>
    <s v="C2630"/>
    <s v="Karan Joshi"/>
    <s v="Male"/>
    <n v="63"/>
    <x v="2"/>
    <x v="3"/>
    <s v="Month-to-month"/>
    <n v="2"/>
    <x v="4"/>
    <n v="749"/>
    <n v="1498"/>
    <s v="DSL"/>
    <d v="2025-07-16T00:00:00"/>
    <s v="Yes"/>
    <n v="1"/>
    <s v="No"/>
    <s v="No"/>
    <s v="No"/>
    <s v="Yes"/>
    <s v="No"/>
  </r>
  <r>
    <s v="C2631"/>
    <s v="Nikhil Kumar"/>
    <s v="Male"/>
    <n v="21"/>
    <x v="4"/>
    <x v="6"/>
    <s v="Two year"/>
    <n v="68"/>
    <x v="3"/>
    <n v="1099"/>
    <n v="74732"/>
    <s v="Fiber"/>
    <d v="2020-02-15T00:00:00"/>
    <s v="No"/>
    <n v="0"/>
    <s v="No"/>
    <s v="No"/>
    <s v="Yes"/>
    <s v="No"/>
    <s v="No"/>
  </r>
  <r>
    <s v="C2632"/>
    <s v="Karan Pandey"/>
    <s v="Male"/>
    <n v="30"/>
    <x v="0"/>
    <x v="3"/>
    <s v="Month-to-month"/>
    <n v="12"/>
    <x v="2"/>
    <n v="1299"/>
    <n v="15588"/>
    <s v="Fiber"/>
    <d v="2024-09-19T00:00:00"/>
    <s v="No"/>
    <n v="0"/>
    <s v="No"/>
    <s v="No"/>
    <s v="No"/>
    <s v="No"/>
    <s v="No"/>
  </r>
  <r>
    <s v="C2633"/>
    <s v="Nisha Yadav"/>
    <s v="Female"/>
    <n v="34"/>
    <x v="0"/>
    <x v="7"/>
    <s v="Month-to-month"/>
    <n v="1"/>
    <x v="4"/>
    <n v="699"/>
    <n v="699"/>
    <s v="DSL"/>
    <d v="2025-08-24T00:00:00"/>
    <s v="No"/>
    <n v="0"/>
    <s v="No"/>
    <s v="No"/>
    <s v="No"/>
    <s v="No"/>
    <s v="No"/>
  </r>
  <r>
    <s v="C2634"/>
    <s v="Kavita Tiwari"/>
    <s v="Female"/>
    <n v="74"/>
    <x v="2"/>
    <x v="12"/>
    <s v="Month-to-month"/>
    <n v="12"/>
    <x v="2"/>
    <n v="799"/>
    <n v="9588"/>
    <s v="DSL"/>
    <d v="2024-09-29T00:00:00"/>
    <s v="Yes"/>
    <n v="1"/>
    <s v="No"/>
    <s v="No"/>
    <s v="No"/>
    <s v="No"/>
    <s v="No"/>
  </r>
  <r>
    <s v="C2635"/>
    <s v="Priya Verma"/>
    <s v="Female"/>
    <n v="21"/>
    <x v="4"/>
    <x v="5"/>
    <s v="Month-to-month"/>
    <n v="10"/>
    <x v="2"/>
    <n v="1199"/>
    <n v="11990"/>
    <s v="Fiber"/>
    <d v="2024-11-30T00:00:00"/>
    <s v="Yes"/>
    <n v="1"/>
    <s v="No"/>
    <s v="No"/>
    <s v="No"/>
    <s v="No"/>
    <s v="No"/>
  </r>
  <r>
    <s v="C2636"/>
    <s v="Amit Kapoor"/>
    <s v="Male"/>
    <n v="55"/>
    <x v="1"/>
    <x v="7"/>
    <s v="One year"/>
    <n v="17"/>
    <x v="0"/>
    <n v="599"/>
    <n v="10183"/>
    <s v="DSL"/>
    <d v="2024-04-19T00:00:00"/>
    <s v="No"/>
    <n v="0"/>
    <s v="No"/>
    <s v="No"/>
    <s v="No"/>
    <s v="No"/>
    <s v="No"/>
  </r>
  <r>
    <s v="C2637"/>
    <s v="Rajesh Pandey"/>
    <s v="Male"/>
    <n v="72"/>
    <x v="2"/>
    <x v="14"/>
    <s v="One year"/>
    <n v="1"/>
    <x v="4"/>
    <n v="699"/>
    <n v="699"/>
    <s v="DSL"/>
    <d v="2025-08-24T00:00:00"/>
    <s v="No"/>
    <n v="0"/>
    <s v="No"/>
    <s v="No"/>
    <s v="No"/>
    <s v="No"/>
    <s v="No"/>
  </r>
  <r>
    <s v="C2638"/>
    <s v="Suresh Yadav"/>
    <s v="Male"/>
    <n v="56"/>
    <x v="1"/>
    <x v="1"/>
    <s v="Month-to-month"/>
    <n v="21"/>
    <x v="0"/>
    <n v="1149"/>
    <n v="24129"/>
    <s v="Unknown"/>
    <d v="2023-12-26T00:00:00"/>
    <s v="No"/>
    <n v="0"/>
    <s v="No"/>
    <s v="No"/>
    <s v="No"/>
    <s v="Yes"/>
    <s v="No"/>
  </r>
  <r>
    <s v="C2639"/>
    <s v="Ritu Chopra"/>
    <s v="Female"/>
    <n v="22"/>
    <x v="4"/>
    <x v="0"/>
    <s v="Month-to-month"/>
    <n v="4"/>
    <x v="4"/>
    <n v="1099"/>
    <n v="4396"/>
    <s v="Fiber"/>
    <d v="2025-05-08T00:00:00"/>
    <s v="Yes"/>
    <n v="1"/>
    <s v="No"/>
    <s v="No"/>
    <s v="No"/>
    <s v="No"/>
    <s v="No"/>
  </r>
  <r>
    <s v="C2640"/>
    <s v="Anjali Tiwari"/>
    <s v="Female"/>
    <n v="42"/>
    <x v="3"/>
    <x v="4"/>
    <s v="Month-to-month"/>
    <n v="2"/>
    <x v="4"/>
    <n v="1099"/>
    <n v="2198"/>
    <s v="Fiber"/>
    <d v="2025-07-23T00:00:00"/>
    <s v="Yes"/>
    <n v="1"/>
    <s v="No"/>
    <s v="No"/>
    <s v="No"/>
    <s v="Yes"/>
    <s v="No"/>
  </r>
  <r>
    <s v="C2641"/>
    <s v="Nikhil Tiwari"/>
    <s v="Male"/>
    <n v="29"/>
    <x v="0"/>
    <x v="10"/>
    <s v="One year"/>
    <n v="38"/>
    <x v="1"/>
    <n v="549"/>
    <n v="20862"/>
    <s v="No Internet"/>
    <d v="2022-08-12T00:00:00"/>
    <s v="No"/>
    <n v="0"/>
    <s v="No"/>
    <s v="No"/>
    <s v="No"/>
    <s v="No"/>
    <s v="No"/>
  </r>
  <r>
    <s v="C2642"/>
    <s v="Priya Kumar"/>
    <s v="Female"/>
    <n v="63"/>
    <x v="2"/>
    <x v="6"/>
    <s v="Two year"/>
    <n v="56"/>
    <x v="3"/>
    <n v="899"/>
    <n v="50344"/>
    <s v="DSL"/>
    <d v="2021-02-07T00:00:00"/>
    <s v="Yes"/>
    <n v="1"/>
    <s v="No"/>
    <s v="No"/>
    <s v="No"/>
    <s v="No"/>
    <s v="No"/>
  </r>
  <r>
    <s v="C2643"/>
    <s v="Mohit Kapoor"/>
    <s v="Male"/>
    <n v="70"/>
    <x v="2"/>
    <x v="1"/>
    <s v="Two year"/>
    <n v="53"/>
    <x v="3"/>
    <n v="599"/>
    <n v="31747"/>
    <s v="DSL"/>
    <d v="2021-05-01T00:00:00"/>
    <s v="No"/>
    <n v="0"/>
    <s v="No"/>
    <s v="No"/>
    <s v="No"/>
    <s v="No"/>
    <s v="No"/>
  </r>
  <r>
    <s v="C2644"/>
    <s v="Suresh Reddy"/>
    <s v="Male"/>
    <n v="72"/>
    <x v="2"/>
    <x v="1"/>
    <s v="Two year"/>
    <n v="31"/>
    <x v="1"/>
    <n v="1199"/>
    <n v="37169"/>
    <s v="Fiber"/>
    <d v="2023-02-22T00:00:00"/>
    <s v="No"/>
    <n v="0"/>
    <s v="No"/>
    <s v="No"/>
    <s v="No"/>
    <s v="No"/>
    <s v="No"/>
  </r>
  <r>
    <s v="C2645"/>
    <s v="Pooja Reddy"/>
    <s v="Female"/>
    <n v="23"/>
    <x v="4"/>
    <x v="7"/>
    <s v="Two year"/>
    <n v="69"/>
    <x v="3"/>
    <n v="1199"/>
    <n v="82731"/>
    <s v="Fiber"/>
    <d v="2019-12-30T00:00:00"/>
    <s v="No"/>
    <n v="0"/>
    <s v="No"/>
    <s v="No"/>
    <s v="No"/>
    <s v="No"/>
    <s v="No"/>
  </r>
  <r>
    <s v="C2646"/>
    <s v="Vikram Mishra"/>
    <s v="Male"/>
    <n v="43"/>
    <x v="3"/>
    <x v="5"/>
    <s v="Month-to-month"/>
    <n v="4"/>
    <x v="4"/>
    <n v="749"/>
    <n v="2996"/>
    <s v="DSL"/>
    <d v="2025-05-02T00:00:00"/>
    <s v="Yes"/>
    <n v="1"/>
    <s v="No"/>
    <s v="No"/>
    <s v="No"/>
    <s v="No"/>
    <s v="No"/>
  </r>
  <r>
    <s v="C2647"/>
    <s v="Rajesh Kapoor"/>
    <s v="Male"/>
    <n v="50"/>
    <x v="1"/>
    <x v="2"/>
    <s v="Month-to-month"/>
    <n v="6"/>
    <x v="4"/>
    <n v="599"/>
    <n v="3594"/>
    <s v="DSL"/>
    <d v="2025-03-31T00:00:00"/>
    <s v="Yes"/>
    <n v="1"/>
    <s v="No"/>
    <s v="No"/>
    <s v="Yes"/>
    <s v="No"/>
    <s v="No"/>
  </r>
  <r>
    <s v="C2648"/>
    <s v="Komal Joshi"/>
    <s v="Unknown"/>
    <n v="48"/>
    <x v="1"/>
    <x v="9"/>
    <s v="Month-to-month"/>
    <n v="7"/>
    <x v="2"/>
    <n v="349"/>
    <n v="2443"/>
    <s v="No Internet"/>
    <d v="2025-02-18T00:00:00"/>
    <s v="Yes"/>
    <n v="1"/>
    <s v="No"/>
    <s v="No"/>
    <s v="No"/>
    <s v="No"/>
    <s v="No"/>
  </r>
  <r>
    <s v="C2649"/>
    <s v="Vikram Gupta"/>
    <s v="Male"/>
    <n v="50"/>
    <x v="1"/>
    <x v="7"/>
    <s v="One year"/>
    <n v="11"/>
    <x v="2"/>
    <n v="1199"/>
    <n v="13189"/>
    <s v="Fiber"/>
    <d v="2024-10-17T00:00:00"/>
    <s v="No"/>
    <n v="0"/>
    <s v="No"/>
    <s v="No"/>
    <s v="Yes"/>
    <s v="No"/>
    <s v="No"/>
  </r>
  <r>
    <s v="C2650"/>
    <s v="Ankit Agarwal"/>
    <s v="Male"/>
    <n v="66"/>
    <x v="2"/>
    <x v="12"/>
    <s v="One year"/>
    <n v="31"/>
    <x v="1"/>
    <n v="349"/>
    <n v="10819"/>
    <s v="No Internet"/>
    <d v="2023-02-23T00:00:00"/>
    <s v="No"/>
    <n v="0"/>
    <s v="No"/>
    <s v="No"/>
    <s v="No"/>
    <s v="No"/>
    <s v="No"/>
  </r>
  <r>
    <s v="C2651"/>
    <s v="Ritu Pandey"/>
    <s v="Female"/>
    <n v="25"/>
    <x v="4"/>
    <x v="5"/>
    <s v="Two year"/>
    <n v="55"/>
    <x v="3"/>
    <n v="599"/>
    <n v="32945"/>
    <s v="DSL"/>
    <d v="2021-02-23T00:00:00"/>
    <s v="Yes"/>
    <n v="1"/>
    <s v="No"/>
    <s v="No"/>
    <s v="No"/>
    <s v="No"/>
    <s v="No"/>
  </r>
  <r>
    <s v="C2652"/>
    <s v="Arjun Desai"/>
    <s v="Male"/>
    <n v="47"/>
    <x v="1"/>
    <x v="9"/>
    <s v="Two year"/>
    <n v="72"/>
    <x v="3"/>
    <n v="1049"/>
    <n v="75528"/>
    <s v="Fiber"/>
    <d v="2019-10-06T00:00:00"/>
    <s v="No"/>
    <n v="0"/>
    <s v="Yes"/>
    <s v="No"/>
    <s v="No"/>
    <s v="No"/>
    <s v="No"/>
  </r>
  <r>
    <s v="C2653"/>
    <s v="Tanvi Saxena"/>
    <s v="Female"/>
    <n v="60"/>
    <x v="1"/>
    <x v="9"/>
    <s v="Month-to-month"/>
    <n v="2"/>
    <x v="4"/>
    <n v="799"/>
    <n v="1598"/>
    <s v="DSL"/>
    <d v="2025-07-18T00:00:00"/>
    <s v="No"/>
    <n v="0"/>
    <s v="No"/>
    <s v="No"/>
    <s v="No"/>
    <s v="Yes"/>
    <s v="No"/>
  </r>
  <r>
    <s v="C2654"/>
    <s v="Sonal Nair"/>
    <s v="Female"/>
    <n v="64"/>
    <x v="2"/>
    <x v="5"/>
    <s v="Two year"/>
    <n v="35"/>
    <x v="1"/>
    <n v="1149"/>
    <n v="40215"/>
    <s v="Fiber"/>
    <d v="2022-10-30T00:00:00"/>
    <s v="No"/>
    <n v="0"/>
    <s v="No"/>
    <s v="No"/>
    <s v="No"/>
    <s v="No"/>
    <s v="No"/>
  </r>
  <r>
    <s v="C2655"/>
    <s v="Rohit Mishra"/>
    <s v="Male"/>
    <n v="39"/>
    <x v="3"/>
    <x v="4"/>
    <s v="Month-to-month"/>
    <n v="12"/>
    <x v="2"/>
    <n v="799"/>
    <n v="9588"/>
    <s v="DSL"/>
    <d v="2024-09-20T00:00:00"/>
    <s v="No"/>
    <n v="0"/>
    <s v="No"/>
    <s v="No"/>
    <s v="No"/>
    <s v="No"/>
    <s v="No"/>
  </r>
  <r>
    <s v="C2656"/>
    <s v="Sonal Mishra"/>
    <s v="Female"/>
    <n v="26"/>
    <x v="0"/>
    <x v="3"/>
    <s v="Month-to-month"/>
    <n v="8"/>
    <x v="2"/>
    <n v="1149"/>
    <n v="9192"/>
    <s v="Fiber"/>
    <d v="2025-01-15T00:00:00"/>
    <s v="No"/>
    <n v="0"/>
    <s v="No"/>
    <s v="No"/>
    <s v="No"/>
    <s v="No"/>
    <s v="No"/>
  </r>
  <r>
    <s v="C2657"/>
    <s v="Pankaj Verma"/>
    <s v="Male"/>
    <n v="74"/>
    <x v="2"/>
    <x v="12"/>
    <s v="Month-to-month"/>
    <n v="16"/>
    <x v="0"/>
    <n v="649"/>
    <n v="10384"/>
    <s v="DSL"/>
    <d v="2024-05-18T00:00:00"/>
    <s v="No"/>
    <n v="0"/>
    <s v="No"/>
    <s v="No"/>
    <s v="No"/>
    <s v="No"/>
    <s v="No"/>
  </r>
  <r>
    <s v="C2658"/>
    <s v="Vivek Sharma"/>
    <s v="Male"/>
    <n v="57"/>
    <x v="1"/>
    <x v="6"/>
    <s v="Month-to-month"/>
    <n v="7"/>
    <x v="2"/>
    <n v="899"/>
    <n v="6293"/>
    <s v="DSL"/>
    <d v="2025-02-07T00:00:00"/>
    <s v="No"/>
    <n v="0"/>
    <s v="No"/>
    <s v="No"/>
    <s v="No"/>
    <s v="No"/>
    <s v="No"/>
  </r>
  <r>
    <s v="C2659"/>
    <s v="Aman Saxena"/>
    <s v="Male"/>
    <n v="66"/>
    <x v="2"/>
    <x v="11"/>
    <s v="One year"/>
    <n v="14"/>
    <x v="0"/>
    <n v="849"/>
    <n v="11886"/>
    <s v="DSL"/>
    <d v="2024-07-20T00:00:00"/>
    <s v="No"/>
    <n v="0"/>
    <s v="No"/>
    <s v="No"/>
    <s v="No"/>
    <s v="No"/>
    <s v="No"/>
  </r>
  <r>
    <s v="C2660"/>
    <s v="Priya Joshi"/>
    <s v="Female"/>
    <n v="29"/>
    <x v="0"/>
    <x v="0"/>
    <s v="Month-to-month"/>
    <n v="18"/>
    <x v="0"/>
    <n v="799"/>
    <n v="14382"/>
    <s v="Unknown"/>
    <d v="2024-03-11T00:00:00"/>
    <s v="Yes"/>
    <n v="1"/>
    <s v="No"/>
    <s v="No"/>
    <s v="No"/>
    <s v="No"/>
    <s v="No"/>
  </r>
  <r>
    <s v="C2661"/>
    <s v="Arjun Patel"/>
    <s v="Male"/>
    <n v="35"/>
    <x v="0"/>
    <x v="13"/>
    <s v="Month-to-month"/>
    <n v="4"/>
    <x v="4"/>
    <n v="799"/>
    <n v="3196"/>
    <s v="DSL"/>
    <d v="2025-05-30T00:00:00"/>
    <s v="Yes"/>
    <n v="1"/>
    <s v="No"/>
    <s v="No"/>
    <s v="No"/>
    <s v="No"/>
    <s v="No"/>
  </r>
  <r>
    <s v="C2662"/>
    <s v="Harsh Malhotra"/>
    <s v="Male"/>
    <n v="19"/>
    <x v="4"/>
    <x v="13"/>
    <s v="One year"/>
    <n v="5"/>
    <x v="4"/>
    <n v="1299"/>
    <n v="6495"/>
    <s v="Fiber"/>
    <d v="2025-04-02T00:00:00"/>
    <s v="No"/>
    <n v="0"/>
    <s v="No"/>
    <s v="No"/>
    <s v="Yes"/>
    <s v="No"/>
    <s v="No"/>
  </r>
  <r>
    <s v="C2663"/>
    <s v="Mohit Singh"/>
    <s v="Unknown"/>
    <n v="47"/>
    <x v="1"/>
    <x v="5"/>
    <s v="One year"/>
    <n v="35"/>
    <x v="1"/>
    <n v="899"/>
    <n v="31465"/>
    <s v="Fiber"/>
    <d v="2022-10-15T00:00:00"/>
    <s v="No"/>
    <n v="0"/>
    <s v="Yes"/>
    <s v="No"/>
    <s v="No"/>
    <s v="No"/>
    <s v="No"/>
  </r>
  <r>
    <s v="C2664"/>
    <s v="Deepak Kapoor"/>
    <s v="Male"/>
    <n v="71"/>
    <x v="2"/>
    <x v="1"/>
    <s v="Month-to-month"/>
    <n v="15"/>
    <x v="0"/>
    <n v="699"/>
    <n v="10485"/>
    <s v="DSL"/>
    <d v="2024-07-02T00:00:00"/>
    <s v="No"/>
    <n v="0"/>
    <s v="No"/>
    <s v="No"/>
    <s v="No"/>
    <s v="Yes"/>
    <s v="No"/>
  </r>
  <r>
    <s v="C2665"/>
    <s v="Nikhil Yadav"/>
    <s v="Male"/>
    <n v="29"/>
    <x v="0"/>
    <x v="12"/>
    <s v="One year"/>
    <n v="35"/>
    <x v="1"/>
    <n v="549"/>
    <n v="19215"/>
    <s v="No Internet"/>
    <d v="2022-10-15T00:00:00"/>
    <s v="No"/>
    <n v="0"/>
    <s v="No"/>
    <s v="No"/>
    <s v="No"/>
    <s v="No"/>
    <s v="No"/>
  </r>
  <r>
    <s v="C2666"/>
    <s v="Rajesh Rao"/>
    <s v="Male"/>
    <n v="62"/>
    <x v="2"/>
    <x v="11"/>
    <s v="Month-to-month"/>
    <n v="17"/>
    <x v="0"/>
    <n v="749"/>
    <n v="12733"/>
    <s v="DSL"/>
    <d v="2024-04-09T00:00:00"/>
    <s v="No"/>
    <n v="0"/>
    <s v="No"/>
    <s v="No"/>
    <s v="No"/>
    <s v="No"/>
    <s v="No"/>
  </r>
  <r>
    <s v="C2667"/>
    <s v="Nikhil Joshi"/>
    <s v="Unknown"/>
    <n v="55"/>
    <x v="1"/>
    <x v="5"/>
    <s v="Two year"/>
    <n v="7"/>
    <x v="2"/>
    <n v="549"/>
    <n v="3843"/>
    <s v="No Internet"/>
    <d v="2025-02-11T00:00:00"/>
    <s v="No"/>
    <n v="0"/>
    <s v="No"/>
    <s v="No"/>
    <s v="Yes"/>
    <s v="No"/>
    <s v="No"/>
  </r>
  <r>
    <s v="C2668"/>
    <s v="Amit Saxena"/>
    <s v="Male"/>
    <n v="67"/>
    <x v="2"/>
    <x v="7"/>
    <s v="Two year"/>
    <n v="49"/>
    <x v="3"/>
    <n v="849"/>
    <n v="41601"/>
    <s v="DSL"/>
    <d v="2021-09-04T00:00:00"/>
    <s v="No"/>
    <n v="0"/>
    <s v="No"/>
    <s v="No"/>
    <s v="No"/>
    <s v="No"/>
    <s v="No"/>
  </r>
  <r>
    <s v="C2669"/>
    <s v="Vivek Saxena"/>
    <s v="Male"/>
    <n v="64"/>
    <x v="2"/>
    <x v="3"/>
    <s v="Month-to-month"/>
    <n v="18"/>
    <x v="0"/>
    <n v="1099"/>
    <n v="19782"/>
    <s v="Fiber"/>
    <d v="2024-03-30T00:00:00"/>
    <s v="Yes"/>
    <n v="1"/>
    <s v="No"/>
    <s v="No"/>
    <s v="No"/>
    <s v="No"/>
    <s v="No"/>
  </r>
  <r>
    <s v="C2670"/>
    <s v="Pooja Reddy"/>
    <s v="Female"/>
    <n v="50"/>
    <x v="1"/>
    <x v="11"/>
    <s v="Month-to-month"/>
    <n v="2"/>
    <x v="4"/>
    <n v="1099"/>
    <n v="2198"/>
    <s v="Fiber"/>
    <d v="2025-07-11T00:00:00"/>
    <s v="Yes"/>
    <n v="1"/>
    <s v="No"/>
    <s v="No"/>
    <s v="No"/>
    <s v="No"/>
    <s v="No"/>
  </r>
  <r>
    <s v="C2671"/>
    <s v="Pooja Iyer"/>
    <s v="Female"/>
    <n v="51"/>
    <x v="1"/>
    <x v="11"/>
    <s v="Month-to-month"/>
    <n v="13"/>
    <x v="0"/>
    <n v="749"/>
    <n v="9737"/>
    <s v="DSL"/>
    <d v="2024-08-11T00:00:00"/>
    <s v="No"/>
    <n v="0"/>
    <s v="No"/>
    <s v="No"/>
    <s v="No"/>
    <s v="No"/>
    <s v="No"/>
  </r>
  <r>
    <s v="C2672"/>
    <s v="Nisha Desai"/>
    <s v="Female"/>
    <n v="44"/>
    <x v="3"/>
    <x v="3"/>
    <s v="Month-to-month"/>
    <n v="6"/>
    <x v="4"/>
    <n v="1299"/>
    <n v="7794"/>
    <s v="Fiber"/>
    <d v="2025-03-05T00:00:00"/>
    <s v="Yes"/>
    <n v="1"/>
    <s v="No"/>
    <s v="No"/>
    <s v="No"/>
    <s v="No"/>
    <s v="No"/>
  </r>
  <r>
    <s v="C2673"/>
    <s v="Komal Kapoor"/>
    <s v="Female"/>
    <n v="39"/>
    <x v="3"/>
    <x v="1"/>
    <s v="Two year"/>
    <n v="40"/>
    <x v="1"/>
    <n v="1049"/>
    <n v="41960"/>
    <s v="Fiber"/>
    <d v="2022-05-31T00:00:00"/>
    <s v="No"/>
    <n v="0"/>
    <s v="No"/>
    <s v="No"/>
    <s v="No"/>
    <s v="No"/>
    <s v="No"/>
  </r>
  <r>
    <s v="C2674"/>
    <s v="Vivek Singh"/>
    <s v="Male"/>
    <n v="33"/>
    <x v="0"/>
    <x v="6"/>
    <s v="One year"/>
    <n v="26"/>
    <x v="1"/>
    <n v="749"/>
    <n v="19474"/>
    <s v="DSL"/>
    <d v="2023-08-05T00:00:00"/>
    <s v="No"/>
    <n v="0"/>
    <s v="No"/>
    <s v="No"/>
    <s v="Yes"/>
    <s v="No"/>
    <s v="No"/>
  </r>
  <r>
    <s v="C2675"/>
    <s v="Swati Pandey"/>
    <s v="Female"/>
    <n v="36"/>
    <x v="3"/>
    <x v="3"/>
    <s v="Month-to-month"/>
    <n v="20"/>
    <x v="0"/>
    <n v="1049"/>
    <n v="20980"/>
    <s v="Fiber"/>
    <d v="2024-02-06T00:00:00"/>
    <s v="No"/>
    <n v="0"/>
    <s v="No"/>
    <s v="No"/>
    <s v="No"/>
    <s v="No"/>
    <s v="No"/>
  </r>
  <r>
    <s v="C2676"/>
    <s v="Meera Gupta"/>
    <s v="Unknown"/>
    <n v="25"/>
    <x v="4"/>
    <x v="8"/>
    <s v="Month-to-month"/>
    <n v="15"/>
    <x v="0"/>
    <n v="749"/>
    <n v="11235"/>
    <s v="DSL"/>
    <d v="2024-07-01T00:00:00"/>
    <s v="Yes"/>
    <n v="1"/>
    <s v="No"/>
    <s v="No"/>
    <s v="No"/>
    <s v="No"/>
    <s v="No"/>
  </r>
  <r>
    <s v="C2677"/>
    <s v="Riya Kumar"/>
    <s v="Female"/>
    <n v="42"/>
    <x v="3"/>
    <x v="3"/>
    <s v="Month-to-month"/>
    <n v="23"/>
    <x v="0"/>
    <n v="599"/>
    <n v="13777"/>
    <s v="DSL"/>
    <d v="2023-10-12T00:00:00"/>
    <s v="No"/>
    <n v="0"/>
    <s v="No"/>
    <s v="No"/>
    <s v="No"/>
    <s v="No"/>
    <s v="No"/>
  </r>
  <r>
    <s v="C2678"/>
    <s v="Sonal Jain"/>
    <s v="Female"/>
    <n v="58"/>
    <x v="1"/>
    <x v="12"/>
    <s v="Unknown"/>
    <n v="69"/>
    <x v="3"/>
    <n v="599"/>
    <n v="41331"/>
    <s v="DSL"/>
    <d v="2020-01-16T00:00:00"/>
    <s v="No"/>
    <n v="0"/>
    <s v="No"/>
    <s v="No"/>
    <s v="No"/>
    <s v="No"/>
    <s v="No"/>
  </r>
  <r>
    <s v="C2679"/>
    <s v="Komal Mishra"/>
    <s v="Female"/>
    <n v="26"/>
    <x v="0"/>
    <x v="0"/>
    <s v="Two year"/>
    <n v="46"/>
    <x v="1"/>
    <n v="749"/>
    <n v="34454"/>
    <s v="DSL"/>
    <d v="2021-12-10T00:00:00"/>
    <s v="No"/>
    <n v="0"/>
    <s v="No"/>
    <s v="No"/>
    <s v="No"/>
    <s v="No"/>
    <s v="No"/>
  </r>
  <r>
    <s v="C2680"/>
    <s v="Pooja Pandey"/>
    <s v="Female"/>
    <n v="44"/>
    <x v="3"/>
    <x v="13"/>
    <s v="Month-to-month"/>
    <n v="14"/>
    <x v="0"/>
    <n v="599"/>
    <n v="8386"/>
    <s v="DSL"/>
    <d v="2024-08-03T00:00:00"/>
    <s v="No"/>
    <n v="0"/>
    <s v="No"/>
    <s v="No"/>
    <s v="No"/>
    <s v="No"/>
    <s v="No"/>
  </r>
  <r>
    <s v="C2681"/>
    <s v="Mohit Malhotra"/>
    <s v="Male"/>
    <n v="32"/>
    <x v="0"/>
    <x v="14"/>
    <s v="One year"/>
    <n v="15"/>
    <x v="0"/>
    <n v="1049"/>
    <n v="15735"/>
    <s v="Fiber"/>
    <d v="2024-06-08T00:00:00"/>
    <s v="No"/>
    <n v="0"/>
    <s v="No"/>
    <s v="Yes"/>
    <s v="No"/>
    <s v="No"/>
    <s v="No"/>
  </r>
  <r>
    <s v="C2682"/>
    <s v="Ankit Mishra"/>
    <s v="Male"/>
    <n v="40"/>
    <x v="3"/>
    <x v="6"/>
    <s v="One year"/>
    <n v="17"/>
    <x v="0"/>
    <n v="999"/>
    <n v="16983"/>
    <s v="Fiber"/>
    <d v="2024-04-15T00:00:00"/>
    <s v="Yes"/>
    <n v="1"/>
    <s v="No"/>
    <s v="No"/>
    <s v="No"/>
    <s v="Yes"/>
    <s v="No"/>
  </r>
  <r>
    <s v="C2683"/>
    <s v="Mohit Joshi"/>
    <s v="Male"/>
    <n v="74"/>
    <x v="2"/>
    <x v="5"/>
    <s v="Month-to-month"/>
    <n v="9"/>
    <x v="2"/>
    <n v="899"/>
    <n v="8091"/>
    <s v="Fiber"/>
    <d v="2024-12-12T00:00:00"/>
    <s v="Yes"/>
    <n v="1"/>
    <s v="No"/>
    <s v="No"/>
    <s v="No"/>
    <s v="Yes"/>
    <s v="No"/>
  </r>
  <r>
    <s v="C2684"/>
    <s v="Aditi Chopra"/>
    <s v="Female"/>
    <n v="47"/>
    <x v="1"/>
    <x v="2"/>
    <s v="One year"/>
    <n v="5"/>
    <x v="4"/>
    <n v="399"/>
    <n v="1995"/>
    <s v="No Internet"/>
    <d v="2025-04-09T00:00:00"/>
    <s v="Yes"/>
    <n v="1"/>
    <s v="No"/>
    <s v="No"/>
    <s v="No"/>
    <s v="Yes"/>
    <s v="No"/>
  </r>
  <r>
    <s v="C2685"/>
    <s v="Aditi Mishra"/>
    <s v="Female"/>
    <n v="57"/>
    <x v="1"/>
    <x v="13"/>
    <s v="One year"/>
    <n v="40"/>
    <x v="1"/>
    <n v="349"/>
    <n v="13960"/>
    <s v="No Internet"/>
    <d v="2022-05-19T00:00:00"/>
    <s v="No"/>
    <n v="0"/>
    <s v="No"/>
    <s v="No"/>
    <s v="Yes"/>
    <s v="No"/>
    <s v="No"/>
  </r>
  <r>
    <s v="C2686"/>
    <s v="Deepika Nair"/>
    <s v="Female"/>
    <n v="60"/>
    <x v="1"/>
    <x v="5"/>
    <s v="One year"/>
    <n v="11"/>
    <x v="2"/>
    <n v="999"/>
    <n v="10989"/>
    <s v="Fiber"/>
    <d v="2024-10-07T00:00:00"/>
    <s v="Yes"/>
    <n v="1"/>
    <s v="No"/>
    <s v="No"/>
    <s v="No"/>
    <s v="No"/>
    <s v="No"/>
  </r>
  <r>
    <s v="C2687"/>
    <s v="Meera Kumar"/>
    <s v="Female"/>
    <n v="75"/>
    <x v="2"/>
    <x v="7"/>
    <s v="Month-to-month"/>
    <n v="18"/>
    <x v="0"/>
    <n v="599"/>
    <n v="10782"/>
    <s v="DSL"/>
    <d v="2024-03-25T00:00:00"/>
    <s v="No"/>
    <n v="0"/>
    <s v="No"/>
    <s v="No"/>
    <s v="No"/>
    <s v="No"/>
    <s v="No"/>
  </r>
  <r>
    <s v="C2688"/>
    <s v="Amit Malhotra"/>
    <s v="Unknown"/>
    <n v="39"/>
    <x v="3"/>
    <x v="14"/>
    <s v="One year"/>
    <n v="39"/>
    <x v="1"/>
    <n v="899"/>
    <n v="35061"/>
    <s v="DSL"/>
    <d v="2022-06-30T00:00:00"/>
    <s v="No"/>
    <n v="0"/>
    <s v="No"/>
    <s v="No"/>
    <s v="No"/>
    <s v="No"/>
    <s v="No"/>
  </r>
  <r>
    <s v="C2689"/>
    <s v="Suresh Yadav"/>
    <s v="Male"/>
    <n v="75"/>
    <x v="2"/>
    <x v="0"/>
    <s v="Month-to-month"/>
    <n v="10"/>
    <x v="2"/>
    <n v="599"/>
    <n v="5990"/>
    <s v="DSL"/>
    <d v="2024-11-10T00:00:00"/>
    <s v="No"/>
    <n v="0"/>
    <s v="No"/>
    <s v="No"/>
    <s v="No"/>
    <s v="No"/>
    <s v="No"/>
  </r>
  <r>
    <s v="C2690"/>
    <s v="Shreya Desai"/>
    <s v="Female"/>
    <n v="50"/>
    <x v="1"/>
    <x v="5"/>
    <s v="Month-to-month"/>
    <n v="14"/>
    <x v="0"/>
    <n v="699"/>
    <n v="9786"/>
    <s v="DSL"/>
    <d v="2024-07-06T00:00:00"/>
    <s v="Yes"/>
    <n v="1"/>
    <s v="No"/>
    <s v="No"/>
    <s v="No"/>
    <s v="No"/>
    <s v="No"/>
  </r>
  <r>
    <s v="C2691"/>
    <s v="Kavita Malhotra"/>
    <s v="Female"/>
    <n v="45"/>
    <x v="3"/>
    <x v="3"/>
    <s v="Two year"/>
    <n v="69"/>
    <x v="3"/>
    <n v="699"/>
    <n v="48231"/>
    <s v="DSL"/>
    <d v="2020-01-09T00:00:00"/>
    <s v="No"/>
    <n v="0"/>
    <s v="No"/>
    <s v="No"/>
    <s v="No"/>
    <s v="No"/>
    <s v="No"/>
  </r>
  <r>
    <s v="C2692"/>
    <s v="Ankit Pandey"/>
    <s v="Male"/>
    <n v="68"/>
    <x v="2"/>
    <x v="1"/>
    <s v="Month-to-month"/>
    <n v="21"/>
    <x v="0"/>
    <n v="1299"/>
    <n v="27279"/>
    <s v="Fiber"/>
    <d v="2023-12-19T00:00:00"/>
    <s v="Yes"/>
    <n v="1"/>
    <s v="No"/>
    <s v="No"/>
    <s v="No"/>
    <s v="No"/>
    <s v="No"/>
  </r>
  <r>
    <s v="C2693"/>
    <s v="Rohit Mishra"/>
    <s v="Male"/>
    <n v="47"/>
    <x v="1"/>
    <x v="1"/>
    <s v="Month-to-month"/>
    <n v="18"/>
    <x v="0"/>
    <n v="849"/>
    <n v="15282"/>
    <s v="DSL"/>
    <d v="2024-03-24T00:00:00"/>
    <s v="No"/>
    <n v="0"/>
    <s v="No"/>
    <s v="No"/>
    <s v="No"/>
    <s v="No"/>
    <s v="No"/>
  </r>
  <r>
    <s v="C2694"/>
    <s v="Pankaj Verma"/>
    <s v="Male"/>
    <n v="47"/>
    <x v="1"/>
    <x v="2"/>
    <s v="Month-to-month"/>
    <n v="16"/>
    <x v="0"/>
    <n v="1049"/>
    <n v="16784"/>
    <s v="Fiber"/>
    <d v="2024-05-28T00:00:00"/>
    <s v="No"/>
    <n v="0"/>
    <s v="Yes"/>
    <s v="No"/>
    <s v="No"/>
    <s v="Yes"/>
    <s v="No"/>
  </r>
  <r>
    <s v="C2695"/>
    <s v="Ritu Verma"/>
    <s v="Female"/>
    <n v="69"/>
    <x v="2"/>
    <x v="4"/>
    <s v="Two year"/>
    <n v="70"/>
    <x v="3"/>
    <n v="449"/>
    <n v="31430"/>
    <s v="No Internet"/>
    <d v="2019-12-25T00:00:00"/>
    <s v="No"/>
    <n v="0"/>
    <s v="No"/>
    <s v="No"/>
    <s v="No"/>
    <s v="No"/>
    <s v="No"/>
  </r>
  <r>
    <s v="C2696"/>
    <s v="Sachin Chopra"/>
    <s v="Male"/>
    <n v="32"/>
    <x v="0"/>
    <x v="11"/>
    <s v="Month-to-month"/>
    <n v="8"/>
    <x v="2"/>
    <n v="1299"/>
    <n v="10392"/>
    <s v="Fiber"/>
    <d v="2025-01-28T00:00:00"/>
    <s v="Yes"/>
    <n v="1"/>
    <s v="No"/>
    <s v="No"/>
    <s v="No"/>
    <s v="No"/>
    <s v="No"/>
  </r>
  <r>
    <s v="C2697"/>
    <s v="Priya Rao"/>
    <s v="Female"/>
    <n v="70"/>
    <x v="2"/>
    <x v="8"/>
    <s v="Two year"/>
    <n v="23"/>
    <x v="0"/>
    <n v="1299"/>
    <n v="29877"/>
    <s v="Fiber"/>
    <d v="2023-10-17T00:00:00"/>
    <s v="No"/>
    <n v="0"/>
    <s v="No"/>
    <s v="No"/>
    <s v="No"/>
    <s v="No"/>
    <s v="No"/>
  </r>
  <r>
    <s v="C2698"/>
    <s v="Arjun Singh"/>
    <s v="Male"/>
    <n v="25"/>
    <x v="4"/>
    <x v="3"/>
    <s v="Two year"/>
    <n v="30"/>
    <x v="1"/>
    <n v="649"/>
    <n v="19470"/>
    <s v="DSL"/>
    <d v="2023-03-27T00:00:00"/>
    <s v="Yes"/>
    <n v="1"/>
    <s v="No"/>
    <s v="No"/>
    <s v="No"/>
    <s v="No"/>
    <s v="No"/>
  </r>
  <r>
    <s v="C2699"/>
    <s v="Shreya Tiwari"/>
    <s v="Female"/>
    <n v="42"/>
    <x v="3"/>
    <x v="4"/>
    <s v="Month-to-month"/>
    <n v="21"/>
    <x v="0"/>
    <n v="799"/>
    <n v="16779"/>
    <s v="DSL"/>
    <d v="2023-12-17T00:00:00"/>
    <s v="No"/>
    <n v="0"/>
    <s v="No"/>
    <s v="No"/>
    <s v="No"/>
    <s v="No"/>
    <s v="No"/>
  </r>
  <r>
    <s v="C2700"/>
    <s v="Divya Reddy"/>
    <s v="Female"/>
    <n v="18"/>
    <x v="4"/>
    <x v="1"/>
    <s v="Month-to-month"/>
    <n v="12"/>
    <x v="2"/>
    <n v="749"/>
    <n v="8988"/>
    <s v="DSL"/>
    <d v="2024-09-04T00:00:00"/>
    <s v="Yes"/>
    <n v="1"/>
    <s v="No"/>
    <s v="Yes"/>
    <s v="No"/>
    <s v="No"/>
    <s v="No"/>
  </r>
  <r>
    <s v="C2701"/>
    <s v="Sachin Iyer"/>
    <s v="Male"/>
    <n v="38"/>
    <x v="3"/>
    <x v="9"/>
    <s v="Month-to-month"/>
    <n v="19"/>
    <x v="0"/>
    <n v="349"/>
    <n v="6631"/>
    <s v="No Internet"/>
    <d v="2024-02-28T00:00:00"/>
    <s v="No"/>
    <n v="0"/>
    <s v="No"/>
    <s v="No"/>
    <s v="No"/>
    <s v="No"/>
    <s v="No"/>
  </r>
  <r>
    <s v="C2702"/>
    <s v="Sonal Chopra"/>
    <s v="Female"/>
    <n v="26"/>
    <x v="0"/>
    <x v="0"/>
    <s v="Month-to-month"/>
    <n v="19"/>
    <x v="0"/>
    <n v="1299"/>
    <n v="24681"/>
    <s v="Fiber"/>
    <d v="2024-03-01T00:00:00"/>
    <s v="Yes"/>
    <n v="1"/>
    <s v="No"/>
    <s v="No"/>
    <s v="No"/>
    <s v="No"/>
    <s v="No"/>
  </r>
  <r>
    <s v="C2703"/>
    <s v="Ankit Rao"/>
    <s v="Male"/>
    <n v="29"/>
    <x v="0"/>
    <x v="3"/>
    <s v="Month-to-month"/>
    <n v="11"/>
    <x v="2"/>
    <n v="499"/>
    <n v="5489"/>
    <s v="No Internet"/>
    <d v="2024-10-31T00:00:00"/>
    <s v="No"/>
    <n v="0"/>
    <s v="No"/>
    <s v="No"/>
    <s v="No"/>
    <s v="No"/>
    <s v="No"/>
  </r>
  <r>
    <s v="C2704"/>
    <s v="Priya Pandey"/>
    <s v="Female"/>
    <n v="20"/>
    <x v="4"/>
    <x v="12"/>
    <s v="Unknown"/>
    <n v="13"/>
    <x v="0"/>
    <n v="349"/>
    <n v="4537"/>
    <s v="No Internet"/>
    <d v="2024-08-06T00:00:00"/>
    <s v="Yes"/>
    <n v="1"/>
    <s v="No"/>
    <s v="No"/>
    <s v="No"/>
    <s v="No"/>
    <s v="No"/>
  </r>
  <r>
    <s v="C2705"/>
    <s v="Isha Iyer"/>
    <s v="Female"/>
    <n v="73"/>
    <x v="2"/>
    <x v="4"/>
    <s v="One year"/>
    <n v="15"/>
    <x v="0"/>
    <n v="899"/>
    <n v="13485"/>
    <s v="Fiber"/>
    <d v="2024-07-02T00:00:00"/>
    <s v="No"/>
    <n v="0"/>
    <s v="No"/>
    <s v="No"/>
    <s v="No"/>
    <s v="No"/>
    <s v="No"/>
  </r>
  <r>
    <s v="C2706"/>
    <s v="Riya Bose"/>
    <s v="Female"/>
    <n v="35"/>
    <x v="0"/>
    <x v="13"/>
    <s v="One year"/>
    <n v="40"/>
    <x v="1"/>
    <n v="599"/>
    <n v="23960"/>
    <s v="DSL"/>
    <d v="2022-06-03T00:00:00"/>
    <s v="No"/>
    <n v="0"/>
    <s v="No"/>
    <s v="No"/>
    <s v="No"/>
    <s v="No"/>
    <s v="No"/>
  </r>
  <r>
    <s v="C2707"/>
    <s v="Sonal Mehta"/>
    <s v="Female"/>
    <n v="36"/>
    <x v="3"/>
    <x v="1"/>
    <s v="Month-to-month"/>
    <n v="19"/>
    <x v="0"/>
    <n v="1149"/>
    <n v="21831"/>
    <s v="Fiber"/>
    <d v="2024-02-17T00:00:00"/>
    <s v="Yes"/>
    <n v="1"/>
    <s v="No"/>
    <s v="No"/>
    <s v="No"/>
    <s v="No"/>
    <s v="No"/>
  </r>
  <r>
    <s v="C2708"/>
    <s v="Priya Jain"/>
    <s v="Female"/>
    <n v="32"/>
    <x v="0"/>
    <x v="1"/>
    <s v="Month-to-month"/>
    <n v="21"/>
    <x v="0"/>
    <n v="899"/>
    <n v="18879"/>
    <s v="Fiber"/>
    <d v="2023-12-17T00:00:00"/>
    <s v="No"/>
    <n v="0"/>
    <s v="No"/>
    <s v="No"/>
    <s v="No"/>
    <s v="No"/>
    <s v="No"/>
  </r>
  <r>
    <s v="C2709"/>
    <s v="Riya Kumar"/>
    <s v="Female"/>
    <n v="41"/>
    <x v="3"/>
    <x v="3"/>
    <s v="Month-to-month"/>
    <n v="6"/>
    <x v="4"/>
    <n v="1099"/>
    <n v="6594"/>
    <s v="Fiber"/>
    <d v="2025-03-04T00:00:00"/>
    <s v="No"/>
    <n v="0"/>
    <s v="No"/>
    <s v="No"/>
    <s v="No"/>
    <s v="Yes"/>
    <s v="No"/>
  </r>
  <r>
    <s v="C2710"/>
    <s v="Priya Pandey"/>
    <s v="Female"/>
    <n v="56"/>
    <x v="1"/>
    <x v="0"/>
    <s v="Month-to-month"/>
    <n v="5"/>
    <x v="4"/>
    <n v="449"/>
    <n v="2245"/>
    <s v="No Internet"/>
    <d v="2025-04-11T00:00:00"/>
    <s v="Yes"/>
    <n v="1"/>
    <s v="No"/>
    <s v="No"/>
    <s v="No"/>
    <s v="No"/>
    <s v="No"/>
  </r>
  <r>
    <s v="C2711"/>
    <s v="Deepak Sharma"/>
    <s v="Male"/>
    <n v="37"/>
    <x v="3"/>
    <x v="4"/>
    <s v="One year"/>
    <n v="37"/>
    <x v="1"/>
    <n v="699"/>
    <n v="25863"/>
    <s v="DSL"/>
    <d v="2022-09-03T00:00:00"/>
    <s v="No"/>
    <n v="0"/>
    <s v="No"/>
    <s v="No"/>
    <s v="No"/>
    <s v="No"/>
    <s v="No"/>
  </r>
  <r>
    <s v="C2712"/>
    <s v="Payal Joshi"/>
    <s v="Female"/>
    <n v="25"/>
    <x v="4"/>
    <x v="7"/>
    <s v="Month-to-month"/>
    <n v="3"/>
    <x v="4"/>
    <n v="849"/>
    <n v="2547"/>
    <s v="DSL"/>
    <d v="2025-06-18T00:00:00"/>
    <s v="Yes"/>
    <n v="1"/>
    <s v="No"/>
    <s v="No"/>
    <s v="No"/>
    <s v="No"/>
    <s v="No"/>
  </r>
  <r>
    <s v="C2713"/>
    <s v="Vikram Reddy"/>
    <s v="Male"/>
    <n v="52"/>
    <x v="1"/>
    <x v="9"/>
    <s v="One year"/>
    <n v="10"/>
    <x v="2"/>
    <n v="899"/>
    <n v="8990"/>
    <s v="Fiber"/>
    <d v="2024-11-20T00:00:00"/>
    <s v="No"/>
    <n v="0"/>
    <s v="No"/>
    <s v="No"/>
    <s v="No"/>
    <s v="No"/>
    <s v="No"/>
  </r>
  <r>
    <s v="C2714"/>
    <s v="Vivek Malhotra"/>
    <s v="Male"/>
    <n v="29"/>
    <x v="0"/>
    <x v="8"/>
    <s v="Month-to-month"/>
    <n v="11"/>
    <x v="2"/>
    <n v="349"/>
    <n v="3839"/>
    <s v="No Internet"/>
    <d v="2024-10-08T00:00:00"/>
    <s v="No"/>
    <n v="0"/>
    <s v="No"/>
    <s v="No"/>
    <s v="No"/>
    <s v="No"/>
    <s v="No"/>
  </r>
  <r>
    <s v="C2715"/>
    <s v="Isha Malhotra"/>
    <s v="Female"/>
    <n v="26"/>
    <x v="0"/>
    <x v="4"/>
    <s v="Two year"/>
    <n v="38"/>
    <x v="1"/>
    <n v="699"/>
    <n v="26562"/>
    <s v="DSL"/>
    <d v="2022-07-22T00:00:00"/>
    <s v="No"/>
    <n v="0"/>
    <s v="No"/>
    <s v="No"/>
    <s v="No"/>
    <s v="No"/>
    <s v="No"/>
  </r>
  <r>
    <s v="C2716"/>
    <s v="Unknown"/>
    <s v="Male"/>
    <n v="27"/>
    <x v="0"/>
    <x v="8"/>
    <s v="Two year"/>
    <n v="1"/>
    <x v="4"/>
    <n v="1149"/>
    <n v="1149"/>
    <s v="Fiber"/>
    <d v="2025-08-28T00:00:00"/>
    <s v="No"/>
    <n v="0"/>
    <s v="No"/>
    <s v="No"/>
    <s v="No"/>
    <s v="No"/>
    <s v="No"/>
  </r>
  <r>
    <s v="C2717"/>
    <s v="Deepak Nair"/>
    <s v="Male"/>
    <n v="63"/>
    <x v="2"/>
    <x v="2"/>
    <s v="Month-to-month"/>
    <n v="15"/>
    <x v="0"/>
    <n v="399"/>
    <n v="5985"/>
    <s v="No Internet"/>
    <d v="2024-06-08T00:00:00"/>
    <s v="Yes"/>
    <n v="1"/>
    <s v="No"/>
    <s v="No"/>
    <s v="No"/>
    <s v="No"/>
    <s v="No"/>
  </r>
  <r>
    <s v="C2718"/>
    <s v="Meera Jain"/>
    <s v="Female"/>
    <n v="28"/>
    <x v="0"/>
    <x v="1"/>
    <s v="One year"/>
    <n v="18"/>
    <x v="0"/>
    <n v="349"/>
    <n v="6282"/>
    <s v="No Internet"/>
    <d v="2024-03-17T00:00:00"/>
    <s v="No"/>
    <n v="0"/>
    <s v="No"/>
    <s v="No"/>
    <s v="No"/>
    <s v="No"/>
    <s v="No"/>
  </r>
  <r>
    <s v="C2719"/>
    <s v="Arjun Pandey"/>
    <s v="Male"/>
    <n v="34"/>
    <x v="0"/>
    <x v="14"/>
    <s v="Month-to-month"/>
    <n v="14"/>
    <x v="0"/>
    <n v="599"/>
    <n v="8386"/>
    <s v="DSL"/>
    <d v="2024-07-10T00:00:00"/>
    <s v="No"/>
    <n v="0"/>
    <s v="No"/>
    <s v="No"/>
    <s v="No"/>
    <s v="No"/>
    <s v="No"/>
  </r>
  <r>
    <s v="C2720"/>
    <s v="Priya Desai"/>
    <s v="Female"/>
    <n v="22"/>
    <x v="4"/>
    <x v="3"/>
    <s v="One year"/>
    <n v="4"/>
    <x v="4"/>
    <n v="549"/>
    <n v="2196"/>
    <s v="No Internet"/>
    <d v="2025-05-31T00:00:00"/>
    <s v="No"/>
    <n v="0"/>
    <s v="No"/>
    <s v="No"/>
    <s v="No"/>
    <s v="No"/>
    <s v="No"/>
  </r>
  <r>
    <s v="C2721"/>
    <s v="Ankit Reddy"/>
    <s v="Male"/>
    <n v="70"/>
    <x v="2"/>
    <x v="9"/>
    <s v="Month-to-month"/>
    <n v="3"/>
    <x v="4"/>
    <n v="849"/>
    <n v="2547"/>
    <s v="DSL"/>
    <d v="2025-06-04T00:00:00"/>
    <s v="Yes"/>
    <n v="1"/>
    <s v="No"/>
    <s v="No"/>
    <s v="No"/>
    <s v="No"/>
    <s v="No"/>
  </r>
  <r>
    <s v="C2722"/>
    <s v="Sneha Bose"/>
    <s v="Female"/>
    <n v="26"/>
    <x v="0"/>
    <x v="0"/>
    <s v="Month-to-month"/>
    <n v="14"/>
    <x v="0"/>
    <n v="1049"/>
    <n v="14686"/>
    <s v="Fiber"/>
    <d v="2024-07-20T00:00:00"/>
    <s v="Yes"/>
    <n v="1"/>
    <s v="No"/>
    <s v="No"/>
    <s v="No"/>
    <s v="No"/>
    <s v="No"/>
  </r>
  <r>
    <s v="C2723"/>
    <s v="Neha Jain"/>
    <s v="Female"/>
    <n v="54"/>
    <x v="1"/>
    <x v="13"/>
    <s v="Month-to-month"/>
    <n v="23"/>
    <x v="0"/>
    <n v="999"/>
    <n v="22977"/>
    <s v="Fiber"/>
    <d v="2023-10-23T00:00:00"/>
    <s v="No"/>
    <n v="0"/>
    <s v="No"/>
    <s v="No"/>
    <s v="No"/>
    <s v="No"/>
    <s v="No"/>
  </r>
  <r>
    <s v="C2724"/>
    <s v="Nisha Bose"/>
    <s v="Female"/>
    <n v="53"/>
    <x v="1"/>
    <x v="11"/>
    <s v="Month-to-month"/>
    <n v="12"/>
    <x v="2"/>
    <n v="449"/>
    <n v="5388"/>
    <s v="No Internet"/>
    <d v="2024-09-18T00:00:00"/>
    <s v="Yes"/>
    <n v="1"/>
    <s v="No"/>
    <s v="No"/>
    <s v="No"/>
    <s v="No"/>
    <s v="No"/>
  </r>
  <r>
    <s v="C2725"/>
    <s v="Vivek Agarwal"/>
    <s v="Male"/>
    <n v="23"/>
    <x v="4"/>
    <x v="11"/>
    <s v="One year"/>
    <n v="10"/>
    <x v="2"/>
    <n v="999"/>
    <n v="9990"/>
    <s v="Fiber"/>
    <d v="2024-11-30T00:00:00"/>
    <s v="No"/>
    <n v="0"/>
    <s v="No"/>
    <s v="No"/>
    <s v="Yes"/>
    <s v="No"/>
    <s v="No"/>
  </r>
  <r>
    <s v="C2726"/>
    <s v="Vikram Verma"/>
    <s v="Male"/>
    <n v="34"/>
    <x v="0"/>
    <x v="2"/>
    <s v="Month-to-month"/>
    <n v="18"/>
    <x v="0"/>
    <n v="1149"/>
    <n v="20682"/>
    <s v="Fiber"/>
    <d v="2024-04-01T00:00:00"/>
    <s v="Yes"/>
    <n v="1"/>
    <s v="No"/>
    <s v="No"/>
    <s v="No"/>
    <s v="No"/>
    <s v="No"/>
  </r>
  <r>
    <s v="C2727"/>
    <s v="Ankit Iyer"/>
    <s v="Male"/>
    <n v="31"/>
    <x v="0"/>
    <x v="13"/>
    <s v="One year"/>
    <n v="17"/>
    <x v="0"/>
    <n v="1299"/>
    <n v="22083"/>
    <s v="Fiber"/>
    <d v="2024-04-07T00:00:00"/>
    <s v="No"/>
    <n v="0"/>
    <s v="No"/>
    <s v="No"/>
    <s v="No"/>
    <s v="No"/>
    <s v="No"/>
  </r>
  <r>
    <s v="C2728"/>
    <s v="Vivek Jain"/>
    <s v="Male"/>
    <n v="21"/>
    <x v="4"/>
    <x v="12"/>
    <s v="Two year"/>
    <n v="56"/>
    <x v="3"/>
    <n v="499"/>
    <n v="27944"/>
    <s v="No Internet"/>
    <d v="2021-02-03T00:00:00"/>
    <s v="No"/>
    <n v="0"/>
    <s v="No"/>
    <s v="No"/>
    <s v="No"/>
    <s v="No"/>
    <s v="No"/>
  </r>
  <r>
    <s v="C2729"/>
    <s v="Suresh Iyer"/>
    <s v="Male"/>
    <n v="52"/>
    <x v="1"/>
    <x v="1"/>
    <s v="Month-to-month"/>
    <n v="6"/>
    <x v="4"/>
    <n v="699"/>
    <n v="4194"/>
    <s v="DSL"/>
    <d v="2025-03-07T00:00:00"/>
    <s v="Yes"/>
    <n v="1"/>
    <s v="No"/>
    <s v="No"/>
    <s v="No"/>
    <s v="No"/>
    <s v="No"/>
  </r>
  <r>
    <s v="C2730"/>
    <s v="Divya Singh"/>
    <s v="Female"/>
    <n v="52"/>
    <x v="1"/>
    <x v="3"/>
    <s v="Month-to-month"/>
    <n v="15"/>
    <x v="0"/>
    <n v="699"/>
    <n v="10485"/>
    <s v="DSL"/>
    <d v="2024-06-21T00:00:00"/>
    <s v="Yes"/>
    <n v="1"/>
    <s v="No"/>
    <s v="No"/>
    <s v="No"/>
    <s v="No"/>
    <s v="No"/>
  </r>
  <r>
    <s v="C2731"/>
    <s v="Isha Kumar"/>
    <s v="Female"/>
    <n v="41"/>
    <x v="3"/>
    <x v="12"/>
    <s v="Month-to-month"/>
    <n v="24"/>
    <x v="0"/>
    <n v="899"/>
    <n v="21576"/>
    <s v="Fiber"/>
    <d v="2023-09-10T00:00:00"/>
    <s v="Yes"/>
    <n v="1"/>
    <s v="No"/>
    <s v="No"/>
    <s v="No"/>
    <s v="No"/>
    <s v="No"/>
  </r>
  <r>
    <s v="C2732"/>
    <s v="Swati Reddy"/>
    <s v="Female"/>
    <n v="20"/>
    <x v="4"/>
    <x v="7"/>
    <s v="One year"/>
    <n v="2"/>
    <x v="4"/>
    <n v="849"/>
    <n v="1698"/>
    <s v="DSL"/>
    <d v="2025-07-27T00:00:00"/>
    <s v="No"/>
    <n v="0"/>
    <s v="No"/>
    <s v="No"/>
    <s v="No"/>
    <s v="No"/>
    <s v="No"/>
  </r>
  <r>
    <s v="C2733"/>
    <s v="Karan Kapoor"/>
    <s v="Male"/>
    <n v="67"/>
    <x v="2"/>
    <x v="1"/>
    <s v="Two year"/>
    <n v="3"/>
    <x v="4"/>
    <n v="649"/>
    <n v="1947"/>
    <s v="DSL"/>
    <d v="2025-06-16T00:00:00"/>
    <s v="No"/>
    <n v="0"/>
    <s v="No"/>
    <s v="No"/>
    <s v="No"/>
    <s v="Yes"/>
    <s v="No"/>
  </r>
  <r>
    <s v="C2734"/>
    <s v="Sneha Saxena"/>
    <s v="Female"/>
    <n v="62"/>
    <x v="2"/>
    <x v="8"/>
    <s v="Month-to-month"/>
    <n v="23"/>
    <x v="0"/>
    <n v="799"/>
    <n v="18377"/>
    <s v="DSL"/>
    <d v="2023-10-10T00:00:00"/>
    <s v="Yes"/>
    <n v="1"/>
    <s v="No"/>
    <s v="No"/>
    <s v="No"/>
    <s v="No"/>
    <s v="No"/>
  </r>
  <r>
    <s v="C2735"/>
    <s v="Neha Saxena"/>
    <s v="Female"/>
    <n v="29"/>
    <x v="0"/>
    <x v="3"/>
    <s v="Two year"/>
    <n v="24"/>
    <x v="0"/>
    <n v="1049"/>
    <n v="25176"/>
    <s v="Fiber"/>
    <d v="2023-10-08T00:00:00"/>
    <s v="No"/>
    <n v="0"/>
    <s v="No"/>
    <s v="No"/>
    <s v="No"/>
    <s v="No"/>
    <s v="No"/>
  </r>
  <r>
    <s v="C2736"/>
    <s v="Arjun Tiwari"/>
    <s v="Male"/>
    <n v="66"/>
    <x v="2"/>
    <x v="13"/>
    <s v="One year"/>
    <n v="21"/>
    <x v="0"/>
    <n v="599"/>
    <n v="12579"/>
    <s v="DSL"/>
    <d v="2023-12-09T00:00:00"/>
    <s v="No"/>
    <n v="0"/>
    <s v="No"/>
    <s v="No"/>
    <s v="No"/>
    <s v="No"/>
    <s v="No"/>
  </r>
  <r>
    <s v="C2737"/>
    <s v="Aman Chopra"/>
    <s v="Male"/>
    <n v="61"/>
    <x v="2"/>
    <x v="9"/>
    <s v="One year"/>
    <n v="40"/>
    <x v="1"/>
    <n v="899"/>
    <n v="35960"/>
    <s v="Fiber"/>
    <d v="2022-05-21T00:00:00"/>
    <s v="No"/>
    <n v="0"/>
    <s v="No"/>
    <s v="No"/>
    <s v="No"/>
    <s v="Yes"/>
    <s v="No"/>
  </r>
  <r>
    <s v="C2738"/>
    <s v="Anjali Kapoor"/>
    <s v="Female"/>
    <n v="63"/>
    <x v="2"/>
    <x v="0"/>
    <s v="Two year"/>
    <n v="71"/>
    <x v="3"/>
    <n v="1049"/>
    <n v="74479"/>
    <s v="Fiber"/>
    <d v="2019-11-09T00:00:00"/>
    <s v="No"/>
    <n v="0"/>
    <s v="No"/>
    <s v="No"/>
    <s v="No"/>
    <s v="No"/>
    <s v="No"/>
  </r>
  <r>
    <s v="C2739"/>
    <s v="Manish Saxena"/>
    <s v="Male"/>
    <n v="66"/>
    <x v="2"/>
    <x v="6"/>
    <s v="Month-to-month"/>
    <n v="13"/>
    <x v="0"/>
    <n v="699"/>
    <n v="9087"/>
    <s v="DSL"/>
    <d v="2024-08-25T00:00:00"/>
    <s v="Yes"/>
    <n v="1"/>
    <s v="No"/>
    <s v="No"/>
    <s v="No"/>
    <s v="No"/>
    <s v="No"/>
  </r>
  <r>
    <s v="C2740"/>
    <s v="Sanjay Pandey"/>
    <s v="Male"/>
    <n v="75"/>
    <x v="2"/>
    <x v="11"/>
    <s v="Month-to-month"/>
    <n v="5"/>
    <x v="4"/>
    <n v="599"/>
    <n v="2995"/>
    <s v="DSL"/>
    <d v="2025-04-12T00:00:00"/>
    <s v="Yes"/>
    <n v="1"/>
    <s v="No"/>
    <s v="No"/>
    <s v="No"/>
    <s v="No"/>
    <s v="No"/>
  </r>
  <r>
    <s v="C2741"/>
    <s v="Neha Kumar"/>
    <s v="Female"/>
    <n v="52"/>
    <x v="1"/>
    <x v="5"/>
    <s v="One year"/>
    <n v="15"/>
    <x v="0"/>
    <n v="549"/>
    <n v="8235"/>
    <s v="No Internet"/>
    <d v="2024-06-30T00:00:00"/>
    <s v="No"/>
    <n v="0"/>
    <s v="No"/>
    <s v="No"/>
    <s v="No"/>
    <s v="No"/>
    <s v="No"/>
  </r>
  <r>
    <s v="C2742"/>
    <s v="Isha Nair"/>
    <s v="Female"/>
    <n v="41"/>
    <x v="3"/>
    <x v="9"/>
    <s v="One year"/>
    <n v="24"/>
    <x v="0"/>
    <n v="749"/>
    <n v="17976"/>
    <s v="DSL"/>
    <m/>
    <s v="Yes"/>
    <n v="1"/>
    <s v="No"/>
    <s v="No"/>
    <s v="No"/>
    <s v="No"/>
    <s v="Date missing"/>
  </r>
  <r>
    <s v="C2743"/>
    <s v="Rahul Rao"/>
    <s v="Male"/>
    <n v="54"/>
    <x v="1"/>
    <x v="12"/>
    <s v="Two year"/>
    <n v="71"/>
    <x v="3"/>
    <n v="549"/>
    <n v="38979"/>
    <s v="No Internet"/>
    <m/>
    <s v="No"/>
    <n v="0"/>
    <s v="No"/>
    <s v="No"/>
    <s v="No"/>
    <s v="No"/>
    <s v="Date missing"/>
  </r>
  <r>
    <s v="C2744"/>
    <s v="Kavita Verma"/>
    <s v="Female"/>
    <n v="67"/>
    <x v="2"/>
    <x v="14"/>
    <s v="Two year"/>
    <n v="65"/>
    <x v="3"/>
    <n v="399"/>
    <n v="25935"/>
    <s v="No Internet"/>
    <d v="2020-05-21T00:00:00"/>
    <s v="No"/>
    <n v="0"/>
    <s v="No"/>
    <s v="No"/>
    <s v="No"/>
    <s v="Yes"/>
    <s v="No"/>
  </r>
  <r>
    <s v="C2745"/>
    <s v="Rajesh Iyer"/>
    <s v="Male"/>
    <n v="37"/>
    <x v="3"/>
    <x v="11"/>
    <s v="One year"/>
    <n v="15"/>
    <x v="0"/>
    <n v="499"/>
    <n v="7485"/>
    <s v="No Internet"/>
    <d v="2024-06-23T00:00:00"/>
    <s v="No"/>
    <n v="0"/>
    <s v="No"/>
    <s v="No"/>
    <s v="No"/>
    <s v="No"/>
    <s v="No"/>
  </r>
  <r>
    <s v="C2746"/>
    <s v="Nikhil Joshi"/>
    <s v="Male"/>
    <n v="18"/>
    <x v="4"/>
    <x v="0"/>
    <s v="Month-to-month"/>
    <n v="1"/>
    <x v="4"/>
    <n v="599"/>
    <n v="599"/>
    <s v="DSL"/>
    <d v="2025-08-19T00:00:00"/>
    <s v="No"/>
    <n v="0"/>
    <s v="No"/>
    <s v="No"/>
    <s v="No"/>
    <s v="No"/>
    <s v="No"/>
  </r>
  <r>
    <s v="C2747"/>
    <s v="Pooja Rao"/>
    <s v="Female"/>
    <n v="29"/>
    <x v="0"/>
    <x v="5"/>
    <s v="Month-to-month"/>
    <n v="6"/>
    <x v="4"/>
    <n v="899"/>
    <n v="5394"/>
    <s v="Fiber"/>
    <d v="2025-03-14T00:00:00"/>
    <s v="No"/>
    <n v="0"/>
    <s v="No"/>
    <s v="No"/>
    <s v="No"/>
    <s v="No"/>
    <s v="No"/>
  </r>
  <r>
    <s v="C2748"/>
    <s v="Manish Nair"/>
    <s v="Male"/>
    <n v="37"/>
    <x v="3"/>
    <x v="2"/>
    <s v="Two year"/>
    <n v="5"/>
    <x v="4"/>
    <n v="799"/>
    <n v="3995"/>
    <s v="DSL"/>
    <d v="2025-04-30T00:00:00"/>
    <s v="No"/>
    <n v="0"/>
    <s v="No"/>
    <s v="No"/>
    <s v="No"/>
    <s v="No"/>
    <s v="No"/>
  </r>
  <r>
    <s v="C2749"/>
    <s v="Ritu Sharma"/>
    <s v="Female"/>
    <n v="58"/>
    <x v="1"/>
    <x v="13"/>
    <s v="Two year"/>
    <n v="53"/>
    <x v="3"/>
    <n v="1049"/>
    <n v="55597"/>
    <s v="Fiber"/>
    <d v="2021-04-24T00:00:00"/>
    <s v="Yes"/>
    <n v="1"/>
    <s v="No"/>
    <s v="No"/>
    <s v="No"/>
    <s v="No"/>
    <s v="No"/>
  </r>
  <r>
    <s v="C2750"/>
    <s v="Vikram Rao"/>
    <s v="Male"/>
    <n v="43"/>
    <x v="3"/>
    <x v="7"/>
    <s v="Month-to-month"/>
    <n v="1"/>
    <x v="4"/>
    <n v="699"/>
    <n v="699"/>
    <s v="DSL"/>
    <d v="2025-07-31T00:00:00"/>
    <s v="No"/>
    <n v="0"/>
    <s v="No"/>
    <s v="No"/>
    <s v="No"/>
    <s v="No"/>
    <s v="No"/>
  </r>
  <r>
    <s v="C2751"/>
    <s v="Swati Bose"/>
    <s v="Female"/>
    <n v="53"/>
    <x v="1"/>
    <x v="13"/>
    <s v="Two year"/>
    <n v="24"/>
    <x v="0"/>
    <n v="999"/>
    <n v="23976"/>
    <s v="Fiber"/>
    <d v="2023-09-15T00:00:00"/>
    <s v="No"/>
    <n v="0"/>
    <s v="No"/>
    <s v="No"/>
    <s v="No"/>
    <s v="No"/>
    <s v="No"/>
  </r>
  <r>
    <s v="C2752"/>
    <s v="Aditi Gupta"/>
    <s v="Female"/>
    <n v="43"/>
    <x v="3"/>
    <x v="3"/>
    <s v="Month-to-month"/>
    <n v="14"/>
    <x v="0"/>
    <n v="399"/>
    <n v="5586"/>
    <s v="No Internet"/>
    <d v="2024-07-07T00:00:00"/>
    <s v="No"/>
    <n v="0"/>
    <s v="No"/>
    <s v="No"/>
    <s v="No"/>
    <s v="No"/>
    <s v="No"/>
  </r>
  <r>
    <s v="C2753"/>
    <s v="Ankit Patel"/>
    <s v="Male"/>
    <n v="40"/>
    <x v="3"/>
    <x v="1"/>
    <s v="Month-to-month"/>
    <n v="15"/>
    <x v="0"/>
    <n v="599"/>
    <n v="8985"/>
    <s v="DSL"/>
    <d v="2024-06-06T00:00:00"/>
    <s v="Yes"/>
    <n v="1"/>
    <s v="No"/>
    <s v="No"/>
    <s v="No"/>
    <s v="Yes"/>
    <s v="No"/>
  </r>
  <r>
    <s v="C2754"/>
    <s v="Anjali Kumar"/>
    <s v="Female"/>
    <n v="69"/>
    <x v="2"/>
    <x v="2"/>
    <s v="Two year"/>
    <n v="71"/>
    <x v="3"/>
    <n v="599"/>
    <n v="42529"/>
    <s v="DSL"/>
    <d v="2019-11-24T00:00:00"/>
    <s v="No"/>
    <n v="0"/>
    <s v="No"/>
    <s v="No"/>
    <s v="No"/>
    <s v="No"/>
    <s v="No"/>
  </r>
  <r>
    <s v="C2755"/>
    <s v="Pankaj Agarwal"/>
    <s v="Male"/>
    <n v="60"/>
    <x v="1"/>
    <x v="8"/>
    <s v="Month-to-month"/>
    <n v="17"/>
    <x v="0"/>
    <n v="549"/>
    <n v="9333"/>
    <s v="No Internet"/>
    <d v="2024-04-21T00:00:00"/>
    <s v="No"/>
    <n v="0"/>
    <s v="No"/>
    <s v="No"/>
    <s v="No"/>
    <s v="No"/>
    <s v="No"/>
  </r>
  <r>
    <s v="C2756"/>
    <s v="Aman Bose"/>
    <s v="Male"/>
    <n v="24"/>
    <x v="4"/>
    <x v="12"/>
    <s v="Month-to-month"/>
    <n v="14"/>
    <x v="0"/>
    <n v="649"/>
    <n v="9086"/>
    <s v="DSL"/>
    <d v="2024-07-18T00:00:00"/>
    <s v="Yes"/>
    <n v="1"/>
    <s v="No"/>
    <s v="No"/>
    <s v="No"/>
    <s v="No"/>
    <s v="No"/>
  </r>
  <r>
    <s v="C2757"/>
    <s v="Rajesh Joshi"/>
    <s v="Unknown"/>
    <n v="54"/>
    <x v="1"/>
    <x v="14"/>
    <s v="Month-to-month"/>
    <n v="6"/>
    <x v="4"/>
    <n v="349"/>
    <n v="2094"/>
    <s v="No Internet"/>
    <d v="2025-03-16T00:00:00"/>
    <s v="Yes"/>
    <n v="1"/>
    <s v="No"/>
    <s v="No"/>
    <s v="No"/>
    <s v="No"/>
    <s v="No"/>
  </r>
  <r>
    <s v="C2758"/>
    <s v="Amit Joshi"/>
    <s v="Male"/>
    <n v="33"/>
    <x v="0"/>
    <x v="7"/>
    <s v="Month-to-month"/>
    <n v="20"/>
    <x v="0"/>
    <n v="349"/>
    <n v="6980"/>
    <s v="No Internet"/>
    <d v="2024-01-25T00:00:00"/>
    <s v="No"/>
    <n v="0"/>
    <s v="No"/>
    <s v="No"/>
    <s v="No"/>
    <s v="No"/>
    <s v="No"/>
  </r>
  <r>
    <s v="C2759"/>
    <s v="Mohit Bose"/>
    <s v="Male"/>
    <n v="48"/>
    <x v="1"/>
    <x v="8"/>
    <s v="Two year"/>
    <n v="40"/>
    <x v="1"/>
    <n v="899"/>
    <n v="35960"/>
    <s v="DSL"/>
    <d v="2022-06-12T00:00:00"/>
    <s v="No"/>
    <n v="0"/>
    <s v="No"/>
    <s v="No"/>
    <s v="No"/>
    <s v="No"/>
    <s v="No"/>
  </r>
  <r>
    <s v="C2760"/>
    <s v="Gaurav Gupta"/>
    <s v="Male"/>
    <n v="18"/>
    <x v="4"/>
    <x v="3"/>
    <s v="Month-to-month"/>
    <n v="10"/>
    <x v="2"/>
    <n v="799"/>
    <n v="7990"/>
    <s v="DSL"/>
    <d v="2024-11-28T00:00:00"/>
    <s v="Yes"/>
    <n v="1"/>
    <s v="No"/>
    <s v="No"/>
    <s v="No"/>
    <s v="No"/>
    <s v="No"/>
  </r>
  <r>
    <s v="C2761"/>
    <s v="Suresh Kumar"/>
    <s v="Male"/>
    <n v="35"/>
    <x v="0"/>
    <x v="5"/>
    <s v="Month-to-month"/>
    <n v="7"/>
    <x v="2"/>
    <n v="849"/>
    <n v="5943"/>
    <s v="DSL"/>
    <m/>
    <s v="No"/>
    <n v="0"/>
    <s v="No"/>
    <s v="No"/>
    <s v="No"/>
    <s v="No"/>
    <s v="Date missing"/>
  </r>
  <r>
    <s v="C2762"/>
    <s v="Isha Bose"/>
    <s v="Female"/>
    <n v="56"/>
    <x v="1"/>
    <x v="14"/>
    <s v="Month-to-month"/>
    <n v="5"/>
    <x v="4"/>
    <n v="849"/>
    <n v="4245"/>
    <s v="DSL"/>
    <d v="2025-04-11T00:00:00"/>
    <s v="Yes"/>
    <n v="1"/>
    <s v="No"/>
    <s v="No"/>
    <s v="No"/>
    <s v="No"/>
    <s v="No"/>
  </r>
  <r>
    <s v="C2763"/>
    <s v="Amit Malhotra"/>
    <s v="Male"/>
    <n v="63"/>
    <x v="2"/>
    <x v="14"/>
    <s v="Month-to-month"/>
    <n v="5"/>
    <x v="4"/>
    <n v="499"/>
    <n v="2495"/>
    <s v="No Internet"/>
    <d v="2025-04-02T00:00:00"/>
    <s v="Yes"/>
    <n v="1"/>
    <s v="No"/>
    <s v="No"/>
    <s v="Yes"/>
    <s v="No"/>
    <s v="No"/>
  </r>
  <r>
    <s v="C2764"/>
    <s v="Karan Nair"/>
    <s v="Male"/>
    <n v="41"/>
    <x v="3"/>
    <x v="14"/>
    <s v="Month-to-month"/>
    <n v="5"/>
    <x v="4"/>
    <n v="499"/>
    <n v="2495"/>
    <s v="No Internet"/>
    <d v="2025-04-30T00:00:00"/>
    <s v="Yes"/>
    <n v="1"/>
    <s v="No"/>
    <s v="No"/>
    <s v="No"/>
    <s v="No"/>
    <s v="No"/>
  </r>
  <r>
    <s v="C2765"/>
    <s v="Kavita Rao"/>
    <s v="Female"/>
    <n v="30"/>
    <x v="0"/>
    <x v="3"/>
    <s v="One year"/>
    <n v="23"/>
    <x v="0"/>
    <n v="549"/>
    <n v="12627"/>
    <s v="Unknown"/>
    <d v="2023-10-13T00:00:00"/>
    <s v="No"/>
    <n v="0"/>
    <s v="No"/>
    <s v="No"/>
    <s v="Yes"/>
    <s v="No"/>
    <s v="No"/>
  </r>
  <r>
    <s v="C2766"/>
    <s v="Shreya Kapoor"/>
    <s v="Female"/>
    <n v="40"/>
    <x v="3"/>
    <x v="12"/>
    <s v="Two year"/>
    <n v="69"/>
    <x v="3"/>
    <n v="649"/>
    <n v="44781"/>
    <s v="DSL"/>
    <d v="2020-01-08T00:00:00"/>
    <s v="No"/>
    <n v="0"/>
    <s v="No"/>
    <s v="No"/>
    <s v="No"/>
    <s v="No"/>
    <s v="No"/>
  </r>
  <r>
    <s v="C2767"/>
    <s v="Pankaj Kumar"/>
    <s v="Male"/>
    <n v="44"/>
    <x v="3"/>
    <x v="9"/>
    <s v="Two year"/>
    <n v="10"/>
    <x v="2"/>
    <n v="1049"/>
    <n v="10490"/>
    <s v="Fiber"/>
    <d v="2024-12-01T00:00:00"/>
    <s v="No"/>
    <n v="0"/>
    <s v="No"/>
    <s v="No"/>
    <s v="No"/>
    <s v="No"/>
    <s v="No"/>
  </r>
  <r>
    <s v="C2768"/>
    <s v="Rajesh Agarwal"/>
    <s v="Male"/>
    <n v="51"/>
    <x v="1"/>
    <x v="0"/>
    <s v="Month-to-month"/>
    <n v="9"/>
    <x v="2"/>
    <n v="1299"/>
    <n v="11691"/>
    <s v="Fiber"/>
    <d v="2024-12-30T00:00:00"/>
    <s v="No"/>
    <n v="0"/>
    <s v="No"/>
    <s v="No"/>
    <s v="No"/>
    <s v="No"/>
    <s v="No"/>
  </r>
  <r>
    <s v="C2769"/>
    <s v="Divya Gupta"/>
    <s v="Female"/>
    <n v="27"/>
    <x v="0"/>
    <x v="11"/>
    <s v="Month-to-month"/>
    <n v="4"/>
    <x v="4"/>
    <n v="349"/>
    <n v="1396"/>
    <s v="No Internet"/>
    <d v="2025-05-20T00:00:00"/>
    <s v="Yes"/>
    <n v="1"/>
    <s v="No"/>
    <s v="No"/>
    <s v="No"/>
    <s v="No"/>
    <s v="No"/>
  </r>
  <r>
    <s v="C2770"/>
    <s v="Sonal Patel"/>
    <s v="Female"/>
    <n v="71"/>
    <x v="2"/>
    <x v="12"/>
    <s v="Two year"/>
    <n v="59"/>
    <x v="3"/>
    <n v="499"/>
    <n v="29441"/>
    <s v="No Internet"/>
    <d v="2020-11-11T00:00:00"/>
    <s v="No"/>
    <n v="0"/>
    <s v="No"/>
    <s v="No"/>
    <s v="No"/>
    <s v="No"/>
    <s v="No"/>
  </r>
  <r>
    <s v="C2771"/>
    <s v="Vikram Bose"/>
    <s v="Male"/>
    <n v="47"/>
    <x v="1"/>
    <x v="13"/>
    <s v="Month-to-month"/>
    <n v="10"/>
    <x v="2"/>
    <n v="1049"/>
    <n v="10490"/>
    <s v="Fiber"/>
    <d v="2024-12-01T00:00:00"/>
    <s v="Yes"/>
    <n v="1"/>
    <s v="Yes"/>
    <s v="No"/>
    <s v="No"/>
    <s v="No"/>
    <s v="No"/>
  </r>
  <r>
    <s v="C2772"/>
    <s v="Nisha Rao"/>
    <s v="Female"/>
    <n v="30"/>
    <x v="0"/>
    <x v="9"/>
    <s v="Month-to-month"/>
    <n v="23"/>
    <x v="0"/>
    <n v="1149"/>
    <n v="26427"/>
    <s v="Fiber"/>
    <d v="2023-10-30T00:00:00"/>
    <s v="Yes"/>
    <n v="1"/>
    <s v="No"/>
    <s v="No"/>
    <s v="No"/>
    <s v="No"/>
    <s v="No"/>
  </r>
  <r>
    <s v="C2773"/>
    <s v="Meera Kapoor"/>
    <s v="Female"/>
    <n v="30"/>
    <x v="0"/>
    <x v="8"/>
    <s v="Two year"/>
    <n v="56"/>
    <x v="3"/>
    <n v="899"/>
    <n v="50344"/>
    <s v="Fiber"/>
    <d v="2021-02-17T00:00:00"/>
    <s v="No"/>
    <n v="0"/>
    <s v="No"/>
    <s v="No"/>
    <s v="No"/>
    <s v="No"/>
    <s v="No"/>
  </r>
  <r>
    <s v="C2774"/>
    <s v="Deepika Tiwari"/>
    <s v="Female"/>
    <n v="60"/>
    <x v="1"/>
    <x v="8"/>
    <s v="Two year"/>
    <n v="72"/>
    <x v="3"/>
    <n v="1049"/>
    <n v="75528"/>
    <s v="Fiber"/>
    <d v="2019-10-27T00:00:00"/>
    <s v="No"/>
    <n v="0"/>
    <s v="No"/>
    <s v="No"/>
    <s v="No"/>
    <s v="No"/>
    <s v="No"/>
  </r>
  <r>
    <s v="C2775"/>
    <s v="Sachin Agarwal"/>
    <s v="Male"/>
    <n v="49"/>
    <x v="1"/>
    <x v="11"/>
    <s v="Two year"/>
    <n v="53"/>
    <x v="3"/>
    <n v="1199"/>
    <n v="63547"/>
    <s v="Fiber"/>
    <d v="2021-04-23T00:00:00"/>
    <s v="No"/>
    <n v="0"/>
    <s v="No"/>
    <s v="No"/>
    <s v="No"/>
    <s v="No"/>
    <s v="No"/>
  </r>
  <r>
    <s v="C2776"/>
    <s v="Pankaj Bose"/>
    <s v="Male"/>
    <n v="61"/>
    <x v="2"/>
    <x v="12"/>
    <s v="Month-to-month"/>
    <n v="11"/>
    <x v="2"/>
    <n v="899"/>
    <n v="9889"/>
    <s v="DSL"/>
    <d v="2024-10-24T00:00:00"/>
    <s v="No"/>
    <n v="0"/>
    <s v="No"/>
    <s v="No"/>
    <s v="No"/>
    <s v="No"/>
    <s v="No"/>
  </r>
  <r>
    <s v="C2777"/>
    <s v="Meera Patel"/>
    <s v="Female"/>
    <n v="60"/>
    <x v="1"/>
    <x v="3"/>
    <s v="Month-to-month"/>
    <n v="8"/>
    <x v="2"/>
    <n v="699"/>
    <n v="5592"/>
    <s v="DSL"/>
    <d v="2025-01-24T00:00:00"/>
    <s v="No"/>
    <n v="0"/>
    <s v="No"/>
    <s v="No"/>
    <s v="No"/>
    <s v="No"/>
    <s v="No"/>
  </r>
  <r>
    <s v="C2778"/>
    <s v="Vikram Pandey"/>
    <s v="Male"/>
    <n v="71"/>
    <x v="2"/>
    <x v="2"/>
    <s v="Two year"/>
    <n v="52"/>
    <x v="3"/>
    <n v="1049"/>
    <n v="54548"/>
    <s v="Fiber"/>
    <d v="2021-06-07T00:00:00"/>
    <s v="No"/>
    <n v="0"/>
    <s v="No"/>
    <s v="No"/>
    <s v="No"/>
    <s v="Yes"/>
    <s v="No"/>
  </r>
  <r>
    <s v="C2779"/>
    <s v="Tanvi Saxena"/>
    <s v="Female"/>
    <n v="35"/>
    <x v="0"/>
    <x v="7"/>
    <s v="Month-to-month"/>
    <n v="19"/>
    <x v="0"/>
    <n v="1199"/>
    <n v="22781"/>
    <s v="Fiber"/>
    <d v="2024-02-08T00:00:00"/>
    <s v="No"/>
    <n v="0"/>
    <s v="No"/>
    <s v="No"/>
    <s v="No"/>
    <s v="No"/>
    <s v="No"/>
  </r>
  <r>
    <s v="C2780"/>
    <s v="Deepika Patel"/>
    <s v="Female"/>
    <n v="33"/>
    <x v="0"/>
    <x v="12"/>
    <s v="Month-to-month"/>
    <n v="9"/>
    <x v="2"/>
    <n v="1099"/>
    <n v="9891"/>
    <s v="Fiber"/>
    <d v="2024-12-20T00:00:00"/>
    <s v="No"/>
    <n v="0"/>
    <s v="No"/>
    <s v="No"/>
    <s v="No"/>
    <s v="Yes"/>
    <s v="No"/>
  </r>
  <r>
    <s v="C2781"/>
    <s v="Vivek Mehta"/>
    <s v="Male"/>
    <n v="75"/>
    <x v="2"/>
    <x v="5"/>
    <s v="Month-to-month"/>
    <n v="10"/>
    <x v="2"/>
    <n v="699"/>
    <n v="6990"/>
    <s v="DSL"/>
    <d v="2024-12-02T00:00:00"/>
    <s v="No"/>
    <n v="0"/>
    <s v="No"/>
    <s v="No"/>
    <s v="No"/>
    <s v="No"/>
    <s v="No"/>
  </r>
  <r>
    <s v="C2782"/>
    <s v="Riya Iyer"/>
    <s v="Female"/>
    <n v="50"/>
    <x v="1"/>
    <x v="4"/>
    <s v="Two year"/>
    <n v="52"/>
    <x v="3"/>
    <n v="799"/>
    <n v="41548"/>
    <s v="DSL"/>
    <d v="2021-06-10T00:00:00"/>
    <s v="No"/>
    <n v="0"/>
    <s v="No"/>
    <s v="No"/>
    <s v="No"/>
    <s v="Yes"/>
    <s v="No"/>
  </r>
  <r>
    <s v="C2783"/>
    <s v="Divya Iyer"/>
    <s v="Female"/>
    <n v="72"/>
    <x v="2"/>
    <x v="7"/>
    <s v="Month-to-month"/>
    <n v="8"/>
    <x v="2"/>
    <n v="449"/>
    <n v="3592"/>
    <s v="No Internet"/>
    <d v="2025-01-20T00:00:00"/>
    <s v="Yes"/>
    <n v="1"/>
    <s v="No"/>
    <s v="No"/>
    <s v="No"/>
    <s v="No"/>
    <s v="No"/>
  </r>
  <r>
    <s v="C2784"/>
    <s v="Suresh Gupta"/>
    <s v="Male"/>
    <n v="42"/>
    <x v="3"/>
    <x v="4"/>
    <s v="Two year"/>
    <n v="34"/>
    <x v="1"/>
    <n v="849"/>
    <n v="28866"/>
    <s v="DSL"/>
    <d v="2022-11-18T00:00:00"/>
    <s v="No"/>
    <n v="0"/>
    <s v="No"/>
    <s v="No"/>
    <s v="No"/>
    <s v="No"/>
    <s v="No"/>
  </r>
  <r>
    <s v="C2785"/>
    <s v="Vivek Reddy"/>
    <s v="Male"/>
    <n v="37"/>
    <x v="3"/>
    <x v="13"/>
    <s v="Month-to-month"/>
    <n v="23"/>
    <x v="0"/>
    <n v="899"/>
    <n v="20677"/>
    <s v="DSL"/>
    <m/>
    <s v="Unknown"/>
    <s v=""/>
    <s v="No"/>
    <s v="No"/>
    <s v="No"/>
    <s v="No"/>
    <s v="Date missing; Churn unknown"/>
  </r>
  <r>
    <s v="C2786"/>
    <s v="Ritu Reddy"/>
    <s v="Female"/>
    <n v="61"/>
    <x v="2"/>
    <x v="3"/>
    <s v="Month-to-month"/>
    <n v="24"/>
    <x v="0"/>
    <n v="1099"/>
    <n v="26376"/>
    <s v="Fiber"/>
    <d v="2023-09-10T00:00:00"/>
    <s v="No"/>
    <n v="0"/>
    <s v="No"/>
    <s v="No"/>
    <s v="No"/>
    <s v="No"/>
    <s v="No"/>
  </r>
  <r>
    <s v="C2787"/>
    <s v="Rohit Reddy"/>
    <s v="Male"/>
    <n v="23"/>
    <x v="4"/>
    <x v="2"/>
    <s v="One year"/>
    <n v="36"/>
    <x v="1"/>
    <n v="1049"/>
    <n v="37764"/>
    <s v="Fiber"/>
    <d v="2022-09-18T00:00:00"/>
    <s v="No"/>
    <n v="0"/>
    <s v="No"/>
    <s v="No"/>
    <s v="No"/>
    <s v="No"/>
    <s v="No"/>
  </r>
  <r>
    <s v="C2788"/>
    <s v="Meera Tiwari"/>
    <s v="Female"/>
    <n v="74"/>
    <x v="2"/>
    <x v="1"/>
    <s v="One year"/>
    <n v="32"/>
    <x v="1"/>
    <n v="599"/>
    <n v="19168"/>
    <s v="DSL"/>
    <d v="2023-02-06T00:00:00"/>
    <s v="No"/>
    <n v="0"/>
    <s v="No"/>
    <s v="No"/>
    <s v="No"/>
    <s v="No"/>
    <s v="No"/>
  </r>
  <r>
    <s v="C2789"/>
    <s v="Mohit Tiwari"/>
    <s v="Male"/>
    <n v="68"/>
    <x v="2"/>
    <x v="2"/>
    <s v="Two year"/>
    <n v="29"/>
    <x v="1"/>
    <n v="499"/>
    <n v="14471"/>
    <s v="No Internet"/>
    <d v="2023-04-29T00:00:00"/>
    <s v="No"/>
    <n v="0"/>
    <s v="No"/>
    <s v="No"/>
    <s v="No"/>
    <s v="No"/>
    <s v="No"/>
  </r>
  <r>
    <s v="C2790"/>
    <s v="Swati Tiwari"/>
    <s v="Female"/>
    <n v="30"/>
    <x v="0"/>
    <x v="0"/>
    <s v="Month-to-month"/>
    <n v="2"/>
    <x v="4"/>
    <n v="849"/>
    <n v="1698"/>
    <s v="DSL"/>
    <d v="2025-07-10T00:00:00"/>
    <s v="No"/>
    <n v="0"/>
    <s v="No"/>
    <s v="No"/>
    <s v="No"/>
    <s v="No"/>
    <s v="No"/>
  </r>
  <r>
    <s v="C2791"/>
    <s v="Pooja Kapoor"/>
    <s v="Female"/>
    <n v="52"/>
    <x v="1"/>
    <x v="4"/>
    <s v="Month-to-month"/>
    <n v="11"/>
    <x v="2"/>
    <n v="349"/>
    <n v="3839"/>
    <s v="No Internet"/>
    <d v="2024-10-04T00:00:00"/>
    <s v="Yes"/>
    <n v="1"/>
    <s v="No"/>
    <s v="No"/>
    <s v="No"/>
    <s v="No"/>
    <s v="No"/>
  </r>
  <r>
    <s v="C2792"/>
    <s v="Gaurav Saxena"/>
    <s v="Male"/>
    <n v="29"/>
    <x v="0"/>
    <x v="14"/>
    <s v="Month-to-month"/>
    <n v="11"/>
    <x v="2"/>
    <n v="749"/>
    <n v="8239"/>
    <s v="DSL"/>
    <d v="2024-11-02T00:00:00"/>
    <s v="Yes"/>
    <n v="1"/>
    <s v="No"/>
    <s v="No"/>
    <s v="No"/>
    <s v="No"/>
    <s v="No"/>
  </r>
  <r>
    <s v="C2793"/>
    <s v="Ritu Bose"/>
    <s v="Female"/>
    <n v="62"/>
    <x v="2"/>
    <x v="13"/>
    <s v="Month-to-month"/>
    <n v="13"/>
    <x v="0"/>
    <n v="349"/>
    <n v="4537"/>
    <s v="No Internet"/>
    <d v="2024-08-29T00:00:00"/>
    <s v="No"/>
    <n v="0"/>
    <s v="No"/>
    <s v="No"/>
    <s v="No"/>
    <s v="No"/>
    <s v="No"/>
  </r>
  <r>
    <s v="C2794"/>
    <s v="Sanjay Reddy"/>
    <s v="Male"/>
    <n v="30"/>
    <x v="0"/>
    <x v="12"/>
    <s v="One year"/>
    <n v="10"/>
    <x v="2"/>
    <n v="1299"/>
    <n v="12990"/>
    <s v="Fiber"/>
    <d v="2024-11-09T00:00:00"/>
    <s v="Yes"/>
    <n v="1"/>
    <s v="No"/>
    <s v="No"/>
    <s v="No"/>
    <s v="No"/>
    <s v="No"/>
  </r>
  <r>
    <s v="C2795"/>
    <s v="Pankaj Chopra"/>
    <s v="Male"/>
    <n v="29"/>
    <x v="0"/>
    <x v="11"/>
    <s v="One year"/>
    <n v="16"/>
    <x v="0"/>
    <n v="449"/>
    <n v="7184"/>
    <s v="No Internet"/>
    <d v="2024-05-25T00:00:00"/>
    <s v="No"/>
    <n v="0"/>
    <s v="No"/>
    <s v="No"/>
    <s v="No"/>
    <s v="No"/>
    <s v="No"/>
  </r>
  <r>
    <s v="C2796"/>
    <s v="Manish Singh"/>
    <s v="Male"/>
    <n v="28"/>
    <x v="0"/>
    <x v="8"/>
    <s v="One year"/>
    <n v="29"/>
    <x v="1"/>
    <n v="1199"/>
    <n v="34771"/>
    <s v="Fiber"/>
    <d v="2023-04-26T00:00:00"/>
    <s v="Yes"/>
    <n v="1"/>
    <s v="No"/>
    <s v="No"/>
    <s v="No"/>
    <s v="No"/>
    <s v="No"/>
  </r>
  <r>
    <s v="C2797"/>
    <s v="Rahul Iyer"/>
    <s v="Male"/>
    <n v="41"/>
    <x v="3"/>
    <x v="6"/>
    <s v="Month-to-month"/>
    <n v="8"/>
    <x v="2"/>
    <n v="1049"/>
    <n v="8392"/>
    <s v="Fiber"/>
    <d v="2025-01-18T00:00:00"/>
    <s v="Yes"/>
    <n v="1"/>
    <s v="No"/>
    <s v="No"/>
    <s v="No"/>
    <s v="No"/>
    <s v="No"/>
  </r>
  <r>
    <s v="C2798"/>
    <s v="Neha Jain"/>
    <s v="Female"/>
    <n v="40"/>
    <x v="3"/>
    <x v="3"/>
    <s v="Month-to-month"/>
    <n v="2"/>
    <x v="4"/>
    <n v="799"/>
    <n v="1598"/>
    <s v="DSL"/>
    <d v="2025-07-18T00:00:00"/>
    <s v="Yes"/>
    <n v="1"/>
    <s v="No"/>
    <s v="No"/>
    <s v="No"/>
    <s v="No"/>
    <s v="No"/>
  </r>
  <r>
    <s v="C2799"/>
    <s v="Anjali Jain"/>
    <s v="Female"/>
    <n v="69"/>
    <x v="2"/>
    <x v="8"/>
    <s v="Two year"/>
    <n v="5"/>
    <x v="4"/>
    <n v="599"/>
    <n v="2995"/>
    <s v="DSL"/>
    <d v="2025-04-19T00:00:00"/>
    <s v="Yes"/>
    <n v="1"/>
    <s v="No"/>
    <s v="Yes"/>
    <s v="No"/>
    <s v="No"/>
    <s v="No"/>
  </r>
  <r>
    <s v="C2800"/>
    <s v="Aman Chopra"/>
    <s v="Male"/>
    <n v="72"/>
    <x v="2"/>
    <x v="6"/>
    <s v="Two year"/>
    <n v="72"/>
    <x v="3"/>
    <n v="849"/>
    <n v="61128"/>
    <s v="DSL"/>
    <d v="2019-10-03T00:00:00"/>
    <s v="No"/>
    <n v="0"/>
    <s v="No"/>
    <s v="No"/>
    <s v="No"/>
    <s v="No"/>
    <s v="No"/>
  </r>
  <r>
    <s v="C2801"/>
    <s v="Nisha Pandey"/>
    <s v="Female"/>
    <n v="66"/>
    <x v="2"/>
    <x v="5"/>
    <s v="Month-to-month"/>
    <n v="13"/>
    <x v="0"/>
    <n v="749"/>
    <n v="9737"/>
    <s v="DSL"/>
    <d v="2024-08-26T00:00:00"/>
    <s v="No"/>
    <n v="0"/>
    <s v="No"/>
    <s v="No"/>
    <s v="Yes"/>
    <s v="No"/>
    <s v="No"/>
  </r>
  <r>
    <s v="C2802"/>
    <s v="Rohit Mehta"/>
    <s v="Male"/>
    <n v="31"/>
    <x v="0"/>
    <x v="14"/>
    <s v="Two year"/>
    <n v="21"/>
    <x v="0"/>
    <n v="849"/>
    <n v="17829"/>
    <s v="DSL"/>
    <d v="2023-12-14T00:00:00"/>
    <s v="No"/>
    <n v="0"/>
    <s v="No"/>
    <s v="No"/>
    <s v="No"/>
    <s v="No"/>
    <s v="No"/>
  </r>
  <r>
    <s v="C2803"/>
    <s v="Kavita Singh"/>
    <s v="Female"/>
    <n v="40"/>
    <x v="3"/>
    <x v="1"/>
    <s v="Two year"/>
    <n v="20"/>
    <x v="0"/>
    <n v="399"/>
    <n v="7980"/>
    <s v="No Internet"/>
    <d v="2024-01-26T00:00:00"/>
    <s v="No"/>
    <n v="0"/>
    <s v="No"/>
    <s v="No"/>
    <s v="Yes"/>
    <s v="No"/>
    <s v="No"/>
  </r>
  <r>
    <s v="C2804"/>
    <s v="Sneha Rao"/>
    <s v="Female"/>
    <n v="29"/>
    <x v="0"/>
    <x v="6"/>
    <s v="Two year"/>
    <n v="44"/>
    <x v="1"/>
    <n v="349"/>
    <n v="15356"/>
    <s v="No Internet"/>
    <d v="2022-02-09T00:00:00"/>
    <s v="No"/>
    <n v="0"/>
    <s v="No"/>
    <s v="No"/>
    <s v="No"/>
    <s v="No"/>
    <s v="No"/>
  </r>
  <r>
    <s v="C2805"/>
    <s v="Ritu Kumar"/>
    <s v="Female"/>
    <n v="72"/>
    <x v="2"/>
    <x v="9"/>
    <s v="Month-to-month"/>
    <n v="13"/>
    <x v="0"/>
    <n v="849"/>
    <n v="11037"/>
    <s v="DSL"/>
    <d v="2024-08-08T00:00:00"/>
    <s v="Yes"/>
    <n v="1"/>
    <s v="No"/>
    <s v="Yes"/>
    <s v="No"/>
    <s v="No"/>
    <s v="No"/>
  </r>
  <r>
    <s v="C2806"/>
    <s v="Rahul Desai"/>
    <s v="Male"/>
    <n v="60"/>
    <x v="1"/>
    <x v="2"/>
    <s v="Month-to-month"/>
    <n v="10"/>
    <x v="2"/>
    <n v="899"/>
    <n v="8990"/>
    <s v="Fiber"/>
    <d v="2024-12-02T00:00:00"/>
    <s v="Yes"/>
    <n v="1"/>
    <s v="No"/>
    <s v="No"/>
    <s v="No"/>
    <s v="No"/>
    <s v="No"/>
  </r>
  <r>
    <s v="C2807"/>
    <s v="Manish Rao"/>
    <s v="Unknown"/>
    <n v="29"/>
    <x v="0"/>
    <x v="12"/>
    <s v="One year"/>
    <n v="19"/>
    <x v="0"/>
    <n v="1099"/>
    <n v="20881"/>
    <s v="Unknown"/>
    <d v="2024-02-13T00:00:00"/>
    <s v="No"/>
    <n v="0"/>
    <s v="No"/>
    <s v="No"/>
    <s v="No"/>
    <s v="No"/>
    <s v="No"/>
  </r>
  <r>
    <s v="C2808"/>
    <s v="Isha Rao"/>
    <s v="Female"/>
    <n v="22"/>
    <x v="4"/>
    <x v="2"/>
    <s v="One year"/>
    <n v="3"/>
    <x v="4"/>
    <n v="1049"/>
    <n v="3147"/>
    <s v="Fiber"/>
    <d v="2025-06-05T00:00:00"/>
    <s v="No"/>
    <n v="0"/>
    <s v="No"/>
    <s v="No"/>
    <s v="No"/>
    <s v="Yes"/>
    <s v="No"/>
  </r>
  <r>
    <s v="C2809"/>
    <s v="Vikram Patel"/>
    <s v="Male"/>
    <n v="23"/>
    <x v="4"/>
    <x v="12"/>
    <s v="Two year"/>
    <n v="10"/>
    <x v="2"/>
    <n v="799"/>
    <n v="7990"/>
    <s v="Unknown"/>
    <d v="2024-11-24T00:00:00"/>
    <s v="No"/>
    <n v="0"/>
    <s v="No"/>
    <s v="No"/>
    <s v="No"/>
    <s v="No"/>
    <s v="No"/>
  </r>
  <r>
    <s v="C2810"/>
    <s v="Rajesh Saxena"/>
    <s v="Male"/>
    <n v="23"/>
    <x v="4"/>
    <x v="11"/>
    <s v="One year"/>
    <n v="14"/>
    <x v="0"/>
    <n v="1049"/>
    <n v="14686"/>
    <s v="Fiber"/>
    <d v="2024-07-24T00:00:00"/>
    <s v="No"/>
    <n v="0"/>
    <s v="No"/>
    <s v="No"/>
    <s v="No"/>
    <s v="No"/>
    <s v="No"/>
  </r>
  <r>
    <s v="C2811"/>
    <s v="Amit Desai"/>
    <s v="Male"/>
    <n v="69"/>
    <x v="2"/>
    <x v="3"/>
    <s v="Two year"/>
    <n v="22"/>
    <x v="0"/>
    <n v="749"/>
    <n v="16478"/>
    <s v="DSL"/>
    <d v="2023-11-11T00:00:00"/>
    <s v="No"/>
    <n v="0"/>
    <s v="No"/>
    <s v="No"/>
    <s v="No"/>
    <s v="No"/>
    <s v="No"/>
  </r>
  <r>
    <s v="C2812"/>
    <s v="Anjali Singh"/>
    <s v="Female"/>
    <n v="64"/>
    <x v="2"/>
    <x v="9"/>
    <s v="Month-to-month"/>
    <n v="7"/>
    <x v="2"/>
    <n v="799"/>
    <n v="5593"/>
    <s v="DSL"/>
    <m/>
    <s v="No"/>
    <n v="0"/>
    <s v="No"/>
    <s v="No"/>
    <s v="No"/>
    <s v="No"/>
    <s v="Date missing"/>
  </r>
  <r>
    <s v="C2813"/>
    <s v="Shreya Mishra"/>
    <s v="Female"/>
    <n v="54"/>
    <x v="1"/>
    <x v="9"/>
    <s v="Month-to-month"/>
    <n v="17"/>
    <x v="0"/>
    <n v="749"/>
    <n v="12733"/>
    <s v="DSL"/>
    <d v="2024-04-21T00:00:00"/>
    <s v="Yes"/>
    <n v="1"/>
    <s v="No"/>
    <s v="No"/>
    <s v="No"/>
    <s v="No"/>
    <s v="No"/>
  </r>
  <r>
    <s v="C2814"/>
    <s v="Ritu Kumar"/>
    <s v="Female"/>
    <n v="69"/>
    <x v="2"/>
    <x v="11"/>
    <s v="Two year"/>
    <n v="57"/>
    <x v="3"/>
    <n v="849"/>
    <n v="48393"/>
    <s v="DSL"/>
    <d v="2021-01-12T00:00:00"/>
    <s v="No"/>
    <n v="0"/>
    <s v="No"/>
    <s v="No"/>
    <s v="No"/>
    <s v="No"/>
    <s v="No"/>
  </r>
  <r>
    <s v="C2815"/>
    <s v="Sonal Tiwari"/>
    <s v="Female"/>
    <n v="40"/>
    <x v="3"/>
    <x v="0"/>
    <s v="Two year"/>
    <n v="40"/>
    <x v="1"/>
    <n v="549"/>
    <n v="21960"/>
    <s v="No Internet"/>
    <d v="2022-05-23T00:00:00"/>
    <s v="No"/>
    <n v="0"/>
    <s v="No"/>
    <s v="No"/>
    <s v="No"/>
    <s v="No"/>
    <s v="No"/>
  </r>
  <r>
    <s v="C2816"/>
    <s v="Swati Iyer"/>
    <s v="Female"/>
    <n v="30"/>
    <x v="0"/>
    <x v="3"/>
    <s v="Two year"/>
    <n v="43"/>
    <x v="1"/>
    <n v="999"/>
    <n v="42957"/>
    <s v="Fiber"/>
    <d v="2022-03-13T00:00:00"/>
    <s v="No"/>
    <n v="0"/>
    <s v="No"/>
    <s v="No"/>
    <s v="No"/>
    <s v="No"/>
    <s v="No"/>
  </r>
  <r>
    <s v="C2817"/>
    <s v="Rajesh Kumar"/>
    <s v="Male"/>
    <n v="40"/>
    <x v="3"/>
    <x v="6"/>
    <s v="Month-to-month"/>
    <n v="13"/>
    <x v="0"/>
    <n v="699"/>
    <n v="9087"/>
    <s v="DSL"/>
    <d v="2024-08-09T00:00:00"/>
    <s v="No"/>
    <n v="0"/>
    <s v="No"/>
    <s v="No"/>
    <s v="No"/>
    <s v="Yes"/>
    <s v="No"/>
  </r>
  <r>
    <s v="C2818"/>
    <s v="Komal Sharma"/>
    <s v="Female"/>
    <n v="63"/>
    <x v="2"/>
    <x v="3"/>
    <s v="Month-to-month"/>
    <n v="18"/>
    <x v="0"/>
    <n v="1099"/>
    <n v="19782"/>
    <s v="Fiber"/>
    <d v="2024-03-16T00:00:00"/>
    <s v="Yes"/>
    <n v="1"/>
    <s v="No"/>
    <s v="No"/>
    <s v="No"/>
    <s v="No"/>
    <s v="No"/>
  </r>
  <r>
    <s v="C2819"/>
    <s v="Komal Rao"/>
    <s v="Female"/>
    <n v="37"/>
    <x v="3"/>
    <x v="11"/>
    <s v="Month-to-month"/>
    <n v="10"/>
    <x v="2"/>
    <n v="1099"/>
    <n v="10990"/>
    <s v="Fiber"/>
    <d v="2024-11-21T00:00:00"/>
    <s v="Yes"/>
    <n v="1"/>
    <s v="No"/>
    <s v="No"/>
    <s v="No"/>
    <s v="No"/>
    <s v="No"/>
  </r>
  <r>
    <s v="C2820"/>
    <s v="Sneha Malhotra"/>
    <s v="Female"/>
    <n v="72"/>
    <x v="2"/>
    <x v="2"/>
    <s v="Month-to-month"/>
    <n v="12"/>
    <x v="2"/>
    <n v="1199"/>
    <n v="14388"/>
    <s v="Fiber"/>
    <d v="2024-10-02T00:00:00"/>
    <s v="No"/>
    <n v="0"/>
    <s v="No"/>
    <s v="No"/>
    <s v="No"/>
    <s v="No"/>
    <s v="No"/>
  </r>
  <r>
    <s v="C2821"/>
    <s v="Kavita Bose"/>
    <s v="Female"/>
    <n v="45"/>
    <x v="3"/>
    <x v="11"/>
    <s v="Month-to-month"/>
    <m/>
    <x v="4"/>
    <n v="1199"/>
    <m/>
    <s v="Fiber"/>
    <d v="2025-06-26T00:00:00"/>
    <s v="No"/>
    <n v="0"/>
    <s v="No"/>
    <s v="No"/>
    <s v="No"/>
    <s v="No"/>
    <s v="Total missing; Tenure missing"/>
  </r>
  <r>
    <s v="C2822"/>
    <s v="Ritu Joshi"/>
    <s v="Female"/>
    <n v="31"/>
    <x v="0"/>
    <x v="3"/>
    <s v="One year"/>
    <n v="1"/>
    <x v="4"/>
    <n v="1049"/>
    <n v="1049"/>
    <s v="Fiber"/>
    <d v="2025-08-13T00:00:00"/>
    <s v="Yes"/>
    <n v="1"/>
    <s v="No"/>
    <s v="No"/>
    <s v="No"/>
    <s v="No"/>
    <s v="No"/>
  </r>
  <r>
    <s v="C2823"/>
    <s v="Ankit Tiwari"/>
    <s v="Male"/>
    <n v="61"/>
    <x v="2"/>
    <x v="0"/>
    <s v="Month-to-month"/>
    <n v="3"/>
    <x v="4"/>
    <n v="899"/>
    <n v="2697"/>
    <s v="DSL"/>
    <d v="2025-06-14T00:00:00"/>
    <s v="Yes"/>
    <n v="1"/>
    <s v="No"/>
    <s v="No"/>
    <s v="No"/>
    <s v="No"/>
    <s v="No"/>
  </r>
  <r>
    <s v="C2824"/>
    <s v="Riya Rao"/>
    <s v="Female"/>
    <n v="40"/>
    <x v="3"/>
    <x v="5"/>
    <s v="Month-to-month"/>
    <n v="10"/>
    <x v="2"/>
    <n v="1299"/>
    <n v="12990"/>
    <s v="Fiber"/>
    <d v="2024-11-03T00:00:00"/>
    <s v="No"/>
    <n v="0"/>
    <s v="No"/>
    <s v="No"/>
    <s v="No"/>
    <s v="No"/>
    <s v="No"/>
  </r>
  <r>
    <s v="C2825"/>
    <s v="Ritu Iyer"/>
    <s v="Female"/>
    <n v="47"/>
    <x v="1"/>
    <x v="5"/>
    <s v="One year"/>
    <n v="20"/>
    <x v="0"/>
    <n v="899"/>
    <n v="17980"/>
    <s v="Fiber"/>
    <d v="2024-01-18T00:00:00"/>
    <s v="No"/>
    <n v="0"/>
    <s v="Yes"/>
    <s v="No"/>
    <s v="No"/>
    <s v="No"/>
    <s v="No"/>
  </r>
  <r>
    <s v="C2826"/>
    <s v="Pankaj Nair"/>
    <s v="Male"/>
    <n v="71"/>
    <x v="2"/>
    <x v="14"/>
    <s v="Two year"/>
    <n v="58"/>
    <x v="3"/>
    <n v="699"/>
    <n v="40542"/>
    <s v="DSL"/>
    <d v="2020-11-25T00:00:00"/>
    <s v="No"/>
    <n v="0"/>
    <s v="No"/>
    <s v="No"/>
    <s v="No"/>
    <s v="Yes"/>
    <s v="No"/>
  </r>
  <r>
    <s v="C2827"/>
    <s v="Kavita Sharma"/>
    <s v="Female"/>
    <n v="51"/>
    <x v="1"/>
    <x v="13"/>
    <s v="One year"/>
    <n v="36"/>
    <x v="1"/>
    <n v="999"/>
    <n v="35964"/>
    <s v="Fiber"/>
    <d v="2022-10-04T00:00:00"/>
    <s v="Yes"/>
    <n v="1"/>
    <s v="No"/>
    <s v="No"/>
    <s v="No"/>
    <s v="Yes"/>
    <s v="No"/>
  </r>
  <r>
    <s v="C2828"/>
    <s v="Pooja Yadav"/>
    <s v="Female"/>
    <n v="47"/>
    <x v="1"/>
    <x v="7"/>
    <s v="One year"/>
    <n v="37"/>
    <x v="1"/>
    <n v="849"/>
    <n v="31413"/>
    <s v="DSL"/>
    <d v="2022-08-17T00:00:00"/>
    <s v="No"/>
    <n v="0"/>
    <s v="Yes"/>
    <s v="No"/>
    <s v="No"/>
    <s v="No"/>
    <s v="No"/>
  </r>
  <r>
    <s v="C2829"/>
    <s v="Anjali Nair"/>
    <s v="Female"/>
    <n v="28"/>
    <x v="0"/>
    <x v="4"/>
    <s v="Two year"/>
    <n v="58"/>
    <x v="3"/>
    <n v="399"/>
    <n v="23142"/>
    <s v="No Internet"/>
    <d v="2020-12-08T00:00:00"/>
    <s v="No"/>
    <n v="0"/>
    <s v="No"/>
    <s v="No"/>
    <s v="No"/>
    <s v="No"/>
    <s v="No"/>
  </r>
  <r>
    <s v="C2830"/>
    <s v="Gaurav Joshi"/>
    <s v="Male"/>
    <n v="37"/>
    <x v="3"/>
    <x v="6"/>
    <s v="Month-to-month"/>
    <n v="21"/>
    <x v="0"/>
    <n v="849"/>
    <n v="17829"/>
    <s v="DSL"/>
    <d v="2023-12-23T00:00:00"/>
    <s v="Yes"/>
    <n v="1"/>
    <s v="No"/>
    <s v="Yes"/>
    <s v="No"/>
    <s v="No"/>
    <s v="No"/>
  </r>
  <r>
    <s v="C2831"/>
    <s v="Rohit Verma"/>
    <s v="Male"/>
    <n v="33"/>
    <x v="0"/>
    <x v="3"/>
    <s v="Month-to-month"/>
    <n v="14"/>
    <x v="0"/>
    <n v="899"/>
    <n v="12586"/>
    <s v="DSL"/>
    <d v="2024-07-31T00:00:00"/>
    <s v="No"/>
    <n v="0"/>
    <s v="No"/>
    <s v="No"/>
    <s v="No"/>
    <s v="No"/>
    <s v="No"/>
  </r>
  <r>
    <s v="C2832"/>
    <s v="Rajesh Verma"/>
    <s v="Male"/>
    <n v="70"/>
    <x v="2"/>
    <x v="3"/>
    <s v="Month-to-month"/>
    <n v="12"/>
    <x v="2"/>
    <n v="999"/>
    <n v="11988"/>
    <s v="Fiber"/>
    <d v="2024-09-06T00:00:00"/>
    <s v="Unknown"/>
    <s v=""/>
    <s v="No"/>
    <s v="No"/>
    <s v="No"/>
    <s v="No"/>
    <s v="Churn unknown"/>
  </r>
  <r>
    <s v="C2833"/>
    <s v="Swati Rao"/>
    <s v="Female"/>
    <n v="47"/>
    <x v="1"/>
    <x v="2"/>
    <s v="Month-to-month"/>
    <n v="7"/>
    <x v="2"/>
    <n v="1149"/>
    <n v="8043"/>
    <s v="Fiber"/>
    <d v="2025-02-04T00:00:00"/>
    <s v="No"/>
    <n v="0"/>
    <s v="Yes"/>
    <s v="No"/>
    <s v="No"/>
    <s v="No"/>
    <s v="No"/>
  </r>
  <r>
    <s v="C2834"/>
    <s v="Priya Mishra"/>
    <s v="Unknown"/>
    <n v="45"/>
    <x v="3"/>
    <x v="13"/>
    <s v="Unknown"/>
    <n v="7"/>
    <x v="2"/>
    <n v="1049"/>
    <n v="7343"/>
    <s v="Fiber"/>
    <d v="2025-02-24T00:00:00"/>
    <s v="No"/>
    <n v="0"/>
    <s v="No"/>
    <s v="No"/>
    <s v="No"/>
    <s v="No"/>
    <s v="No"/>
  </r>
  <r>
    <s v="C2835"/>
    <s v="Swati Rao"/>
    <s v="Female"/>
    <n v="42"/>
    <x v="3"/>
    <x v="0"/>
    <s v="Month-to-month"/>
    <n v="18"/>
    <x v="0"/>
    <n v="799"/>
    <n v="14382"/>
    <s v="DSL"/>
    <d v="2024-03-28T00:00:00"/>
    <s v="No"/>
    <n v="0"/>
    <s v="No"/>
    <s v="No"/>
    <s v="Yes"/>
    <s v="No"/>
    <s v="No"/>
  </r>
  <r>
    <s v="C2836"/>
    <s v="Sanjay Tiwari"/>
    <s v="Male"/>
    <n v="28"/>
    <x v="0"/>
    <x v="9"/>
    <s v="One year"/>
    <n v="16"/>
    <x v="0"/>
    <n v="649"/>
    <n v="10384"/>
    <s v="DSL"/>
    <d v="2024-05-28T00:00:00"/>
    <s v="No"/>
    <n v="0"/>
    <s v="No"/>
    <s v="No"/>
    <s v="Yes"/>
    <s v="No"/>
    <s v="No"/>
  </r>
  <r>
    <s v="C2837"/>
    <s v="Deepika Chopra"/>
    <s v="Female"/>
    <n v="24"/>
    <x v="4"/>
    <x v="3"/>
    <s v="Month-to-month"/>
    <n v="23"/>
    <x v="0"/>
    <n v="1099"/>
    <n v="25277"/>
    <s v="Fiber"/>
    <d v="2023-10-18T00:00:00"/>
    <s v="No"/>
    <n v="0"/>
    <s v="No"/>
    <s v="No"/>
    <s v="No"/>
    <s v="Yes"/>
    <s v="No"/>
  </r>
  <r>
    <s v="C2838"/>
    <s v="Sonal Sharma"/>
    <s v="Female"/>
    <n v="20"/>
    <x v="4"/>
    <x v="1"/>
    <s v="One year"/>
    <n v="21"/>
    <x v="0"/>
    <n v="399"/>
    <n v="8379"/>
    <s v="No Internet"/>
    <d v="2023-12-30T00:00:00"/>
    <s v="No"/>
    <n v="0"/>
    <s v="No"/>
    <s v="No"/>
    <s v="No"/>
    <s v="No"/>
    <s v="No"/>
  </r>
  <r>
    <s v="C2839"/>
    <s v="Tanvi Verma"/>
    <s v="Female"/>
    <n v="27"/>
    <x v="0"/>
    <x v="13"/>
    <s v="One year"/>
    <n v="32"/>
    <x v="1"/>
    <n v="1049"/>
    <n v="33568"/>
    <s v="Fiber"/>
    <d v="2023-02-05T00:00:00"/>
    <s v="No"/>
    <n v="0"/>
    <s v="No"/>
    <s v="No"/>
    <s v="No"/>
    <s v="No"/>
    <s v="No"/>
  </r>
  <r>
    <s v="C2840"/>
    <s v="Harsh Mehta"/>
    <s v="Unknown"/>
    <n v="71"/>
    <x v="2"/>
    <x v="2"/>
    <s v="Month-to-month"/>
    <n v="12"/>
    <x v="2"/>
    <n v="599"/>
    <n v="7188"/>
    <s v="DSL"/>
    <d v="2024-09-14T00:00:00"/>
    <s v="No"/>
    <n v="0"/>
    <s v="No"/>
    <s v="No"/>
    <s v="No"/>
    <s v="No"/>
    <s v="No"/>
  </r>
  <r>
    <s v="C2841"/>
    <s v="Nisha Rao"/>
    <s v="Female"/>
    <n v="39"/>
    <x v="3"/>
    <x v="8"/>
    <s v="Month-to-month"/>
    <n v="6"/>
    <x v="4"/>
    <n v="649"/>
    <n v="3894"/>
    <s v="DSL"/>
    <d v="2025-03-28T00:00:00"/>
    <s v="No"/>
    <n v="0"/>
    <s v="No"/>
    <s v="No"/>
    <s v="No"/>
    <s v="Yes"/>
    <s v="No"/>
  </r>
  <r>
    <s v="C2842"/>
    <s v="Rahul Singh"/>
    <s v="Male"/>
    <n v="19"/>
    <x v="4"/>
    <x v="8"/>
    <s v="Month-to-month"/>
    <n v="4"/>
    <x v="4"/>
    <n v="999"/>
    <n v="3996"/>
    <s v="Fiber"/>
    <d v="2025-05-24T00:00:00"/>
    <s v="Yes"/>
    <n v="1"/>
    <s v="No"/>
    <s v="No"/>
    <s v="No"/>
    <s v="No"/>
    <s v="No"/>
  </r>
  <r>
    <s v="C2843"/>
    <s v="Suresh Tiwari"/>
    <s v="Male"/>
    <n v="47"/>
    <x v="1"/>
    <x v="7"/>
    <s v="Month-to-month"/>
    <n v="22"/>
    <x v="0"/>
    <n v="1299"/>
    <n v="28578"/>
    <s v="Fiber"/>
    <d v="2023-11-12T00:00:00"/>
    <s v="Yes"/>
    <n v="1"/>
    <s v="No"/>
    <s v="No"/>
    <s v="No"/>
    <s v="No"/>
    <s v="No"/>
  </r>
  <r>
    <s v="C2844"/>
    <s v="Ankit Tiwari"/>
    <s v="Male"/>
    <n v="27"/>
    <x v="0"/>
    <x v="13"/>
    <s v="Month-to-month"/>
    <n v="11"/>
    <x v="2"/>
    <n v="1199"/>
    <n v="13189"/>
    <s v="Fiber"/>
    <d v="2024-10-13T00:00:00"/>
    <s v="Yes"/>
    <n v="1"/>
    <s v="No"/>
    <s v="No"/>
    <s v="No"/>
    <s v="No"/>
    <s v="No"/>
  </r>
  <r>
    <s v="C2845"/>
    <s v="Unknown"/>
    <s v="Unknown"/>
    <n v="23"/>
    <x v="4"/>
    <x v="8"/>
    <s v="Two year"/>
    <n v="72"/>
    <x v="3"/>
    <n v="1049"/>
    <n v="75528"/>
    <s v="Fiber"/>
    <d v="2019-10-30T00:00:00"/>
    <s v="Unknown"/>
    <s v=""/>
    <s v="No"/>
    <s v="No"/>
    <s v="No"/>
    <s v="No"/>
    <s v="Churn unknown"/>
  </r>
  <r>
    <s v="C2846"/>
    <s v="Suresh Pandey"/>
    <s v="Male"/>
    <n v="47"/>
    <x v="1"/>
    <x v="8"/>
    <s v="Month-to-month"/>
    <n v="15"/>
    <x v="0"/>
    <n v="1299"/>
    <n v="19485"/>
    <s v="Fiber"/>
    <d v="2024-06-10T00:00:00"/>
    <s v="No"/>
    <n v="0"/>
    <s v="Yes"/>
    <s v="No"/>
    <s v="No"/>
    <s v="No"/>
    <s v="No"/>
  </r>
  <r>
    <s v="C2847"/>
    <s v="Vikram Kapoor"/>
    <s v="Male"/>
    <n v="63"/>
    <x v="2"/>
    <x v="8"/>
    <s v="Two year"/>
    <n v="17"/>
    <x v="0"/>
    <n v="899"/>
    <n v="15283"/>
    <s v="Fiber"/>
    <d v="2024-04-10T00:00:00"/>
    <s v="Yes"/>
    <n v="1"/>
    <s v="No"/>
    <s v="No"/>
    <s v="No"/>
    <s v="No"/>
    <s v="No"/>
  </r>
  <r>
    <s v="C2848"/>
    <s v="Kavita Saxena"/>
    <s v="Female"/>
    <n v="74"/>
    <x v="2"/>
    <x v="1"/>
    <s v="Month-to-month"/>
    <n v="4"/>
    <x v="4"/>
    <n v="1099"/>
    <n v="4396"/>
    <s v="Fiber"/>
    <d v="2025-05-23T00:00:00"/>
    <s v="Yes"/>
    <n v="1"/>
    <s v="No"/>
    <s v="No"/>
    <s v="No"/>
    <s v="No"/>
    <s v="No"/>
  </r>
  <r>
    <s v="C2849"/>
    <s v="Anjali Yadav"/>
    <s v="Female"/>
    <n v="68"/>
    <x v="2"/>
    <x v="6"/>
    <s v="One year"/>
    <n v="17"/>
    <x v="0"/>
    <n v="449"/>
    <n v="7633"/>
    <s v="No Internet"/>
    <d v="2024-04-29T00:00:00"/>
    <s v="No"/>
    <n v="0"/>
    <s v="No"/>
    <s v="No"/>
    <s v="No"/>
    <s v="No"/>
    <s v="No"/>
  </r>
  <r>
    <s v="C2850"/>
    <s v="Pooja Saxena"/>
    <s v="Female"/>
    <n v="48"/>
    <x v="1"/>
    <x v="9"/>
    <s v="Month-to-month"/>
    <n v="3"/>
    <x v="4"/>
    <n v="999"/>
    <n v="2997"/>
    <s v="Fiber"/>
    <d v="2025-06-05T00:00:00"/>
    <s v="Yes"/>
    <n v="1"/>
    <s v="No"/>
    <s v="No"/>
    <s v="No"/>
    <s v="No"/>
    <s v="No"/>
  </r>
  <r>
    <s v="C2851"/>
    <s v="Divya Rao"/>
    <s v="Female"/>
    <n v="66"/>
    <x v="2"/>
    <x v="1"/>
    <s v="Month-to-month"/>
    <n v="17"/>
    <x v="0"/>
    <n v="849"/>
    <n v="14433"/>
    <s v="DSL"/>
    <d v="2024-04-21T00:00:00"/>
    <s v="No"/>
    <n v="0"/>
    <s v="No"/>
    <s v="No"/>
    <s v="No"/>
    <s v="No"/>
    <s v="No"/>
  </r>
  <r>
    <s v="C2852"/>
    <s v="Sanjay Kapoor"/>
    <s v="Male"/>
    <n v="54"/>
    <x v="1"/>
    <x v="13"/>
    <s v="Two year"/>
    <n v="13"/>
    <x v="0"/>
    <n v="899"/>
    <n v="11687"/>
    <s v="Fiber"/>
    <d v="2024-08-31T00:00:00"/>
    <s v="No"/>
    <n v="0"/>
    <s v="No"/>
    <s v="No"/>
    <s v="No"/>
    <s v="No"/>
    <s v="No"/>
  </r>
  <r>
    <s v="C2853"/>
    <s v="Payal Verma"/>
    <s v="Female"/>
    <n v="33"/>
    <x v="0"/>
    <x v="14"/>
    <s v="Month-to-month"/>
    <n v="14"/>
    <x v="0"/>
    <n v="1199"/>
    <n v="16786"/>
    <s v="Fiber"/>
    <d v="2024-07-06T00:00:00"/>
    <s v="Yes"/>
    <n v="1"/>
    <s v="No"/>
    <s v="No"/>
    <s v="No"/>
    <s v="No"/>
    <s v="No"/>
  </r>
  <r>
    <s v="C2854"/>
    <s v="Ankit Verma"/>
    <s v="Male"/>
    <n v="73"/>
    <x v="2"/>
    <x v="6"/>
    <s v="Month-to-month"/>
    <n v="21"/>
    <x v="0"/>
    <n v="1149"/>
    <n v="24129"/>
    <s v="Fiber"/>
    <d v="2023-12-20T00:00:00"/>
    <s v="Yes"/>
    <n v="1"/>
    <s v="No"/>
    <s v="No"/>
    <s v="No"/>
    <s v="No"/>
    <s v="No"/>
  </r>
  <r>
    <s v="C2855"/>
    <s v="Isha Gupta"/>
    <s v="Female"/>
    <n v="56"/>
    <x v="1"/>
    <x v="2"/>
    <s v="One year"/>
    <n v="8"/>
    <x v="2"/>
    <n v="399"/>
    <n v="3192"/>
    <s v="No Internet"/>
    <d v="2025-01-03T00:00:00"/>
    <s v="No"/>
    <n v="0"/>
    <s v="No"/>
    <s v="Yes"/>
    <s v="No"/>
    <s v="No"/>
    <s v="No"/>
  </r>
  <r>
    <s v="C2856"/>
    <s v="Divya Agarwal"/>
    <s v="Female"/>
    <n v="34"/>
    <x v="0"/>
    <x v="0"/>
    <s v="Month-to-month"/>
    <n v="6"/>
    <x v="4"/>
    <n v="1049"/>
    <n v="6294"/>
    <s v="Fiber"/>
    <d v="2025-03-29T00:00:00"/>
    <s v="Yes"/>
    <n v="1"/>
    <s v="No"/>
    <s v="No"/>
    <s v="No"/>
    <s v="No"/>
    <s v="No"/>
  </r>
  <r>
    <s v="C2857"/>
    <s v="Meera Rao"/>
    <s v="Female"/>
    <n v="47"/>
    <x v="1"/>
    <x v="2"/>
    <s v="One year"/>
    <n v="25"/>
    <x v="1"/>
    <n v="899"/>
    <n v="22475"/>
    <s v="DSL"/>
    <d v="2023-09-09T00:00:00"/>
    <s v="No"/>
    <n v="0"/>
    <s v="Yes"/>
    <s v="No"/>
    <s v="No"/>
    <s v="No"/>
    <s v="No"/>
  </r>
  <r>
    <s v="C2858"/>
    <s v="Sanjay Iyer"/>
    <s v="Male"/>
    <n v="36"/>
    <x v="3"/>
    <x v="5"/>
    <s v="Month-to-month"/>
    <n v="1"/>
    <x v="4"/>
    <n v="549"/>
    <n v="549"/>
    <s v="No Internet"/>
    <d v="2025-08-10T00:00:00"/>
    <s v="Yes"/>
    <n v="1"/>
    <s v="No"/>
    <s v="No"/>
    <s v="No"/>
    <s v="No"/>
    <s v="No"/>
  </r>
  <r>
    <s v="C2859"/>
    <s v="Priya Malhotra"/>
    <s v="Female"/>
    <n v="47"/>
    <x v="1"/>
    <x v="3"/>
    <s v="Two year"/>
    <n v="48"/>
    <x v="1"/>
    <n v="799"/>
    <n v="38352"/>
    <s v="DSL"/>
    <d v="2021-09-28T00:00:00"/>
    <s v="No"/>
    <n v="0"/>
    <s v="No"/>
    <s v="No"/>
    <s v="No"/>
    <s v="No"/>
    <s v="No"/>
  </r>
  <r>
    <s v="C2860"/>
    <s v="Neha Yadav"/>
    <s v="Female"/>
    <n v="67"/>
    <x v="2"/>
    <x v="6"/>
    <s v="Month-to-month"/>
    <n v="15"/>
    <x v="0"/>
    <n v="1049"/>
    <n v="15735"/>
    <s v="Fiber"/>
    <d v="2024-06-30T00:00:00"/>
    <s v="No"/>
    <n v="0"/>
    <s v="No"/>
    <s v="No"/>
    <s v="No"/>
    <s v="No"/>
    <s v="No"/>
  </r>
  <r>
    <s v="C2861"/>
    <s v="Nisha Chopra"/>
    <s v="Female"/>
    <n v="60"/>
    <x v="1"/>
    <x v="0"/>
    <s v="Month-to-month"/>
    <n v="24"/>
    <x v="0"/>
    <n v="399"/>
    <n v="9576"/>
    <s v="No Internet"/>
    <d v="2023-09-25T00:00:00"/>
    <s v="Yes"/>
    <n v="1"/>
    <s v="No"/>
    <s v="No"/>
    <s v="No"/>
    <s v="No"/>
    <s v="No"/>
  </r>
  <r>
    <s v="C2862"/>
    <s v="Komal Joshi"/>
    <s v="Female"/>
    <n v="68"/>
    <x v="2"/>
    <x v="8"/>
    <s v="Month-to-month"/>
    <n v="5"/>
    <x v="4"/>
    <n v="1099"/>
    <n v="5495"/>
    <s v="Fiber"/>
    <d v="2025-04-20T00:00:00"/>
    <s v="No"/>
    <n v="0"/>
    <s v="No"/>
    <s v="No"/>
    <s v="No"/>
    <s v="No"/>
    <s v="No"/>
  </r>
  <r>
    <s v="C2863"/>
    <s v="Rohit Yadav"/>
    <s v="Male"/>
    <n v="26"/>
    <x v="0"/>
    <x v="3"/>
    <s v="One year"/>
    <n v="11"/>
    <x v="2"/>
    <n v="1149"/>
    <n v="12639"/>
    <s v="Fiber"/>
    <m/>
    <s v="Yes"/>
    <n v="1"/>
    <s v="No"/>
    <s v="No"/>
    <s v="No"/>
    <s v="No"/>
    <s v="Date missing"/>
  </r>
  <r>
    <s v="C2864"/>
    <s v="Deepika Verma"/>
    <s v="Female"/>
    <n v="27"/>
    <x v="0"/>
    <x v="11"/>
    <s v="Month-to-month"/>
    <n v="23"/>
    <x v="0"/>
    <n v="1099"/>
    <n v="25277"/>
    <s v="Fiber"/>
    <d v="2023-10-25T00:00:00"/>
    <s v="Yes"/>
    <n v="1"/>
    <s v="No"/>
    <s v="No"/>
    <s v="No"/>
    <s v="Yes"/>
    <s v="No"/>
  </r>
  <r>
    <s v="C2865"/>
    <s v="Vivek Gupta"/>
    <s v="Male"/>
    <n v="70"/>
    <x v="2"/>
    <x v="11"/>
    <s v="One year"/>
    <n v="12"/>
    <x v="2"/>
    <n v="1099"/>
    <n v="13188"/>
    <s v="Fiber"/>
    <d v="2024-09-12T00:00:00"/>
    <s v="Yes"/>
    <n v="1"/>
    <s v="No"/>
    <s v="No"/>
    <s v="No"/>
    <s v="No"/>
    <s v="No"/>
  </r>
  <r>
    <s v="C2866"/>
    <s v="Riya Jain"/>
    <s v="Female"/>
    <n v="19"/>
    <x v="4"/>
    <x v="9"/>
    <s v="One year"/>
    <n v="13"/>
    <x v="0"/>
    <n v="649"/>
    <n v="8437"/>
    <s v="DSL"/>
    <d v="2024-08-17T00:00:00"/>
    <s v="No"/>
    <n v="0"/>
    <s v="No"/>
    <s v="No"/>
    <s v="No"/>
    <s v="No"/>
    <s v="No"/>
  </r>
  <r>
    <s v="C2867"/>
    <s v="Amit Malhotra"/>
    <s v="Male"/>
    <n v="54"/>
    <x v="1"/>
    <x v="1"/>
    <s v="Two year"/>
    <n v="21"/>
    <x v="0"/>
    <n v="599"/>
    <n v="12579"/>
    <s v="DSL"/>
    <d v="2024-01-03T00:00:00"/>
    <s v="No"/>
    <n v="0"/>
    <s v="No"/>
    <s v="No"/>
    <s v="No"/>
    <s v="No"/>
    <s v="No"/>
  </r>
  <r>
    <s v="C2868"/>
    <s v="Arjun Kumar"/>
    <s v="Male"/>
    <n v="41"/>
    <x v="3"/>
    <x v="14"/>
    <s v="Month-to-month"/>
    <n v="4"/>
    <x v="4"/>
    <n v="1049"/>
    <n v="4196"/>
    <s v="Fiber"/>
    <d v="2025-05-18T00:00:00"/>
    <s v="Yes"/>
    <n v="1"/>
    <s v="No"/>
    <s v="No"/>
    <s v="No"/>
    <s v="No"/>
    <s v="No"/>
  </r>
  <r>
    <s v="C2869"/>
    <s v="Sonal Desai"/>
    <s v="Female"/>
    <n v="43"/>
    <x v="3"/>
    <x v="5"/>
    <s v="Two year"/>
    <n v="15"/>
    <x v="0"/>
    <n v="799"/>
    <n v="11985"/>
    <s v="DSL"/>
    <d v="2024-07-04T00:00:00"/>
    <s v="No"/>
    <n v="0"/>
    <s v="No"/>
    <s v="No"/>
    <s v="Yes"/>
    <s v="No"/>
    <s v="No"/>
  </r>
  <r>
    <s v="C2870"/>
    <s v="Aditi Iyer"/>
    <s v="Female"/>
    <n v="66"/>
    <x v="2"/>
    <x v="8"/>
    <s v="Two year"/>
    <n v="6"/>
    <x v="4"/>
    <n v="1099"/>
    <n v="6594"/>
    <s v="Fiber"/>
    <d v="2025-03-16T00:00:00"/>
    <s v="No"/>
    <n v="0"/>
    <s v="No"/>
    <s v="No"/>
    <s v="No"/>
    <s v="No"/>
    <s v="No"/>
  </r>
  <r>
    <s v="C2871"/>
    <s v="Unknown"/>
    <s v="Female"/>
    <n v="51"/>
    <x v="1"/>
    <x v="7"/>
    <s v="Month-to-month"/>
    <n v="11"/>
    <x v="2"/>
    <n v="899"/>
    <n v="9889"/>
    <s v="DSL"/>
    <d v="2024-10-24T00:00:00"/>
    <s v="No"/>
    <n v="0"/>
    <s v="No"/>
    <s v="No"/>
    <s v="No"/>
    <s v="No"/>
    <s v="No"/>
  </r>
  <r>
    <s v="C2872"/>
    <s v="Aditi Agarwal"/>
    <s v="Female"/>
    <n v="25"/>
    <x v="4"/>
    <x v="11"/>
    <s v="Month-to-month"/>
    <n v="10"/>
    <x v="2"/>
    <n v="849"/>
    <n v="8490"/>
    <s v="DSL"/>
    <d v="2024-11-10T00:00:00"/>
    <s v="No"/>
    <n v="0"/>
    <s v="No"/>
    <s v="No"/>
    <s v="No"/>
    <s v="No"/>
    <s v="No"/>
  </r>
  <r>
    <s v="C2873"/>
    <s v="Pooja Gupta"/>
    <s v="Female"/>
    <n v="22"/>
    <x v="4"/>
    <x v="0"/>
    <s v="Month-to-month"/>
    <n v="3"/>
    <x v="4"/>
    <n v="599"/>
    <n v="1797"/>
    <s v="DSL"/>
    <d v="2025-06-13T00:00:00"/>
    <s v="No"/>
    <n v="0"/>
    <s v="No"/>
    <s v="No"/>
    <s v="No"/>
    <s v="No"/>
    <s v="No"/>
  </r>
  <r>
    <s v="C2874"/>
    <s v="Karan Iyer"/>
    <s v="Male"/>
    <n v="64"/>
    <x v="2"/>
    <x v="7"/>
    <s v="Two year"/>
    <n v="15"/>
    <x v="0"/>
    <n v="549"/>
    <n v="8235"/>
    <s v="No Internet"/>
    <d v="2024-06-09T00:00:00"/>
    <s v="No"/>
    <n v="0"/>
    <s v="No"/>
    <s v="No"/>
    <s v="No"/>
    <s v="No"/>
    <s v="No"/>
  </r>
  <r>
    <s v="C2875"/>
    <s v="Tanvi Yadav"/>
    <s v="Female"/>
    <n v="56"/>
    <x v="1"/>
    <x v="11"/>
    <s v="Month-to-month"/>
    <n v="4"/>
    <x v="4"/>
    <n v="999"/>
    <n v="3996"/>
    <s v="Fiber"/>
    <d v="2025-05-28T00:00:00"/>
    <s v="No"/>
    <n v="0"/>
    <s v="No"/>
    <s v="No"/>
    <s v="No"/>
    <s v="No"/>
    <s v="No"/>
  </r>
  <r>
    <s v="C2876"/>
    <s v="Amit Nair"/>
    <s v="Unknown"/>
    <n v="74"/>
    <x v="2"/>
    <x v="12"/>
    <s v="Month-to-month"/>
    <n v="23"/>
    <x v="0"/>
    <n v="849"/>
    <n v="19527"/>
    <s v="DSL"/>
    <d v="2023-10-28T00:00:00"/>
    <s v="Yes"/>
    <n v="1"/>
    <s v="No"/>
    <s v="No"/>
    <s v="No"/>
    <s v="No"/>
    <s v="No"/>
  </r>
  <r>
    <s v="C2877"/>
    <s v="Arjun Mishra"/>
    <s v="Male"/>
    <n v="39"/>
    <x v="3"/>
    <x v="0"/>
    <s v="Month-to-month"/>
    <n v="4"/>
    <x v="4"/>
    <n v="599"/>
    <n v="2396"/>
    <s v="DSL"/>
    <d v="2025-05-26T00:00:00"/>
    <s v="Yes"/>
    <n v="1"/>
    <s v="No"/>
    <s v="No"/>
    <s v="Yes"/>
    <s v="No"/>
    <s v="No"/>
  </r>
  <r>
    <s v="C2878"/>
    <s v="Ritu Jain"/>
    <s v="Female"/>
    <n v="75"/>
    <x v="2"/>
    <x v="0"/>
    <s v="Month-to-month"/>
    <n v="12"/>
    <x v="2"/>
    <n v="799"/>
    <n v="9588"/>
    <s v="DSL"/>
    <d v="2024-09-07T00:00:00"/>
    <s v="No"/>
    <n v="0"/>
    <s v="No"/>
    <s v="No"/>
    <s v="No"/>
    <s v="No"/>
    <s v="No"/>
  </r>
  <r>
    <s v="C2879"/>
    <s v="Rajesh Yadav"/>
    <s v="Male"/>
    <n v="21"/>
    <x v="4"/>
    <x v="3"/>
    <s v="Month-to-month"/>
    <n v="14"/>
    <x v="0"/>
    <n v="1299"/>
    <n v="18186"/>
    <s v="Fiber"/>
    <d v="2024-07-06T00:00:00"/>
    <s v="No"/>
    <n v="0"/>
    <s v="No"/>
    <s v="No"/>
    <s v="No"/>
    <s v="No"/>
    <s v="No"/>
  </r>
  <r>
    <s v="C2880"/>
    <s v="Manish Gupta"/>
    <s v="Male"/>
    <n v="72"/>
    <x v="2"/>
    <x v="1"/>
    <s v="Two year"/>
    <n v="65"/>
    <x v="3"/>
    <n v="799"/>
    <n v="51935"/>
    <s v="DSL"/>
    <d v="2020-05-12T00:00:00"/>
    <s v="No"/>
    <n v="0"/>
    <s v="No"/>
    <s v="No"/>
    <s v="No"/>
    <s v="No"/>
    <s v="No"/>
  </r>
  <r>
    <s v="C2881"/>
    <s v="Neha Jain"/>
    <s v="Female"/>
    <n v="39"/>
    <x v="3"/>
    <x v="9"/>
    <s v="Month-to-month"/>
    <n v="18"/>
    <x v="0"/>
    <n v="1299"/>
    <n v="23382"/>
    <s v="Fiber"/>
    <d v="2024-03-23T00:00:00"/>
    <s v="Yes"/>
    <n v="1"/>
    <s v="No"/>
    <s v="No"/>
    <s v="No"/>
    <s v="No"/>
    <s v="No"/>
  </r>
  <r>
    <s v="C2882"/>
    <s v="Manish Tiwari"/>
    <s v="Male"/>
    <n v="53"/>
    <x v="1"/>
    <x v="5"/>
    <s v="Two year"/>
    <n v="10"/>
    <x v="2"/>
    <n v="649"/>
    <n v="6490"/>
    <s v="DSL"/>
    <d v="2024-11-26T00:00:00"/>
    <s v="No"/>
    <n v="0"/>
    <s v="No"/>
    <s v="No"/>
    <s v="No"/>
    <s v="No"/>
    <s v="No"/>
  </r>
  <r>
    <s v="C2883"/>
    <s v="Pankaj Singh"/>
    <s v="Male"/>
    <n v="24"/>
    <x v="4"/>
    <x v="9"/>
    <s v="Month-to-month"/>
    <n v="8"/>
    <x v="2"/>
    <n v="999"/>
    <n v="7992"/>
    <s v="Fiber"/>
    <d v="2025-01-08T00:00:00"/>
    <s v="No"/>
    <n v="0"/>
    <s v="No"/>
    <s v="No"/>
    <s v="No"/>
    <s v="No"/>
    <s v="No"/>
  </r>
  <r>
    <s v="C2884"/>
    <s v="Mohit Desai"/>
    <s v="Male"/>
    <n v="38"/>
    <x v="3"/>
    <x v="14"/>
    <s v="Two year"/>
    <n v="3"/>
    <x v="4"/>
    <n v="1099"/>
    <n v="3297"/>
    <s v="Fiber"/>
    <d v="2025-06-10T00:00:00"/>
    <s v="No"/>
    <n v="0"/>
    <s v="No"/>
    <s v="No"/>
    <s v="No"/>
    <s v="No"/>
    <s v="No"/>
  </r>
  <r>
    <s v="C2885"/>
    <s v="Vivek Chopra"/>
    <s v="Male"/>
    <n v="64"/>
    <x v="2"/>
    <x v="2"/>
    <s v="Two year"/>
    <n v="69"/>
    <x v="3"/>
    <n v="799"/>
    <n v="55131"/>
    <s v="DSL"/>
    <d v="2020-01-26T00:00:00"/>
    <s v="No"/>
    <n v="0"/>
    <s v="No"/>
    <s v="No"/>
    <s v="No"/>
    <s v="No"/>
    <s v="No"/>
  </r>
  <r>
    <s v="C2886"/>
    <s v="Ankit Yadav"/>
    <s v="Male"/>
    <n v="47"/>
    <x v="1"/>
    <x v="12"/>
    <s v="Month-to-month"/>
    <n v="23"/>
    <x v="0"/>
    <n v="549"/>
    <n v="12627"/>
    <s v="No Internet"/>
    <d v="2023-10-12T00:00:00"/>
    <s v="Yes"/>
    <n v="1"/>
    <s v="Yes"/>
    <s v="No"/>
    <s v="No"/>
    <s v="No"/>
    <s v="No"/>
  </r>
  <r>
    <s v="C2887"/>
    <s v="Sachin Pandey"/>
    <s v="Male"/>
    <n v="37"/>
    <x v="3"/>
    <x v="2"/>
    <s v="One year"/>
    <n v="2"/>
    <x v="4"/>
    <n v="849"/>
    <n v="1698"/>
    <s v="DSL"/>
    <d v="2025-07-18T00:00:00"/>
    <s v="No"/>
    <n v="0"/>
    <s v="No"/>
    <s v="No"/>
    <s v="No"/>
    <s v="No"/>
    <s v="No"/>
  </r>
  <r>
    <s v="C2888"/>
    <s v="Divya Mishra"/>
    <s v="Female"/>
    <n v="42"/>
    <x v="3"/>
    <x v="13"/>
    <s v="Month-to-month"/>
    <n v="19"/>
    <x v="0"/>
    <n v="399"/>
    <n v="7581"/>
    <s v="No Internet"/>
    <d v="2024-03-01T00:00:00"/>
    <s v="Yes"/>
    <n v="1"/>
    <s v="No"/>
    <s v="No"/>
    <s v="No"/>
    <s v="Yes"/>
    <s v="No"/>
  </r>
  <r>
    <s v="C2889"/>
    <s v="Riya Jain"/>
    <s v="Female"/>
    <n v="55"/>
    <x v="1"/>
    <x v="11"/>
    <s v="Two year"/>
    <n v="42"/>
    <x v="1"/>
    <n v="649"/>
    <n v="27258"/>
    <s v="DSL"/>
    <d v="2022-03-28T00:00:00"/>
    <s v="No"/>
    <n v="0"/>
    <s v="No"/>
    <s v="No"/>
    <s v="No"/>
    <s v="Yes"/>
    <s v="No"/>
  </r>
  <r>
    <s v="C2890"/>
    <s v="Ankit Agarwal"/>
    <s v="Male"/>
    <n v="37"/>
    <x v="3"/>
    <x v="8"/>
    <s v="One year"/>
    <n v="29"/>
    <x v="1"/>
    <n v="1199"/>
    <n v="34771"/>
    <s v="Fiber"/>
    <d v="2023-04-23T00:00:00"/>
    <s v="Yes"/>
    <n v="1"/>
    <s v="No"/>
    <s v="No"/>
    <s v="No"/>
    <s v="No"/>
    <s v="No"/>
  </r>
  <r>
    <s v="C2891"/>
    <s v="Nisha Bose"/>
    <s v="Female"/>
    <n v="37"/>
    <x v="3"/>
    <x v="4"/>
    <s v="One year"/>
    <n v="26"/>
    <x v="1"/>
    <n v="899"/>
    <n v="23374"/>
    <s v="Fiber"/>
    <d v="2023-07-16T00:00:00"/>
    <s v="Yes"/>
    <n v="1"/>
    <s v="No"/>
    <s v="No"/>
    <s v="No"/>
    <s v="No"/>
    <s v="No"/>
  </r>
  <r>
    <s v="C2892"/>
    <s v="Aditi Saxena"/>
    <s v="Female"/>
    <n v="61"/>
    <x v="2"/>
    <x v="7"/>
    <s v="Month-to-month"/>
    <n v="20"/>
    <x v="0"/>
    <n v="1149"/>
    <n v="22980"/>
    <s v="Fiber"/>
    <d v="2024-02-04T00:00:00"/>
    <s v="Yes"/>
    <n v="1"/>
    <s v="No"/>
    <s v="No"/>
    <s v="No"/>
    <s v="No"/>
    <s v="No"/>
  </r>
  <r>
    <s v="C2893"/>
    <s v="Pankaj Jain"/>
    <s v="Male"/>
    <n v="47"/>
    <x v="1"/>
    <x v="5"/>
    <s v="Month-to-month"/>
    <n v="10"/>
    <x v="2"/>
    <n v="1099"/>
    <n v="10990"/>
    <s v="Fiber"/>
    <d v="2024-11-22T00:00:00"/>
    <s v="No"/>
    <n v="0"/>
    <s v="Yes"/>
    <s v="No"/>
    <s v="No"/>
    <s v="Yes"/>
    <s v="No"/>
  </r>
  <r>
    <s v="C2894"/>
    <s v="Deepak Agarwal"/>
    <s v="Male"/>
    <n v="55"/>
    <x v="1"/>
    <x v="1"/>
    <s v="Two year"/>
    <n v="49"/>
    <x v="3"/>
    <n v="699"/>
    <n v="34251"/>
    <s v="DSL"/>
    <d v="2021-09-11T00:00:00"/>
    <s v="No"/>
    <n v="0"/>
    <s v="No"/>
    <s v="No"/>
    <s v="No"/>
    <s v="No"/>
    <s v="No"/>
  </r>
  <r>
    <s v="C2895"/>
    <s v="Swati Sharma"/>
    <s v="Female"/>
    <n v="68"/>
    <x v="2"/>
    <x v="11"/>
    <s v="Month-to-month"/>
    <n v="13"/>
    <x v="0"/>
    <n v="1049"/>
    <n v="13637"/>
    <s v="Fiber"/>
    <d v="2024-08-06T00:00:00"/>
    <s v="Yes"/>
    <n v="1"/>
    <s v="No"/>
    <s v="No"/>
    <s v="No"/>
    <s v="No"/>
    <s v="No"/>
  </r>
  <r>
    <s v="C2896"/>
    <s v="Arjun Rao"/>
    <s v="Male"/>
    <n v="26"/>
    <x v="0"/>
    <x v="7"/>
    <s v="Month-to-month"/>
    <n v="18"/>
    <x v="0"/>
    <n v="899"/>
    <n v="16182"/>
    <s v="Fiber"/>
    <d v="2024-04-01T00:00:00"/>
    <s v="No"/>
    <n v="0"/>
    <s v="No"/>
    <s v="No"/>
    <s v="No"/>
    <s v="No"/>
    <s v="No"/>
  </r>
  <r>
    <s v="C2897"/>
    <s v="Sonal Malhotra"/>
    <s v="Female"/>
    <n v="40"/>
    <x v="3"/>
    <x v="1"/>
    <s v="Month-to-month"/>
    <n v="18"/>
    <x v="0"/>
    <n v="799"/>
    <n v="14382"/>
    <s v="DSL"/>
    <d v="2024-03-16T00:00:00"/>
    <s v="Yes"/>
    <n v="1"/>
    <s v="No"/>
    <s v="No"/>
    <s v="No"/>
    <s v="No"/>
    <s v="No"/>
  </r>
  <r>
    <s v="C2898"/>
    <s v="Nikhil Desai"/>
    <s v="Male"/>
    <n v="37"/>
    <x v="3"/>
    <x v="9"/>
    <s v="Two year"/>
    <n v="61"/>
    <x v="3"/>
    <n v="1299"/>
    <n v="79239"/>
    <s v="Fiber"/>
    <d v="2020-09-11T00:00:00"/>
    <s v="No"/>
    <n v="0"/>
    <s v="No"/>
    <s v="No"/>
    <s v="No"/>
    <s v="No"/>
    <s v="No"/>
  </r>
  <r>
    <s v="C2899"/>
    <s v="Rahul Singh"/>
    <s v="Male"/>
    <n v="46"/>
    <x v="1"/>
    <x v="13"/>
    <s v="Month-to-month"/>
    <n v="1"/>
    <x v="4"/>
    <n v="649"/>
    <n v="649"/>
    <s v="DSL"/>
    <d v="2025-08-05T00:00:00"/>
    <s v="No"/>
    <n v="0"/>
    <s v="No"/>
    <s v="No"/>
    <s v="No"/>
    <s v="No"/>
    <s v="No"/>
  </r>
  <r>
    <s v="C2900"/>
    <s v="Anjali Bose"/>
    <s v="Female"/>
    <n v="74"/>
    <x v="2"/>
    <x v="6"/>
    <s v="One year"/>
    <n v="14"/>
    <x v="0"/>
    <n v="1049"/>
    <n v="14686"/>
    <s v="Fiber"/>
    <d v="2024-07-18T00:00:00"/>
    <s v="No"/>
    <n v="0"/>
    <s v="No"/>
    <s v="No"/>
    <s v="No"/>
    <s v="No"/>
    <s v="No"/>
  </r>
  <r>
    <s v="C2901"/>
    <s v="Unknown"/>
    <s v="Female"/>
    <n v="70"/>
    <x v="2"/>
    <x v="7"/>
    <s v="Two year"/>
    <n v="38"/>
    <x v="1"/>
    <n v="1099"/>
    <n v="41762"/>
    <s v="Fiber"/>
    <d v="2022-07-22T00:00:00"/>
    <s v="Yes"/>
    <n v="1"/>
    <s v="No"/>
    <s v="No"/>
    <s v="No"/>
    <s v="No"/>
    <s v="No"/>
  </r>
  <r>
    <s v="C2902"/>
    <s v="Priya Chopra"/>
    <s v="Female"/>
    <n v="25"/>
    <x v="4"/>
    <x v="1"/>
    <s v="Month-to-month"/>
    <n v="21"/>
    <x v="0"/>
    <n v="899"/>
    <n v="18879"/>
    <s v="Fiber"/>
    <d v="2023-12-14T00:00:00"/>
    <s v="Yes"/>
    <n v="1"/>
    <s v="No"/>
    <s v="No"/>
    <s v="No"/>
    <s v="No"/>
    <s v="No"/>
  </r>
  <r>
    <s v="C2903"/>
    <s v="Vivek Patel"/>
    <s v="Male"/>
    <n v="74"/>
    <x v="2"/>
    <x v="14"/>
    <s v="Month-to-month"/>
    <n v="10"/>
    <x v="2"/>
    <n v="699"/>
    <n v="6990"/>
    <s v="DSL"/>
    <d v="2024-12-01T00:00:00"/>
    <s v="No"/>
    <n v="0"/>
    <s v="No"/>
    <s v="No"/>
    <s v="Yes"/>
    <s v="No"/>
    <s v="No"/>
  </r>
  <r>
    <s v="C2904"/>
    <s v="Komal Malhotra"/>
    <s v="Unknown"/>
    <n v="60"/>
    <x v="1"/>
    <x v="2"/>
    <s v="Two year"/>
    <n v="52"/>
    <x v="3"/>
    <n v="1049"/>
    <n v="54548"/>
    <s v="Fiber"/>
    <d v="2021-06-20T00:00:00"/>
    <s v="No"/>
    <n v="0"/>
    <s v="No"/>
    <s v="No"/>
    <s v="No"/>
    <s v="No"/>
    <s v="No"/>
  </r>
  <r>
    <s v="C2905"/>
    <s v="Pooja Singh"/>
    <s v="Female"/>
    <n v="25"/>
    <x v="4"/>
    <x v="2"/>
    <s v="Two year"/>
    <n v="56"/>
    <x v="3"/>
    <n v="1099"/>
    <n v="61544"/>
    <s v="Fiber"/>
    <d v="2021-02-08T00:00:00"/>
    <s v="No"/>
    <n v="0"/>
    <s v="No"/>
    <s v="No"/>
    <s v="No"/>
    <s v="No"/>
    <s v="No"/>
  </r>
  <r>
    <s v="C2906"/>
    <s v="Arjun Gupta"/>
    <s v="Male"/>
    <n v="25"/>
    <x v="4"/>
    <x v="11"/>
    <s v="Month-to-month"/>
    <n v="21"/>
    <x v="0"/>
    <n v="849"/>
    <n v="17829"/>
    <s v="DSL"/>
    <d v="2024-01-07T00:00:00"/>
    <s v="No"/>
    <n v="0"/>
    <s v="No"/>
    <s v="No"/>
    <s v="No"/>
    <s v="No"/>
    <s v="No"/>
  </r>
  <r>
    <s v="C2907"/>
    <s v="Komal Iyer"/>
    <s v="Female"/>
    <n v="48"/>
    <x v="1"/>
    <x v="12"/>
    <s v="Month-to-month"/>
    <n v="11"/>
    <x v="2"/>
    <n v="699"/>
    <n v="7689"/>
    <s v="DSL"/>
    <d v="2024-10-23T00:00:00"/>
    <s v="No"/>
    <n v="0"/>
    <s v="No"/>
    <s v="No"/>
    <s v="No"/>
    <s v="No"/>
    <s v="No"/>
  </r>
  <r>
    <s v="C2908"/>
    <s v="Karan Nair"/>
    <s v="Male"/>
    <n v="52"/>
    <x v="1"/>
    <x v="0"/>
    <s v="Month-to-month"/>
    <n v="3"/>
    <x v="4"/>
    <n v="1049"/>
    <n v="3147"/>
    <s v="Fiber"/>
    <d v="2025-06-24T00:00:00"/>
    <s v="No"/>
    <n v="0"/>
    <s v="No"/>
    <s v="No"/>
    <s v="No"/>
    <s v="No"/>
    <s v="No"/>
  </r>
  <r>
    <s v="C2909"/>
    <s v="Arjun Pandey"/>
    <s v="Male"/>
    <n v="71"/>
    <x v="2"/>
    <x v="6"/>
    <s v="Two year"/>
    <n v="32"/>
    <x v="1"/>
    <n v="749"/>
    <n v="23968"/>
    <s v="DSL"/>
    <d v="2023-01-13T00:00:00"/>
    <s v="No"/>
    <n v="0"/>
    <s v="No"/>
    <s v="No"/>
    <s v="No"/>
    <s v="No"/>
    <s v="No"/>
  </r>
  <r>
    <s v="C2910"/>
    <s v="Gaurav Nair"/>
    <s v="Male"/>
    <n v="67"/>
    <x v="2"/>
    <x v="9"/>
    <s v="Month-to-month"/>
    <n v="16"/>
    <x v="0"/>
    <n v="449"/>
    <n v="7184"/>
    <s v="No Internet"/>
    <d v="2024-05-19T00:00:00"/>
    <s v="No"/>
    <n v="0"/>
    <s v="No"/>
    <s v="No"/>
    <s v="No"/>
    <s v="No"/>
    <s v="No"/>
  </r>
  <r>
    <s v="C2911"/>
    <s v="Pankaj Patel"/>
    <s v="Male"/>
    <n v="53"/>
    <x v="1"/>
    <x v="2"/>
    <s v="One year"/>
    <n v="21"/>
    <x v="0"/>
    <n v="649"/>
    <n v="13629"/>
    <s v="DSL"/>
    <d v="2024-01-02T00:00:00"/>
    <s v="No"/>
    <n v="0"/>
    <s v="No"/>
    <s v="No"/>
    <s v="No"/>
    <s v="No"/>
    <s v="No"/>
  </r>
  <r>
    <s v="C2912"/>
    <s v="Pooja Pandey"/>
    <s v="Female"/>
    <n v="72"/>
    <x v="2"/>
    <x v="2"/>
    <s v="Month-to-month"/>
    <n v="17"/>
    <x v="0"/>
    <n v="699"/>
    <n v="11883"/>
    <s v="DSL"/>
    <d v="2024-04-22T00:00:00"/>
    <s v="No"/>
    <n v="0"/>
    <s v="No"/>
    <s v="No"/>
    <s v="No"/>
    <s v="No"/>
    <s v="No"/>
  </r>
  <r>
    <s v="C2913"/>
    <s v="Amit Joshi"/>
    <s v="Male"/>
    <n v="21"/>
    <x v="4"/>
    <x v="1"/>
    <s v="Two year"/>
    <n v="40"/>
    <x v="1"/>
    <n v="799"/>
    <n v="31960"/>
    <s v="DSL"/>
    <d v="2022-06-07T00:00:00"/>
    <s v="No"/>
    <n v="0"/>
    <s v="No"/>
    <s v="No"/>
    <s v="No"/>
    <s v="No"/>
    <s v="No"/>
  </r>
  <r>
    <s v="C2914"/>
    <s v="Komal Nair"/>
    <s v="Female"/>
    <n v="66"/>
    <x v="2"/>
    <x v="2"/>
    <s v="One year"/>
    <n v="10"/>
    <x v="2"/>
    <n v="1099"/>
    <n v="10990"/>
    <s v="Fiber"/>
    <d v="2024-11-05T00:00:00"/>
    <s v="No"/>
    <n v="0"/>
    <s v="No"/>
    <s v="No"/>
    <s v="No"/>
    <s v="No"/>
    <s v="No"/>
  </r>
  <r>
    <s v="C2915"/>
    <s v="Anjali Kapoor"/>
    <s v="Female"/>
    <n v="25"/>
    <x v="4"/>
    <x v="2"/>
    <s v="One year"/>
    <n v="37"/>
    <x v="1"/>
    <n v="999"/>
    <n v="36963"/>
    <s v="Fiber"/>
    <d v="2022-08-17T00:00:00"/>
    <s v="No"/>
    <n v="0"/>
    <s v="No"/>
    <s v="No"/>
    <s v="No"/>
    <s v="No"/>
    <s v="No"/>
  </r>
  <r>
    <s v="C2916"/>
    <s v="Amit Joshi"/>
    <s v="Male"/>
    <n v="32"/>
    <x v="0"/>
    <x v="7"/>
    <s v="Month-to-month"/>
    <n v="7"/>
    <x v="2"/>
    <n v="599"/>
    <n v="4193"/>
    <s v="DSL"/>
    <d v="2025-02-03T00:00:00"/>
    <s v="No"/>
    <n v="0"/>
    <s v="No"/>
    <s v="No"/>
    <s v="No"/>
    <s v="No"/>
    <s v="No"/>
  </r>
  <r>
    <s v="C2917"/>
    <s v="Sanjay Nair"/>
    <s v="Male"/>
    <n v="70"/>
    <x v="2"/>
    <x v="9"/>
    <s v="Month-to-month"/>
    <n v="6"/>
    <x v="4"/>
    <n v="899"/>
    <n v="5394"/>
    <s v="Fiber"/>
    <d v="2025-03-15T00:00:00"/>
    <s v="No"/>
    <n v="0"/>
    <s v="No"/>
    <s v="Yes"/>
    <s v="No"/>
    <s v="No"/>
    <s v="No"/>
  </r>
  <r>
    <s v="C2918"/>
    <s v="Sachin Kumar"/>
    <s v="Male"/>
    <n v="40"/>
    <x v="3"/>
    <x v="13"/>
    <s v="Month-to-month"/>
    <n v="7"/>
    <x v="2"/>
    <n v="1049"/>
    <n v="7343"/>
    <s v="Fiber"/>
    <d v="2025-02-20T00:00:00"/>
    <s v="Yes"/>
    <n v="1"/>
    <s v="No"/>
    <s v="No"/>
    <s v="No"/>
    <s v="No"/>
    <s v="No"/>
  </r>
  <r>
    <s v="C2919"/>
    <s v="Nikhil Gupta"/>
    <s v="Male"/>
    <n v="25"/>
    <x v="4"/>
    <x v="7"/>
    <s v="One year"/>
    <n v="14"/>
    <x v="0"/>
    <n v="1199"/>
    <n v="16786"/>
    <s v="Fiber"/>
    <d v="2024-07-10T00:00:00"/>
    <s v="No"/>
    <n v="0"/>
    <s v="No"/>
    <s v="No"/>
    <s v="No"/>
    <s v="No"/>
    <s v="No"/>
  </r>
  <r>
    <s v="C2920"/>
    <s v="Karan Jain"/>
    <s v="Male"/>
    <n v="54"/>
    <x v="1"/>
    <x v="6"/>
    <s v="Month-to-month"/>
    <n v="16"/>
    <x v="0"/>
    <n v="1049"/>
    <n v="16784"/>
    <s v="Fiber"/>
    <d v="2024-05-21T00:00:00"/>
    <s v="No"/>
    <n v="0"/>
    <s v="No"/>
    <s v="No"/>
    <s v="No"/>
    <s v="No"/>
    <s v="No"/>
  </r>
  <r>
    <s v="C2921"/>
    <s v="Gaurav Kapoor"/>
    <s v="Male"/>
    <n v="65"/>
    <x v="2"/>
    <x v="12"/>
    <s v="Two year"/>
    <n v="51"/>
    <x v="3"/>
    <n v="899"/>
    <n v="45849"/>
    <s v="Fiber"/>
    <d v="2021-06-25T00:00:00"/>
    <s v="No"/>
    <n v="0"/>
    <s v="No"/>
    <s v="No"/>
    <s v="Yes"/>
    <s v="No"/>
    <s v="No"/>
  </r>
  <r>
    <s v="C2922"/>
    <s v="Pooja Bose"/>
    <s v="Female"/>
    <n v="56"/>
    <x v="1"/>
    <x v="11"/>
    <s v="Month-to-month"/>
    <n v="14"/>
    <x v="0"/>
    <n v="1049"/>
    <n v="14686"/>
    <s v="Fiber"/>
    <d v="2024-07-17T00:00:00"/>
    <s v="No"/>
    <n v="0"/>
    <s v="No"/>
    <s v="No"/>
    <s v="No"/>
    <s v="No"/>
    <s v="No"/>
  </r>
  <r>
    <s v="C2923"/>
    <s v="Amit Reddy"/>
    <s v="Male"/>
    <n v="21"/>
    <x v="4"/>
    <x v="1"/>
    <s v="One year"/>
    <n v="15"/>
    <x v="0"/>
    <n v="799"/>
    <n v="11985"/>
    <s v="DSL"/>
    <d v="2024-06-09T00:00:00"/>
    <s v="No"/>
    <n v="0"/>
    <s v="No"/>
    <s v="No"/>
    <s v="No"/>
    <s v="No"/>
    <s v="No"/>
  </r>
  <r>
    <s v="C2924"/>
    <s v="Meera Reddy"/>
    <s v="Female"/>
    <n v="63"/>
    <x v="2"/>
    <x v="4"/>
    <s v="Month-to-month"/>
    <n v="17"/>
    <x v="0"/>
    <n v="1049"/>
    <n v="17833"/>
    <s v="Fiber"/>
    <d v="2024-04-24T00:00:00"/>
    <s v="No"/>
    <n v="0"/>
    <s v="No"/>
    <s v="No"/>
    <s v="No"/>
    <s v="No"/>
    <s v="No"/>
  </r>
  <r>
    <s v="C2925"/>
    <s v="Payal Jain"/>
    <s v="Female"/>
    <n v="37"/>
    <x v="3"/>
    <x v="11"/>
    <s v="One year"/>
    <n v="40"/>
    <x v="1"/>
    <n v="549"/>
    <n v="21960"/>
    <s v="No Internet"/>
    <d v="2022-06-11T00:00:00"/>
    <s v="No"/>
    <n v="0"/>
    <s v="No"/>
    <s v="No"/>
    <s v="No"/>
    <s v="No"/>
    <s v="No"/>
  </r>
  <r>
    <s v="C2926"/>
    <s v="Komal Joshi"/>
    <s v="Female"/>
    <n v="58"/>
    <x v="1"/>
    <x v="14"/>
    <s v="One year"/>
    <n v="9"/>
    <x v="2"/>
    <n v="1199"/>
    <n v="10791"/>
    <s v="Fiber"/>
    <d v="2024-12-31T00:00:00"/>
    <s v="No"/>
    <n v="0"/>
    <s v="No"/>
    <s v="No"/>
    <s v="No"/>
    <s v="No"/>
    <s v="No"/>
  </r>
  <r>
    <s v="C2927"/>
    <s v="Rohit Kumar"/>
    <s v="Male"/>
    <n v="46"/>
    <x v="1"/>
    <x v="14"/>
    <s v="One year"/>
    <n v="39"/>
    <x v="1"/>
    <n v="1199"/>
    <n v="46761"/>
    <s v="Fiber"/>
    <d v="2022-07-07T00:00:00"/>
    <s v="No"/>
    <n v="0"/>
    <s v="No"/>
    <s v="No"/>
    <s v="No"/>
    <s v="No"/>
    <s v="No"/>
  </r>
  <r>
    <s v="C2928"/>
    <s v="Pankaj Kapoor"/>
    <s v="Male"/>
    <n v="75"/>
    <x v="2"/>
    <x v="4"/>
    <s v="Month-to-month"/>
    <n v="19"/>
    <x v="0"/>
    <n v="449"/>
    <n v="8531"/>
    <s v="No Internet"/>
    <d v="2024-02-11T00:00:00"/>
    <s v="No"/>
    <n v="0"/>
    <s v="No"/>
    <s v="No"/>
    <s v="No"/>
    <s v="No"/>
    <s v="No"/>
  </r>
  <r>
    <s v="C2929"/>
    <s v="Suresh Mehta"/>
    <s v="Male"/>
    <n v="45"/>
    <x v="3"/>
    <x v="7"/>
    <s v="One year"/>
    <n v="26"/>
    <x v="1"/>
    <n v="799"/>
    <n v="20774"/>
    <s v="DSL"/>
    <d v="2023-08-04T00:00:00"/>
    <s v="No"/>
    <n v="0"/>
    <s v="No"/>
    <s v="No"/>
    <s v="No"/>
    <s v="No"/>
    <s v="No"/>
  </r>
  <r>
    <s v="C2930"/>
    <s v="Sanjay Jain"/>
    <s v="Male"/>
    <n v="50"/>
    <x v="1"/>
    <x v="2"/>
    <s v="One year"/>
    <n v="8"/>
    <x v="2"/>
    <n v="549"/>
    <n v="4392"/>
    <s v="No Internet"/>
    <d v="2025-01-16T00:00:00"/>
    <s v="No"/>
    <n v="0"/>
    <s v="No"/>
    <s v="No"/>
    <s v="No"/>
    <s v="No"/>
    <s v="No"/>
  </r>
  <r>
    <s v="C2931"/>
    <s v="Suresh Joshi"/>
    <s v="Male"/>
    <n v="54"/>
    <x v="1"/>
    <x v="3"/>
    <s v="Two year"/>
    <n v="22"/>
    <x v="0"/>
    <n v="899"/>
    <n v="19778"/>
    <s v="DSL"/>
    <d v="2023-12-07T00:00:00"/>
    <s v="No"/>
    <n v="0"/>
    <s v="No"/>
    <s v="No"/>
    <s v="No"/>
    <s v="No"/>
    <s v="No"/>
  </r>
  <r>
    <s v="C2932"/>
    <s v="Swati Singh"/>
    <s v="Unknown"/>
    <n v="53"/>
    <x v="1"/>
    <x v="6"/>
    <s v="Month-to-month"/>
    <n v="7"/>
    <x v="2"/>
    <n v="1299"/>
    <n v="9093"/>
    <s v="Fiber"/>
    <d v="2025-02-04T00:00:00"/>
    <s v="Yes"/>
    <n v="1"/>
    <s v="No"/>
    <s v="No"/>
    <s v="No"/>
    <s v="No"/>
    <s v="No"/>
  </r>
  <r>
    <s v="C2933"/>
    <s v="Payal Mishra"/>
    <s v="Female"/>
    <n v="66"/>
    <x v="2"/>
    <x v="3"/>
    <s v="One year"/>
    <n v="1"/>
    <x v="4"/>
    <n v="1299"/>
    <n v="1299"/>
    <s v="Fiber"/>
    <d v="2025-08-08T00:00:00"/>
    <s v="Yes"/>
    <n v="1"/>
    <s v="No"/>
    <s v="No"/>
    <s v="No"/>
    <s v="Yes"/>
    <s v="No"/>
  </r>
  <r>
    <s v="C2934"/>
    <s v="Priya Agarwal"/>
    <s v="Female"/>
    <n v="65"/>
    <x v="2"/>
    <x v="4"/>
    <s v="Month-to-month"/>
    <n v="19"/>
    <x v="0"/>
    <n v="599"/>
    <n v="11381"/>
    <s v="DSL"/>
    <d v="2024-02-19T00:00:00"/>
    <s v="No"/>
    <n v="0"/>
    <s v="No"/>
    <s v="No"/>
    <s v="No"/>
    <s v="No"/>
    <s v="No"/>
  </r>
  <r>
    <s v="C2935"/>
    <s v="Rajesh Desai"/>
    <s v="Male"/>
    <n v="37"/>
    <x v="3"/>
    <x v="8"/>
    <s v="One year"/>
    <n v="8"/>
    <x v="2"/>
    <n v="649"/>
    <n v="5192"/>
    <s v="DSL"/>
    <d v="2025-01-30T00:00:00"/>
    <s v="Yes"/>
    <n v="1"/>
    <s v="No"/>
    <s v="No"/>
    <s v="No"/>
    <s v="No"/>
    <s v="No"/>
  </r>
  <r>
    <s v="C2936"/>
    <s v="Unknown"/>
    <s v="Female"/>
    <n v="72"/>
    <x v="2"/>
    <x v="1"/>
    <s v="One year"/>
    <n v="21"/>
    <x v="0"/>
    <n v="599"/>
    <n v="12579"/>
    <s v="DSL"/>
    <m/>
    <s v="No"/>
    <n v="0"/>
    <s v="No"/>
    <s v="No"/>
    <s v="No"/>
    <s v="No"/>
    <s v="Date missing"/>
  </r>
  <r>
    <s v="C2937"/>
    <s v="Deepak Kumar"/>
    <s v="Male"/>
    <n v="75"/>
    <x v="2"/>
    <x v="2"/>
    <s v="Two year"/>
    <n v="68"/>
    <x v="3"/>
    <n v="999"/>
    <n v="67932"/>
    <s v="Fiber"/>
    <d v="2020-02-23T00:00:00"/>
    <s v="No"/>
    <n v="0"/>
    <s v="No"/>
    <s v="No"/>
    <s v="No"/>
    <s v="No"/>
    <s v="No"/>
  </r>
  <r>
    <s v="C2938"/>
    <s v="Neha Mehta"/>
    <s v="Unknown"/>
    <n v="62"/>
    <x v="2"/>
    <x v="2"/>
    <s v="Month-to-month"/>
    <n v="19"/>
    <x v="0"/>
    <n v="999"/>
    <n v="18981"/>
    <s v="Fiber"/>
    <d v="2024-02-17T00:00:00"/>
    <s v="Yes"/>
    <n v="1"/>
    <s v="No"/>
    <s v="No"/>
    <s v="No"/>
    <s v="No"/>
    <s v="No"/>
  </r>
  <r>
    <s v="C2939"/>
    <s v="Rahul Chopra"/>
    <s v="Male"/>
    <n v="39"/>
    <x v="3"/>
    <x v="1"/>
    <s v="Month-to-month"/>
    <n v="14"/>
    <x v="0"/>
    <n v="449"/>
    <n v="6286"/>
    <s v="No Internet"/>
    <d v="2024-07-28T00:00:00"/>
    <s v="No"/>
    <n v="0"/>
    <s v="No"/>
    <s v="No"/>
    <s v="No"/>
    <s v="No"/>
    <s v="No"/>
  </r>
  <r>
    <s v="C2940"/>
    <s v="Nikhil Rao"/>
    <s v="Male"/>
    <n v="70"/>
    <x v="2"/>
    <x v="12"/>
    <s v="Month-to-month"/>
    <n v="6"/>
    <x v="4"/>
    <n v="1049"/>
    <n v="6294"/>
    <s v="Fiber"/>
    <d v="2025-03-23T00:00:00"/>
    <s v="Yes"/>
    <n v="1"/>
    <s v="No"/>
    <s v="No"/>
    <s v="No"/>
    <s v="No"/>
    <s v="No"/>
  </r>
  <r>
    <s v="C2941"/>
    <s v="Deepak Saxena"/>
    <s v="Male"/>
    <n v="57"/>
    <x v="1"/>
    <x v="3"/>
    <s v="One year"/>
    <n v="16"/>
    <x v="0"/>
    <n v="399"/>
    <n v="6384"/>
    <s v="No Internet"/>
    <d v="2024-05-09T00:00:00"/>
    <s v="No"/>
    <n v="0"/>
    <s v="No"/>
    <s v="Yes"/>
    <s v="No"/>
    <s v="No"/>
    <s v="No"/>
  </r>
  <r>
    <s v="C2942"/>
    <s v="Sachin Yadav"/>
    <s v="Male"/>
    <n v="44"/>
    <x v="3"/>
    <x v="13"/>
    <s v="One year"/>
    <n v="22"/>
    <x v="0"/>
    <n v="1049"/>
    <n v="23078"/>
    <s v="Fiber"/>
    <d v="2023-11-26T00:00:00"/>
    <s v="No"/>
    <n v="0"/>
    <s v="No"/>
    <s v="No"/>
    <s v="No"/>
    <s v="No"/>
    <s v="No"/>
  </r>
  <r>
    <s v="C2943"/>
    <s v="Kavita Kumar"/>
    <s v="Female"/>
    <n v="70"/>
    <x v="2"/>
    <x v="14"/>
    <s v="One year"/>
    <n v="7"/>
    <x v="2"/>
    <n v="799"/>
    <n v="5593"/>
    <s v="DSL"/>
    <d v="2025-02-20T00:00:00"/>
    <s v="No"/>
    <n v="0"/>
    <s v="No"/>
    <s v="No"/>
    <s v="No"/>
    <s v="Yes"/>
    <s v="No"/>
  </r>
  <r>
    <s v="C2944"/>
    <s v="Nikhil Mishra"/>
    <s v="Male"/>
    <n v="73"/>
    <x v="2"/>
    <x v="6"/>
    <s v="One year"/>
    <n v="17"/>
    <x v="0"/>
    <n v="599"/>
    <n v="10183"/>
    <s v="DSL"/>
    <d v="2024-04-15T00:00:00"/>
    <s v="Yes"/>
    <n v="1"/>
    <s v="No"/>
    <s v="No"/>
    <s v="No"/>
    <s v="No"/>
    <s v="No"/>
  </r>
  <r>
    <s v="C2945"/>
    <s v="Rohit Desai"/>
    <s v="Male"/>
    <n v="31"/>
    <x v="0"/>
    <x v="3"/>
    <s v="Month-to-month"/>
    <n v="7"/>
    <x v="2"/>
    <n v="999"/>
    <n v="6993"/>
    <s v="Fiber"/>
    <d v="2025-02-22T00:00:00"/>
    <s v="No"/>
    <n v="0"/>
    <s v="No"/>
    <s v="No"/>
    <s v="No"/>
    <s v="No"/>
    <s v="No"/>
  </r>
  <r>
    <s v="C2946"/>
    <s v="Kavita Kapoor"/>
    <s v="Female"/>
    <n v="25"/>
    <x v="4"/>
    <x v="1"/>
    <s v="One year"/>
    <n v="21"/>
    <x v="0"/>
    <n v="899"/>
    <n v="18879"/>
    <s v="DSL"/>
    <d v="2023-12-20T00:00:00"/>
    <s v="No"/>
    <n v="0"/>
    <s v="No"/>
    <s v="No"/>
    <s v="No"/>
    <s v="No"/>
    <s v="No"/>
  </r>
  <r>
    <s v="C2947"/>
    <s v="Vivek Desai"/>
    <s v="Male"/>
    <n v="43"/>
    <x v="3"/>
    <x v="5"/>
    <s v="One year"/>
    <n v="39"/>
    <x v="1"/>
    <n v="349"/>
    <n v="13611"/>
    <s v="No Internet"/>
    <d v="2022-07-11T00:00:00"/>
    <s v="No"/>
    <n v="0"/>
    <s v="No"/>
    <s v="No"/>
    <s v="No"/>
    <s v="No"/>
    <s v="No"/>
  </r>
  <r>
    <s v="C2948"/>
    <s v="Riya Jain"/>
    <s v="Female"/>
    <n v="47"/>
    <x v="1"/>
    <x v="13"/>
    <s v="Month-to-month"/>
    <n v="12"/>
    <x v="2"/>
    <n v="599"/>
    <n v="7188"/>
    <s v="Unknown"/>
    <d v="2024-09-09T00:00:00"/>
    <s v="No"/>
    <n v="0"/>
    <s v="No"/>
    <s v="No"/>
    <s v="No"/>
    <s v="No"/>
    <s v="No"/>
  </r>
  <r>
    <s v="C2949"/>
    <s v="Sonal Agarwal"/>
    <s v="Female"/>
    <n v="75"/>
    <x v="2"/>
    <x v="7"/>
    <s v="Month-to-month"/>
    <n v="15"/>
    <x v="0"/>
    <n v="999"/>
    <n v="14985"/>
    <s v="Fiber"/>
    <d v="2024-06-22T00:00:00"/>
    <s v="No"/>
    <n v="0"/>
    <s v="No"/>
    <s v="No"/>
    <s v="No"/>
    <s v="Yes"/>
    <s v="No"/>
  </r>
  <r>
    <s v="C2950"/>
    <s v="Karan Rao"/>
    <s v="Male"/>
    <n v="71"/>
    <x v="2"/>
    <x v="6"/>
    <s v="Two year"/>
    <n v="5"/>
    <x v="4"/>
    <n v="1049"/>
    <n v="5245"/>
    <s v="Fiber"/>
    <d v="2025-04-07T00:00:00"/>
    <s v="No"/>
    <n v="0"/>
    <s v="No"/>
    <s v="No"/>
    <s v="No"/>
    <s v="No"/>
    <s v="No"/>
  </r>
  <r>
    <s v="C2951"/>
    <s v="Mohit Desai"/>
    <s v="Male"/>
    <n v="31"/>
    <x v="0"/>
    <x v="10"/>
    <s v="Month-to-month"/>
    <n v="12"/>
    <x v="2"/>
    <n v="999"/>
    <n v="11988"/>
    <s v="Fiber"/>
    <d v="2024-09-24T00:00:00"/>
    <s v="Yes"/>
    <n v="1"/>
    <s v="No"/>
    <s v="No"/>
    <s v="No"/>
    <s v="No"/>
    <s v="No"/>
  </r>
  <r>
    <s v="C2952"/>
    <s v="Shreya Sharma"/>
    <s v="Female"/>
    <n v="71"/>
    <x v="2"/>
    <x v="5"/>
    <s v="Month-to-month"/>
    <n v="20"/>
    <x v="0"/>
    <m/>
    <m/>
    <s v="Fiber"/>
    <d v="2024-01-26T00:00:00"/>
    <s v="No"/>
    <n v="0"/>
    <s v="No"/>
    <s v="No"/>
    <s v="No"/>
    <s v="No"/>
    <s v="Monthly missing; Total missing"/>
  </r>
  <r>
    <s v="C2953"/>
    <s v="Mohit Chopra"/>
    <s v="Male"/>
    <n v="73"/>
    <x v="2"/>
    <x v="12"/>
    <s v="Two year"/>
    <n v="17"/>
    <x v="0"/>
    <n v="749"/>
    <n v="12733"/>
    <s v="DSL"/>
    <d v="2024-05-01T00:00:00"/>
    <s v="No"/>
    <n v="0"/>
    <s v="No"/>
    <s v="No"/>
    <s v="No"/>
    <s v="No"/>
    <s v="No"/>
  </r>
  <r>
    <s v="C2954"/>
    <s v="Unknown"/>
    <s v="Male"/>
    <n v="59"/>
    <x v="1"/>
    <x v="6"/>
    <s v="Month-to-month"/>
    <n v="3"/>
    <x v="4"/>
    <n v="449"/>
    <n v="1347"/>
    <s v="No Internet"/>
    <d v="2025-06-26T00:00:00"/>
    <s v="Yes"/>
    <n v="1"/>
    <s v="No"/>
    <s v="No"/>
    <s v="No"/>
    <s v="No"/>
    <s v="No"/>
  </r>
  <r>
    <s v="C2955"/>
    <s v="Suresh Malhotra"/>
    <s v="Male"/>
    <n v="22"/>
    <x v="4"/>
    <x v="3"/>
    <s v="Month-to-month"/>
    <n v="23"/>
    <x v="0"/>
    <n v="1299"/>
    <n v="29877"/>
    <s v="Fiber"/>
    <d v="2023-11-02T00:00:00"/>
    <s v="Yes"/>
    <n v="1"/>
    <s v="No"/>
    <s v="No"/>
    <s v="No"/>
    <s v="No"/>
    <s v="No"/>
  </r>
  <r>
    <s v="C2956"/>
    <s v="Suresh Patel"/>
    <s v="Male"/>
    <n v="67"/>
    <x v="2"/>
    <x v="0"/>
    <s v="Two year"/>
    <n v="8"/>
    <x v="2"/>
    <n v="1099"/>
    <n v="8792"/>
    <s v="Fiber"/>
    <d v="2025-01-11T00:00:00"/>
    <s v="No"/>
    <n v="0"/>
    <s v="No"/>
    <s v="No"/>
    <s v="No"/>
    <s v="No"/>
    <s v="No"/>
  </r>
  <r>
    <s v="C2957"/>
    <s v="Rohit Malhotra"/>
    <s v="Male"/>
    <n v="52"/>
    <x v="1"/>
    <x v="7"/>
    <s v="Month-to-month"/>
    <n v="18"/>
    <x v="0"/>
    <n v="999"/>
    <n v="17982"/>
    <s v="Unknown"/>
    <d v="2024-03-10T00:00:00"/>
    <s v="No"/>
    <n v="0"/>
    <s v="No"/>
    <s v="No"/>
    <s v="No"/>
    <s v="No"/>
    <s v="No"/>
  </r>
  <r>
    <s v="C2958"/>
    <s v="Deepika Gupta"/>
    <s v="Female"/>
    <n v="29"/>
    <x v="0"/>
    <x v="2"/>
    <s v="Month-to-month"/>
    <n v="10"/>
    <x v="2"/>
    <n v="999"/>
    <n v="9990"/>
    <s v="Fiber"/>
    <d v="2024-11-24T00:00:00"/>
    <s v="Yes"/>
    <n v="1"/>
    <s v="No"/>
    <s v="No"/>
    <s v="No"/>
    <s v="No"/>
    <s v="No"/>
  </r>
  <r>
    <s v="C2959"/>
    <s v="Arjun Tiwari"/>
    <s v="Male"/>
    <n v="24"/>
    <x v="4"/>
    <x v="4"/>
    <s v="Month-to-month"/>
    <n v="2"/>
    <x v="4"/>
    <n v="1049"/>
    <n v="2098"/>
    <s v="Fiber"/>
    <d v="2025-07-27T00:00:00"/>
    <s v="Yes"/>
    <n v="1"/>
    <s v="No"/>
    <s v="No"/>
    <s v="Yes"/>
    <s v="No"/>
    <s v="No"/>
  </r>
  <r>
    <s v="C2960"/>
    <s v="Deepika Verma"/>
    <s v="Female"/>
    <n v="48"/>
    <x v="1"/>
    <x v="3"/>
    <s v="Month-to-month"/>
    <n v="23"/>
    <x v="0"/>
    <n v="999"/>
    <n v="22977"/>
    <s v="Fiber"/>
    <d v="2023-11-04T00:00:00"/>
    <s v="No"/>
    <n v="0"/>
    <s v="No"/>
    <s v="No"/>
    <s v="No"/>
    <s v="No"/>
    <s v="No"/>
  </r>
  <r>
    <s v="C2961"/>
    <s v="Amit Yadav"/>
    <s v="Male"/>
    <n v="39"/>
    <x v="3"/>
    <x v="13"/>
    <s v="One year"/>
    <n v="27"/>
    <x v="1"/>
    <n v="999"/>
    <n v="26973"/>
    <s v="Fiber"/>
    <d v="2023-07-05T00:00:00"/>
    <s v="No"/>
    <n v="0"/>
    <s v="No"/>
    <s v="Yes"/>
    <s v="No"/>
    <s v="No"/>
    <s v="No"/>
  </r>
  <r>
    <s v="C2962"/>
    <s v="Sonal Bose"/>
    <s v="Female"/>
    <n v="19"/>
    <x v="4"/>
    <x v="3"/>
    <s v="Month-to-month"/>
    <n v="11"/>
    <x v="2"/>
    <n v="899"/>
    <n v="9889"/>
    <s v="Fiber"/>
    <d v="2024-10-29T00:00:00"/>
    <s v="No"/>
    <n v="0"/>
    <s v="No"/>
    <s v="No"/>
    <s v="No"/>
    <s v="No"/>
    <s v="No"/>
  </r>
  <r>
    <s v="C2963"/>
    <s v="Tanvi Sharma"/>
    <s v="Female"/>
    <n v="19"/>
    <x v="4"/>
    <x v="13"/>
    <s v="Month-to-month"/>
    <n v="3"/>
    <x v="4"/>
    <n v="1299"/>
    <n v="3897"/>
    <s v="Fiber"/>
    <d v="2025-06-25T00:00:00"/>
    <s v="No"/>
    <n v="0"/>
    <s v="No"/>
    <s v="No"/>
    <s v="No"/>
    <s v="No"/>
    <s v="No"/>
  </r>
  <r>
    <s v="C2964"/>
    <s v="Vikram Reddy"/>
    <s v="Male"/>
    <n v="31"/>
    <x v="0"/>
    <x v="1"/>
    <s v="Two year"/>
    <n v="66"/>
    <x v="3"/>
    <n v="899"/>
    <n v="59334"/>
    <s v="Fiber"/>
    <d v="2020-04-22T00:00:00"/>
    <s v="No"/>
    <n v="0"/>
    <s v="No"/>
    <s v="No"/>
    <s v="No"/>
    <s v="No"/>
    <s v="No"/>
  </r>
  <r>
    <s v="C2965"/>
    <s v="Rahul Malhotra"/>
    <s v="Male"/>
    <n v="38"/>
    <x v="3"/>
    <x v="6"/>
    <s v="Two year"/>
    <n v="53"/>
    <x v="3"/>
    <n v="899"/>
    <n v="47647"/>
    <s v="Fiber"/>
    <d v="2021-05-17T00:00:00"/>
    <s v="Yes"/>
    <n v="1"/>
    <s v="No"/>
    <s v="No"/>
    <s v="No"/>
    <s v="No"/>
    <s v="No"/>
  </r>
  <r>
    <s v="C2966"/>
    <s v="Gaurav Sharma"/>
    <s v="Male"/>
    <n v="47"/>
    <x v="1"/>
    <x v="5"/>
    <s v="Month-to-month"/>
    <n v="5"/>
    <x v="4"/>
    <n v="999"/>
    <n v="4995"/>
    <s v="Fiber"/>
    <d v="2025-04-06T00:00:00"/>
    <s v="Yes"/>
    <n v="1"/>
    <s v="No"/>
    <s v="No"/>
    <s v="No"/>
    <s v="No"/>
    <s v="No"/>
  </r>
  <r>
    <s v="C2967"/>
    <s v="Arjun Patel"/>
    <s v="Unknown"/>
    <n v="27"/>
    <x v="0"/>
    <x v="4"/>
    <s v="One year"/>
    <n v="22"/>
    <x v="0"/>
    <n v="649"/>
    <n v="14278"/>
    <s v="Unknown"/>
    <d v="2023-12-06T00:00:00"/>
    <s v="No"/>
    <n v="0"/>
    <s v="No"/>
    <s v="No"/>
    <s v="No"/>
    <s v="No"/>
    <s v="No"/>
  </r>
  <r>
    <s v="C2968"/>
    <s v="Rahul Bose"/>
    <s v="Male"/>
    <n v="35"/>
    <x v="0"/>
    <x v="5"/>
    <s v="One year"/>
    <n v="31"/>
    <x v="1"/>
    <n v="1099"/>
    <n v="34069"/>
    <s v="Fiber"/>
    <d v="2023-02-20T00:00:00"/>
    <s v="Yes"/>
    <n v="1"/>
    <s v="No"/>
    <s v="No"/>
    <s v="No"/>
    <s v="No"/>
    <s v="No"/>
  </r>
  <r>
    <s v="C2969"/>
    <s v="Vivek Chopra"/>
    <s v="Male"/>
    <n v="58"/>
    <x v="1"/>
    <x v="2"/>
    <s v="Month-to-month"/>
    <n v="5"/>
    <x v="4"/>
    <n v="749"/>
    <n v="3745"/>
    <s v="DSL"/>
    <d v="2025-04-12T00:00:00"/>
    <s v="No"/>
    <n v="0"/>
    <s v="No"/>
    <s v="No"/>
    <s v="No"/>
    <s v="No"/>
    <s v="No"/>
  </r>
  <r>
    <s v="C2970"/>
    <s v="Sonal Sharma"/>
    <s v="Female"/>
    <n v="61"/>
    <x v="2"/>
    <x v="8"/>
    <s v="Month-to-month"/>
    <n v="23"/>
    <x v="0"/>
    <n v="699"/>
    <n v="16077"/>
    <s v="DSL"/>
    <d v="2023-10-27T00:00:00"/>
    <s v="Unknown"/>
    <s v=""/>
    <s v="No"/>
    <s v="No"/>
    <s v="No"/>
    <s v="No"/>
    <s v="Churn unknown"/>
  </r>
  <r>
    <s v="C2971"/>
    <s v="Rohit Reddy"/>
    <s v="Male"/>
    <n v="24"/>
    <x v="4"/>
    <x v="11"/>
    <s v="One year"/>
    <n v="35"/>
    <x v="1"/>
    <n v="799"/>
    <n v="27965"/>
    <s v="DSL"/>
    <d v="2022-10-31T00:00:00"/>
    <s v="No"/>
    <n v="0"/>
    <s v="No"/>
    <s v="No"/>
    <s v="No"/>
    <s v="No"/>
    <s v="No"/>
  </r>
  <r>
    <s v="C2972"/>
    <s v="Aditi Agarwal"/>
    <s v="Female"/>
    <n v="56"/>
    <x v="1"/>
    <x v="13"/>
    <s v="Month-to-month"/>
    <n v="16"/>
    <x v="0"/>
    <n v="1099"/>
    <n v="17584"/>
    <s v="Fiber"/>
    <d v="2024-06-01T00:00:00"/>
    <s v="No"/>
    <n v="0"/>
    <s v="No"/>
    <s v="No"/>
    <s v="No"/>
    <s v="Yes"/>
    <s v="No"/>
  </r>
  <r>
    <s v="C2973"/>
    <s v="Ankit Rao"/>
    <s v="Male"/>
    <n v="21"/>
    <x v="4"/>
    <x v="3"/>
    <s v="Month-to-month"/>
    <n v="15"/>
    <x v="0"/>
    <n v="699"/>
    <n v="10485"/>
    <s v="DSL"/>
    <d v="2024-06-21T00:00:00"/>
    <s v="No"/>
    <n v="0"/>
    <s v="No"/>
    <s v="No"/>
    <s v="No"/>
    <s v="No"/>
    <s v="No"/>
  </r>
  <r>
    <s v="C2974"/>
    <s v="Rajesh Reddy"/>
    <s v="Male"/>
    <n v="54"/>
    <x v="1"/>
    <x v="3"/>
    <s v="Month-to-month"/>
    <n v="19"/>
    <x v="0"/>
    <n v="899"/>
    <n v="17081"/>
    <s v="Fiber"/>
    <d v="2024-03-06T00:00:00"/>
    <s v="Yes"/>
    <n v="1"/>
    <s v="No"/>
    <s v="No"/>
    <s v="No"/>
    <s v="No"/>
    <s v="No"/>
  </r>
  <r>
    <s v="C2975"/>
    <s v="Tanvi Agarwal"/>
    <s v="Female"/>
    <n v="64"/>
    <x v="2"/>
    <x v="13"/>
    <s v="Month-to-month"/>
    <n v="7"/>
    <x v="2"/>
    <n v="399"/>
    <n v="2793"/>
    <s v="No Internet"/>
    <d v="2025-02-05T00:00:00"/>
    <s v="No"/>
    <n v="0"/>
    <s v="No"/>
    <s v="No"/>
    <s v="No"/>
    <s v="No"/>
    <s v="No"/>
  </r>
  <r>
    <s v="C2976"/>
    <s v="Ritu Malhotra"/>
    <s v="Female"/>
    <n v="52"/>
    <x v="1"/>
    <x v="5"/>
    <s v="Month-to-month"/>
    <n v="2"/>
    <x v="4"/>
    <n v="799"/>
    <n v="1598"/>
    <s v="DSL"/>
    <d v="2025-07-14T00:00:00"/>
    <s v="Yes"/>
    <n v="1"/>
    <s v="No"/>
    <s v="No"/>
    <s v="No"/>
    <s v="No"/>
    <s v="No"/>
  </r>
  <r>
    <s v="C2977"/>
    <s v="Swati Malhotra"/>
    <s v="Female"/>
    <n v="45"/>
    <x v="3"/>
    <x v="8"/>
    <s v="Month-to-month"/>
    <n v="6"/>
    <x v="4"/>
    <n v="399"/>
    <n v="2394"/>
    <s v="No Internet"/>
    <d v="2025-03-17T00:00:00"/>
    <s v="No"/>
    <n v="0"/>
    <s v="No"/>
    <s v="No"/>
    <s v="No"/>
    <s v="No"/>
    <s v="No"/>
  </r>
  <r>
    <s v="C2978"/>
    <s v="Rahul Patel"/>
    <s v="Male"/>
    <n v="75"/>
    <x v="2"/>
    <x v="2"/>
    <s v="Month-to-month"/>
    <n v="7"/>
    <x v="2"/>
    <n v="599"/>
    <n v="4193"/>
    <s v="DSL"/>
    <d v="2025-02-14T00:00:00"/>
    <s v="Yes"/>
    <n v="1"/>
    <s v="No"/>
    <s v="No"/>
    <s v="No"/>
    <s v="Yes"/>
    <s v="No"/>
  </r>
  <r>
    <s v="C2979"/>
    <s v="Ritu Iyer"/>
    <s v="Female"/>
    <n v="65"/>
    <x v="2"/>
    <x v="14"/>
    <s v="Two year"/>
    <n v="15"/>
    <x v="0"/>
    <n v="899"/>
    <n v="13485"/>
    <s v="Fiber"/>
    <d v="2024-06-17T00:00:00"/>
    <s v="No"/>
    <n v="0"/>
    <s v="No"/>
    <s v="No"/>
    <s v="No"/>
    <s v="No"/>
    <s v="No"/>
  </r>
  <r>
    <s v="C2980"/>
    <s v="Karan Malhotra"/>
    <s v="Male"/>
    <n v="47"/>
    <x v="1"/>
    <x v="12"/>
    <s v="One year"/>
    <n v="6"/>
    <x v="4"/>
    <n v="749"/>
    <n v="4494"/>
    <s v="DSL"/>
    <d v="2025-03-28T00:00:00"/>
    <s v="No"/>
    <n v="0"/>
    <s v="Yes"/>
    <s v="No"/>
    <s v="No"/>
    <s v="No"/>
    <s v="No"/>
  </r>
  <r>
    <s v="C2981"/>
    <s v="Deepika Kapoor"/>
    <s v="Female"/>
    <n v="65"/>
    <x v="2"/>
    <x v="6"/>
    <s v="One year"/>
    <n v="37"/>
    <x v="1"/>
    <n v="1099"/>
    <n v="40663"/>
    <s v="Fiber"/>
    <d v="2022-09-14T00:00:00"/>
    <s v="Yes"/>
    <n v="1"/>
    <s v="No"/>
    <s v="No"/>
    <s v="No"/>
    <s v="No"/>
    <s v="No"/>
  </r>
  <r>
    <s v="C2982"/>
    <s v="Aditi Mishra"/>
    <s v="Female"/>
    <n v="71"/>
    <x v="2"/>
    <x v="4"/>
    <s v="Two year"/>
    <n v="71"/>
    <x v="3"/>
    <n v="449"/>
    <n v="31879"/>
    <s v="No Internet"/>
    <d v="2019-11-28T00:00:00"/>
    <s v="No"/>
    <n v="0"/>
    <s v="No"/>
    <s v="Yes"/>
    <s v="No"/>
    <s v="No"/>
    <s v="No"/>
  </r>
  <r>
    <s v="C2983"/>
    <s v="Rahul Yadav"/>
    <s v="Male"/>
    <n v="70"/>
    <x v="2"/>
    <x v="6"/>
    <s v="Two year"/>
    <n v="29"/>
    <x v="1"/>
    <n v="1099"/>
    <n v="31871"/>
    <s v="Fiber"/>
    <d v="2023-04-19T00:00:00"/>
    <s v="No"/>
    <n v="0"/>
    <s v="No"/>
    <s v="No"/>
    <s v="No"/>
    <s v="No"/>
    <s v="No"/>
  </r>
  <r>
    <s v="C2984"/>
    <s v="Ankit Kumar"/>
    <s v="Male"/>
    <n v="24"/>
    <x v="4"/>
    <x v="1"/>
    <s v="Two year"/>
    <n v="72"/>
    <x v="3"/>
    <n v="849"/>
    <n v="61128"/>
    <s v="DSL"/>
    <d v="2019-10-26T00:00:00"/>
    <s v="No"/>
    <n v="0"/>
    <s v="No"/>
    <s v="No"/>
    <s v="No"/>
    <s v="No"/>
    <s v="No"/>
  </r>
  <r>
    <s v="C2985"/>
    <s v="Pooja Sharma"/>
    <s v="Female"/>
    <n v="47"/>
    <x v="1"/>
    <x v="9"/>
    <s v="Month-to-month"/>
    <n v="1"/>
    <x v="4"/>
    <n v="399"/>
    <n v="399"/>
    <s v="No Internet"/>
    <d v="2025-08-22T00:00:00"/>
    <s v="Yes"/>
    <n v="1"/>
    <s v="Yes"/>
    <s v="No"/>
    <s v="No"/>
    <s v="No"/>
    <s v="No"/>
  </r>
  <r>
    <s v="C2986"/>
    <s v="Nisha Tiwari"/>
    <s v="Female"/>
    <n v="19"/>
    <x v="4"/>
    <x v="7"/>
    <s v="Month-to-month"/>
    <n v="20"/>
    <x v="0"/>
    <n v="449"/>
    <n v="8980"/>
    <s v="No Internet"/>
    <m/>
    <s v="No"/>
    <n v="0"/>
    <s v="No"/>
    <s v="Yes"/>
    <s v="No"/>
    <s v="No"/>
    <s v="Date missing"/>
  </r>
  <r>
    <s v="C2987"/>
    <s v="Divya Tiwari"/>
    <s v="Female"/>
    <n v="46"/>
    <x v="1"/>
    <x v="8"/>
    <s v="One year"/>
    <n v="36"/>
    <x v="1"/>
    <n v="649"/>
    <n v="23364"/>
    <s v="DSL"/>
    <d v="2022-09-22T00:00:00"/>
    <s v="No"/>
    <n v="0"/>
    <s v="No"/>
    <s v="No"/>
    <s v="No"/>
    <s v="No"/>
    <s v="No"/>
  </r>
  <r>
    <s v="C2988"/>
    <s v="Mohit Singh"/>
    <s v="Male"/>
    <n v="26"/>
    <x v="0"/>
    <x v="9"/>
    <s v="Month-to-month"/>
    <n v="10"/>
    <x v="2"/>
    <n v="999"/>
    <n v="9990"/>
    <s v="Fiber"/>
    <d v="2024-11-16T00:00:00"/>
    <s v="Yes"/>
    <n v="1"/>
    <s v="No"/>
    <s v="No"/>
    <s v="Yes"/>
    <s v="No"/>
    <s v="No"/>
  </r>
  <r>
    <s v="C2989"/>
    <s v="Payal Kumar"/>
    <s v="Unknown"/>
    <n v="49"/>
    <x v="1"/>
    <x v="5"/>
    <s v="One year"/>
    <n v="30"/>
    <x v="1"/>
    <n v="449"/>
    <n v="13470"/>
    <s v="No Internet"/>
    <d v="2023-04-06T00:00:00"/>
    <s v="No"/>
    <n v="0"/>
    <s v="No"/>
    <s v="No"/>
    <s v="No"/>
    <s v="No"/>
    <s v="No"/>
  </r>
  <r>
    <s v="C2990"/>
    <s v="Unknown"/>
    <s v="Unknown"/>
    <n v="32"/>
    <x v="0"/>
    <x v="2"/>
    <s v="Two year"/>
    <n v="38"/>
    <x v="1"/>
    <n v="599"/>
    <n v="22762"/>
    <s v="DSL"/>
    <d v="2022-07-22T00:00:00"/>
    <s v="No"/>
    <n v="0"/>
    <s v="No"/>
    <s v="No"/>
    <s v="No"/>
    <s v="Yes"/>
    <s v="No"/>
  </r>
  <r>
    <s v="C2991"/>
    <s v="Sachin Pandey"/>
    <s v="Male"/>
    <n v="39"/>
    <x v="3"/>
    <x v="4"/>
    <s v="Unknown"/>
    <n v="3"/>
    <x v="4"/>
    <n v="999"/>
    <n v="2997"/>
    <s v="Fiber"/>
    <d v="2025-06-30T00:00:00"/>
    <s v="Yes"/>
    <n v="1"/>
    <s v="No"/>
    <s v="Yes"/>
    <s v="No"/>
    <s v="No"/>
    <s v="No"/>
  </r>
  <r>
    <s v="C2992"/>
    <s v="Divya Reddy"/>
    <s v="Female"/>
    <n v="74"/>
    <x v="2"/>
    <x v="3"/>
    <s v="Month-to-month"/>
    <n v="8"/>
    <x v="2"/>
    <n v="1049"/>
    <n v="8392"/>
    <s v="Fiber"/>
    <d v="2025-01-30T00:00:00"/>
    <s v="Yes"/>
    <n v="1"/>
    <s v="No"/>
    <s v="No"/>
    <s v="Yes"/>
    <s v="No"/>
    <s v="No"/>
  </r>
  <r>
    <s v="C2993"/>
    <s v="Rohit Mishra"/>
    <s v="Male"/>
    <n v="33"/>
    <x v="0"/>
    <x v="1"/>
    <s v="Month-to-month"/>
    <n v="3"/>
    <x v="4"/>
    <n v="849"/>
    <n v="2547"/>
    <s v="DSL"/>
    <d v="2025-06-02T00:00:00"/>
    <s v="Yes"/>
    <n v="1"/>
    <s v="No"/>
    <s v="No"/>
    <s v="No"/>
    <s v="Yes"/>
    <s v="No"/>
  </r>
  <r>
    <s v="C2994"/>
    <s v="Rajesh Agarwal"/>
    <s v="Male"/>
    <n v="58"/>
    <x v="1"/>
    <x v="12"/>
    <s v="Month-to-month"/>
    <n v="1"/>
    <x v="4"/>
    <n v="849"/>
    <n v="849"/>
    <s v="DSL"/>
    <m/>
    <s v="No"/>
    <n v="0"/>
    <s v="No"/>
    <s v="No"/>
    <s v="Yes"/>
    <s v="No"/>
    <s v="Date missing"/>
  </r>
  <r>
    <s v="C2995"/>
    <s v="Nisha Tiwari"/>
    <s v="Female"/>
    <n v="66"/>
    <x v="2"/>
    <x v="2"/>
    <s v="Month-to-month"/>
    <n v="24"/>
    <x v="0"/>
    <n v="449"/>
    <n v="10776"/>
    <s v="No Internet"/>
    <d v="2023-10-08T00:00:00"/>
    <s v="Yes"/>
    <n v="1"/>
    <s v="No"/>
    <s v="No"/>
    <s v="No"/>
    <s v="No"/>
    <s v="No"/>
  </r>
  <r>
    <s v="C2996"/>
    <s v="Meera Singh"/>
    <s v="Female"/>
    <n v="46"/>
    <x v="1"/>
    <x v="12"/>
    <s v="Two year"/>
    <n v="39"/>
    <x v="1"/>
    <n v="349"/>
    <n v="13611"/>
    <s v="No Internet"/>
    <d v="2022-07-14T00:00:00"/>
    <s v="No"/>
    <n v="0"/>
    <s v="No"/>
    <s v="No"/>
    <s v="No"/>
    <s v="No"/>
    <s v="No"/>
  </r>
  <r>
    <s v="C2997"/>
    <s v="Ritu Sharma"/>
    <s v="Female"/>
    <n v="41"/>
    <x v="3"/>
    <x v="7"/>
    <s v="One year"/>
    <n v="14"/>
    <x v="0"/>
    <n v="1049"/>
    <n v="14686"/>
    <s v="Fiber"/>
    <d v="2024-07-27T00:00:00"/>
    <s v="No"/>
    <n v="0"/>
    <s v="No"/>
    <s v="No"/>
    <s v="No"/>
    <s v="No"/>
    <s v="No"/>
  </r>
  <r>
    <s v="C2998"/>
    <s v="Aman Mishra"/>
    <s v="Male"/>
    <n v="44"/>
    <x v="3"/>
    <x v="4"/>
    <s v="Month-to-month"/>
    <n v="6"/>
    <x v="4"/>
    <n v="1049"/>
    <n v="6294"/>
    <s v="Fiber"/>
    <d v="2025-03-28T00:00:00"/>
    <s v="No"/>
    <n v="0"/>
    <s v="No"/>
    <s v="No"/>
    <s v="No"/>
    <s v="No"/>
    <s v="No"/>
  </r>
  <r>
    <s v="C2999"/>
    <s v="Meera Rao"/>
    <s v="Female"/>
    <n v="46"/>
    <x v="1"/>
    <x v="3"/>
    <s v="Month-to-month"/>
    <n v="23"/>
    <x v="0"/>
    <n v="449"/>
    <n v="10327"/>
    <s v="No Internet"/>
    <d v="2023-10-14T00:00:00"/>
    <s v="No"/>
    <n v="0"/>
    <s v="No"/>
    <s v="No"/>
    <s v="No"/>
    <s v="No"/>
    <s v="No"/>
  </r>
  <r>
    <s v="C3000"/>
    <s v="Pooja Singh"/>
    <s v="Female"/>
    <n v="35"/>
    <x v="0"/>
    <x v="4"/>
    <s v="Two year"/>
    <n v="57"/>
    <x v="3"/>
    <n v="1299"/>
    <n v="74043"/>
    <s v="Fiber"/>
    <d v="2020-12-26T00:00:00"/>
    <s v="No"/>
    <n v="0"/>
    <s v="No"/>
    <s v="No"/>
    <s v="No"/>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BA47B9-DB08-4FB7-AA93-EA6138C956F6}"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1:C67" firstHeaderRow="0" firstDataRow="1" firstDataCol="1"/>
  <pivotFields count="20">
    <pivotField dataField="1" showAll="0"/>
    <pivotField showAll="0"/>
    <pivotField showAll="0"/>
    <pivotField showAll="0"/>
    <pivotField showAll="0"/>
    <pivotField showAll="0"/>
    <pivotField showAll="0"/>
    <pivotField showAll="0"/>
    <pivotField axis="axisRow" showAll="0">
      <items count="6">
        <item x="4"/>
        <item x="0"/>
        <item x="1"/>
        <item x="3"/>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8"/>
  </rowFields>
  <rowItems count="6">
    <i>
      <x/>
    </i>
    <i>
      <x v="1"/>
    </i>
    <i>
      <x v="2"/>
    </i>
    <i>
      <x v="3"/>
    </i>
    <i>
      <x v="4"/>
    </i>
    <i t="grand">
      <x/>
    </i>
  </rowItems>
  <colFields count="1">
    <field x="-2"/>
  </colFields>
  <colItems count="2">
    <i>
      <x/>
    </i>
    <i i="1">
      <x v="1"/>
    </i>
  </colItems>
  <dataFields count="2">
    <dataField name="Count of CustID" fld="0" subtotal="count" baseField="0" baseItem="0"/>
    <dataField name="Average of Churn_Flag" fld="14" subtotal="average" baseField="8" baseItem="0" numFmtId="169"/>
  </dataFields>
  <formats count="2">
    <format dxfId="4">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3452C7-82F7-4C34-ABF2-186B866C33C6}"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1:C107" firstHeaderRow="0" firstDataRow="1" firstDataCol="1"/>
  <pivotFields count="20">
    <pivotField dataField="1" showAll="0"/>
    <pivotField showAll="0"/>
    <pivotField showAll="0"/>
    <pivotField showAll="0"/>
    <pivotField axis="axisRow" showAll="0">
      <items count="6">
        <item x="4"/>
        <item x="0"/>
        <item x="3"/>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Count of CustID" fld="0" subtotal="count" baseField="0" baseItem="0"/>
    <dataField name="Average of Churn_Flag" fld="14" subtotal="average" baseField="4" baseItem="0" numFmtId="169"/>
  </dataFields>
  <formats count="2">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1"/>
          </reference>
        </references>
      </pivotArea>
    </format>
  </formats>
  <chartFormats count="7">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 chart="6" format="3">
      <pivotArea type="data" outline="0" fieldPosition="0">
        <references count="2">
          <reference field="4294967294" count="1" selected="0">
            <x v="0"/>
          </reference>
          <reference field="4" count="1" selected="0">
            <x v="2"/>
          </reference>
        </references>
      </pivotArea>
    </chartFormat>
    <chartFormat chart="6" format="4">
      <pivotArea type="data" outline="0" fieldPosition="0">
        <references count="2">
          <reference field="4294967294" count="1" selected="0">
            <x v="0"/>
          </reference>
          <reference field="4" count="1" selected="0">
            <x v="3"/>
          </reference>
        </references>
      </pivotArea>
    </chartFormat>
    <chartFormat chart="6" format="5">
      <pivotArea type="data" outline="0" fieldPosition="0">
        <references count="2">
          <reference field="4294967294" count="1" selected="0">
            <x v="0"/>
          </reference>
          <reference field="4" count="1" selected="0">
            <x v="4"/>
          </reference>
        </references>
      </pivotArea>
    </chartFormat>
    <chartFormat chart="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4008DE-8D77-4771-8195-15B5007E105F}"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1:D97" firstHeaderRow="0" firstDataRow="1" firstDataCol="1"/>
  <pivotFields count="20">
    <pivotField dataField="1" showAll="0"/>
    <pivotField showAll="0"/>
    <pivotField showAll="0"/>
    <pivotField showAll="0"/>
    <pivotField showAll="0"/>
    <pivotField axis="axisRow" showAll="0">
      <items count="16">
        <item x="7"/>
        <item x="8"/>
        <item x="14"/>
        <item x="6"/>
        <item x="5"/>
        <item x="3"/>
        <item x="0"/>
        <item x="9"/>
        <item x="1"/>
        <item x="13"/>
        <item x="12"/>
        <item x="11"/>
        <item x="4"/>
        <item x="2"/>
        <item x="10"/>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s>
  <rowFields count="1">
    <field x="5"/>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Count of CustID" fld="0" subtotal="count" baseField="0" baseItem="0"/>
    <dataField name="Sum of Total Charges (₹)" fld="10" baseField="0" baseItem="0"/>
    <dataField name="Average of Churn_Flag" fld="14" subtotal="average" baseField="5" baseItem="0" numFmtId="10"/>
  </dataFields>
  <formats count="2">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5C588D-50AD-4C35-8C4D-F783FBAAF4A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E27" firstHeaderRow="1" firstDataRow="2" firstDataCol="1"/>
  <pivotFields count="17">
    <pivotField dataField="1"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axis="axisCol" showAll="0">
      <items count="4">
        <item x="0"/>
        <item x="2"/>
        <item x="1"/>
        <item t="default"/>
      </items>
    </pivotField>
    <pivotField showAll="0"/>
    <pivotField showAll="0"/>
    <pivotField showAll="0"/>
    <pivotField showAll="0"/>
    <pivotField showAll="0"/>
  </pivotFields>
  <rowFields count="1">
    <field x="9"/>
  </rowFields>
  <rowItems count="5">
    <i>
      <x/>
    </i>
    <i>
      <x v="1"/>
    </i>
    <i>
      <x v="2"/>
    </i>
    <i>
      <x v="3"/>
    </i>
    <i t="grand">
      <x/>
    </i>
  </rowItems>
  <colFields count="1">
    <field x="11"/>
  </colFields>
  <colItems count="4">
    <i>
      <x/>
    </i>
    <i>
      <x v="1"/>
    </i>
    <i>
      <x v="2"/>
    </i>
    <i t="grand">
      <x/>
    </i>
  </colItems>
  <dataFields count="1">
    <dataField name="Count of Cus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57CE16-1139-44BA-94EC-7E6022C59E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B8" firstHeaderRow="1" firstDataRow="1" firstDataCol="1"/>
  <pivotFields count="17">
    <pivotField dataField="1"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Cus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82BB24-BFF0-484F-B461-D7BE499082C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E57" firstHeaderRow="1" firstDataRow="2" firstDataCol="1"/>
  <pivotFields count="17">
    <pivotField dataField="1"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axis="axisCol" showAll="0">
      <items count="4">
        <item x="0"/>
        <item x="2"/>
        <item x="1"/>
        <item t="default"/>
      </items>
    </pivotField>
    <pivotField showAll="0"/>
    <pivotField showAll="0"/>
    <pivotField showAll="0"/>
    <pivotField showAll="0"/>
    <pivotField showAll="0"/>
  </pivotFields>
  <rowFields count="1">
    <field x="9"/>
  </rowFields>
  <rowItems count="5">
    <i>
      <x/>
    </i>
    <i>
      <x v="1"/>
    </i>
    <i>
      <x v="2"/>
    </i>
    <i>
      <x v="3"/>
    </i>
    <i t="grand">
      <x/>
    </i>
  </rowItems>
  <colFields count="1">
    <field x="11"/>
  </colFields>
  <colItems count="4">
    <i>
      <x/>
    </i>
    <i>
      <x v="1"/>
    </i>
    <i>
      <x v="2"/>
    </i>
    <i t="grand">
      <x/>
    </i>
  </colItems>
  <dataFields count="1">
    <dataField name="Count of CustID" fld="0" subtotal="count" showDataAs="percentOfRow" baseField="9" baseItem="0" numFmtId="10"/>
  </dataFields>
  <chartFormats count="3">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9165E4-EAED-4387-BD0B-FB6846F12EE9}"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47" firstHeaderRow="1" firstDataRow="1" firstDataCol="1"/>
  <pivotFields count="17">
    <pivotField dataField="1" showAll="0"/>
    <pivotField showAll="0"/>
    <pivotField showAll="0"/>
    <pivotField showAll="0"/>
    <pivotField axis="axisRow" showAll="0">
      <items count="16">
        <item x="7"/>
        <item x="8"/>
        <item x="14"/>
        <item x="6"/>
        <item x="5"/>
        <item x="3"/>
        <item x="0"/>
        <item x="9"/>
        <item x="1"/>
        <item x="13"/>
        <item x="12"/>
        <item x="11"/>
        <item x="4"/>
        <item x="2"/>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CustI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1"/>
          </reference>
        </references>
      </pivotArea>
    </chartFormat>
    <chartFormat chart="0" format="5">
      <pivotArea type="data" outline="0" fieldPosition="0">
        <references count="2">
          <reference field="4294967294" count="1" selected="0">
            <x v="0"/>
          </reference>
          <reference field="4" count="1" selected="0">
            <x v="12"/>
          </reference>
        </references>
      </pivotArea>
    </chartFormat>
    <chartFormat chart="0" format="6">
      <pivotArea type="data" outline="0" fieldPosition="0">
        <references count="2">
          <reference field="4294967294" count="1" selected="0">
            <x v="0"/>
          </reference>
          <reference field="4"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18800F-A4D3-4F8C-BD6E-25C9DCF01DB7}" name="Table2" displayName="Table2" ref="A1:U2001" totalsRowShown="0" headerRowDxfId="9" dataDxfId="10">
  <autoFilter ref="A1:U2001" xr:uid="{00000000-0009-0000-0000-000000000000}"/>
  <tableColumns count="21">
    <tableColumn id="1" xr3:uid="{93E8BC5C-CB89-428C-B80A-A3006E799124}" name="CustID" dataDxfId="29"/>
    <tableColumn id="2" xr3:uid="{AA4BB041-243F-4ECC-ADF8-BE6D8EC105FD}" name="Customer Name" dataDxfId="28"/>
    <tableColumn id="3" xr3:uid="{6D838542-A919-472A-BEDF-FE971750ADD7}" name="Gender" dataDxfId="27"/>
    <tableColumn id="4" xr3:uid="{50167A1F-3792-480E-9BFE-1C3D34DC9DAD}" name="Age" dataDxfId="26"/>
    <tableColumn id="5" xr3:uid="{33D1BC52-4056-4AC3-86C4-D1BA39843632}" name="age group " dataDxfId="25">
      <calculatedColumnFormula>IF(D2&lt;=25,"18-25",IF(D2&lt;=35,"26-35",IF(D2&lt;=45,"36-45",IF(D2&lt;=60,"46-60","60+"))))</calculatedColumnFormula>
    </tableColumn>
    <tableColumn id="6" xr3:uid="{FDFB7803-D933-4B8B-8BA8-0AF89C421FA2}" name="City" dataDxfId="24"/>
    <tableColumn id="7" xr3:uid="{0A1CE3AA-00DA-4CA9-AC76-BFE6B7184779}" name="Contract Type" dataDxfId="23"/>
    <tableColumn id="8" xr3:uid="{A71945A0-199E-437E-A849-8A8A480F331D}" name="Tenure (Months)" dataDxfId="22"/>
    <tableColumn id="9" xr3:uid="{8EE725AB-6898-4422-B80F-C7809C2252D5}" name="Tenure  Bucket " dataDxfId="8">
      <calculatedColumnFormula>IF(H2="","Unknown",IF(H2&lt;=6,"0-6 months",IF(H2&lt;=12,"7-12 months",IF(H2&lt;=24,"13-24 months",IF(H2&lt;=48,"25-48 months","49+ months")))))</calculatedColumnFormula>
    </tableColumn>
    <tableColumn id="10" xr3:uid="{10D8DA58-C514-4FB5-A0D7-D49DF30557D3}" name="Monthly Charges (₹)" dataDxfId="21"/>
    <tableColumn id="11" xr3:uid="{F821AA08-1E08-4A5A-B2C9-CC105CA62C29}" name="Total Charges (₹)" dataDxfId="20"/>
    <tableColumn id="12" xr3:uid="{2378063E-A43A-4818-886F-D45151D24164}" name="Internet Service" dataDxfId="19"/>
    <tableColumn id="13" xr3:uid="{251E2A81-18E0-47CB-A3CF-5F73E50A929E}" name="Signup Date" dataDxfId="18"/>
    <tableColumn id="14" xr3:uid="{106281F9-4C54-4E34-A4B0-A01D16DF7AAF}" name="Churn" dataDxfId="17"/>
    <tableColumn id="15" xr3:uid="{C6D58B0B-7176-4695-BC1F-6B567AB2DBAC}" name="Churn_Flag" dataDxfId="16">
      <calculatedColumnFormula>IF(N2="Yes",1,IF(N2="No",0,""))</calculatedColumnFormula>
    </tableColumn>
    <tableColumn id="16" xr3:uid="{8B0E54F3-9330-4CE8-9832-907AC8D396C3}" name="Age_Imputed" dataDxfId="15"/>
    <tableColumn id="17" xr3:uid="{484D1A07-3C9F-4500-805D-9EFB8615BA69}" name="Tenure_Imputed" dataDxfId="14"/>
    <tableColumn id="18" xr3:uid="{27F2D898-8532-4A0B-906C-2AD07A7E1503}" name="Monthly_Imputed" dataDxfId="13"/>
    <tableColumn id="19" xr3:uid="{D71B0A3E-EA4F-4AA2-975D-77169235F617}" name="Total_Imputed" dataDxfId="12"/>
    <tableColumn id="20" xr3:uid="{E8945794-129D-4653-A8AA-8D92D8C20428}" name="Needs_Review" dataDxfId="11"/>
    <tableColumn id="22" xr3:uid="{5BE14A6D-3258-4BC3-A6E8-6A3EB9F605B2}" name="Totalkey" dataDxfId="3">
      <calculatedColumnFormula>IF(K2="","",K2+ROW()/1000000)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2C4F4C-C439-4874-9C2A-51F67D2C4C73}" name="Table1" displayName="Table1" ref="A1:D6" totalsRowShown="0">
  <autoFilter ref="A1:D6" xr:uid="{562C4F4C-C439-4874-9C2A-51F67D2C4C73}"/>
  <tableColumns count="4">
    <tableColumn id="1" xr3:uid="{15CCCA52-046F-458A-B37F-60978192BDF4}" name="Age group "/>
    <tableColumn id="2" xr3:uid="{049FB586-FA33-4D9C-8EF8-357597DD3622}" name="yes">
      <calculatedColumnFormula>COUNTIFS(Customer_churn_data!$E$2:$E$2001,$A2,Customer_churn_data!$N$2:$N$2001,"Yes")</calculatedColumnFormula>
    </tableColumn>
    <tableColumn id="3" xr3:uid="{1957B6F4-2918-445B-9424-6AA4CEE96408}" name="no">
      <calculatedColumnFormula>COUNTIFS(Customer_churn_data!$E$2:$E$2001,$A2,Customer_churn_data!$N$2:$N$2001,"No")</calculatedColumnFormula>
    </tableColumn>
    <tableColumn id="4" xr3:uid="{6F219C0E-6232-44D9-A1CC-FDEB60358D2F}" name="churn rate " dataDxfId="0" dataCellStyle="Percent">
      <calculatedColumnFormula>B2/(B2+C2)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001"/>
  <sheetViews>
    <sheetView tabSelected="1" zoomScaleNormal="100" workbookViewId="0">
      <pane xSplit="1" ySplit="1" topLeftCell="B2" activePane="bottomRight" state="frozen"/>
      <selection pane="topRight" activeCell="B1" sqref="B1"/>
      <selection pane="bottomLeft" activeCell="A2" sqref="A2"/>
      <selection pane="bottomRight" activeCell="C19" sqref="C19"/>
    </sheetView>
  </sheetViews>
  <sheetFormatPr defaultColWidth="8.6328125" defaultRowHeight="14.5"/>
  <cols>
    <col min="1" max="1" width="9.08984375" customWidth="1"/>
    <col min="2" max="2" width="20" customWidth="1"/>
    <col min="3" max="3" width="9.6328125" customWidth="1"/>
    <col min="4" max="4" width="6.453125" customWidth="1"/>
    <col min="5" max="5" width="12.7265625" customWidth="1"/>
    <col min="6" max="6" width="13" customWidth="1"/>
    <col min="7" max="7" width="16" customWidth="1"/>
    <col min="8" max="8" width="18.08984375" customWidth="1"/>
    <col min="9" max="9" width="17.6328125" customWidth="1"/>
    <col min="10" max="10" width="21.26953125" customWidth="1"/>
    <col min="11" max="11" width="18.81640625" customWidth="1"/>
    <col min="12" max="12" width="17.36328125" customWidth="1"/>
    <col min="13" max="13" width="14.1796875" customWidth="1"/>
    <col min="14" max="14" width="9" customWidth="1"/>
    <col min="15" max="15" width="13.54296875" customWidth="1"/>
    <col min="16" max="16" width="15" customWidth="1"/>
    <col min="17" max="17" width="18" customWidth="1"/>
    <col min="18" max="18" width="18.54296875" customWidth="1"/>
    <col min="19" max="19" width="16.08984375" customWidth="1"/>
    <col min="20" max="20" width="26" customWidth="1"/>
    <col min="27" max="27" width="12.7265625" bestFit="1" customWidth="1"/>
  </cols>
  <sheetData>
    <row r="1" spans="1:27" ht="31.5" customHeight="1">
      <c r="A1" s="1" t="s">
        <v>0</v>
      </c>
      <c r="B1" s="1" t="s">
        <v>1</v>
      </c>
      <c r="C1" s="1" t="s">
        <v>2</v>
      </c>
      <c r="D1" s="1" t="s">
        <v>3</v>
      </c>
      <c r="E1" s="1" t="s">
        <v>2914</v>
      </c>
      <c r="F1" s="1" t="s">
        <v>4</v>
      </c>
      <c r="G1" s="1" t="s">
        <v>5</v>
      </c>
      <c r="H1" s="1" t="s">
        <v>6</v>
      </c>
      <c r="I1" s="1" t="s">
        <v>2910</v>
      </c>
      <c r="J1" s="1" t="s">
        <v>7</v>
      </c>
      <c r="K1" s="1" t="s">
        <v>8</v>
      </c>
      <c r="L1" s="1" t="s">
        <v>9</v>
      </c>
      <c r="M1" s="1" t="s">
        <v>10</v>
      </c>
      <c r="N1" s="1" t="s">
        <v>11</v>
      </c>
      <c r="O1" s="1" t="s">
        <v>2925</v>
      </c>
      <c r="P1" s="1" t="s">
        <v>12</v>
      </c>
      <c r="Q1" s="1" t="s">
        <v>13</v>
      </c>
      <c r="R1" s="1" t="s">
        <v>14</v>
      </c>
      <c r="S1" s="1" t="s">
        <v>15</v>
      </c>
      <c r="T1" s="1" t="s">
        <v>16</v>
      </c>
      <c r="U1" s="26" t="s">
        <v>2969</v>
      </c>
    </row>
    <row r="2" spans="1:27">
      <c r="A2" s="2" t="s">
        <v>17</v>
      </c>
      <c r="B2" s="2" t="s">
        <v>18</v>
      </c>
      <c r="C2" s="2" t="s">
        <v>19</v>
      </c>
      <c r="D2" s="2">
        <v>35</v>
      </c>
      <c r="E2" s="2" t="str">
        <f>IF(D2&lt;=25,"18-25",IF(D2&lt;=35,"26-35",IF(D2&lt;=45,"36-45",IF(D2&lt;=60,"46-60","60+"))))</f>
        <v>26-35</v>
      </c>
      <c r="F2" s="2" t="s">
        <v>20</v>
      </c>
      <c r="G2" s="2" t="s">
        <v>21</v>
      </c>
      <c r="H2" s="2">
        <v>22</v>
      </c>
      <c r="I2" s="2" t="str">
        <f t="shared" ref="I2:I65" si="0">IF(H2="","Unknown",IF(H2&lt;=6,"0-6 months",IF(H2&lt;=12,"7-12 months",IF(H2&lt;=24,"13-24 months",IF(H2&lt;=48,"25-48 months","49+ months")))))</f>
        <v>13-24 months</v>
      </c>
      <c r="J2" s="3">
        <v>1149</v>
      </c>
      <c r="K2" s="3">
        <v>25278</v>
      </c>
      <c r="L2" s="2" t="s">
        <v>22</v>
      </c>
      <c r="M2" s="4">
        <v>45267</v>
      </c>
      <c r="N2" s="2" t="s">
        <v>23</v>
      </c>
      <c r="O2" s="2">
        <f>IF(N2="Yes",1,IF(N2="No",0,""))</f>
        <v>0</v>
      </c>
      <c r="P2" s="2" t="s">
        <v>23</v>
      </c>
      <c r="Q2" s="2" t="s">
        <v>23</v>
      </c>
      <c r="R2" s="2" t="s">
        <v>23</v>
      </c>
      <c r="S2" s="2" t="s">
        <v>23</v>
      </c>
      <c r="T2" s="2" t="s">
        <v>23</v>
      </c>
      <c r="U2" s="25">
        <f t="shared" ref="U2:U65" si="1">IF(K2="","",K2+ROW()/1000000)</f>
        <v>25278.000002000001</v>
      </c>
    </row>
    <row r="3" spans="1:27">
      <c r="A3" s="2" t="s">
        <v>24</v>
      </c>
      <c r="B3" s="2" t="s">
        <v>25</v>
      </c>
      <c r="C3" s="2" t="s">
        <v>19</v>
      </c>
      <c r="D3" s="2">
        <v>32</v>
      </c>
      <c r="E3" s="2" t="str">
        <f t="shared" ref="E3:E66" si="2">IF(D3&lt;=25,"18-25",IF(D3&lt;=35,"26-35",IF(D3&lt;=45,"36-45",IF(D3&lt;=60,"46-60","60+"))))</f>
        <v>26-35</v>
      </c>
      <c r="F3" s="2" t="s">
        <v>26</v>
      </c>
      <c r="G3" s="2" t="s">
        <v>27</v>
      </c>
      <c r="H3" s="2">
        <v>35</v>
      </c>
      <c r="I3" s="2" t="str">
        <f t="shared" si="0"/>
        <v>25-48 months</v>
      </c>
      <c r="J3" s="3">
        <v>999</v>
      </c>
      <c r="K3" s="3">
        <v>34965</v>
      </c>
      <c r="L3" s="2" t="s">
        <v>22</v>
      </c>
      <c r="M3" s="4">
        <v>44853</v>
      </c>
      <c r="N3" s="2" t="s">
        <v>23</v>
      </c>
      <c r="O3" s="2">
        <f t="shared" ref="O3:O66" si="3">IF(N3="Yes",1,IF(N3="No",0,""))</f>
        <v>0</v>
      </c>
      <c r="P3" s="2" t="s">
        <v>23</v>
      </c>
      <c r="Q3" s="2" t="s">
        <v>23</v>
      </c>
      <c r="R3" s="2" t="s">
        <v>23</v>
      </c>
      <c r="S3" s="2" t="s">
        <v>23</v>
      </c>
      <c r="T3" s="2" t="s">
        <v>23</v>
      </c>
      <c r="U3" s="25">
        <f t="shared" si="1"/>
        <v>34965.000003000001</v>
      </c>
    </row>
    <row r="4" spans="1:27">
      <c r="A4" s="2" t="s">
        <v>28</v>
      </c>
      <c r="B4" s="2" t="s">
        <v>29</v>
      </c>
      <c r="C4" s="2" t="s">
        <v>19</v>
      </c>
      <c r="D4" s="2">
        <v>47</v>
      </c>
      <c r="E4" s="2" t="str">
        <f t="shared" si="2"/>
        <v>46-60</v>
      </c>
      <c r="F4" s="2" t="s">
        <v>30</v>
      </c>
      <c r="G4" s="2" t="s">
        <v>21</v>
      </c>
      <c r="H4" s="2">
        <v>11</v>
      </c>
      <c r="I4" s="2" t="str">
        <f t="shared" si="0"/>
        <v>7-12 months</v>
      </c>
      <c r="J4" s="3">
        <v>599</v>
      </c>
      <c r="K4" s="3">
        <v>6589</v>
      </c>
      <c r="L4" s="2" t="s">
        <v>31</v>
      </c>
      <c r="M4" s="4">
        <v>45571</v>
      </c>
      <c r="N4" s="2" t="s">
        <v>32</v>
      </c>
      <c r="O4" s="2">
        <f t="shared" si="3"/>
        <v>1</v>
      </c>
      <c r="P4" s="2" t="s">
        <v>32</v>
      </c>
      <c r="Q4" s="2" t="s">
        <v>23</v>
      </c>
      <c r="R4" s="2" t="s">
        <v>23</v>
      </c>
      <c r="S4" s="2" t="s">
        <v>23</v>
      </c>
      <c r="T4" s="2" t="s">
        <v>23</v>
      </c>
      <c r="U4" s="25">
        <f t="shared" si="1"/>
        <v>6589.0000040000004</v>
      </c>
      <c r="Y4" s="5"/>
    </row>
    <row r="5" spans="1:27">
      <c r="A5" s="2" t="s">
        <v>33</v>
      </c>
      <c r="B5" s="2" t="s">
        <v>34</v>
      </c>
      <c r="C5" s="2" t="s">
        <v>35</v>
      </c>
      <c r="D5" s="2">
        <v>69</v>
      </c>
      <c r="E5" s="2" t="str">
        <f t="shared" si="2"/>
        <v>60+</v>
      </c>
      <c r="F5" s="2" t="s">
        <v>36</v>
      </c>
      <c r="G5" s="2" t="s">
        <v>27</v>
      </c>
      <c r="H5" s="2">
        <v>25</v>
      </c>
      <c r="I5" s="2" t="str">
        <f t="shared" si="0"/>
        <v>25-48 months</v>
      </c>
      <c r="J5" s="3">
        <v>1149</v>
      </c>
      <c r="K5" s="3">
        <v>28725</v>
      </c>
      <c r="L5" s="2" t="s">
        <v>22</v>
      </c>
      <c r="M5" s="4">
        <v>45159</v>
      </c>
      <c r="N5" s="2" t="s">
        <v>37</v>
      </c>
      <c r="O5" s="2" t="str">
        <f t="shared" si="3"/>
        <v/>
      </c>
      <c r="P5" s="2" t="s">
        <v>23</v>
      </c>
      <c r="Q5" s="2" t="s">
        <v>23</v>
      </c>
      <c r="R5" s="2" t="s">
        <v>23</v>
      </c>
      <c r="S5" s="2" t="s">
        <v>23</v>
      </c>
      <c r="T5" s="2" t="s">
        <v>38</v>
      </c>
      <c r="U5" s="25">
        <f t="shared" si="1"/>
        <v>28725.000005000002</v>
      </c>
      <c r="Y5" s="5"/>
    </row>
    <row r="6" spans="1:27">
      <c r="A6" s="2" t="s">
        <v>39</v>
      </c>
      <c r="B6" s="2" t="s">
        <v>40</v>
      </c>
      <c r="C6" s="2" t="s">
        <v>35</v>
      </c>
      <c r="D6" s="2">
        <v>63</v>
      </c>
      <c r="E6" s="2" t="str">
        <f t="shared" si="2"/>
        <v>60+</v>
      </c>
      <c r="F6" s="2" t="s">
        <v>41</v>
      </c>
      <c r="G6" s="2" t="s">
        <v>21</v>
      </c>
      <c r="H6" s="2">
        <v>10</v>
      </c>
      <c r="I6" s="2" t="str">
        <f t="shared" si="0"/>
        <v>7-12 months</v>
      </c>
      <c r="J6" s="3">
        <v>599</v>
      </c>
      <c r="K6" s="3">
        <v>5990</v>
      </c>
      <c r="L6" s="2" t="s">
        <v>31</v>
      </c>
      <c r="M6" s="4">
        <v>45616</v>
      </c>
      <c r="N6" s="2" t="s">
        <v>23</v>
      </c>
      <c r="O6" s="2">
        <f t="shared" si="3"/>
        <v>0</v>
      </c>
      <c r="P6" s="2" t="s">
        <v>23</v>
      </c>
      <c r="Q6" s="2" t="s">
        <v>23</v>
      </c>
      <c r="R6" s="2" t="s">
        <v>23</v>
      </c>
      <c r="S6" s="2" t="s">
        <v>23</v>
      </c>
      <c r="T6" s="2" t="s">
        <v>23</v>
      </c>
      <c r="U6" s="25">
        <f t="shared" si="1"/>
        <v>5990.0000060000002</v>
      </c>
      <c r="Y6" s="5"/>
    </row>
    <row r="7" spans="1:27">
      <c r="A7" s="2" t="s">
        <v>42</v>
      </c>
      <c r="B7" s="2" t="s">
        <v>43</v>
      </c>
      <c r="C7" s="2" t="s">
        <v>35</v>
      </c>
      <c r="D7" s="2">
        <v>71</v>
      </c>
      <c r="E7" s="2" t="str">
        <f t="shared" si="2"/>
        <v>60+</v>
      </c>
      <c r="F7" s="2" t="s">
        <v>30</v>
      </c>
      <c r="G7" s="2" t="s">
        <v>21</v>
      </c>
      <c r="H7" s="2">
        <v>22</v>
      </c>
      <c r="I7" s="2" t="str">
        <f t="shared" si="0"/>
        <v>13-24 months</v>
      </c>
      <c r="J7" s="3">
        <v>1199</v>
      </c>
      <c r="K7" s="3">
        <v>26378</v>
      </c>
      <c r="L7" s="2" t="s">
        <v>22</v>
      </c>
      <c r="M7" s="4">
        <v>45263</v>
      </c>
      <c r="N7" s="2" t="s">
        <v>23</v>
      </c>
      <c r="O7" s="2">
        <f t="shared" si="3"/>
        <v>0</v>
      </c>
      <c r="P7" s="2" t="s">
        <v>23</v>
      </c>
      <c r="Q7" s="2" t="s">
        <v>23</v>
      </c>
      <c r="R7" s="2" t="s">
        <v>23</v>
      </c>
      <c r="S7" s="2" t="s">
        <v>23</v>
      </c>
      <c r="T7" s="2" t="s">
        <v>23</v>
      </c>
      <c r="U7" s="25">
        <f t="shared" si="1"/>
        <v>26378.000006999999</v>
      </c>
      <c r="Y7" s="5"/>
    </row>
    <row r="8" spans="1:27">
      <c r="A8" s="2" t="s">
        <v>44</v>
      </c>
      <c r="B8" s="2" t="s">
        <v>45</v>
      </c>
      <c r="C8" s="2" t="s">
        <v>19</v>
      </c>
      <c r="D8" s="2">
        <v>42</v>
      </c>
      <c r="E8" s="2" t="str">
        <f t="shared" si="2"/>
        <v>36-45</v>
      </c>
      <c r="F8" s="2" t="s">
        <v>46</v>
      </c>
      <c r="G8" s="2" t="s">
        <v>47</v>
      </c>
      <c r="H8" s="2">
        <v>72</v>
      </c>
      <c r="I8" s="2" t="str">
        <f t="shared" si="0"/>
        <v>49+ months</v>
      </c>
      <c r="J8" s="3">
        <v>1199</v>
      </c>
      <c r="K8" s="3">
        <v>86328</v>
      </c>
      <c r="L8" s="2" t="s">
        <v>22</v>
      </c>
      <c r="M8" s="4">
        <v>43744</v>
      </c>
      <c r="N8" s="2" t="s">
        <v>23</v>
      </c>
      <c r="O8" s="2">
        <f t="shared" si="3"/>
        <v>0</v>
      </c>
      <c r="P8" s="2" t="s">
        <v>23</v>
      </c>
      <c r="Q8" s="2" t="s">
        <v>23</v>
      </c>
      <c r="R8" s="2" t="s">
        <v>23</v>
      </c>
      <c r="S8" s="2" t="s">
        <v>23</v>
      </c>
      <c r="T8" s="2" t="s">
        <v>23</v>
      </c>
      <c r="U8" s="25">
        <f t="shared" si="1"/>
        <v>86328.000008000003</v>
      </c>
      <c r="Y8" s="5"/>
    </row>
    <row r="9" spans="1:27">
      <c r="A9" s="2" t="s">
        <v>48</v>
      </c>
      <c r="B9" s="2" t="s">
        <v>49</v>
      </c>
      <c r="C9" s="2" t="s">
        <v>19</v>
      </c>
      <c r="D9" s="2">
        <v>69</v>
      </c>
      <c r="E9" s="2" t="str">
        <f t="shared" si="2"/>
        <v>60+</v>
      </c>
      <c r="F9" s="2" t="s">
        <v>30</v>
      </c>
      <c r="G9" s="2" t="s">
        <v>21</v>
      </c>
      <c r="H9" s="2">
        <v>19</v>
      </c>
      <c r="I9" s="2" t="str">
        <f t="shared" si="0"/>
        <v>13-24 months</v>
      </c>
      <c r="J9" s="3">
        <v>849</v>
      </c>
      <c r="K9" s="3">
        <v>16131</v>
      </c>
      <c r="L9" s="2" t="s">
        <v>31</v>
      </c>
      <c r="M9" s="4">
        <v>45346</v>
      </c>
      <c r="N9" s="2" t="s">
        <v>23</v>
      </c>
      <c r="O9" s="2">
        <f t="shared" si="3"/>
        <v>0</v>
      </c>
      <c r="P9" s="2" t="s">
        <v>23</v>
      </c>
      <c r="Q9" s="2" t="s">
        <v>23</v>
      </c>
      <c r="R9" s="2" t="s">
        <v>23</v>
      </c>
      <c r="S9" s="2" t="s">
        <v>23</v>
      </c>
      <c r="T9" s="2" t="s">
        <v>23</v>
      </c>
      <c r="U9" s="25">
        <f t="shared" si="1"/>
        <v>16131.000008999999</v>
      </c>
    </row>
    <row r="10" spans="1:27">
      <c r="A10" s="2" t="s">
        <v>50</v>
      </c>
      <c r="B10" s="2" t="s">
        <v>51</v>
      </c>
      <c r="C10" s="2" t="s">
        <v>35</v>
      </c>
      <c r="D10" s="2">
        <v>26</v>
      </c>
      <c r="E10" s="2" t="str">
        <f t="shared" si="2"/>
        <v>26-35</v>
      </c>
      <c r="F10" s="2" t="s">
        <v>20</v>
      </c>
      <c r="G10" s="2" t="s">
        <v>27</v>
      </c>
      <c r="H10" s="2">
        <v>38</v>
      </c>
      <c r="I10" s="2" t="str">
        <f t="shared" si="0"/>
        <v>25-48 months</v>
      </c>
      <c r="J10" s="3">
        <v>1149</v>
      </c>
      <c r="K10" s="3">
        <v>43662</v>
      </c>
      <c r="L10" s="2" t="s">
        <v>22</v>
      </c>
      <c r="M10" s="4">
        <v>44784</v>
      </c>
      <c r="N10" s="2" t="s">
        <v>23</v>
      </c>
      <c r="O10" s="2">
        <f t="shared" si="3"/>
        <v>0</v>
      </c>
      <c r="P10" s="2" t="s">
        <v>23</v>
      </c>
      <c r="Q10" s="2" t="s">
        <v>23</v>
      </c>
      <c r="R10" s="2" t="s">
        <v>23</v>
      </c>
      <c r="S10" s="2" t="s">
        <v>32</v>
      </c>
      <c r="T10" s="2" t="s">
        <v>23</v>
      </c>
      <c r="U10" s="25">
        <f t="shared" si="1"/>
        <v>43662.000010000003</v>
      </c>
    </row>
    <row r="11" spans="1:27">
      <c r="A11" s="2" t="s">
        <v>52</v>
      </c>
      <c r="B11" s="2" t="s">
        <v>53</v>
      </c>
      <c r="C11" s="2" t="s">
        <v>35</v>
      </c>
      <c r="D11" s="2">
        <v>73</v>
      </c>
      <c r="E11" s="2" t="str">
        <f t="shared" si="2"/>
        <v>60+</v>
      </c>
      <c r="F11" s="2" t="s">
        <v>41</v>
      </c>
      <c r="G11" s="2" t="s">
        <v>21</v>
      </c>
      <c r="H11" s="2">
        <v>22</v>
      </c>
      <c r="I11" s="2" t="str">
        <f t="shared" si="0"/>
        <v>13-24 months</v>
      </c>
      <c r="J11" s="3">
        <v>749</v>
      </c>
      <c r="K11" s="3">
        <v>16478</v>
      </c>
      <c r="L11" s="2" t="s">
        <v>31</v>
      </c>
      <c r="M11" s="4"/>
      <c r="N11" s="2" t="s">
        <v>32</v>
      </c>
      <c r="O11" s="2">
        <f t="shared" si="3"/>
        <v>1</v>
      </c>
      <c r="P11" s="2" t="s">
        <v>23</v>
      </c>
      <c r="Q11" s="2" t="s">
        <v>23</v>
      </c>
      <c r="R11" s="2" t="s">
        <v>23</v>
      </c>
      <c r="S11" s="2" t="s">
        <v>23</v>
      </c>
      <c r="T11" s="2" t="s">
        <v>54</v>
      </c>
      <c r="U11" s="25">
        <f t="shared" si="1"/>
        <v>16478.000011</v>
      </c>
    </row>
    <row r="12" spans="1:27">
      <c r="A12" s="2" t="s">
        <v>55</v>
      </c>
      <c r="B12" s="2" t="s">
        <v>56</v>
      </c>
      <c r="C12" s="2" t="s">
        <v>35</v>
      </c>
      <c r="D12" s="2">
        <v>53</v>
      </c>
      <c r="E12" s="2" t="str">
        <f t="shared" si="2"/>
        <v>46-60</v>
      </c>
      <c r="F12" s="2" t="s">
        <v>57</v>
      </c>
      <c r="G12" s="2" t="s">
        <v>47</v>
      </c>
      <c r="H12" s="2">
        <v>15</v>
      </c>
      <c r="I12" s="2" t="str">
        <f t="shared" si="0"/>
        <v>13-24 months</v>
      </c>
      <c r="J12" s="3">
        <v>1149</v>
      </c>
      <c r="K12" s="3">
        <v>17235</v>
      </c>
      <c r="L12" s="2" t="s">
        <v>22</v>
      </c>
      <c r="M12" s="4">
        <v>45468</v>
      </c>
      <c r="N12" s="2" t="s">
        <v>23</v>
      </c>
      <c r="O12" s="2">
        <f t="shared" si="3"/>
        <v>0</v>
      </c>
      <c r="P12" s="2" t="s">
        <v>23</v>
      </c>
      <c r="Q12" s="2" t="s">
        <v>23</v>
      </c>
      <c r="R12" s="2" t="s">
        <v>23</v>
      </c>
      <c r="S12" s="2" t="s">
        <v>23</v>
      </c>
      <c r="T12" s="2" t="s">
        <v>23</v>
      </c>
      <c r="U12" s="25">
        <f t="shared" si="1"/>
        <v>17235.000012</v>
      </c>
      <c r="AA12" s="8"/>
    </row>
    <row r="13" spans="1:27">
      <c r="A13" s="2" t="s">
        <v>58</v>
      </c>
      <c r="B13" s="2" t="s">
        <v>59</v>
      </c>
      <c r="C13" s="2" t="s">
        <v>19</v>
      </c>
      <c r="D13" s="2">
        <v>28</v>
      </c>
      <c r="E13" s="2" t="str">
        <f t="shared" si="2"/>
        <v>26-35</v>
      </c>
      <c r="F13" s="2" t="s">
        <v>60</v>
      </c>
      <c r="G13" s="2" t="s">
        <v>21</v>
      </c>
      <c r="H13" s="2">
        <v>24</v>
      </c>
      <c r="I13" s="2" t="str">
        <f t="shared" si="0"/>
        <v>13-24 months</v>
      </c>
      <c r="J13" s="3">
        <v>1149</v>
      </c>
      <c r="K13" s="3">
        <v>27576</v>
      </c>
      <c r="L13" s="2" t="s">
        <v>22</v>
      </c>
      <c r="M13" s="4">
        <v>45205</v>
      </c>
      <c r="N13" s="2" t="s">
        <v>23</v>
      </c>
      <c r="O13" s="2">
        <f t="shared" si="3"/>
        <v>0</v>
      </c>
      <c r="P13" s="2" t="s">
        <v>23</v>
      </c>
      <c r="Q13" s="2" t="s">
        <v>23</v>
      </c>
      <c r="R13" s="2" t="s">
        <v>23</v>
      </c>
      <c r="S13" s="2" t="s">
        <v>23</v>
      </c>
      <c r="T13" s="2" t="s">
        <v>23</v>
      </c>
      <c r="U13" s="25">
        <f t="shared" si="1"/>
        <v>27576.000013000001</v>
      </c>
      <c r="AA13" s="6"/>
    </row>
    <row r="14" spans="1:27">
      <c r="A14" s="2" t="s">
        <v>61</v>
      </c>
      <c r="B14" s="2" t="s">
        <v>62</v>
      </c>
      <c r="C14" s="2" t="s">
        <v>37</v>
      </c>
      <c r="D14" s="2">
        <v>30</v>
      </c>
      <c r="E14" s="2" t="str">
        <f t="shared" si="2"/>
        <v>26-35</v>
      </c>
      <c r="F14" s="2" t="s">
        <v>63</v>
      </c>
      <c r="G14" s="2" t="s">
        <v>21</v>
      </c>
      <c r="H14" s="2">
        <v>17</v>
      </c>
      <c r="I14" s="2" t="str">
        <f t="shared" si="0"/>
        <v>13-24 months</v>
      </c>
      <c r="J14" s="3">
        <v>599</v>
      </c>
      <c r="K14" s="3">
        <v>10183</v>
      </c>
      <c r="L14" s="2" t="s">
        <v>31</v>
      </c>
      <c r="M14" s="4">
        <v>45415</v>
      </c>
      <c r="N14" s="2" t="s">
        <v>23</v>
      </c>
      <c r="O14" s="2">
        <f t="shared" si="3"/>
        <v>0</v>
      </c>
      <c r="P14" s="2" t="s">
        <v>23</v>
      </c>
      <c r="Q14" s="2" t="s">
        <v>23</v>
      </c>
      <c r="R14" s="2" t="s">
        <v>23</v>
      </c>
      <c r="S14" s="2" t="s">
        <v>23</v>
      </c>
      <c r="T14" s="2" t="s">
        <v>23</v>
      </c>
      <c r="U14" s="25">
        <f t="shared" si="1"/>
        <v>10183.000013999999</v>
      </c>
      <c r="AA14" s="7"/>
    </row>
    <row r="15" spans="1:27">
      <c r="A15" s="2" t="s">
        <v>64</v>
      </c>
      <c r="B15" s="2" t="s">
        <v>65</v>
      </c>
      <c r="C15" s="2" t="s">
        <v>35</v>
      </c>
      <c r="D15" s="2">
        <v>21</v>
      </c>
      <c r="E15" s="2" t="str">
        <f t="shared" si="2"/>
        <v>18-25</v>
      </c>
      <c r="F15" s="2" t="s">
        <v>20</v>
      </c>
      <c r="G15" s="2" t="s">
        <v>47</v>
      </c>
      <c r="H15" s="2">
        <v>11</v>
      </c>
      <c r="I15" s="2" t="str">
        <f t="shared" si="0"/>
        <v>7-12 months</v>
      </c>
      <c r="J15" s="3">
        <v>349</v>
      </c>
      <c r="K15" s="3">
        <v>3839</v>
      </c>
      <c r="L15" s="2" t="s">
        <v>66</v>
      </c>
      <c r="M15" s="4">
        <v>45581</v>
      </c>
      <c r="N15" s="2" t="s">
        <v>23</v>
      </c>
      <c r="O15" s="2">
        <f t="shared" si="3"/>
        <v>0</v>
      </c>
      <c r="P15" s="2" t="s">
        <v>23</v>
      </c>
      <c r="Q15" s="2" t="s">
        <v>23</v>
      </c>
      <c r="R15" s="2" t="s">
        <v>23</v>
      </c>
      <c r="S15" s="2" t="s">
        <v>23</v>
      </c>
      <c r="T15" s="2" t="s">
        <v>23</v>
      </c>
      <c r="U15" s="25">
        <f t="shared" si="1"/>
        <v>3839.0000150000001</v>
      </c>
    </row>
    <row r="16" spans="1:27">
      <c r="A16" s="2" t="s">
        <v>67</v>
      </c>
      <c r="B16" s="2" t="s">
        <v>68</v>
      </c>
      <c r="C16" s="2" t="s">
        <v>37</v>
      </c>
      <c r="D16" s="2">
        <v>48</v>
      </c>
      <c r="E16" s="2" t="str">
        <f t="shared" si="2"/>
        <v>46-60</v>
      </c>
      <c r="F16" s="2" t="s">
        <v>26</v>
      </c>
      <c r="G16" s="2" t="s">
        <v>21</v>
      </c>
      <c r="H16" s="2">
        <v>20</v>
      </c>
      <c r="I16" s="2" t="str">
        <f t="shared" si="0"/>
        <v>13-24 months</v>
      </c>
      <c r="J16" s="3">
        <v>999</v>
      </c>
      <c r="K16" s="3">
        <v>19980</v>
      </c>
      <c r="L16" s="2" t="s">
        <v>22</v>
      </c>
      <c r="M16" s="4">
        <v>45306</v>
      </c>
      <c r="N16" s="2" t="s">
        <v>23</v>
      </c>
      <c r="O16" s="2">
        <f t="shared" si="3"/>
        <v>0</v>
      </c>
      <c r="P16" s="2" t="s">
        <v>23</v>
      </c>
      <c r="Q16" s="2" t="s">
        <v>23</v>
      </c>
      <c r="R16" s="2" t="s">
        <v>23</v>
      </c>
      <c r="S16" s="2" t="s">
        <v>23</v>
      </c>
      <c r="T16" s="2" t="s">
        <v>23</v>
      </c>
      <c r="U16" s="25">
        <f t="shared" si="1"/>
        <v>19980.000016000002</v>
      </c>
    </row>
    <row r="17" spans="1:25">
      <c r="A17" s="2" t="s">
        <v>69</v>
      </c>
      <c r="B17" s="2" t="s">
        <v>70</v>
      </c>
      <c r="C17" s="2" t="s">
        <v>19</v>
      </c>
      <c r="D17" s="2">
        <v>60</v>
      </c>
      <c r="E17" s="2" t="str">
        <f t="shared" si="2"/>
        <v>46-60</v>
      </c>
      <c r="F17" s="2" t="s">
        <v>71</v>
      </c>
      <c r="G17" s="2" t="s">
        <v>21</v>
      </c>
      <c r="H17" s="2"/>
      <c r="I17" s="2" t="str">
        <f t="shared" si="0"/>
        <v>Unknown</v>
      </c>
      <c r="J17" s="3"/>
      <c r="K17" s="3">
        <v>5985</v>
      </c>
      <c r="L17" s="2" t="s">
        <v>66</v>
      </c>
      <c r="M17" s="4">
        <v>45478</v>
      </c>
      <c r="N17" s="2" t="s">
        <v>32</v>
      </c>
      <c r="O17" s="2">
        <f t="shared" si="3"/>
        <v>1</v>
      </c>
      <c r="P17" s="2" t="s">
        <v>23</v>
      </c>
      <c r="Q17" s="2" t="s">
        <v>23</v>
      </c>
      <c r="R17" s="2" t="s">
        <v>23</v>
      </c>
      <c r="S17" s="2" t="s">
        <v>23</v>
      </c>
      <c r="T17" s="2" t="s">
        <v>72</v>
      </c>
      <c r="U17" s="25">
        <f t="shared" si="1"/>
        <v>5985.0000170000003</v>
      </c>
    </row>
    <row r="18" spans="1:25">
      <c r="A18" s="2" t="s">
        <v>73</v>
      </c>
      <c r="B18" s="2" t="s">
        <v>74</v>
      </c>
      <c r="C18" s="2" t="s">
        <v>19</v>
      </c>
      <c r="D18" s="2">
        <v>18</v>
      </c>
      <c r="E18" s="2" t="str">
        <f t="shared" si="2"/>
        <v>18-25</v>
      </c>
      <c r="F18" s="2" t="s">
        <v>41</v>
      </c>
      <c r="G18" s="2" t="s">
        <v>27</v>
      </c>
      <c r="H18" s="2">
        <v>5</v>
      </c>
      <c r="I18" s="2" t="str">
        <f t="shared" si="0"/>
        <v>0-6 months</v>
      </c>
      <c r="J18" s="3">
        <v>599</v>
      </c>
      <c r="K18" s="3">
        <v>2995</v>
      </c>
      <c r="L18" s="2" t="s">
        <v>31</v>
      </c>
      <c r="M18" s="4">
        <v>45771</v>
      </c>
      <c r="N18" s="2" t="s">
        <v>32</v>
      </c>
      <c r="O18" s="2">
        <f t="shared" si="3"/>
        <v>1</v>
      </c>
      <c r="P18" s="2" t="s">
        <v>23</v>
      </c>
      <c r="Q18" s="2" t="s">
        <v>23</v>
      </c>
      <c r="R18" s="2" t="s">
        <v>23</v>
      </c>
      <c r="S18" s="2" t="s">
        <v>23</v>
      </c>
      <c r="T18" s="2" t="s">
        <v>23</v>
      </c>
      <c r="U18" s="25">
        <f t="shared" si="1"/>
        <v>2995.0000180000002</v>
      </c>
      <c r="Y18" s="5"/>
    </row>
    <row r="19" spans="1:25">
      <c r="A19" s="2" t="s">
        <v>75</v>
      </c>
      <c r="B19" s="2" t="s">
        <v>76</v>
      </c>
      <c r="C19" s="2" t="s">
        <v>35</v>
      </c>
      <c r="D19" s="2">
        <v>52</v>
      </c>
      <c r="E19" s="2" t="str">
        <f t="shared" si="2"/>
        <v>46-60</v>
      </c>
      <c r="F19" s="2" t="s">
        <v>63</v>
      </c>
      <c r="G19" s="2" t="s">
        <v>27</v>
      </c>
      <c r="H19" s="2">
        <v>37</v>
      </c>
      <c r="I19" s="2" t="str">
        <f t="shared" si="0"/>
        <v>25-48 months</v>
      </c>
      <c r="J19" s="3">
        <v>499</v>
      </c>
      <c r="K19" s="3">
        <v>18463</v>
      </c>
      <c r="L19" s="2" t="s">
        <v>66</v>
      </c>
      <c r="M19" s="4">
        <v>44812</v>
      </c>
      <c r="N19" s="2" t="s">
        <v>23</v>
      </c>
      <c r="O19" s="2">
        <f t="shared" si="3"/>
        <v>0</v>
      </c>
      <c r="P19" s="2" t="s">
        <v>23</v>
      </c>
      <c r="Q19" s="2" t="s">
        <v>23</v>
      </c>
      <c r="R19" s="2" t="s">
        <v>23</v>
      </c>
      <c r="S19" s="2" t="s">
        <v>23</v>
      </c>
      <c r="T19" s="2" t="s">
        <v>23</v>
      </c>
      <c r="U19" s="25">
        <f t="shared" si="1"/>
        <v>18463.000018999999</v>
      </c>
      <c r="Y19" s="5"/>
    </row>
    <row r="20" spans="1:25">
      <c r="A20" s="2" t="s">
        <v>77</v>
      </c>
      <c r="B20" s="2" t="s">
        <v>78</v>
      </c>
      <c r="C20" s="2" t="s">
        <v>19</v>
      </c>
      <c r="D20" s="2">
        <v>45</v>
      </c>
      <c r="E20" s="2" t="str">
        <f t="shared" si="2"/>
        <v>36-45</v>
      </c>
      <c r="F20" s="2" t="s">
        <v>30</v>
      </c>
      <c r="G20" s="2" t="s">
        <v>21</v>
      </c>
      <c r="H20" s="2">
        <v>24</v>
      </c>
      <c r="I20" s="2" t="str">
        <f t="shared" si="0"/>
        <v>13-24 months</v>
      </c>
      <c r="J20" s="3">
        <v>1199</v>
      </c>
      <c r="K20" s="3">
        <v>28776</v>
      </c>
      <c r="L20" s="2" t="s">
        <v>22</v>
      </c>
      <c r="M20" s="4">
        <v>45185</v>
      </c>
      <c r="N20" s="2" t="s">
        <v>32</v>
      </c>
      <c r="O20" s="2">
        <f t="shared" si="3"/>
        <v>1</v>
      </c>
      <c r="P20" s="2" t="s">
        <v>23</v>
      </c>
      <c r="Q20" s="2" t="s">
        <v>23</v>
      </c>
      <c r="R20" s="2" t="s">
        <v>23</v>
      </c>
      <c r="S20" s="2" t="s">
        <v>23</v>
      </c>
      <c r="T20" s="2" t="s">
        <v>23</v>
      </c>
      <c r="U20" s="25">
        <f t="shared" si="1"/>
        <v>28776.000019999999</v>
      </c>
      <c r="Y20" s="5"/>
    </row>
    <row r="21" spans="1:25">
      <c r="A21" s="2" t="s">
        <v>79</v>
      </c>
      <c r="B21" s="2" t="s">
        <v>80</v>
      </c>
      <c r="C21" s="2" t="s">
        <v>35</v>
      </c>
      <c r="D21" s="2">
        <v>30</v>
      </c>
      <c r="E21" s="2" t="str">
        <f t="shared" si="2"/>
        <v>26-35</v>
      </c>
      <c r="F21" s="2" t="s">
        <v>20</v>
      </c>
      <c r="G21" s="2" t="s">
        <v>21</v>
      </c>
      <c r="H21" s="2">
        <v>6</v>
      </c>
      <c r="I21" s="2" t="str">
        <f t="shared" si="0"/>
        <v>0-6 months</v>
      </c>
      <c r="J21" s="3">
        <v>699</v>
      </c>
      <c r="K21" s="3">
        <v>4194</v>
      </c>
      <c r="L21" s="2" t="s">
        <v>31</v>
      </c>
      <c r="M21" s="4">
        <v>45746</v>
      </c>
      <c r="N21" s="2" t="s">
        <v>23</v>
      </c>
      <c r="O21" s="2">
        <f t="shared" si="3"/>
        <v>0</v>
      </c>
      <c r="P21" s="2" t="s">
        <v>23</v>
      </c>
      <c r="Q21" s="2" t="s">
        <v>23</v>
      </c>
      <c r="R21" s="2" t="s">
        <v>23</v>
      </c>
      <c r="S21" s="2" t="s">
        <v>32</v>
      </c>
      <c r="T21" s="2" t="s">
        <v>23</v>
      </c>
      <c r="U21" s="25">
        <f t="shared" si="1"/>
        <v>4194.0000209999998</v>
      </c>
      <c r="Y21" s="5"/>
    </row>
    <row r="22" spans="1:25">
      <c r="A22" s="2" t="s">
        <v>81</v>
      </c>
      <c r="B22" s="2" t="s">
        <v>82</v>
      </c>
      <c r="C22" s="2" t="s">
        <v>35</v>
      </c>
      <c r="D22" s="2">
        <v>21</v>
      </c>
      <c r="E22" s="2" t="str">
        <f t="shared" si="2"/>
        <v>18-25</v>
      </c>
      <c r="F22" s="2" t="s">
        <v>71</v>
      </c>
      <c r="G22" s="2" t="s">
        <v>47</v>
      </c>
      <c r="H22" s="2">
        <v>12</v>
      </c>
      <c r="I22" s="2" t="str">
        <f t="shared" si="0"/>
        <v>7-12 months</v>
      </c>
      <c r="J22" s="3">
        <v>399</v>
      </c>
      <c r="K22" s="3">
        <v>4788</v>
      </c>
      <c r="L22" s="2" t="s">
        <v>66</v>
      </c>
      <c r="M22" s="4">
        <v>45553</v>
      </c>
      <c r="N22" s="2" t="s">
        <v>23</v>
      </c>
      <c r="O22" s="2">
        <f t="shared" si="3"/>
        <v>0</v>
      </c>
      <c r="P22" s="2" t="s">
        <v>23</v>
      </c>
      <c r="Q22" s="2" t="s">
        <v>23</v>
      </c>
      <c r="R22" s="2" t="s">
        <v>23</v>
      </c>
      <c r="S22" s="2" t="s">
        <v>32</v>
      </c>
      <c r="T22" s="2" t="s">
        <v>23</v>
      </c>
      <c r="U22" s="25">
        <f t="shared" si="1"/>
        <v>4788.0000220000002</v>
      </c>
      <c r="Y22" s="5"/>
    </row>
    <row r="23" spans="1:25">
      <c r="A23" s="2" t="s">
        <v>83</v>
      </c>
      <c r="B23" s="2" t="s">
        <v>84</v>
      </c>
      <c r="C23" s="2" t="s">
        <v>35</v>
      </c>
      <c r="D23" s="2">
        <v>75</v>
      </c>
      <c r="E23" s="2" t="str">
        <f t="shared" si="2"/>
        <v>60+</v>
      </c>
      <c r="F23" s="2" t="s">
        <v>36</v>
      </c>
      <c r="G23" s="2" t="s">
        <v>21</v>
      </c>
      <c r="H23" s="2">
        <v>13</v>
      </c>
      <c r="I23" s="2" t="str">
        <f t="shared" si="0"/>
        <v>13-24 months</v>
      </c>
      <c r="J23" s="3">
        <v>699</v>
      </c>
      <c r="K23" s="3">
        <v>9087</v>
      </c>
      <c r="L23" s="2" t="s">
        <v>31</v>
      </c>
      <c r="M23" s="4">
        <v>45516</v>
      </c>
      <c r="N23" s="2" t="s">
        <v>32</v>
      </c>
      <c r="O23" s="2">
        <f t="shared" si="3"/>
        <v>1</v>
      </c>
      <c r="P23" s="2" t="s">
        <v>23</v>
      </c>
      <c r="Q23" s="2" t="s">
        <v>23</v>
      </c>
      <c r="R23" s="2" t="s">
        <v>23</v>
      </c>
      <c r="S23" s="2" t="s">
        <v>23</v>
      </c>
      <c r="T23" s="2" t="s">
        <v>23</v>
      </c>
      <c r="U23" s="25">
        <f t="shared" si="1"/>
        <v>9087.0000230000005</v>
      </c>
    </row>
    <row r="24" spans="1:25">
      <c r="A24" s="2" t="s">
        <v>85</v>
      </c>
      <c r="B24" s="2" t="s">
        <v>86</v>
      </c>
      <c r="C24" s="2" t="s">
        <v>35</v>
      </c>
      <c r="D24" s="2">
        <v>36</v>
      </c>
      <c r="E24" s="2" t="str">
        <f t="shared" si="2"/>
        <v>36-45</v>
      </c>
      <c r="F24" s="2" t="s">
        <v>20</v>
      </c>
      <c r="G24" s="2" t="s">
        <v>47</v>
      </c>
      <c r="H24" s="2">
        <v>70</v>
      </c>
      <c r="I24" s="2" t="str">
        <f t="shared" si="0"/>
        <v>49+ months</v>
      </c>
      <c r="J24" s="3">
        <v>1199</v>
      </c>
      <c r="K24" s="3">
        <v>83930</v>
      </c>
      <c r="L24" s="2" t="s">
        <v>22</v>
      </c>
      <c r="M24" s="4">
        <v>43810</v>
      </c>
      <c r="N24" s="2" t="s">
        <v>32</v>
      </c>
      <c r="O24" s="2">
        <f t="shared" si="3"/>
        <v>1</v>
      </c>
      <c r="P24" s="2" t="s">
        <v>23</v>
      </c>
      <c r="Q24" s="2" t="s">
        <v>23</v>
      </c>
      <c r="R24" s="2" t="s">
        <v>23</v>
      </c>
      <c r="S24" s="2" t="s">
        <v>23</v>
      </c>
      <c r="T24" s="2" t="s">
        <v>23</v>
      </c>
      <c r="U24" s="25">
        <f t="shared" si="1"/>
        <v>83930.000023999994</v>
      </c>
    </row>
    <row r="25" spans="1:25">
      <c r="A25" s="2" t="s">
        <v>87</v>
      </c>
      <c r="B25" s="2" t="s">
        <v>88</v>
      </c>
      <c r="C25" s="2" t="s">
        <v>35</v>
      </c>
      <c r="D25" s="2">
        <v>28</v>
      </c>
      <c r="E25" s="2" t="str">
        <f t="shared" si="2"/>
        <v>26-35</v>
      </c>
      <c r="F25" s="2" t="s">
        <v>37</v>
      </c>
      <c r="G25" s="2" t="s">
        <v>47</v>
      </c>
      <c r="H25" s="2">
        <v>24</v>
      </c>
      <c r="I25" s="2" t="str">
        <f t="shared" si="0"/>
        <v>13-24 months</v>
      </c>
      <c r="J25" s="3">
        <v>599</v>
      </c>
      <c r="K25" s="3">
        <v>14376</v>
      </c>
      <c r="L25" s="2" t="s">
        <v>31</v>
      </c>
      <c r="M25" s="4">
        <v>45201</v>
      </c>
      <c r="N25" s="2" t="s">
        <v>23</v>
      </c>
      <c r="O25" s="2">
        <f t="shared" si="3"/>
        <v>0</v>
      </c>
      <c r="P25" s="2" t="s">
        <v>23</v>
      </c>
      <c r="Q25" s="2" t="s">
        <v>23</v>
      </c>
      <c r="R25" s="2" t="s">
        <v>23</v>
      </c>
      <c r="S25" s="2" t="s">
        <v>23</v>
      </c>
      <c r="T25" s="2" t="s">
        <v>23</v>
      </c>
      <c r="U25" s="25">
        <f t="shared" si="1"/>
        <v>14376.000024999999</v>
      </c>
    </row>
    <row r="26" spans="1:25">
      <c r="A26" s="2" t="s">
        <v>89</v>
      </c>
      <c r="B26" s="2" t="s">
        <v>90</v>
      </c>
      <c r="C26" s="2" t="s">
        <v>35</v>
      </c>
      <c r="D26" s="2">
        <v>33</v>
      </c>
      <c r="E26" s="2" t="str">
        <f t="shared" si="2"/>
        <v>26-35</v>
      </c>
      <c r="F26" s="2" t="s">
        <v>91</v>
      </c>
      <c r="G26" s="2" t="s">
        <v>27</v>
      </c>
      <c r="H26" s="2">
        <v>27</v>
      </c>
      <c r="I26" s="2" t="str">
        <f t="shared" si="0"/>
        <v>25-48 months</v>
      </c>
      <c r="J26" s="3">
        <v>1149</v>
      </c>
      <c r="K26" s="3">
        <v>31023</v>
      </c>
      <c r="L26" s="2" t="s">
        <v>22</v>
      </c>
      <c r="M26" s="4">
        <v>45089</v>
      </c>
      <c r="N26" s="2" t="s">
        <v>23</v>
      </c>
      <c r="O26" s="2">
        <f t="shared" si="3"/>
        <v>0</v>
      </c>
      <c r="P26" s="2" t="s">
        <v>23</v>
      </c>
      <c r="Q26" s="2" t="s">
        <v>23</v>
      </c>
      <c r="R26" s="2" t="s">
        <v>23</v>
      </c>
      <c r="S26" s="2" t="s">
        <v>23</v>
      </c>
      <c r="T26" s="2" t="s">
        <v>23</v>
      </c>
      <c r="U26" s="25">
        <f t="shared" si="1"/>
        <v>31023.000026000002</v>
      </c>
    </row>
    <row r="27" spans="1:25">
      <c r="A27" s="2" t="s">
        <v>92</v>
      </c>
      <c r="B27" s="2" t="s">
        <v>93</v>
      </c>
      <c r="C27" s="2" t="s">
        <v>35</v>
      </c>
      <c r="D27" s="2">
        <v>63</v>
      </c>
      <c r="E27" s="2" t="str">
        <f t="shared" si="2"/>
        <v>60+</v>
      </c>
      <c r="F27" s="2" t="s">
        <v>30</v>
      </c>
      <c r="G27" s="2" t="s">
        <v>21</v>
      </c>
      <c r="H27" s="2">
        <v>22</v>
      </c>
      <c r="I27" s="2" t="str">
        <f t="shared" si="0"/>
        <v>13-24 months</v>
      </c>
      <c r="J27" s="3">
        <v>1049</v>
      </c>
      <c r="K27" s="3">
        <v>23078</v>
      </c>
      <c r="L27" s="2" t="s">
        <v>22</v>
      </c>
      <c r="M27" s="4"/>
      <c r="N27" s="2" t="s">
        <v>32</v>
      </c>
      <c r="O27" s="2">
        <f t="shared" si="3"/>
        <v>1</v>
      </c>
      <c r="P27" s="2" t="s">
        <v>23</v>
      </c>
      <c r="Q27" s="2" t="s">
        <v>23</v>
      </c>
      <c r="R27" s="2" t="s">
        <v>23</v>
      </c>
      <c r="S27" s="2" t="s">
        <v>23</v>
      </c>
      <c r="T27" s="2" t="s">
        <v>54</v>
      </c>
      <c r="U27" s="25">
        <f t="shared" si="1"/>
        <v>23078.000026999998</v>
      </c>
    </row>
    <row r="28" spans="1:25">
      <c r="A28" s="2" t="s">
        <v>94</v>
      </c>
      <c r="B28" s="2" t="s">
        <v>95</v>
      </c>
      <c r="C28" s="2" t="s">
        <v>19</v>
      </c>
      <c r="D28" s="2">
        <v>57</v>
      </c>
      <c r="E28" s="2" t="str">
        <f t="shared" si="2"/>
        <v>46-60</v>
      </c>
      <c r="F28" s="2" t="s">
        <v>91</v>
      </c>
      <c r="G28" s="2" t="s">
        <v>47</v>
      </c>
      <c r="H28" s="2">
        <v>28</v>
      </c>
      <c r="I28" s="2" t="str">
        <f t="shared" si="0"/>
        <v>25-48 months</v>
      </c>
      <c r="J28" s="3">
        <v>799</v>
      </c>
      <c r="K28" s="3">
        <v>22372</v>
      </c>
      <c r="L28" s="2" t="s">
        <v>31</v>
      </c>
      <c r="M28" s="4">
        <v>45060</v>
      </c>
      <c r="N28" s="2" t="s">
        <v>23</v>
      </c>
      <c r="O28" s="2">
        <f t="shared" si="3"/>
        <v>0</v>
      </c>
      <c r="P28" s="2" t="s">
        <v>23</v>
      </c>
      <c r="Q28" s="2" t="s">
        <v>23</v>
      </c>
      <c r="R28" s="2" t="s">
        <v>23</v>
      </c>
      <c r="S28" s="2" t="s">
        <v>23</v>
      </c>
      <c r="T28" s="2" t="s">
        <v>23</v>
      </c>
      <c r="U28" s="25">
        <f t="shared" si="1"/>
        <v>22372.000027999999</v>
      </c>
    </row>
    <row r="29" spans="1:25">
      <c r="A29" s="2" t="s">
        <v>96</v>
      </c>
      <c r="B29" s="2" t="s">
        <v>37</v>
      </c>
      <c r="C29" s="2" t="s">
        <v>19</v>
      </c>
      <c r="D29" s="2">
        <v>36</v>
      </c>
      <c r="E29" s="2" t="str">
        <f t="shared" si="2"/>
        <v>36-45</v>
      </c>
      <c r="F29" s="2" t="s">
        <v>63</v>
      </c>
      <c r="G29" s="2" t="s">
        <v>21</v>
      </c>
      <c r="H29" s="2">
        <v>10</v>
      </c>
      <c r="I29" s="2" t="str">
        <f t="shared" si="0"/>
        <v>7-12 months</v>
      </c>
      <c r="J29" s="3">
        <v>1299</v>
      </c>
      <c r="K29" s="3">
        <v>12990</v>
      </c>
      <c r="L29" s="2" t="s">
        <v>22</v>
      </c>
      <c r="M29" s="4">
        <v>45602</v>
      </c>
      <c r="N29" s="2" t="s">
        <v>32</v>
      </c>
      <c r="O29" s="2">
        <f t="shared" si="3"/>
        <v>1</v>
      </c>
      <c r="P29" s="2" t="s">
        <v>23</v>
      </c>
      <c r="Q29" s="2" t="s">
        <v>23</v>
      </c>
      <c r="R29" s="2" t="s">
        <v>23</v>
      </c>
      <c r="S29" s="2" t="s">
        <v>23</v>
      </c>
      <c r="T29" s="2" t="s">
        <v>23</v>
      </c>
      <c r="U29" s="25">
        <f t="shared" si="1"/>
        <v>12990.000029000001</v>
      </c>
    </row>
    <row r="30" spans="1:25">
      <c r="A30" s="2" t="s">
        <v>97</v>
      </c>
      <c r="B30" s="2" t="s">
        <v>98</v>
      </c>
      <c r="C30" s="2" t="s">
        <v>35</v>
      </c>
      <c r="D30" s="2">
        <v>34</v>
      </c>
      <c r="E30" s="2" t="str">
        <f t="shared" si="2"/>
        <v>26-35</v>
      </c>
      <c r="F30" s="2" t="s">
        <v>41</v>
      </c>
      <c r="G30" s="2" t="s">
        <v>47</v>
      </c>
      <c r="H30" s="2">
        <v>20</v>
      </c>
      <c r="I30" s="2" t="str">
        <f t="shared" si="0"/>
        <v>13-24 months</v>
      </c>
      <c r="J30" s="3">
        <v>1049</v>
      </c>
      <c r="K30" s="3">
        <v>20980</v>
      </c>
      <c r="L30" s="2" t="s">
        <v>22</v>
      </c>
      <c r="M30" s="4"/>
      <c r="N30" s="2" t="s">
        <v>23</v>
      </c>
      <c r="O30" s="2">
        <f t="shared" si="3"/>
        <v>0</v>
      </c>
      <c r="P30" s="2" t="s">
        <v>23</v>
      </c>
      <c r="Q30" s="2" t="s">
        <v>32</v>
      </c>
      <c r="R30" s="2" t="s">
        <v>23</v>
      </c>
      <c r="S30" s="2" t="s">
        <v>23</v>
      </c>
      <c r="T30" s="2" t="s">
        <v>54</v>
      </c>
      <c r="U30" s="25">
        <f t="shared" si="1"/>
        <v>20980.000029999999</v>
      </c>
    </row>
    <row r="31" spans="1:25">
      <c r="A31" s="2" t="s">
        <v>99</v>
      </c>
      <c r="B31" s="2" t="s">
        <v>100</v>
      </c>
      <c r="C31" s="2" t="s">
        <v>19</v>
      </c>
      <c r="D31" s="2">
        <v>49</v>
      </c>
      <c r="E31" s="2" t="str">
        <f t="shared" si="2"/>
        <v>46-60</v>
      </c>
      <c r="F31" s="2" t="s">
        <v>46</v>
      </c>
      <c r="G31" s="2" t="s">
        <v>37</v>
      </c>
      <c r="H31" s="2">
        <v>12</v>
      </c>
      <c r="I31" s="2" t="str">
        <f t="shared" si="0"/>
        <v>7-12 months</v>
      </c>
      <c r="J31" s="3">
        <v>449</v>
      </c>
      <c r="K31" s="3">
        <v>5388</v>
      </c>
      <c r="L31" s="2" t="s">
        <v>66</v>
      </c>
      <c r="M31" s="4">
        <v>45558</v>
      </c>
      <c r="N31" s="2" t="s">
        <v>32</v>
      </c>
      <c r="O31" s="2">
        <f t="shared" si="3"/>
        <v>1</v>
      </c>
      <c r="P31" s="2" t="s">
        <v>23</v>
      </c>
      <c r="Q31" s="2" t="s">
        <v>23</v>
      </c>
      <c r="R31" s="2" t="s">
        <v>23</v>
      </c>
      <c r="S31" s="2" t="s">
        <v>23</v>
      </c>
      <c r="T31" s="2" t="s">
        <v>23</v>
      </c>
      <c r="U31" s="25">
        <f t="shared" si="1"/>
        <v>5388.0000309999996</v>
      </c>
    </row>
    <row r="32" spans="1:25">
      <c r="A32" s="2" t="s">
        <v>101</v>
      </c>
      <c r="B32" s="2" t="s">
        <v>102</v>
      </c>
      <c r="C32" s="2" t="s">
        <v>19</v>
      </c>
      <c r="D32" s="2">
        <v>65</v>
      </c>
      <c r="E32" s="2" t="str">
        <f t="shared" si="2"/>
        <v>60+</v>
      </c>
      <c r="F32" s="2" t="s">
        <v>60</v>
      </c>
      <c r="G32" s="2" t="s">
        <v>27</v>
      </c>
      <c r="H32" s="2">
        <v>1</v>
      </c>
      <c r="I32" s="2" t="str">
        <f t="shared" si="0"/>
        <v>0-6 months</v>
      </c>
      <c r="J32" s="3">
        <v>899</v>
      </c>
      <c r="K32" s="3">
        <v>899</v>
      </c>
      <c r="L32" s="2" t="s">
        <v>22</v>
      </c>
      <c r="M32" s="4">
        <v>45872</v>
      </c>
      <c r="N32" s="2" t="s">
        <v>23</v>
      </c>
      <c r="O32" s="2">
        <f t="shared" si="3"/>
        <v>0</v>
      </c>
      <c r="P32" s="2" t="s">
        <v>23</v>
      </c>
      <c r="Q32" s="2" t="s">
        <v>23</v>
      </c>
      <c r="R32" s="2" t="s">
        <v>23</v>
      </c>
      <c r="S32" s="2" t="s">
        <v>32</v>
      </c>
      <c r="T32" s="2" t="s">
        <v>23</v>
      </c>
      <c r="U32" s="25">
        <f t="shared" si="1"/>
        <v>899.00003200000003</v>
      </c>
    </row>
    <row r="33" spans="1:21">
      <c r="A33" s="2" t="s">
        <v>103</v>
      </c>
      <c r="B33" s="2" t="s">
        <v>104</v>
      </c>
      <c r="C33" s="2" t="s">
        <v>35</v>
      </c>
      <c r="D33" s="2">
        <v>27</v>
      </c>
      <c r="E33" s="2" t="str">
        <f t="shared" si="2"/>
        <v>26-35</v>
      </c>
      <c r="F33" s="2" t="s">
        <v>105</v>
      </c>
      <c r="G33" s="2" t="s">
        <v>21</v>
      </c>
      <c r="H33" s="2">
        <v>2</v>
      </c>
      <c r="I33" s="2" t="str">
        <f t="shared" si="0"/>
        <v>0-6 months</v>
      </c>
      <c r="J33" s="3">
        <v>699</v>
      </c>
      <c r="K33" s="3">
        <v>1398</v>
      </c>
      <c r="L33" s="2" t="s">
        <v>31</v>
      </c>
      <c r="M33" s="4">
        <v>45857</v>
      </c>
      <c r="N33" s="2" t="s">
        <v>23</v>
      </c>
      <c r="O33" s="2">
        <f t="shared" si="3"/>
        <v>0</v>
      </c>
      <c r="P33" s="2" t="s">
        <v>23</v>
      </c>
      <c r="Q33" s="2" t="s">
        <v>23</v>
      </c>
      <c r="R33" s="2" t="s">
        <v>23</v>
      </c>
      <c r="S33" s="2" t="s">
        <v>23</v>
      </c>
      <c r="T33" s="2" t="s">
        <v>23</v>
      </c>
      <c r="U33" s="25">
        <f t="shared" si="1"/>
        <v>1398.000033</v>
      </c>
    </row>
    <row r="34" spans="1:21">
      <c r="A34" s="2" t="s">
        <v>106</v>
      </c>
      <c r="B34" s="2" t="s">
        <v>107</v>
      </c>
      <c r="C34" s="2" t="s">
        <v>35</v>
      </c>
      <c r="D34" s="2">
        <v>27</v>
      </c>
      <c r="E34" s="2" t="str">
        <f t="shared" si="2"/>
        <v>26-35</v>
      </c>
      <c r="F34" s="2" t="s">
        <v>20</v>
      </c>
      <c r="G34" s="2" t="s">
        <v>47</v>
      </c>
      <c r="H34" s="2">
        <v>23</v>
      </c>
      <c r="I34" s="2" t="str">
        <f t="shared" si="0"/>
        <v>13-24 months</v>
      </c>
      <c r="J34" s="3">
        <v>399</v>
      </c>
      <c r="K34" s="3">
        <v>9177</v>
      </c>
      <c r="L34" s="2" t="s">
        <v>66</v>
      </c>
      <c r="M34" s="4">
        <v>45228</v>
      </c>
      <c r="N34" s="2" t="s">
        <v>23</v>
      </c>
      <c r="O34" s="2">
        <f t="shared" si="3"/>
        <v>0</v>
      </c>
      <c r="P34" s="2" t="s">
        <v>23</v>
      </c>
      <c r="Q34" s="2" t="s">
        <v>23</v>
      </c>
      <c r="R34" s="2" t="s">
        <v>23</v>
      </c>
      <c r="S34" s="2" t="s">
        <v>23</v>
      </c>
      <c r="T34" s="2" t="s">
        <v>23</v>
      </c>
      <c r="U34" s="25">
        <f t="shared" si="1"/>
        <v>9177.0000340000006</v>
      </c>
    </row>
    <row r="35" spans="1:21">
      <c r="A35" s="2" t="s">
        <v>108</v>
      </c>
      <c r="B35" s="2" t="s">
        <v>109</v>
      </c>
      <c r="C35" s="2" t="s">
        <v>35</v>
      </c>
      <c r="D35" s="2">
        <v>28</v>
      </c>
      <c r="E35" s="2" t="str">
        <f t="shared" si="2"/>
        <v>26-35</v>
      </c>
      <c r="F35" s="2" t="s">
        <v>110</v>
      </c>
      <c r="G35" s="2" t="s">
        <v>27</v>
      </c>
      <c r="H35" s="2">
        <v>3</v>
      </c>
      <c r="I35" s="2" t="str">
        <f t="shared" si="0"/>
        <v>0-6 months</v>
      </c>
      <c r="J35" s="3">
        <v>1099</v>
      </c>
      <c r="K35" s="3">
        <v>3297</v>
      </c>
      <c r="L35" s="2" t="s">
        <v>22</v>
      </c>
      <c r="M35" s="4">
        <v>45809</v>
      </c>
      <c r="N35" s="2" t="s">
        <v>32</v>
      </c>
      <c r="O35" s="2">
        <f t="shared" si="3"/>
        <v>1</v>
      </c>
      <c r="P35" s="2" t="s">
        <v>23</v>
      </c>
      <c r="Q35" s="2" t="s">
        <v>23</v>
      </c>
      <c r="R35" s="2" t="s">
        <v>23</v>
      </c>
      <c r="S35" s="2" t="s">
        <v>23</v>
      </c>
      <c r="T35" s="2" t="s">
        <v>23</v>
      </c>
      <c r="U35" s="25">
        <f t="shared" si="1"/>
        <v>3297.000035</v>
      </c>
    </row>
    <row r="36" spans="1:21">
      <c r="A36" s="2" t="s">
        <v>111</v>
      </c>
      <c r="B36" s="2" t="s">
        <v>112</v>
      </c>
      <c r="C36" s="2" t="s">
        <v>35</v>
      </c>
      <c r="D36" s="2">
        <v>70</v>
      </c>
      <c r="E36" s="2" t="str">
        <f t="shared" si="2"/>
        <v>60+</v>
      </c>
      <c r="F36" s="2" t="s">
        <v>110</v>
      </c>
      <c r="G36" s="2" t="s">
        <v>47</v>
      </c>
      <c r="H36" s="2">
        <v>25</v>
      </c>
      <c r="I36" s="2" t="str">
        <f t="shared" si="0"/>
        <v>25-48 months</v>
      </c>
      <c r="J36" s="3">
        <v>749</v>
      </c>
      <c r="K36" s="3">
        <v>18725</v>
      </c>
      <c r="L36" s="2" t="s">
        <v>31</v>
      </c>
      <c r="M36" s="4">
        <v>45154</v>
      </c>
      <c r="N36" s="2" t="s">
        <v>23</v>
      </c>
      <c r="O36" s="2">
        <f t="shared" si="3"/>
        <v>0</v>
      </c>
      <c r="P36" s="2" t="s">
        <v>23</v>
      </c>
      <c r="Q36" s="2" t="s">
        <v>23</v>
      </c>
      <c r="R36" s="2" t="s">
        <v>23</v>
      </c>
      <c r="S36" s="2" t="s">
        <v>23</v>
      </c>
      <c r="T36" s="2" t="s">
        <v>23</v>
      </c>
      <c r="U36" s="25">
        <f t="shared" si="1"/>
        <v>18725.000036000001</v>
      </c>
    </row>
    <row r="37" spans="1:21">
      <c r="A37" s="2" t="s">
        <v>113</v>
      </c>
      <c r="B37" s="2" t="s">
        <v>114</v>
      </c>
      <c r="C37" s="2" t="s">
        <v>35</v>
      </c>
      <c r="D37" s="2">
        <v>50</v>
      </c>
      <c r="E37" s="2" t="str">
        <f t="shared" si="2"/>
        <v>46-60</v>
      </c>
      <c r="F37" s="2" t="s">
        <v>105</v>
      </c>
      <c r="G37" s="2" t="s">
        <v>27</v>
      </c>
      <c r="H37" s="2">
        <v>22</v>
      </c>
      <c r="I37" s="2" t="str">
        <f t="shared" si="0"/>
        <v>13-24 months</v>
      </c>
      <c r="J37" s="3">
        <v>449</v>
      </c>
      <c r="K37" s="3">
        <v>9878</v>
      </c>
      <c r="L37" s="2" t="s">
        <v>66</v>
      </c>
      <c r="M37" s="4">
        <v>45260</v>
      </c>
      <c r="N37" s="2" t="s">
        <v>23</v>
      </c>
      <c r="O37" s="2">
        <f t="shared" si="3"/>
        <v>0</v>
      </c>
      <c r="P37" s="2" t="s">
        <v>23</v>
      </c>
      <c r="Q37" s="2" t="s">
        <v>23</v>
      </c>
      <c r="R37" s="2" t="s">
        <v>23</v>
      </c>
      <c r="S37" s="2" t="s">
        <v>23</v>
      </c>
      <c r="T37" s="2" t="s">
        <v>23</v>
      </c>
      <c r="U37" s="25">
        <f t="shared" si="1"/>
        <v>9878.0000369999998</v>
      </c>
    </row>
    <row r="38" spans="1:21">
      <c r="A38" s="2" t="s">
        <v>115</v>
      </c>
      <c r="B38" s="2" t="s">
        <v>116</v>
      </c>
      <c r="C38" s="2" t="s">
        <v>19</v>
      </c>
      <c r="D38" s="2">
        <v>45</v>
      </c>
      <c r="E38" s="2" t="str">
        <f t="shared" si="2"/>
        <v>36-45</v>
      </c>
      <c r="F38" s="2" t="s">
        <v>30</v>
      </c>
      <c r="G38" s="2" t="s">
        <v>27</v>
      </c>
      <c r="H38" s="2">
        <v>39</v>
      </c>
      <c r="I38" s="2" t="str">
        <f t="shared" si="0"/>
        <v>25-48 months</v>
      </c>
      <c r="J38" s="3">
        <v>799</v>
      </c>
      <c r="K38" s="3">
        <v>31161</v>
      </c>
      <c r="L38" s="2" t="s">
        <v>31</v>
      </c>
      <c r="M38" s="4">
        <v>44752</v>
      </c>
      <c r="N38" s="2" t="s">
        <v>23</v>
      </c>
      <c r="O38" s="2">
        <f t="shared" si="3"/>
        <v>0</v>
      </c>
      <c r="P38" s="2" t="s">
        <v>23</v>
      </c>
      <c r="Q38" s="2" t="s">
        <v>23</v>
      </c>
      <c r="R38" s="2" t="s">
        <v>23</v>
      </c>
      <c r="S38" s="2" t="s">
        <v>23</v>
      </c>
      <c r="T38" s="2" t="s">
        <v>23</v>
      </c>
      <c r="U38" s="25">
        <f t="shared" si="1"/>
        <v>31161.000037999998</v>
      </c>
    </row>
    <row r="39" spans="1:21">
      <c r="A39" s="2" t="s">
        <v>117</v>
      </c>
      <c r="B39" s="2" t="s">
        <v>118</v>
      </c>
      <c r="C39" s="2" t="s">
        <v>35</v>
      </c>
      <c r="D39" s="2">
        <v>45</v>
      </c>
      <c r="E39" s="2" t="str">
        <f t="shared" si="2"/>
        <v>36-45</v>
      </c>
      <c r="F39" s="2" t="s">
        <v>36</v>
      </c>
      <c r="G39" s="2" t="s">
        <v>21</v>
      </c>
      <c r="H39" s="2">
        <v>22</v>
      </c>
      <c r="I39" s="2" t="str">
        <f t="shared" si="0"/>
        <v>13-24 months</v>
      </c>
      <c r="J39" s="3">
        <v>399</v>
      </c>
      <c r="K39" s="3">
        <v>8778</v>
      </c>
      <c r="L39" s="2" t="s">
        <v>66</v>
      </c>
      <c r="M39" s="4">
        <v>45266</v>
      </c>
      <c r="N39" s="2" t="s">
        <v>32</v>
      </c>
      <c r="O39" s="2">
        <f t="shared" si="3"/>
        <v>1</v>
      </c>
      <c r="P39" s="2" t="s">
        <v>23</v>
      </c>
      <c r="Q39" s="2" t="s">
        <v>23</v>
      </c>
      <c r="R39" s="2" t="s">
        <v>32</v>
      </c>
      <c r="S39" s="2" t="s">
        <v>23</v>
      </c>
      <c r="T39" s="2" t="s">
        <v>23</v>
      </c>
      <c r="U39" s="25">
        <f t="shared" si="1"/>
        <v>8778.0000390000005</v>
      </c>
    </row>
    <row r="40" spans="1:21">
      <c r="A40" s="2" t="s">
        <v>119</v>
      </c>
      <c r="B40" s="2" t="s">
        <v>120</v>
      </c>
      <c r="C40" s="2" t="s">
        <v>35</v>
      </c>
      <c r="D40" s="2">
        <v>60</v>
      </c>
      <c r="E40" s="2" t="str">
        <f t="shared" si="2"/>
        <v>46-60</v>
      </c>
      <c r="F40" s="2" t="s">
        <v>57</v>
      </c>
      <c r="G40" s="2" t="s">
        <v>21</v>
      </c>
      <c r="H40" s="2">
        <v>17</v>
      </c>
      <c r="I40" s="2" t="str">
        <f t="shared" si="0"/>
        <v>13-24 months</v>
      </c>
      <c r="J40" s="3">
        <v>499</v>
      </c>
      <c r="K40" s="3">
        <v>8483</v>
      </c>
      <c r="L40" s="2" t="s">
        <v>66</v>
      </c>
      <c r="M40" s="4">
        <v>45396</v>
      </c>
      <c r="N40" s="2" t="s">
        <v>32</v>
      </c>
      <c r="O40" s="2">
        <f t="shared" si="3"/>
        <v>1</v>
      </c>
      <c r="P40" s="2" t="s">
        <v>23</v>
      </c>
      <c r="Q40" s="2" t="s">
        <v>32</v>
      </c>
      <c r="R40" s="2" t="s">
        <v>23</v>
      </c>
      <c r="S40" s="2" t="s">
        <v>23</v>
      </c>
      <c r="T40" s="2" t="s">
        <v>23</v>
      </c>
      <c r="U40" s="25">
        <f t="shared" si="1"/>
        <v>8483.0000400000008</v>
      </c>
    </row>
    <row r="41" spans="1:21">
      <c r="A41" s="2" t="s">
        <v>121</v>
      </c>
      <c r="B41" s="2" t="s">
        <v>122</v>
      </c>
      <c r="C41" s="2" t="s">
        <v>35</v>
      </c>
      <c r="D41" s="2">
        <v>30</v>
      </c>
      <c r="E41" s="2" t="str">
        <f t="shared" si="2"/>
        <v>26-35</v>
      </c>
      <c r="F41" s="2" t="s">
        <v>105</v>
      </c>
      <c r="G41" s="2" t="s">
        <v>27</v>
      </c>
      <c r="H41" s="2">
        <v>12</v>
      </c>
      <c r="I41" s="2" t="str">
        <f t="shared" si="0"/>
        <v>7-12 months</v>
      </c>
      <c r="J41" s="3">
        <v>1149</v>
      </c>
      <c r="K41" s="3">
        <v>13788</v>
      </c>
      <c r="L41" s="2" t="s">
        <v>22</v>
      </c>
      <c r="M41" s="4">
        <v>45542</v>
      </c>
      <c r="N41" s="2" t="s">
        <v>23</v>
      </c>
      <c r="O41" s="2">
        <f t="shared" si="3"/>
        <v>0</v>
      </c>
      <c r="P41" s="2" t="s">
        <v>23</v>
      </c>
      <c r="Q41" s="2" t="s">
        <v>32</v>
      </c>
      <c r="R41" s="2" t="s">
        <v>23</v>
      </c>
      <c r="S41" s="2" t="s">
        <v>23</v>
      </c>
      <c r="T41" s="2" t="s">
        <v>23</v>
      </c>
      <c r="U41" s="25">
        <f t="shared" si="1"/>
        <v>13788.000040999999</v>
      </c>
    </row>
    <row r="42" spans="1:21">
      <c r="A42" s="2" t="s">
        <v>123</v>
      </c>
      <c r="B42" s="2" t="s">
        <v>124</v>
      </c>
      <c r="C42" s="2" t="s">
        <v>19</v>
      </c>
      <c r="D42" s="2">
        <v>31</v>
      </c>
      <c r="E42" s="2" t="str">
        <f t="shared" si="2"/>
        <v>26-35</v>
      </c>
      <c r="F42" s="2" t="s">
        <v>105</v>
      </c>
      <c r="G42" s="2" t="s">
        <v>27</v>
      </c>
      <c r="H42" s="2">
        <v>21</v>
      </c>
      <c r="I42" s="2" t="str">
        <f t="shared" si="0"/>
        <v>13-24 months</v>
      </c>
      <c r="J42" s="3">
        <v>1099</v>
      </c>
      <c r="K42" s="3">
        <v>23079</v>
      </c>
      <c r="L42" s="2" t="s">
        <v>22</v>
      </c>
      <c r="M42" s="4">
        <v>45282</v>
      </c>
      <c r="N42" s="2" t="s">
        <v>23</v>
      </c>
      <c r="O42" s="2">
        <f t="shared" si="3"/>
        <v>0</v>
      </c>
      <c r="P42" s="2" t="s">
        <v>23</v>
      </c>
      <c r="Q42" s="2" t="s">
        <v>23</v>
      </c>
      <c r="R42" s="2" t="s">
        <v>23</v>
      </c>
      <c r="S42" s="2" t="s">
        <v>23</v>
      </c>
      <c r="T42" s="2" t="s">
        <v>23</v>
      </c>
      <c r="U42" s="25">
        <f t="shared" si="1"/>
        <v>23079.000042</v>
      </c>
    </row>
    <row r="43" spans="1:21">
      <c r="A43" s="2" t="s">
        <v>125</v>
      </c>
      <c r="B43" s="2" t="s">
        <v>126</v>
      </c>
      <c r="C43" s="2" t="s">
        <v>35</v>
      </c>
      <c r="D43" s="2">
        <v>23</v>
      </c>
      <c r="E43" s="2" t="str">
        <f t="shared" si="2"/>
        <v>18-25</v>
      </c>
      <c r="F43" s="2" t="s">
        <v>46</v>
      </c>
      <c r="G43" s="2" t="s">
        <v>21</v>
      </c>
      <c r="H43" s="2">
        <v>11</v>
      </c>
      <c r="I43" s="2" t="str">
        <f t="shared" si="0"/>
        <v>7-12 months</v>
      </c>
      <c r="J43" s="3">
        <v>1299</v>
      </c>
      <c r="K43" s="3">
        <v>14289</v>
      </c>
      <c r="L43" s="2" t="s">
        <v>22</v>
      </c>
      <c r="M43" s="4">
        <v>45591</v>
      </c>
      <c r="N43" s="2" t="s">
        <v>23</v>
      </c>
      <c r="O43" s="2">
        <f t="shared" si="3"/>
        <v>0</v>
      </c>
      <c r="P43" s="2" t="s">
        <v>23</v>
      </c>
      <c r="Q43" s="2" t="s">
        <v>23</v>
      </c>
      <c r="R43" s="2" t="s">
        <v>23</v>
      </c>
      <c r="S43" s="2" t="s">
        <v>23</v>
      </c>
      <c r="T43" s="2" t="s">
        <v>23</v>
      </c>
      <c r="U43" s="25">
        <f t="shared" si="1"/>
        <v>14289.000043</v>
      </c>
    </row>
    <row r="44" spans="1:21">
      <c r="A44" s="2" t="s">
        <v>127</v>
      </c>
      <c r="B44" s="2" t="s">
        <v>128</v>
      </c>
      <c r="C44" s="2" t="s">
        <v>19</v>
      </c>
      <c r="D44" s="2">
        <v>20</v>
      </c>
      <c r="E44" s="2" t="str">
        <f t="shared" si="2"/>
        <v>18-25</v>
      </c>
      <c r="F44" s="2" t="s">
        <v>20</v>
      </c>
      <c r="G44" s="2" t="s">
        <v>47</v>
      </c>
      <c r="H44" s="2">
        <v>10</v>
      </c>
      <c r="I44" s="2" t="str">
        <f t="shared" si="0"/>
        <v>7-12 months</v>
      </c>
      <c r="J44" s="3">
        <v>1099</v>
      </c>
      <c r="K44" s="3">
        <v>10990</v>
      </c>
      <c r="L44" s="2" t="s">
        <v>22</v>
      </c>
      <c r="M44" s="4">
        <v>45606</v>
      </c>
      <c r="N44" s="2" t="s">
        <v>23</v>
      </c>
      <c r="O44" s="2">
        <f t="shared" si="3"/>
        <v>0</v>
      </c>
      <c r="P44" s="2" t="s">
        <v>23</v>
      </c>
      <c r="Q44" s="2" t="s">
        <v>23</v>
      </c>
      <c r="R44" s="2" t="s">
        <v>23</v>
      </c>
      <c r="S44" s="2" t="s">
        <v>23</v>
      </c>
      <c r="T44" s="2" t="s">
        <v>23</v>
      </c>
      <c r="U44" s="25">
        <f t="shared" si="1"/>
        <v>10990.000044</v>
      </c>
    </row>
    <row r="45" spans="1:21">
      <c r="A45" s="2" t="s">
        <v>129</v>
      </c>
      <c r="B45" s="2" t="s">
        <v>130</v>
      </c>
      <c r="C45" s="2" t="s">
        <v>35</v>
      </c>
      <c r="D45" s="2">
        <v>33</v>
      </c>
      <c r="E45" s="2" t="str">
        <f t="shared" si="2"/>
        <v>26-35</v>
      </c>
      <c r="F45" s="2" t="s">
        <v>63</v>
      </c>
      <c r="G45" s="2" t="s">
        <v>27</v>
      </c>
      <c r="H45" s="2">
        <v>7</v>
      </c>
      <c r="I45" s="2" t="str">
        <f t="shared" si="0"/>
        <v>7-12 months</v>
      </c>
      <c r="J45" s="3">
        <v>899</v>
      </c>
      <c r="K45" s="3">
        <v>6293</v>
      </c>
      <c r="L45" s="2" t="s">
        <v>31</v>
      </c>
      <c r="M45" s="4">
        <v>45696</v>
      </c>
      <c r="N45" s="2" t="s">
        <v>23</v>
      </c>
      <c r="O45" s="2">
        <f t="shared" si="3"/>
        <v>0</v>
      </c>
      <c r="P45" s="2" t="s">
        <v>23</v>
      </c>
      <c r="Q45" s="2" t="s">
        <v>23</v>
      </c>
      <c r="R45" s="2" t="s">
        <v>23</v>
      </c>
      <c r="S45" s="2" t="s">
        <v>23</v>
      </c>
      <c r="T45" s="2" t="s">
        <v>23</v>
      </c>
      <c r="U45" s="25">
        <f t="shared" si="1"/>
        <v>6293.0000449999998</v>
      </c>
    </row>
    <row r="46" spans="1:21">
      <c r="A46" s="2" t="s">
        <v>131</v>
      </c>
      <c r="B46" s="2" t="s">
        <v>132</v>
      </c>
      <c r="C46" s="2" t="s">
        <v>35</v>
      </c>
      <c r="D46" s="2">
        <v>33</v>
      </c>
      <c r="E46" s="2" t="str">
        <f t="shared" si="2"/>
        <v>26-35</v>
      </c>
      <c r="F46" s="2" t="s">
        <v>57</v>
      </c>
      <c r="G46" s="2" t="s">
        <v>21</v>
      </c>
      <c r="H46" s="2">
        <v>15</v>
      </c>
      <c r="I46" s="2" t="str">
        <f t="shared" si="0"/>
        <v>13-24 months</v>
      </c>
      <c r="J46" s="3">
        <v>849</v>
      </c>
      <c r="K46" s="3">
        <v>12735</v>
      </c>
      <c r="L46" s="2" t="s">
        <v>31</v>
      </c>
      <c r="M46" s="4">
        <v>45454</v>
      </c>
      <c r="N46" s="2" t="s">
        <v>23</v>
      </c>
      <c r="O46" s="2">
        <f t="shared" si="3"/>
        <v>0</v>
      </c>
      <c r="P46" s="2" t="s">
        <v>23</v>
      </c>
      <c r="Q46" s="2" t="s">
        <v>23</v>
      </c>
      <c r="R46" s="2" t="s">
        <v>23</v>
      </c>
      <c r="S46" s="2" t="s">
        <v>23</v>
      </c>
      <c r="T46" s="2" t="s">
        <v>23</v>
      </c>
      <c r="U46" s="25">
        <f t="shared" si="1"/>
        <v>12735.000045999999</v>
      </c>
    </row>
    <row r="47" spans="1:21">
      <c r="A47" s="2" t="s">
        <v>133</v>
      </c>
      <c r="B47" s="2" t="s">
        <v>107</v>
      </c>
      <c r="C47" s="2" t="s">
        <v>35</v>
      </c>
      <c r="D47" s="2">
        <v>75</v>
      </c>
      <c r="E47" s="2" t="str">
        <f t="shared" si="2"/>
        <v>60+</v>
      </c>
      <c r="F47" s="2" t="s">
        <v>26</v>
      </c>
      <c r="G47" s="2" t="s">
        <v>21</v>
      </c>
      <c r="H47" s="2">
        <v>15</v>
      </c>
      <c r="I47" s="2" t="str">
        <f t="shared" si="0"/>
        <v>13-24 months</v>
      </c>
      <c r="J47" s="3">
        <v>499</v>
      </c>
      <c r="K47" s="3">
        <v>7485</v>
      </c>
      <c r="L47" s="2" t="s">
        <v>66</v>
      </c>
      <c r="M47" s="4">
        <v>45454</v>
      </c>
      <c r="N47" s="2" t="s">
        <v>23</v>
      </c>
      <c r="O47" s="2">
        <f t="shared" si="3"/>
        <v>0</v>
      </c>
      <c r="P47" s="2" t="s">
        <v>23</v>
      </c>
      <c r="Q47" s="2" t="s">
        <v>23</v>
      </c>
      <c r="R47" s="2" t="s">
        <v>23</v>
      </c>
      <c r="S47" s="2" t="s">
        <v>23</v>
      </c>
      <c r="T47" s="2" t="s">
        <v>23</v>
      </c>
      <c r="U47" s="25">
        <f t="shared" si="1"/>
        <v>7485.0000470000004</v>
      </c>
    </row>
    <row r="48" spans="1:21">
      <c r="A48" s="2" t="s">
        <v>134</v>
      </c>
      <c r="B48" s="2" t="s">
        <v>100</v>
      </c>
      <c r="C48" s="2" t="s">
        <v>19</v>
      </c>
      <c r="D48" s="2">
        <v>49</v>
      </c>
      <c r="E48" s="2" t="str">
        <f t="shared" si="2"/>
        <v>46-60</v>
      </c>
      <c r="F48" s="2" t="s">
        <v>71</v>
      </c>
      <c r="G48" s="2" t="s">
        <v>21</v>
      </c>
      <c r="H48" s="2">
        <v>23</v>
      </c>
      <c r="I48" s="2" t="str">
        <f t="shared" si="0"/>
        <v>13-24 months</v>
      </c>
      <c r="J48" s="3">
        <v>999</v>
      </c>
      <c r="K48" s="3">
        <v>22977</v>
      </c>
      <c r="L48" s="2" t="s">
        <v>22</v>
      </c>
      <c r="M48" s="4">
        <v>45210</v>
      </c>
      <c r="N48" s="2" t="s">
        <v>32</v>
      </c>
      <c r="O48" s="2">
        <f t="shared" si="3"/>
        <v>1</v>
      </c>
      <c r="P48" s="2" t="s">
        <v>23</v>
      </c>
      <c r="Q48" s="2" t="s">
        <v>32</v>
      </c>
      <c r="R48" s="2" t="s">
        <v>23</v>
      </c>
      <c r="S48" s="2" t="s">
        <v>23</v>
      </c>
      <c r="T48" s="2" t="s">
        <v>23</v>
      </c>
      <c r="U48" s="25">
        <f t="shared" si="1"/>
        <v>22977.000048000002</v>
      </c>
    </row>
    <row r="49" spans="1:21">
      <c r="A49" s="2" t="s">
        <v>135</v>
      </c>
      <c r="B49" s="2" t="s">
        <v>136</v>
      </c>
      <c r="C49" s="2" t="s">
        <v>19</v>
      </c>
      <c r="D49" s="2">
        <v>32</v>
      </c>
      <c r="E49" s="2" t="str">
        <f t="shared" si="2"/>
        <v>26-35</v>
      </c>
      <c r="F49" s="2" t="s">
        <v>105</v>
      </c>
      <c r="G49" s="2" t="s">
        <v>27</v>
      </c>
      <c r="H49" s="2">
        <v>5</v>
      </c>
      <c r="I49" s="2" t="str">
        <f t="shared" si="0"/>
        <v>0-6 months</v>
      </c>
      <c r="J49" s="3">
        <v>1099</v>
      </c>
      <c r="K49" s="3">
        <v>5495</v>
      </c>
      <c r="L49" s="2" t="s">
        <v>22</v>
      </c>
      <c r="M49" s="4">
        <v>45765</v>
      </c>
      <c r="N49" s="2" t="s">
        <v>23</v>
      </c>
      <c r="O49" s="2">
        <f t="shared" si="3"/>
        <v>0</v>
      </c>
      <c r="P49" s="2" t="s">
        <v>23</v>
      </c>
      <c r="Q49" s="2" t="s">
        <v>23</v>
      </c>
      <c r="R49" s="2" t="s">
        <v>23</v>
      </c>
      <c r="S49" s="2" t="s">
        <v>23</v>
      </c>
      <c r="T49" s="2" t="s">
        <v>23</v>
      </c>
      <c r="U49" s="25">
        <f t="shared" si="1"/>
        <v>5495.0000490000002</v>
      </c>
    </row>
    <row r="50" spans="1:21">
      <c r="A50" s="2" t="s">
        <v>137</v>
      </c>
      <c r="B50" s="2" t="s">
        <v>138</v>
      </c>
      <c r="C50" s="2" t="s">
        <v>19</v>
      </c>
      <c r="D50" s="2">
        <v>42</v>
      </c>
      <c r="E50" s="2" t="str">
        <f t="shared" si="2"/>
        <v>36-45</v>
      </c>
      <c r="F50" s="2" t="s">
        <v>110</v>
      </c>
      <c r="G50" s="2" t="s">
        <v>27</v>
      </c>
      <c r="H50" s="2">
        <v>37</v>
      </c>
      <c r="I50" s="2" t="str">
        <f t="shared" si="0"/>
        <v>25-48 months</v>
      </c>
      <c r="J50" s="3">
        <v>1099</v>
      </c>
      <c r="K50" s="3">
        <v>40663</v>
      </c>
      <c r="L50" s="2" t="s">
        <v>22</v>
      </c>
      <c r="M50" s="4">
        <v>44809</v>
      </c>
      <c r="N50" s="2" t="s">
        <v>23</v>
      </c>
      <c r="O50" s="2">
        <f t="shared" si="3"/>
        <v>0</v>
      </c>
      <c r="P50" s="2" t="s">
        <v>23</v>
      </c>
      <c r="Q50" s="2" t="s">
        <v>23</v>
      </c>
      <c r="R50" s="2" t="s">
        <v>23</v>
      </c>
      <c r="S50" s="2" t="s">
        <v>23</v>
      </c>
      <c r="T50" s="2" t="s">
        <v>23</v>
      </c>
      <c r="U50" s="25">
        <f t="shared" si="1"/>
        <v>40663.000050000002</v>
      </c>
    </row>
    <row r="51" spans="1:21">
      <c r="A51" s="2" t="s">
        <v>139</v>
      </c>
      <c r="B51" s="2" t="s">
        <v>140</v>
      </c>
      <c r="C51" s="2" t="s">
        <v>35</v>
      </c>
      <c r="D51" s="2">
        <v>65</v>
      </c>
      <c r="E51" s="2" t="str">
        <f t="shared" si="2"/>
        <v>60+</v>
      </c>
      <c r="F51" s="2" t="s">
        <v>141</v>
      </c>
      <c r="G51" s="2" t="s">
        <v>21</v>
      </c>
      <c r="H51" s="2">
        <v>8</v>
      </c>
      <c r="I51" s="2" t="str">
        <f t="shared" si="0"/>
        <v>7-12 months</v>
      </c>
      <c r="J51" s="3">
        <v>999</v>
      </c>
      <c r="K51" s="3">
        <v>7992</v>
      </c>
      <c r="L51" s="2" t="s">
        <v>22</v>
      </c>
      <c r="M51" s="4">
        <v>45688</v>
      </c>
      <c r="N51" s="2" t="s">
        <v>32</v>
      </c>
      <c r="O51" s="2">
        <f t="shared" si="3"/>
        <v>1</v>
      </c>
      <c r="P51" s="2" t="s">
        <v>23</v>
      </c>
      <c r="Q51" s="2" t="s">
        <v>23</v>
      </c>
      <c r="R51" s="2" t="s">
        <v>23</v>
      </c>
      <c r="S51" s="2" t="s">
        <v>23</v>
      </c>
      <c r="T51" s="2" t="s">
        <v>23</v>
      </c>
      <c r="U51" s="25">
        <f t="shared" si="1"/>
        <v>7992.000051</v>
      </c>
    </row>
    <row r="52" spans="1:21">
      <c r="A52" s="2" t="s">
        <v>142</v>
      </c>
      <c r="B52" s="2" t="s">
        <v>143</v>
      </c>
      <c r="C52" s="2" t="s">
        <v>35</v>
      </c>
      <c r="D52" s="2">
        <v>61</v>
      </c>
      <c r="E52" s="2" t="str">
        <f t="shared" si="2"/>
        <v>60+</v>
      </c>
      <c r="F52" s="2" t="s">
        <v>110</v>
      </c>
      <c r="G52" s="2" t="s">
        <v>21</v>
      </c>
      <c r="H52" s="2"/>
      <c r="I52" s="2" t="str">
        <f t="shared" si="0"/>
        <v>Unknown</v>
      </c>
      <c r="J52" s="3"/>
      <c r="K52" s="3">
        <v>9735</v>
      </c>
      <c r="L52" s="2" t="s">
        <v>31</v>
      </c>
      <c r="M52" s="4">
        <v>45466</v>
      </c>
      <c r="N52" s="2" t="s">
        <v>32</v>
      </c>
      <c r="O52" s="2">
        <f t="shared" si="3"/>
        <v>1</v>
      </c>
      <c r="P52" s="2" t="s">
        <v>23</v>
      </c>
      <c r="Q52" s="2" t="s">
        <v>23</v>
      </c>
      <c r="R52" s="2" t="s">
        <v>23</v>
      </c>
      <c r="S52" s="2" t="s">
        <v>23</v>
      </c>
      <c r="T52" s="2" t="s">
        <v>72</v>
      </c>
      <c r="U52" s="25">
        <f t="shared" si="1"/>
        <v>9735.0000519999994</v>
      </c>
    </row>
    <row r="53" spans="1:21">
      <c r="A53" s="2" t="s">
        <v>144</v>
      </c>
      <c r="B53" s="2" t="s">
        <v>145</v>
      </c>
      <c r="C53" s="2" t="s">
        <v>19</v>
      </c>
      <c r="D53" s="2">
        <v>45</v>
      </c>
      <c r="E53" s="2" t="str">
        <f t="shared" si="2"/>
        <v>36-45</v>
      </c>
      <c r="F53" s="2" t="s">
        <v>63</v>
      </c>
      <c r="G53" s="2" t="s">
        <v>47</v>
      </c>
      <c r="H53" s="2">
        <v>34</v>
      </c>
      <c r="I53" s="2" t="str">
        <f t="shared" si="0"/>
        <v>25-48 months</v>
      </c>
      <c r="J53" s="3">
        <v>749</v>
      </c>
      <c r="K53" s="3">
        <v>25466</v>
      </c>
      <c r="L53" s="2" t="s">
        <v>31</v>
      </c>
      <c r="M53" s="4">
        <v>44898</v>
      </c>
      <c r="N53" s="2" t="s">
        <v>23</v>
      </c>
      <c r="O53" s="2">
        <f t="shared" si="3"/>
        <v>0</v>
      </c>
      <c r="P53" s="2" t="s">
        <v>23</v>
      </c>
      <c r="Q53" s="2" t="s">
        <v>23</v>
      </c>
      <c r="R53" s="2" t="s">
        <v>23</v>
      </c>
      <c r="S53" s="2" t="s">
        <v>23</v>
      </c>
      <c r="T53" s="2" t="s">
        <v>23</v>
      </c>
      <c r="U53" s="25">
        <f t="shared" si="1"/>
        <v>25466.000053</v>
      </c>
    </row>
    <row r="54" spans="1:21">
      <c r="A54" s="2" t="s">
        <v>146</v>
      </c>
      <c r="B54" s="2" t="s">
        <v>147</v>
      </c>
      <c r="C54" s="2" t="s">
        <v>35</v>
      </c>
      <c r="D54" s="2">
        <v>34</v>
      </c>
      <c r="E54" s="2" t="str">
        <f t="shared" si="2"/>
        <v>26-35</v>
      </c>
      <c r="F54" s="2" t="s">
        <v>57</v>
      </c>
      <c r="G54" s="2" t="s">
        <v>21</v>
      </c>
      <c r="H54" s="2">
        <v>18</v>
      </c>
      <c r="I54" s="2" t="str">
        <f t="shared" si="0"/>
        <v>13-24 months</v>
      </c>
      <c r="J54" s="3">
        <v>599</v>
      </c>
      <c r="K54" s="3">
        <v>10782</v>
      </c>
      <c r="L54" s="2" t="s">
        <v>31</v>
      </c>
      <c r="M54" s="4">
        <v>45364</v>
      </c>
      <c r="N54" s="2" t="s">
        <v>23</v>
      </c>
      <c r="O54" s="2">
        <f t="shared" si="3"/>
        <v>0</v>
      </c>
      <c r="P54" s="2" t="s">
        <v>23</v>
      </c>
      <c r="Q54" s="2" t="s">
        <v>23</v>
      </c>
      <c r="R54" s="2" t="s">
        <v>23</v>
      </c>
      <c r="S54" s="2" t="s">
        <v>23</v>
      </c>
      <c r="T54" s="2" t="s">
        <v>23</v>
      </c>
      <c r="U54" s="25">
        <f t="shared" si="1"/>
        <v>10782.000054</v>
      </c>
    </row>
    <row r="55" spans="1:21">
      <c r="A55" s="2" t="s">
        <v>148</v>
      </c>
      <c r="B55" s="2" t="s">
        <v>149</v>
      </c>
      <c r="C55" s="2" t="s">
        <v>19</v>
      </c>
      <c r="D55" s="2">
        <v>30</v>
      </c>
      <c r="E55" s="2" t="str">
        <f t="shared" si="2"/>
        <v>26-35</v>
      </c>
      <c r="F55" s="2" t="s">
        <v>57</v>
      </c>
      <c r="G55" s="2" t="s">
        <v>21</v>
      </c>
      <c r="H55" s="2">
        <v>5</v>
      </c>
      <c r="I55" s="2" t="str">
        <f t="shared" si="0"/>
        <v>0-6 months</v>
      </c>
      <c r="J55" s="3">
        <v>749</v>
      </c>
      <c r="K55" s="3">
        <v>3745</v>
      </c>
      <c r="L55" s="2" t="s">
        <v>31</v>
      </c>
      <c r="M55" s="4">
        <v>45772</v>
      </c>
      <c r="N55" s="2" t="s">
        <v>32</v>
      </c>
      <c r="O55" s="2">
        <f t="shared" si="3"/>
        <v>1</v>
      </c>
      <c r="P55" s="2" t="s">
        <v>23</v>
      </c>
      <c r="Q55" s="2" t="s">
        <v>23</v>
      </c>
      <c r="R55" s="2" t="s">
        <v>23</v>
      </c>
      <c r="S55" s="2" t="s">
        <v>23</v>
      </c>
      <c r="T55" s="2" t="s">
        <v>23</v>
      </c>
      <c r="U55" s="25">
        <f t="shared" si="1"/>
        <v>3745.000055</v>
      </c>
    </row>
    <row r="56" spans="1:21">
      <c r="A56" s="2" t="s">
        <v>150</v>
      </c>
      <c r="B56" s="2" t="s">
        <v>151</v>
      </c>
      <c r="C56" s="2" t="s">
        <v>37</v>
      </c>
      <c r="D56" s="2">
        <v>28</v>
      </c>
      <c r="E56" s="2" t="str">
        <f t="shared" si="2"/>
        <v>26-35</v>
      </c>
      <c r="F56" s="2" t="s">
        <v>91</v>
      </c>
      <c r="G56" s="2" t="s">
        <v>27</v>
      </c>
      <c r="H56" s="2">
        <v>8</v>
      </c>
      <c r="I56" s="2" t="str">
        <f t="shared" si="0"/>
        <v>7-12 months</v>
      </c>
      <c r="J56" s="3">
        <v>1299</v>
      </c>
      <c r="K56" s="3">
        <v>10392</v>
      </c>
      <c r="L56" s="2" t="s">
        <v>22</v>
      </c>
      <c r="M56" s="4">
        <v>45685</v>
      </c>
      <c r="N56" s="2" t="s">
        <v>37</v>
      </c>
      <c r="O56" s="2" t="str">
        <f t="shared" si="3"/>
        <v/>
      </c>
      <c r="P56" s="2" t="s">
        <v>23</v>
      </c>
      <c r="Q56" s="2" t="s">
        <v>23</v>
      </c>
      <c r="R56" s="2" t="s">
        <v>23</v>
      </c>
      <c r="S56" s="2" t="s">
        <v>23</v>
      </c>
      <c r="T56" s="2" t="s">
        <v>38</v>
      </c>
      <c r="U56" s="25">
        <f t="shared" si="1"/>
        <v>10392.000056000001</v>
      </c>
    </row>
    <row r="57" spans="1:21">
      <c r="A57" s="2" t="s">
        <v>152</v>
      </c>
      <c r="B57" s="2" t="s">
        <v>153</v>
      </c>
      <c r="C57" s="2" t="s">
        <v>19</v>
      </c>
      <c r="D57" s="2">
        <v>61</v>
      </c>
      <c r="E57" s="2" t="str">
        <f t="shared" si="2"/>
        <v>60+</v>
      </c>
      <c r="F57" s="2" t="s">
        <v>105</v>
      </c>
      <c r="G57" s="2" t="s">
        <v>21</v>
      </c>
      <c r="H57" s="2">
        <v>3</v>
      </c>
      <c r="I57" s="2" t="str">
        <f t="shared" si="0"/>
        <v>0-6 months</v>
      </c>
      <c r="J57" s="3">
        <v>1199</v>
      </c>
      <c r="K57" s="3">
        <v>3597</v>
      </c>
      <c r="L57" s="2" t="s">
        <v>22</v>
      </c>
      <c r="M57" s="4">
        <v>45814</v>
      </c>
      <c r="N57" s="2" t="s">
        <v>32</v>
      </c>
      <c r="O57" s="2">
        <f t="shared" si="3"/>
        <v>1</v>
      </c>
      <c r="P57" s="2" t="s">
        <v>23</v>
      </c>
      <c r="Q57" s="2" t="s">
        <v>23</v>
      </c>
      <c r="R57" s="2" t="s">
        <v>23</v>
      </c>
      <c r="S57" s="2" t="s">
        <v>32</v>
      </c>
      <c r="T57" s="2" t="s">
        <v>23</v>
      </c>
      <c r="U57" s="25">
        <f t="shared" si="1"/>
        <v>3597.0000570000002</v>
      </c>
    </row>
    <row r="58" spans="1:21">
      <c r="A58" s="2" t="s">
        <v>154</v>
      </c>
      <c r="B58" s="2" t="s">
        <v>155</v>
      </c>
      <c r="C58" s="2" t="s">
        <v>35</v>
      </c>
      <c r="D58" s="2">
        <v>68</v>
      </c>
      <c r="E58" s="2" t="str">
        <f t="shared" si="2"/>
        <v>60+</v>
      </c>
      <c r="F58" s="2" t="s">
        <v>91</v>
      </c>
      <c r="G58" s="2" t="s">
        <v>27</v>
      </c>
      <c r="H58" s="2">
        <v>28</v>
      </c>
      <c r="I58" s="2" t="str">
        <f t="shared" si="0"/>
        <v>25-48 months</v>
      </c>
      <c r="J58" s="3">
        <v>849</v>
      </c>
      <c r="K58" s="3">
        <v>23772</v>
      </c>
      <c r="L58" s="2" t="s">
        <v>31</v>
      </c>
      <c r="M58" s="4">
        <v>45078</v>
      </c>
      <c r="N58" s="2" t="s">
        <v>23</v>
      </c>
      <c r="O58" s="2">
        <f t="shared" si="3"/>
        <v>0</v>
      </c>
      <c r="P58" s="2" t="s">
        <v>23</v>
      </c>
      <c r="Q58" s="2" t="s">
        <v>23</v>
      </c>
      <c r="R58" s="2" t="s">
        <v>23</v>
      </c>
      <c r="S58" s="2" t="s">
        <v>23</v>
      </c>
      <c r="T58" s="2" t="s">
        <v>23</v>
      </c>
      <c r="U58" s="25">
        <f t="shared" si="1"/>
        <v>23772.000058000001</v>
      </c>
    </row>
    <row r="59" spans="1:21">
      <c r="A59" s="2" t="s">
        <v>156</v>
      </c>
      <c r="B59" s="2" t="s">
        <v>157</v>
      </c>
      <c r="C59" s="2" t="s">
        <v>19</v>
      </c>
      <c r="D59" s="2">
        <v>24</v>
      </c>
      <c r="E59" s="2" t="str">
        <f t="shared" si="2"/>
        <v>18-25</v>
      </c>
      <c r="F59" s="2" t="s">
        <v>105</v>
      </c>
      <c r="G59" s="2" t="s">
        <v>47</v>
      </c>
      <c r="H59" s="2">
        <v>59</v>
      </c>
      <c r="I59" s="2" t="str">
        <f t="shared" si="0"/>
        <v>49+ months</v>
      </c>
      <c r="J59" s="3">
        <v>999</v>
      </c>
      <c r="K59" s="3">
        <v>58941</v>
      </c>
      <c r="L59" s="2" t="s">
        <v>22</v>
      </c>
      <c r="M59" s="4">
        <v>44142</v>
      </c>
      <c r="N59" s="2" t="s">
        <v>23</v>
      </c>
      <c r="O59" s="2">
        <f t="shared" si="3"/>
        <v>0</v>
      </c>
      <c r="P59" s="2" t="s">
        <v>23</v>
      </c>
      <c r="Q59" s="2" t="s">
        <v>23</v>
      </c>
      <c r="R59" s="2" t="s">
        <v>23</v>
      </c>
      <c r="S59" s="2" t="s">
        <v>23</v>
      </c>
      <c r="T59" s="2" t="s">
        <v>23</v>
      </c>
      <c r="U59" s="25">
        <f t="shared" si="1"/>
        <v>58941.000058999998</v>
      </c>
    </row>
    <row r="60" spans="1:21">
      <c r="A60" s="2" t="s">
        <v>158</v>
      </c>
      <c r="B60" s="2" t="s">
        <v>159</v>
      </c>
      <c r="C60" s="2" t="s">
        <v>35</v>
      </c>
      <c r="D60" s="2">
        <v>67</v>
      </c>
      <c r="E60" s="2" t="str">
        <f t="shared" si="2"/>
        <v>60+</v>
      </c>
      <c r="F60" s="2" t="s">
        <v>60</v>
      </c>
      <c r="G60" s="2" t="s">
        <v>21</v>
      </c>
      <c r="H60" s="2">
        <v>19</v>
      </c>
      <c r="I60" s="2" t="str">
        <f t="shared" si="0"/>
        <v>13-24 months</v>
      </c>
      <c r="J60" s="3">
        <v>399</v>
      </c>
      <c r="K60" s="3">
        <v>7581</v>
      </c>
      <c r="L60" s="2" t="s">
        <v>66</v>
      </c>
      <c r="M60" s="4">
        <v>45356</v>
      </c>
      <c r="N60" s="2" t="s">
        <v>23</v>
      </c>
      <c r="O60" s="2">
        <f t="shared" si="3"/>
        <v>0</v>
      </c>
      <c r="P60" s="2" t="s">
        <v>23</v>
      </c>
      <c r="Q60" s="2" t="s">
        <v>23</v>
      </c>
      <c r="R60" s="2" t="s">
        <v>23</v>
      </c>
      <c r="S60" s="2" t="s">
        <v>23</v>
      </c>
      <c r="T60" s="2" t="s">
        <v>23</v>
      </c>
      <c r="U60" s="25">
        <f t="shared" si="1"/>
        <v>7581.0000600000003</v>
      </c>
    </row>
    <row r="61" spans="1:21">
      <c r="A61" s="2" t="s">
        <v>160</v>
      </c>
      <c r="B61" s="2" t="s">
        <v>161</v>
      </c>
      <c r="C61" s="2" t="s">
        <v>35</v>
      </c>
      <c r="D61" s="2">
        <v>66</v>
      </c>
      <c r="E61" s="2" t="str">
        <f t="shared" si="2"/>
        <v>60+</v>
      </c>
      <c r="F61" s="2" t="s">
        <v>60</v>
      </c>
      <c r="G61" s="2" t="s">
        <v>27</v>
      </c>
      <c r="H61" s="2">
        <v>22</v>
      </c>
      <c r="I61" s="2" t="str">
        <f t="shared" si="0"/>
        <v>13-24 months</v>
      </c>
      <c r="J61" s="3">
        <v>1099</v>
      </c>
      <c r="K61" s="3">
        <v>24178</v>
      </c>
      <c r="L61" s="2" t="s">
        <v>22</v>
      </c>
      <c r="M61" s="4">
        <v>45262</v>
      </c>
      <c r="N61" s="2" t="s">
        <v>32</v>
      </c>
      <c r="O61" s="2">
        <f t="shared" si="3"/>
        <v>1</v>
      </c>
      <c r="P61" s="2" t="s">
        <v>23</v>
      </c>
      <c r="Q61" s="2" t="s">
        <v>23</v>
      </c>
      <c r="R61" s="2" t="s">
        <v>32</v>
      </c>
      <c r="S61" s="2" t="s">
        <v>23</v>
      </c>
      <c r="T61" s="2" t="s">
        <v>23</v>
      </c>
      <c r="U61" s="25">
        <f t="shared" si="1"/>
        <v>24178.000060999999</v>
      </c>
    </row>
    <row r="62" spans="1:21">
      <c r="A62" s="2" t="s">
        <v>162</v>
      </c>
      <c r="B62" s="2" t="s">
        <v>37</v>
      </c>
      <c r="C62" s="2" t="s">
        <v>37</v>
      </c>
      <c r="D62" s="2">
        <v>35</v>
      </c>
      <c r="E62" s="2" t="str">
        <f t="shared" si="2"/>
        <v>26-35</v>
      </c>
      <c r="F62" s="2" t="s">
        <v>91</v>
      </c>
      <c r="G62" s="2" t="s">
        <v>27</v>
      </c>
      <c r="H62" s="2">
        <v>1</v>
      </c>
      <c r="I62" s="2" t="str">
        <f t="shared" si="0"/>
        <v>0-6 months</v>
      </c>
      <c r="J62" s="3">
        <v>799</v>
      </c>
      <c r="K62" s="3">
        <v>799</v>
      </c>
      <c r="L62" s="2" t="s">
        <v>31</v>
      </c>
      <c r="M62" s="4">
        <v>45885</v>
      </c>
      <c r="N62" s="2" t="s">
        <v>32</v>
      </c>
      <c r="O62" s="2">
        <f t="shared" si="3"/>
        <v>1</v>
      </c>
      <c r="P62" s="2" t="s">
        <v>23</v>
      </c>
      <c r="Q62" s="2" t="s">
        <v>23</v>
      </c>
      <c r="R62" s="2" t="s">
        <v>23</v>
      </c>
      <c r="S62" s="2" t="s">
        <v>23</v>
      </c>
      <c r="T62" s="2" t="s">
        <v>23</v>
      </c>
      <c r="U62" s="25">
        <f t="shared" si="1"/>
        <v>799.00006199999996</v>
      </c>
    </row>
    <row r="63" spans="1:21">
      <c r="A63" s="2" t="s">
        <v>163</v>
      </c>
      <c r="B63" s="2" t="s">
        <v>164</v>
      </c>
      <c r="C63" s="2" t="s">
        <v>35</v>
      </c>
      <c r="D63" s="2">
        <v>62</v>
      </c>
      <c r="E63" s="2" t="str">
        <f t="shared" si="2"/>
        <v>60+</v>
      </c>
      <c r="F63" s="2" t="s">
        <v>60</v>
      </c>
      <c r="G63" s="2" t="s">
        <v>27</v>
      </c>
      <c r="H63" s="2">
        <v>2</v>
      </c>
      <c r="I63" s="2" t="str">
        <f t="shared" si="0"/>
        <v>0-6 months</v>
      </c>
      <c r="J63" s="3">
        <v>1049</v>
      </c>
      <c r="K63" s="3">
        <v>2098</v>
      </c>
      <c r="L63" s="2" t="s">
        <v>22</v>
      </c>
      <c r="M63" s="4">
        <v>45861</v>
      </c>
      <c r="N63" s="2" t="s">
        <v>23</v>
      </c>
      <c r="O63" s="2">
        <f t="shared" si="3"/>
        <v>0</v>
      </c>
      <c r="P63" s="2" t="s">
        <v>23</v>
      </c>
      <c r="Q63" s="2" t="s">
        <v>23</v>
      </c>
      <c r="R63" s="2" t="s">
        <v>23</v>
      </c>
      <c r="S63" s="2" t="s">
        <v>23</v>
      </c>
      <c r="T63" s="2" t="s">
        <v>23</v>
      </c>
      <c r="U63" s="25">
        <f t="shared" si="1"/>
        <v>2098.000063</v>
      </c>
    </row>
    <row r="64" spans="1:21">
      <c r="A64" s="2" t="s">
        <v>165</v>
      </c>
      <c r="B64" s="2" t="s">
        <v>166</v>
      </c>
      <c r="C64" s="2" t="s">
        <v>35</v>
      </c>
      <c r="D64" s="2">
        <v>48</v>
      </c>
      <c r="E64" s="2" t="str">
        <f t="shared" si="2"/>
        <v>46-60</v>
      </c>
      <c r="F64" s="2" t="s">
        <v>26</v>
      </c>
      <c r="G64" s="2" t="s">
        <v>21</v>
      </c>
      <c r="H64" s="2">
        <v>24</v>
      </c>
      <c r="I64" s="2" t="str">
        <f t="shared" si="0"/>
        <v>13-24 months</v>
      </c>
      <c r="J64" s="3">
        <v>1049</v>
      </c>
      <c r="K64" s="3">
        <v>25176</v>
      </c>
      <c r="L64" s="2" t="s">
        <v>22</v>
      </c>
      <c r="M64" s="4">
        <v>45200</v>
      </c>
      <c r="N64" s="2" t="s">
        <v>23</v>
      </c>
      <c r="O64" s="2">
        <f t="shared" si="3"/>
        <v>0</v>
      </c>
      <c r="P64" s="2" t="s">
        <v>23</v>
      </c>
      <c r="Q64" s="2" t="s">
        <v>23</v>
      </c>
      <c r="R64" s="2" t="s">
        <v>23</v>
      </c>
      <c r="S64" s="2" t="s">
        <v>23</v>
      </c>
      <c r="T64" s="2" t="s">
        <v>23</v>
      </c>
      <c r="U64" s="25">
        <f t="shared" si="1"/>
        <v>25176.000064</v>
      </c>
    </row>
    <row r="65" spans="1:21">
      <c r="A65" s="2" t="s">
        <v>167</v>
      </c>
      <c r="B65" s="2" t="s">
        <v>168</v>
      </c>
      <c r="C65" s="2" t="s">
        <v>35</v>
      </c>
      <c r="D65" s="2">
        <v>25</v>
      </c>
      <c r="E65" s="2" t="str">
        <f t="shared" si="2"/>
        <v>18-25</v>
      </c>
      <c r="F65" s="2" t="s">
        <v>141</v>
      </c>
      <c r="G65" s="2" t="s">
        <v>21</v>
      </c>
      <c r="H65" s="2">
        <v>18</v>
      </c>
      <c r="I65" s="2" t="str">
        <f t="shared" si="0"/>
        <v>13-24 months</v>
      </c>
      <c r="J65" s="3">
        <v>899</v>
      </c>
      <c r="K65" s="3">
        <v>16182</v>
      </c>
      <c r="L65" s="2" t="s">
        <v>31</v>
      </c>
      <c r="M65" s="4">
        <v>45365</v>
      </c>
      <c r="N65" s="2" t="s">
        <v>32</v>
      </c>
      <c r="O65" s="2">
        <f t="shared" si="3"/>
        <v>1</v>
      </c>
      <c r="P65" s="2" t="s">
        <v>23</v>
      </c>
      <c r="Q65" s="2" t="s">
        <v>23</v>
      </c>
      <c r="R65" s="2" t="s">
        <v>23</v>
      </c>
      <c r="S65" s="2" t="s">
        <v>23</v>
      </c>
      <c r="T65" s="2" t="s">
        <v>23</v>
      </c>
      <c r="U65" s="25">
        <f t="shared" si="1"/>
        <v>16182.000065</v>
      </c>
    </row>
    <row r="66" spans="1:21">
      <c r="A66" s="2" t="s">
        <v>169</v>
      </c>
      <c r="B66" s="2" t="s">
        <v>170</v>
      </c>
      <c r="C66" s="2" t="s">
        <v>35</v>
      </c>
      <c r="D66" s="2">
        <v>47</v>
      </c>
      <c r="E66" s="2" t="str">
        <f t="shared" si="2"/>
        <v>46-60</v>
      </c>
      <c r="F66" s="2" t="s">
        <v>110</v>
      </c>
      <c r="G66" s="2" t="s">
        <v>21</v>
      </c>
      <c r="H66" s="2">
        <v>4</v>
      </c>
      <c r="I66" s="2" t="str">
        <f t="shared" ref="I66:I129" si="4">IF(H66="","Unknown",IF(H66&lt;=6,"0-6 months",IF(H66&lt;=12,"7-12 months",IF(H66&lt;=24,"13-24 months",IF(H66&lt;=48,"25-48 months","49+ months")))))</f>
        <v>0-6 months</v>
      </c>
      <c r="J66" s="3">
        <v>899</v>
      </c>
      <c r="K66" s="3">
        <v>3596</v>
      </c>
      <c r="L66" s="2" t="s">
        <v>31</v>
      </c>
      <c r="M66" s="4">
        <v>45803</v>
      </c>
      <c r="N66" s="2" t="s">
        <v>32</v>
      </c>
      <c r="O66" s="2">
        <f t="shared" si="3"/>
        <v>1</v>
      </c>
      <c r="P66" s="2" t="s">
        <v>32</v>
      </c>
      <c r="Q66" s="2" t="s">
        <v>23</v>
      </c>
      <c r="R66" s="2" t="s">
        <v>23</v>
      </c>
      <c r="S66" s="2" t="s">
        <v>23</v>
      </c>
      <c r="T66" s="2" t="s">
        <v>23</v>
      </c>
      <c r="U66" s="25">
        <f t="shared" ref="U66:U129" si="5">IF(K66="","",K66+ROW()/1000000)</f>
        <v>3596.0000660000001</v>
      </c>
    </row>
    <row r="67" spans="1:21">
      <c r="A67" s="2" t="s">
        <v>171</v>
      </c>
      <c r="B67" s="2" t="s">
        <v>172</v>
      </c>
      <c r="C67" s="2" t="s">
        <v>35</v>
      </c>
      <c r="D67" s="2">
        <v>52</v>
      </c>
      <c r="E67" s="2" t="str">
        <f t="shared" ref="E67:E130" si="6">IF(D67&lt;=25,"18-25",IF(D67&lt;=35,"26-35",IF(D67&lt;=45,"36-45",IF(D67&lt;=60,"46-60","60+"))))</f>
        <v>46-60</v>
      </c>
      <c r="F67" s="2" t="s">
        <v>63</v>
      </c>
      <c r="G67" s="2" t="s">
        <v>37</v>
      </c>
      <c r="H67" s="2">
        <v>18</v>
      </c>
      <c r="I67" s="2" t="str">
        <f t="shared" si="4"/>
        <v>13-24 months</v>
      </c>
      <c r="J67" s="3">
        <v>399</v>
      </c>
      <c r="K67" s="3">
        <v>7182</v>
      </c>
      <c r="L67" s="2" t="s">
        <v>66</v>
      </c>
      <c r="M67" s="4">
        <v>45364</v>
      </c>
      <c r="N67" s="2" t="s">
        <v>23</v>
      </c>
      <c r="O67" s="2">
        <f t="shared" ref="O67:O130" si="7">IF(N67="Yes",1,IF(N67="No",0,""))</f>
        <v>0</v>
      </c>
      <c r="P67" s="2" t="s">
        <v>23</v>
      </c>
      <c r="Q67" s="2" t="s">
        <v>23</v>
      </c>
      <c r="R67" s="2" t="s">
        <v>23</v>
      </c>
      <c r="S67" s="2" t="s">
        <v>23</v>
      </c>
      <c r="T67" s="2" t="s">
        <v>23</v>
      </c>
      <c r="U67" s="25">
        <f t="shared" si="5"/>
        <v>7182.0000669999999</v>
      </c>
    </row>
    <row r="68" spans="1:21">
      <c r="A68" s="2" t="s">
        <v>173</v>
      </c>
      <c r="B68" s="2" t="s">
        <v>174</v>
      </c>
      <c r="C68" s="2" t="s">
        <v>35</v>
      </c>
      <c r="D68" s="2">
        <v>54</v>
      </c>
      <c r="E68" s="2" t="str">
        <f t="shared" si="6"/>
        <v>46-60</v>
      </c>
      <c r="F68" s="2" t="s">
        <v>46</v>
      </c>
      <c r="G68" s="2" t="s">
        <v>21</v>
      </c>
      <c r="H68" s="2">
        <v>6</v>
      </c>
      <c r="I68" s="2" t="str">
        <f t="shared" si="4"/>
        <v>0-6 months</v>
      </c>
      <c r="J68" s="3">
        <v>1049</v>
      </c>
      <c r="K68" s="3">
        <v>6294</v>
      </c>
      <c r="L68" s="2" t="s">
        <v>22</v>
      </c>
      <c r="M68" s="4">
        <v>45746</v>
      </c>
      <c r="N68" s="2" t="s">
        <v>32</v>
      </c>
      <c r="O68" s="2">
        <f t="shared" si="7"/>
        <v>1</v>
      </c>
      <c r="P68" s="2" t="s">
        <v>23</v>
      </c>
      <c r="Q68" s="2" t="s">
        <v>23</v>
      </c>
      <c r="R68" s="2" t="s">
        <v>23</v>
      </c>
      <c r="S68" s="2" t="s">
        <v>23</v>
      </c>
      <c r="T68" s="2" t="s">
        <v>23</v>
      </c>
      <c r="U68" s="25">
        <f t="shared" si="5"/>
        <v>6294.0000680000003</v>
      </c>
    </row>
    <row r="69" spans="1:21">
      <c r="A69" s="2" t="s">
        <v>175</v>
      </c>
      <c r="B69" s="2" t="s">
        <v>176</v>
      </c>
      <c r="C69" s="2" t="s">
        <v>35</v>
      </c>
      <c r="D69" s="2">
        <v>54</v>
      </c>
      <c r="E69" s="2" t="str">
        <f t="shared" si="6"/>
        <v>46-60</v>
      </c>
      <c r="F69" s="2" t="s">
        <v>71</v>
      </c>
      <c r="G69" s="2" t="s">
        <v>27</v>
      </c>
      <c r="H69" s="2">
        <v>37</v>
      </c>
      <c r="I69" s="2" t="str">
        <f t="shared" si="4"/>
        <v>25-48 months</v>
      </c>
      <c r="J69" s="3">
        <v>699</v>
      </c>
      <c r="K69" s="3">
        <v>25863</v>
      </c>
      <c r="L69" s="2" t="s">
        <v>31</v>
      </c>
      <c r="M69" s="4">
        <v>44794</v>
      </c>
      <c r="N69" s="2" t="s">
        <v>32</v>
      </c>
      <c r="O69" s="2">
        <f t="shared" si="7"/>
        <v>1</v>
      </c>
      <c r="P69" s="2" t="s">
        <v>23</v>
      </c>
      <c r="Q69" s="2" t="s">
        <v>23</v>
      </c>
      <c r="R69" s="2" t="s">
        <v>23</v>
      </c>
      <c r="S69" s="2" t="s">
        <v>23</v>
      </c>
      <c r="T69" s="2" t="s">
        <v>23</v>
      </c>
      <c r="U69" s="25">
        <f t="shared" si="5"/>
        <v>25863.000069000002</v>
      </c>
    </row>
    <row r="70" spans="1:21">
      <c r="A70" s="2" t="s">
        <v>177</v>
      </c>
      <c r="B70" s="2" t="s">
        <v>178</v>
      </c>
      <c r="C70" s="2" t="s">
        <v>35</v>
      </c>
      <c r="D70" s="2">
        <v>68</v>
      </c>
      <c r="E70" s="2" t="str">
        <f t="shared" si="6"/>
        <v>60+</v>
      </c>
      <c r="F70" s="2" t="s">
        <v>91</v>
      </c>
      <c r="G70" s="2" t="s">
        <v>21</v>
      </c>
      <c r="H70" s="2">
        <v>15</v>
      </c>
      <c r="I70" s="2" t="str">
        <f t="shared" si="4"/>
        <v>13-24 months</v>
      </c>
      <c r="J70" s="3">
        <v>1049</v>
      </c>
      <c r="K70" s="3">
        <v>15735</v>
      </c>
      <c r="L70" s="2" t="s">
        <v>22</v>
      </c>
      <c r="M70" s="4">
        <v>45469</v>
      </c>
      <c r="N70" s="2" t="s">
        <v>23</v>
      </c>
      <c r="O70" s="2">
        <f t="shared" si="7"/>
        <v>0</v>
      </c>
      <c r="P70" s="2" t="s">
        <v>23</v>
      </c>
      <c r="Q70" s="2" t="s">
        <v>23</v>
      </c>
      <c r="R70" s="2" t="s">
        <v>23</v>
      </c>
      <c r="S70" s="2" t="s">
        <v>23</v>
      </c>
      <c r="T70" s="2" t="s">
        <v>23</v>
      </c>
      <c r="U70" s="25">
        <f t="shared" si="5"/>
        <v>15735.00007</v>
      </c>
    </row>
    <row r="71" spans="1:21">
      <c r="A71" s="2" t="s">
        <v>179</v>
      </c>
      <c r="B71" s="2" t="s">
        <v>180</v>
      </c>
      <c r="C71" s="2" t="s">
        <v>19</v>
      </c>
      <c r="D71" s="2">
        <v>24</v>
      </c>
      <c r="E71" s="2" t="str">
        <f t="shared" si="6"/>
        <v>18-25</v>
      </c>
      <c r="F71" s="2" t="s">
        <v>110</v>
      </c>
      <c r="G71" s="2" t="s">
        <v>21</v>
      </c>
      <c r="H71" s="2">
        <v>22</v>
      </c>
      <c r="I71" s="2" t="str">
        <f t="shared" si="4"/>
        <v>13-24 months</v>
      </c>
      <c r="J71" s="3">
        <v>599</v>
      </c>
      <c r="K71" s="3">
        <v>13178</v>
      </c>
      <c r="L71" s="2" t="s">
        <v>31</v>
      </c>
      <c r="M71" s="4"/>
      <c r="N71" s="2" t="s">
        <v>32</v>
      </c>
      <c r="O71" s="2">
        <f t="shared" si="7"/>
        <v>1</v>
      </c>
      <c r="P71" s="2" t="s">
        <v>23</v>
      </c>
      <c r="Q71" s="2" t="s">
        <v>23</v>
      </c>
      <c r="R71" s="2" t="s">
        <v>23</v>
      </c>
      <c r="S71" s="2" t="s">
        <v>32</v>
      </c>
      <c r="T71" s="2" t="s">
        <v>54</v>
      </c>
      <c r="U71" s="25">
        <f t="shared" si="5"/>
        <v>13178.000071</v>
      </c>
    </row>
    <row r="72" spans="1:21">
      <c r="A72" s="2" t="s">
        <v>181</v>
      </c>
      <c r="B72" s="2" t="s">
        <v>182</v>
      </c>
      <c r="C72" s="2" t="s">
        <v>19</v>
      </c>
      <c r="D72" s="2">
        <v>46</v>
      </c>
      <c r="E72" s="2" t="str">
        <f t="shared" si="6"/>
        <v>46-60</v>
      </c>
      <c r="F72" s="2" t="s">
        <v>141</v>
      </c>
      <c r="G72" s="2" t="s">
        <v>27</v>
      </c>
      <c r="H72" s="2">
        <v>15</v>
      </c>
      <c r="I72" s="2" t="str">
        <f t="shared" si="4"/>
        <v>13-24 months</v>
      </c>
      <c r="J72" s="3">
        <v>699</v>
      </c>
      <c r="K72" s="3">
        <v>10485</v>
      </c>
      <c r="L72" s="2" t="s">
        <v>31</v>
      </c>
      <c r="M72" s="4">
        <v>45464</v>
      </c>
      <c r="N72" s="2" t="s">
        <v>23</v>
      </c>
      <c r="O72" s="2">
        <f t="shared" si="7"/>
        <v>0</v>
      </c>
      <c r="P72" s="2" t="s">
        <v>23</v>
      </c>
      <c r="Q72" s="2" t="s">
        <v>23</v>
      </c>
      <c r="R72" s="2" t="s">
        <v>23</v>
      </c>
      <c r="S72" s="2" t="s">
        <v>23</v>
      </c>
      <c r="T72" s="2" t="s">
        <v>23</v>
      </c>
      <c r="U72" s="25">
        <f t="shared" si="5"/>
        <v>10485.000072000001</v>
      </c>
    </row>
    <row r="73" spans="1:21">
      <c r="A73" s="2" t="s">
        <v>183</v>
      </c>
      <c r="B73" s="2" t="s">
        <v>184</v>
      </c>
      <c r="C73" s="2" t="s">
        <v>19</v>
      </c>
      <c r="D73" s="2">
        <v>68</v>
      </c>
      <c r="E73" s="2" t="str">
        <f t="shared" si="6"/>
        <v>60+</v>
      </c>
      <c r="F73" s="2" t="s">
        <v>110</v>
      </c>
      <c r="G73" s="2" t="s">
        <v>27</v>
      </c>
      <c r="H73" s="2">
        <v>13</v>
      </c>
      <c r="I73" s="2" t="str">
        <f t="shared" si="4"/>
        <v>13-24 months</v>
      </c>
      <c r="J73" s="3">
        <v>899</v>
      </c>
      <c r="K73" s="3">
        <v>11687</v>
      </c>
      <c r="L73" s="2" t="s">
        <v>22</v>
      </c>
      <c r="M73" s="4">
        <v>45534</v>
      </c>
      <c r="N73" s="2" t="s">
        <v>23</v>
      </c>
      <c r="O73" s="2">
        <f t="shared" si="7"/>
        <v>0</v>
      </c>
      <c r="P73" s="2" t="s">
        <v>23</v>
      </c>
      <c r="Q73" s="2" t="s">
        <v>23</v>
      </c>
      <c r="R73" s="2" t="s">
        <v>23</v>
      </c>
      <c r="S73" s="2" t="s">
        <v>23</v>
      </c>
      <c r="T73" s="2" t="s">
        <v>23</v>
      </c>
      <c r="U73" s="25">
        <f t="shared" si="5"/>
        <v>11687.000072999999</v>
      </c>
    </row>
    <row r="74" spans="1:21">
      <c r="A74" s="2" t="s">
        <v>185</v>
      </c>
      <c r="B74" s="2" t="s">
        <v>186</v>
      </c>
      <c r="C74" s="2" t="s">
        <v>35</v>
      </c>
      <c r="D74" s="2">
        <v>21</v>
      </c>
      <c r="E74" s="2" t="str">
        <f t="shared" si="6"/>
        <v>18-25</v>
      </c>
      <c r="F74" s="2" t="s">
        <v>37</v>
      </c>
      <c r="G74" s="2" t="s">
        <v>27</v>
      </c>
      <c r="H74" s="2">
        <v>37</v>
      </c>
      <c r="I74" s="2" t="str">
        <f t="shared" si="4"/>
        <v>25-48 months</v>
      </c>
      <c r="J74" s="3">
        <v>1099</v>
      </c>
      <c r="K74" s="3">
        <v>40663</v>
      </c>
      <c r="L74" s="2" t="s">
        <v>22</v>
      </c>
      <c r="M74" s="4">
        <v>44809</v>
      </c>
      <c r="N74" s="2" t="s">
        <v>23</v>
      </c>
      <c r="O74" s="2">
        <f t="shared" si="7"/>
        <v>0</v>
      </c>
      <c r="P74" s="2" t="s">
        <v>23</v>
      </c>
      <c r="Q74" s="2" t="s">
        <v>23</v>
      </c>
      <c r="R74" s="2" t="s">
        <v>23</v>
      </c>
      <c r="S74" s="2" t="s">
        <v>23</v>
      </c>
      <c r="T74" s="2" t="s">
        <v>23</v>
      </c>
      <c r="U74" s="25">
        <f t="shared" si="5"/>
        <v>40663.000074000003</v>
      </c>
    </row>
    <row r="75" spans="1:21">
      <c r="A75" s="2" t="s">
        <v>187</v>
      </c>
      <c r="B75" s="2" t="s">
        <v>188</v>
      </c>
      <c r="C75" s="2" t="s">
        <v>35</v>
      </c>
      <c r="D75" s="2">
        <v>52</v>
      </c>
      <c r="E75" s="2" t="str">
        <f t="shared" si="6"/>
        <v>46-60</v>
      </c>
      <c r="F75" s="2" t="s">
        <v>60</v>
      </c>
      <c r="G75" s="2" t="s">
        <v>21</v>
      </c>
      <c r="H75" s="2">
        <v>14</v>
      </c>
      <c r="I75" s="2" t="str">
        <f t="shared" si="4"/>
        <v>13-24 months</v>
      </c>
      <c r="J75" s="3">
        <v>1049</v>
      </c>
      <c r="K75" s="3">
        <v>14686</v>
      </c>
      <c r="L75" s="2" t="s">
        <v>22</v>
      </c>
      <c r="M75" s="4"/>
      <c r="N75" s="2" t="s">
        <v>32</v>
      </c>
      <c r="O75" s="2">
        <f t="shared" si="7"/>
        <v>1</v>
      </c>
      <c r="P75" s="2" t="s">
        <v>23</v>
      </c>
      <c r="Q75" s="2" t="s">
        <v>23</v>
      </c>
      <c r="R75" s="2" t="s">
        <v>23</v>
      </c>
      <c r="S75" s="2" t="s">
        <v>23</v>
      </c>
      <c r="T75" s="2" t="s">
        <v>54</v>
      </c>
      <c r="U75" s="25">
        <f t="shared" si="5"/>
        <v>14686.000075</v>
      </c>
    </row>
    <row r="76" spans="1:21">
      <c r="A76" s="2" t="s">
        <v>189</v>
      </c>
      <c r="B76" s="2" t="s">
        <v>190</v>
      </c>
      <c r="C76" s="2" t="s">
        <v>19</v>
      </c>
      <c r="D76" s="2">
        <v>19</v>
      </c>
      <c r="E76" s="2" t="str">
        <f t="shared" si="6"/>
        <v>18-25</v>
      </c>
      <c r="F76" s="2" t="s">
        <v>110</v>
      </c>
      <c r="G76" s="2" t="s">
        <v>27</v>
      </c>
      <c r="H76" s="2">
        <v>3</v>
      </c>
      <c r="I76" s="2" t="str">
        <f t="shared" si="4"/>
        <v>0-6 months</v>
      </c>
      <c r="J76" s="3">
        <v>899</v>
      </c>
      <c r="K76" s="3">
        <v>2697</v>
      </c>
      <c r="L76" s="2" t="s">
        <v>31</v>
      </c>
      <c r="M76" s="4">
        <v>45818</v>
      </c>
      <c r="N76" s="2" t="s">
        <v>23</v>
      </c>
      <c r="O76" s="2">
        <f t="shared" si="7"/>
        <v>0</v>
      </c>
      <c r="P76" s="2" t="s">
        <v>23</v>
      </c>
      <c r="Q76" s="2" t="s">
        <v>23</v>
      </c>
      <c r="R76" s="2" t="s">
        <v>23</v>
      </c>
      <c r="S76" s="2" t="s">
        <v>23</v>
      </c>
      <c r="T76" s="2" t="s">
        <v>23</v>
      </c>
      <c r="U76" s="25">
        <f t="shared" si="5"/>
        <v>2697.0000759999998</v>
      </c>
    </row>
    <row r="77" spans="1:21">
      <c r="A77" s="2" t="s">
        <v>191</v>
      </c>
      <c r="B77" s="2" t="s">
        <v>192</v>
      </c>
      <c r="C77" s="2" t="s">
        <v>35</v>
      </c>
      <c r="D77" s="2">
        <v>55</v>
      </c>
      <c r="E77" s="2" t="str">
        <f t="shared" si="6"/>
        <v>46-60</v>
      </c>
      <c r="F77" s="2" t="s">
        <v>105</v>
      </c>
      <c r="G77" s="2" t="s">
        <v>27</v>
      </c>
      <c r="H77" s="2">
        <v>6</v>
      </c>
      <c r="I77" s="2" t="str">
        <f t="shared" si="4"/>
        <v>0-6 months</v>
      </c>
      <c r="J77" s="3">
        <v>1049</v>
      </c>
      <c r="K77" s="3">
        <v>6294</v>
      </c>
      <c r="L77" s="2" t="s">
        <v>22</v>
      </c>
      <c r="M77" s="4">
        <v>45727</v>
      </c>
      <c r="N77" s="2" t="s">
        <v>23</v>
      </c>
      <c r="O77" s="2">
        <f t="shared" si="7"/>
        <v>0</v>
      </c>
      <c r="P77" s="2" t="s">
        <v>23</v>
      </c>
      <c r="Q77" s="2" t="s">
        <v>23</v>
      </c>
      <c r="R77" s="2" t="s">
        <v>23</v>
      </c>
      <c r="S77" s="2" t="s">
        <v>23</v>
      </c>
      <c r="T77" s="2" t="s">
        <v>23</v>
      </c>
      <c r="U77" s="25">
        <f t="shared" si="5"/>
        <v>6294.0000769999997</v>
      </c>
    </row>
    <row r="78" spans="1:21">
      <c r="A78" s="2" t="s">
        <v>193</v>
      </c>
      <c r="B78" s="2" t="s">
        <v>194</v>
      </c>
      <c r="C78" s="2" t="s">
        <v>19</v>
      </c>
      <c r="D78" s="2">
        <v>44</v>
      </c>
      <c r="E78" s="2" t="str">
        <f t="shared" si="6"/>
        <v>36-45</v>
      </c>
      <c r="F78" s="2" t="s">
        <v>141</v>
      </c>
      <c r="G78" s="2" t="s">
        <v>21</v>
      </c>
      <c r="H78" s="2">
        <v>13</v>
      </c>
      <c r="I78" s="2" t="str">
        <f t="shared" si="4"/>
        <v>13-24 months</v>
      </c>
      <c r="J78" s="3">
        <v>1299</v>
      </c>
      <c r="K78" s="3">
        <v>16887</v>
      </c>
      <c r="L78" s="2" t="s">
        <v>22</v>
      </c>
      <c r="M78" s="4">
        <v>45536</v>
      </c>
      <c r="N78" s="2" t="s">
        <v>32</v>
      </c>
      <c r="O78" s="2">
        <f t="shared" si="7"/>
        <v>1</v>
      </c>
      <c r="P78" s="2" t="s">
        <v>23</v>
      </c>
      <c r="Q78" s="2" t="s">
        <v>23</v>
      </c>
      <c r="R78" s="2" t="s">
        <v>23</v>
      </c>
      <c r="S78" s="2" t="s">
        <v>23</v>
      </c>
      <c r="T78" s="2" t="s">
        <v>23</v>
      </c>
      <c r="U78" s="25">
        <f t="shared" si="5"/>
        <v>16887.000078000001</v>
      </c>
    </row>
    <row r="79" spans="1:21">
      <c r="A79" s="2" t="s">
        <v>195</v>
      </c>
      <c r="B79" s="2" t="s">
        <v>196</v>
      </c>
      <c r="C79" s="2" t="s">
        <v>35</v>
      </c>
      <c r="D79" s="2">
        <v>25</v>
      </c>
      <c r="E79" s="2" t="str">
        <f t="shared" si="6"/>
        <v>18-25</v>
      </c>
      <c r="F79" s="2" t="s">
        <v>110</v>
      </c>
      <c r="G79" s="2" t="s">
        <v>21</v>
      </c>
      <c r="H79" s="2">
        <v>1</v>
      </c>
      <c r="I79" s="2" t="str">
        <f t="shared" si="4"/>
        <v>0-6 months</v>
      </c>
      <c r="J79" s="3">
        <v>1299</v>
      </c>
      <c r="K79" s="3">
        <v>1299</v>
      </c>
      <c r="L79" s="2" t="s">
        <v>22</v>
      </c>
      <c r="M79" s="4">
        <v>45897</v>
      </c>
      <c r="N79" s="2" t="s">
        <v>32</v>
      </c>
      <c r="O79" s="2">
        <f t="shared" si="7"/>
        <v>1</v>
      </c>
      <c r="P79" s="2" t="s">
        <v>23</v>
      </c>
      <c r="Q79" s="2" t="s">
        <v>23</v>
      </c>
      <c r="R79" s="2" t="s">
        <v>23</v>
      </c>
      <c r="S79" s="2" t="s">
        <v>23</v>
      </c>
      <c r="T79" s="2" t="s">
        <v>23</v>
      </c>
      <c r="U79" s="25">
        <f t="shared" si="5"/>
        <v>1299.0000789999999</v>
      </c>
    </row>
    <row r="80" spans="1:21">
      <c r="A80" s="2" t="s">
        <v>197</v>
      </c>
      <c r="B80" s="2" t="s">
        <v>198</v>
      </c>
      <c r="C80" s="2" t="s">
        <v>37</v>
      </c>
      <c r="D80" s="2">
        <v>57</v>
      </c>
      <c r="E80" s="2" t="str">
        <f t="shared" si="6"/>
        <v>46-60</v>
      </c>
      <c r="F80" s="2" t="s">
        <v>110</v>
      </c>
      <c r="G80" s="2" t="s">
        <v>21</v>
      </c>
      <c r="H80" s="2">
        <v>2</v>
      </c>
      <c r="I80" s="2" t="str">
        <f t="shared" si="4"/>
        <v>0-6 months</v>
      </c>
      <c r="J80" s="3">
        <v>1049</v>
      </c>
      <c r="K80" s="3">
        <v>2098</v>
      </c>
      <c r="L80" s="2" t="s">
        <v>22</v>
      </c>
      <c r="M80" s="4">
        <v>45859</v>
      </c>
      <c r="N80" s="2" t="s">
        <v>32</v>
      </c>
      <c r="O80" s="2">
        <f t="shared" si="7"/>
        <v>1</v>
      </c>
      <c r="P80" s="2" t="s">
        <v>23</v>
      </c>
      <c r="Q80" s="2" t="s">
        <v>23</v>
      </c>
      <c r="R80" s="2" t="s">
        <v>23</v>
      </c>
      <c r="S80" s="2" t="s">
        <v>23</v>
      </c>
      <c r="T80" s="2" t="s">
        <v>23</v>
      </c>
      <c r="U80" s="25">
        <f t="shared" si="5"/>
        <v>2098.0000799999998</v>
      </c>
    </row>
    <row r="81" spans="1:21">
      <c r="A81" s="2" t="s">
        <v>199</v>
      </c>
      <c r="B81" s="2" t="s">
        <v>200</v>
      </c>
      <c r="C81" s="2" t="s">
        <v>35</v>
      </c>
      <c r="D81" s="2">
        <v>47</v>
      </c>
      <c r="E81" s="2" t="str">
        <f t="shared" si="6"/>
        <v>46-60</v>
      </c>
      <c r="F81" s="2" t="s">
        <v>71</v>
      </c>
      <c r="G81" s="2" t="s">
        <v>27</v>
      </c>
      <c r="H81" s="2">
        <v>11</v>
      </c>
      <c r="I81" s="2" t="str">
        <f t="shared" si="4"/>
        <v>7-12 months</v>
      </c>
      <c r="J81" s="3">
        <v>699</v>
      </c>
      <c r="K81" s="3">
        <v>7689</v>
      </c>
      <c r="L81" s="2" t="s">
        <v>31</v>
      </c>
      <c r="M81" s="4">
        <v>45596</v>
      </c>
      <c r="N81" s="2" t="s">
        <v>23</v>
      </c>
      <c r="O81" s="2">
        <f t="shared" si="7"/>
        <v>0</v>
      </c>
      <c r="P81" s="2" t="s">
        <v>32</v>
      </c>
      <c r="Q81" s="2" t="s">
        <v>23</v>
      </c>
      <c r="R81" s="2" t="s">
        <v>32</v>
      </c>
      <c r="S81" s="2" t="s">
        <v>23</v>
      </c>
      <c r="T81" s="2" t="s">
        <v>23</v>
      </c>
      <c r="U81" s="25">
        <f t="shared" si="5"/>
        <v>7689.0000810000001</v>
      </c>
    </row>
    <row r="82" spans="1:21">
      <c r="A82" s="2" t="s">
        <v>201</v>
      </c>
      <c r="B82" s="2" t="s">
        <v>202</v>
      </c>
      <c r="C82" s="2" t="s">
        <v>19</v>
      </c>
      <c r="D82" s="2">
        <v>25</v>
      </c>
      <c r="E82" s="2" t="str">
        <f t="shared" si="6"/>
        <v>18-25</v>
      </c>
      <c r="F82" s="2" t="s">
        <v>71</v>
      </c>
      <c r="G82" s="2" t="s">
        <v>47</v>
      </c>
      <c r="H82" s="2">
        <v>38</v>
      </c>
      <c r="I82" s="2" t="str">
        <f t="shared" si="4"/>
        <v>25-48 months</v>
      </c>
      <c r="J82" s="3">
        <v>1199</v>
      </c>
      <c r="K82" s="3">
        <v>45562</v>
      </c>
      <c r="L82" s="2" t="s">
        <v>22</v>
      </c>
      <c r="M82" s="4">
        <v>44773</v>
      </c>
      <c r="N82" s="2" t="s">
        <v>23</v>
      </c>
      <c r="O82" s="2">
        <f t="shared" si="7"/>
        <v>0</v>
      </c>
      <c r="P82" s="2" t="s">
        <v>23</v>
      </c>
      <c r="Q82" s="2" t="s">
        <v>23</v>
      </c>
      <c r="R82" s="2" t="s">
        <v>23</v>
      </c>
      <c r="S82" s="2" t="s">
        <v>23</v>
      </c>
      <c r="T82" s="2" t="s">
        <v>23</v>
      </c>
      <c r="U82" s="25">
        <f t="shared" si="5"/>
        <v>45562.000081999999</v>
      </c>
    </row>
    <row r="83" spans="1:21">
      <c r="A83" s="2" t="s">
        <v>203</v>
      </c>
      <c r="B83" s="2" t="s">
        <v>204</v>
      </c>
      <c r="C83" s="2" t="s">
        <v>37</v>
      </c>
      <c r="D83" s="2">
        <v>53</v>
      </c>
      <c r="E83" s="2" t="str">
        <f t="shared" si="6"/>
        <v>46-60</v>
      </c>
      <c r="F83" s="2" t="s">
        <v>63</v>
      </c>
      <c r="G83" s="2" t="s">
        <v>21</v>
      </c>
      <c r="H83" s="2">
        <v>17</v>
      </c>
      <c r="I83" s="2" t="str">
        <f t="shared" si="4"/>
        <v>13-24 months</v>
      </c>
      <c r="J83" s="3">
        <v>349</v>
      </c>
      <c r="K83" s="3">
        <v>5933</v>
      </c>
      <c r="L83" s="2" t="s">
        <v>66</v>
      </c>
      <c r="M83" s="4">
        <v>45393</v>
      </c>
      <c r="N83" s="2" t="s">
        <v>32</v>
      </c>
      <c r="O83" s="2">
        <f t="shared" si="7"/>
        <v>1</v>
      </c>
      <c r="P83" s="2" t="s">
        <v>23</v>
      </c>
      <c r="Q83" s="2" t="s">
        <v>23</v>
      </c>
      <c r="R83" s="2" t="s">
        <v>23</v>
      </c>
      <c r="S83" s="2" t="s">
        <v>23</v>
      </c>
      <c r="T83" s="2" t="s">
        <v>23</v>
      </c>
      <c r="U83" s="25">
        <f t="shared" si="5"/>
        <v>5933.0000829999999</v>
      </c>
    </row>
    <row r="84" spans="1:21">
      <c r="A84" s="2" t="s">
        <v>205</v>
      </c>
      <c r="B84" s="2" t="s">
        <v>206</v>
      </c>
      <c r="C84" s="2" t="s">
        <v>35</v>
      </c>
      <c r="D84" s="2">
        <v>35</v>
      </c>
      <c r="E84" s="2" t="str">
        <f t="shared" si="6"/>
        <v>26-35</v>
      </c>
      <c r="F84" s="2" t="s">
        <v>57</v>
      </c>
      <c r="G84" s="2" t="s">
        <v>21</v>
      </c>
      <c r="H84" s="2">
        <v>19</v>
      </c>
      <c r="I84" s="2" t="str">
        <f t="shared" si="4"/>
        <v>13-24 months</v>
      </c>
      <c r="J84" s="3">
        <v>1199</v>
      </c>
      <c r="K84" s="3">
        <v>22781</v>
      </c>
      <c r="L84" s="2" t="s">
        <v>22</v>
      </c>
      <c r="M84" s="4">
        <v>45344</v>
      </c>
      <c r="N84" s="2" t="s">
        <v>23</v>
      </c>
      <c r="O84" s="2">
        <f t="shared" si="7"/>
        <v>0</v>
      </c>
      <c r="P84" s="2" t="s">
        <v>23</v>
      </c>
      <c r="Q84" s="2" t="s">
        <v>23</v>
      </c>
      <c r="R84" s="2" t="s">
        <v>23</v>
      </c>
      <c r="S84" s="2" t="s">
        <v>23</v>
      </c>
      <c r="T84" s="2" t="s">
        <v>23</v>
      </c>
      <c r="U84" s="25">
        <f t="shared" si="5"/>
        <v>22781.000083999999</v>
      </c>
    </row>
    <row r="85" spans="1:21">
      <c r="A85" s="2" t="s">
        <v>207</v>
      </c>
      <c r="B85" s="2" t="s">
        <v>208</v>
      </c>
      <c r="C85" s="2" t="s">
        <v>35</v>
      </c>
      <c r="D85" s="2">
        <v>53</v>
      </c>
      <c r="E85" s="2" t="str">
        <f t="shared" si="6"/>
        <v>46-60</v>
      </c>
      <c r="F85" s="2" t="s">
        <v>110</v>
      </c>
      <c r="G85" s="2" t="s">
        <v>21</v>
      </c>
      <c r="H85" s="2">
        <v>11</v>
      </c>
      <c r="I85" s="2" t="str">
        <f t="shared" si="4"/>
        <v>7-12 months</v>
      </c>
      <c r="J85" s="3">
        <v>999</v>
      </c>
      <c r="K85" s="3">
        <v>10989</v>
      </c>
      <c r="L85" s="2" t="s">
        <v>22</v>
      </c>
      <c r="M85" s="4">
        <v>45591</v>
      </c>
      <c r="N85" s="2" t="s">
        <v>23</v>
      </c>
      <c r="O85" s="2">
        <f t="shared" si="7"/>
        <v>0</v>
      </c>
      <c r="P85" s="2" t="s">
        <v>23</v>
      </c>
      <c r="Q85" s="2" t="s">
        <v>23</v>
      </c>
      <c r="R85" s="2" t="s">
        <v>23</v>
      </c>
      <c r="S85" s="2" t="s">
        <v>23</v>
      </c>
      <c r="T85" s="2" t="s">
        <v>23</v>
      </c>
      <c r="U85" s="25">
        <f t="shared" si="5"/>
        <v>10989.000085</v>
      </c>
    </row>
    <row r="86" spans="1:21">
      <c r="A86" s="2" t="s">
        <v>209</v>
      </c>
      <c r="B86" s="2" t="s">
        <v>210</v>
      </c>
      <c r="C86" s="2" t="s">
        <v>35</v>
      </c>
      <c r="D86" s="2">
        <v>65</v>
      </c>
      <c r="E86" s="2" t="str">
        <f t="shared" si="6"/>
        <v>60+</v>
      </c>
      <c r="F86" s="2" t="s">
        <v>60</v>
      </c>
      <c r="G86" s="2" t="s">
        <v>27</v>
      </c>
      <c r="H86" s="2">
        <v>25</v>
      </c>
      <c r="I86" s="2" t="str">
        <f t="shared" si="4"/>
        <v>25-48 months</v>
      </c>
      <c r="J86" s="3">
        <v>399</v>
      </c>
      <c r="K86" s="3">
        <v>9975</v>
      </c>
      <c r="L86" s="2" t="s">
        <v>66</v>
      </c>
      <c r="M86" s="4">
        <v>45177</v>
      </c>
      <c r="N86" s="2" t="s">
        <v>23</v>
      </c>
      <c r="O86" s="2">
        <f t="shared" si="7"/>
        <v>0</v>
      </c>
      <c r="P86" s="2" t="s">
        <v>23</v>
      </c>
      <c r="Q86" s="2" t="s">
        <v>23</v>
      </c>
      <c r="R86" s="2" t="s">
        <v>23</v>
      </c>
      <c r="S86" s="2" t="s">
        <v>23</v>
      </c>
      <c r="T86" s="2" t="s">
        <v>23</v>
      </c>
      <c r="U86" s="25">
        <f t="shared" si="5"/>
        <v>9975.000086</v>
      </c>
    </row>
    <row r="87" spans="1:21">
      <c r="A87" s="2" t="s">
        <v>211</v>
      </c>
      <c r="B87" s="2" t="s">
        <v>212</v>
      </c>
      <c r="C87" s="2" t="s">
        <v>19</v>
      </c>
      <c r="D87" s="2">
        <v>39</v>
      </c>
      <c r="E87" s="2" t="str">
        <f t="shared" si="6"/>
        <v>36-45</v>
      </c>
      <c r="F87" s="2" t="s">
        <v>57</v>
      </c>
      <c r="G87" s="2" t="s">
        <v>21</v>
      </c>
      <c r="H87" s="2">
        <v>4</v>
      </c>
      <c r="I87" s="2" t="str">
        <f t="shared" si="4"/>
        <v>0-6 months</v>
      </c>
      <c r="J87" s="3">
        <v>349</v>
      </c>
      <c r="K87" s="3">
        <v>1396</v>
      </c>
      <c r="L87" s="2" t="s">
        <v>66</v>
      </c>
      <c r="M87" s="4">
        <v>45795</v>
      </c>
      <c r="N87" s="2" t="s">
        <v>23</v>
      </c>
      <c r="O87" s="2">
        <f t="shared" si="7"/>
        <v>0</v>
      </c>
      <c r="P87" s="2" t="s">
        <v>23</v>
      </c>
      <c r="Q87" s="2" t="s">
        <v>23</v>
      </c>
      <c r="R87" s="2" t="s">
        <v>23</v>
      </c>
      <c r="S87" s="2" t="s">
        <v>23</v>
      </c>
      <c r="T87" s="2" t="s">
        <v>23</v>
      </c>
      <c r="U87" s="25">
        <f t="shared" si="5"/>
        <v>1396.0000869999999</v>
      </c>
    </row>
    <row r="88" spans="1:21">
      <c r="A88" s="2" t="s">
        <v>213</v>
      </c>
      <c r="B88" s="2" t="s">
        <v>37</v>
      </c>
      <c r="C88" s="2" t="s">
        <v>19</v>
      </c>
      <c r="D88" s="2">
        <v>68</v>
      </c>
      <c r="E88" s="2" t="str">
        <f t="shared" si="6"/>
        <v>60+</v>
      </c>
      <c r="F88" s="2" t="s">
        <v>46</v>
      </c>
      <c r="G88" s="2" t="s">
        <v>21</v>
      </c>
      <c r="H88" s="2"/>
      <c r="I88" s="2" t="str">
        <f t="shared" si="4"/>
        <v>Unknown</v>
      </c>
      <c r="J88" s="3">
        <v>1299</v>
      </c>
      <c r="K88" s="3"/>
      <c r="L88" s="2" t="s">
        <v>22</v>
      </c>
      <c r="M88" s="4">
        <v>45271</v>
      </c>
      <c r="N88" s="2" t="s">
        <v>23</v>
      </c>
      <c r="O88" s="2">
        <f t="shared" si="7"/>
        <v>0</v>
      </c>
      <c r="P88" s="2" t="s">
        <v>23</v>
      </c>
      <c r="Q88" s="2" t="s">
        <v>23</v>
      </c>
      <c r="R88" s="2" t="s">
        <v>23</v>
      </c>
      <c r="S88" s="2" t="s">
        <v>23</v>
      </c>
      <c r="T88" s="2" t="s">
        <v>214</v>
      </c>
      <c r="U88" s="25" t="str">
        <f t="shared" si="5"/>
        <v/>
      </c>
    </row>
    <row r="89" spans="1:21">
      <c r="A89" s="2" t="s">
        <v>215</v>
      </c>
      <c r="B89" s="2" t="s">
        <v>216</v>
      </c>
      <c r="C89" s="2" t="s">
        <v>35</v>
      </c>
      <c r="D89" s="2">
        <v>63</v>
      </c>
      <c r="E89" s="2" t="str">
        <f t="shared" si="6"/>
        <v>60+</v>
      </c>
      <c r="F89" s="2" t="s">
        <v>110</v>
      </c>
      <c r="G89" s="2" t="s">
        <v>21</v>
      </c>
      <c r="H89" s="2">
        <v>20</v>
      </c>
      <c r="I89" s="2" t="str">
        <f t="shared" si="4"/>
        <v>13-24 months</v>
      </c>
      <c r="J89" s="3">
        <v>999</v>
      </c>
      <c r="K89" s="3">
        <v>19980</v>
      </c>
      <c r="L89" s="2" t="s">
        <v>22</v>
      </c>
      <c r="M89" s="4">
        <v>45305</v>
      </c>
      <c r="N89" s="2" t="s">
        <v>23</v>
      </c>
      <c r="O89" s="2">
        <f t="shared" si="7"/>
        <v>0</v>
      </c>
      <c r="P89" s="2" t="s">
        <v>23</v>
      </c>
      <c r="Q89" s="2" t="s">
        <v>23</v>
      </c>
      <c r="R89" s="2" t="s">
        <v>23</v>
      </c>
      <c r="S89" s="2" t="s">
        <v>23</v>
      </c>
      <c r="T89" s="2" t="s">
        <v>23</v>
      </c>
      <c r="U89" s="25">
        <f t="shared" si="5"/>
        <v>19980.000089000001</v>
      </c>
    </row>
    <row r="90" spans="1:21">
      <c r="A90" s="2" t="s">
        <v>217</v>
      </c>
      <c r="B90" s="2" t="s">
        <v>218</v>
      </c>
      <c r="C90" s="2" t="s">
        <v>19</v>
      </c>
      <c r="D90" s="2">
        <v>66</v>
      </c>
      <c r="E90" s="2" t="str">
        <f t="shared" si="6"/>
        <v>60+</v>
      </c>
      <c r="F90" s="2" t="s">
        <v>71</v>
      </c>
      <c r="G90" s="2" t="s">
        <v>27</v>
      </c>
      <c r="H90" s="2">
        <v>11</v>
      </c>
      <c r="I90" s="2" t="str">
        <f t="shared" si="4"/>
        <v>7-12 months</v>
      </c>
      <c r="J90" s="3">
        <v>849</v>
      </c>
      <c r="K90" s="3">
        <v>9339</v>
      </c>
      <c r="L90" s="2" t="s">
        <v>31</v>
      </c>
      <c r="M90" s="4">
        <v>45573</v>
      </c>
      <c r="N90" s="2" t="s">
        <v>32</v>
      </c>
      <c r="O90" s="2">
        <f t="shared" si="7"/>
        <v>1</v>
      </c>
      <c r="P90" s="2" t="s">
        <v>23</v>
      </c>
      <c r="Q90" s="2" t="s">
        <v>23</v>
      </c>
      <c r="R90" s="2" t="s">
        <v>23</v>
      </c>
      <c r="S90" s="2" t="s">
        <v>23</v>
      </c>
      <c r="T90" s="2" t="s">
        <v>23</v>
      </c>
      <c r="U90" s="25">
        <f t="shared" si="5"/>
        <v>9339.0000899999995</v>
      </c>
    </row>
    <row r="91" spans="1:21">
      <c r="A91" s="2" t="s">
        <v>219</v>
      </c>
      <c r="B91" s="2" t="s">
        <v>220</v>
      </c>
      <c r="C91" s="2" t="s">
        <v>19</v>
      </c>
      <c r="D91" s="2">
        <v>47</v>
      </c>
      <c r="E91" s="2" t="str">
        <f t="shared" si="6"/>
        <v>46-60</v>
      </c>
      <c r="F91" s="2" t="s">
        <v>105</v>
      </c>
      <c r="G91" s="2" t="s">
        <v>21</v>
      </c>
      <c r="H91" s="2">
        <v>19</v>
      </c>
      <c r="I91" s="2" t="str">
        <f t="shared" si="4"/>
        <v>13-24 months</v>
      </c>
      <c r="J91" s="3">
        <v>1299</v>
      </c>
      <c r="K91" s="3">
        <v>24681</v>
      </c>
      <c r="L91" s="2" t="s">
        <v>22</v>
      </c>
      <c r="M91" s="4">
        <v>45356</v>
      </c>
      <c r="N91" s="2" t="s">
        <v>32</v>
      </c>
      <c r="O91" s="2">
        <f t="shared" si="7"/>
        <v>1</v>
      </c>
      <c r="P91" s="2" t="s">
        <v>32</v>
      </c>
      <c r="Q91" s="2" t="s">
        <v>23</v>
      </c>
      <c r="R91" s="2" t="s">
        <v>23</v>
      </c>
      <c r="S91" s="2" t="s">
        <v>23</v>
      </c>
      <c r="T91" s="2" t="s">
        <v>23</v>
      </c>
      <c r="U91" s="25">
        <f t="shared" si="5"/>
        <v>24681.000091000002</v>
      </c>
    </row>
    <row r="92" spans="1:21">
      <c r="A92" s="2" t="s">
        <v>221</v>
      </c>
      <c r="B92" s="2" t="s">
        <v>37</v>
      </c>
      <c r="C92" s="2" t="s">
        <v>35</v>
      </c>
      <c r="D92" s="2">
        <v>33</v>
      </c>
      <c r="E92" s="2" t="str">
        <f t="shared" si="6"/>
        <v>26-35</v>
      </c>
      <c r="F92" s="2" t="s">
        <v>60</v>
      </c>
      <c r="G92" s="2" t="s">
        <v>47</v>
      </c>
      <c r="H92" s="2">
        <v>60</v>
      </c>
      <c r="I92" s="2" t="str">
        <f t="shared" si="4"/>
        <v>49+ months</v>
      </c>
      <c r="J92" s="3">
        <v>849</v>
      </c>
      <c r="K92" s="3">
        <v>50940</v>
      </c>
      <c r="L92" s="2" t="s">
        <v>31</v>
      </c>
      <c r="M92" s="4">
        <v>44128</v>
      </c>
      <c r="N92" s="2" t="s">
        <v>23</v>
      </c>
      <c r="O92" s="2">
        <f t="shared" si="7"/>
        <v>0</v>
      </c>
      <c r="P92" s="2" t="s">
        <v>23</v>
      </c>
      <c r="Q92" s="2" t="s">
        <v>23</v>
      </c>
      <c r="R92" s="2" t="s">
        <v>23</v>
      </c>
      <c r="S92" s="2" t="s">
        <v>23</v>
      </c>
      <c r="T92" s="2" t="s">
        <v>23</v>
      </c>
      <c r="U92" s="25">
        <f t="shared" si="5"/>
        <v>50940.000092000002</v>
      </c>
    </row>
    <row r="93" spans="1:21">
      <c r="A93" s="2" t="s">
        <v>222</v>
      </c>
      <c r="B93" s="2" t="s">
        <v>223</v>
      </c>
      <c r="C93" s="2" t="s">
        <v>35</v>
      </c>
      <c r="D93" s="2">
        <v>47</v>
      </c>
      <c r="E93" s="2" t="str">
        <f t="shared" si="6"/>
        <v>46-60</v>
      </c>
      <c r="F93" s="2" t="s">
        <v>63</v>
      </c>
      <c r="G93" s="2" t="s">
        <v>21</v>
      </c>
      <c r="H93" s="2">
        <v>19</v>
      </c>
      <c r="I93" s="2" t="str">
        <f t="shared" si="4"/>
        <v>13-24 months</v>
      </c>
      <c r="J93" s="3">
        <v>499</v>
      </c>
      <c r="K93" s="3">
        <v>9481</v>
      </c>
      <c r="L93" s="2" t="s">
        <v>66</v>
      </c>
      <c r="M93" s="4">
        <v>45344</v>
      </c>
      <c r="N93" s="2" t="s">
        <v>23</v>
      </c>
      <c r="O93" s="2">
        <f t="shared" si="7"/>
        <v>0</v>
      </c>
      <c r="P93" s="2" t="s">
        <v>32</v>
      </c>
      <c r="Q93" s="2" t="s">
        <v>23</v>
      </c>
      <c r="R93" s="2" t="s">
        <v>23</v>
      </c>
      <c r="S93" s="2" t="s">
        <v>23</v>
      </c>
      <c r="T93" s="2" t="s">
        <v>23</v>
      </c>
      <c r="U93" s="25">
        <f t="shared" si="5"/>
        <v>9481.0000930000006</v>
      </c>
    </row>
    <row r="94" spans="1:21">
      <c r="A94" s="2" t="s">
        <v>224</v>
      </c>
      <c r="B94" s="2" t="s">
        <v>37</v>
      </c>
      <c r="C94" s="2" t="s">
        <v>35</v>
      </c>
      <c r="D94" s="2">
        <v>72</v>
      </c>
      <c r="E94" s="2" t="str">
        <f t="shared" si="6"/>
        <v>60+</v>
      </c>
      <c r="F94" s="2" t="s">
        <v>60</v>
      </c>
      <c r="G94" s="2" t="s">
        <v>21</v>
      </c>
      <c r="H94" s="2">
        <v>12</v>
      </c>
      <c r="I94" s="2" t="str">
        <f t="shared" si="4"/>
        <v>7-12 months</v>
      </c>
      <c r="J94" s="3">
        <v>1049</v>
      </c>
      <c r="K94" s="3">
        <v>12588</v>
      </c>
      <c r="L94" s="2" t="s">
        <v>22</v>
      </c>
      <c r="M94" s="4">
        <v>45542</v>
      </c>
      <c r="N94" s="2" t="s">
        <v>32</v>
      </c>
      <c r="O94" s="2">
        <f t="shared" si="7"/>
        <v>1</v>
      </c>
      <c r="P94" s="2" t="s">
        <v>23</v>
      </c>
      <c r="Q94" s="2" t="s">
        <v>32</v>
      </c>
      <c r="R94" s="2" t="s">
        <v>23</v>
      </c>
      <c r="S94" s="2" t="s">
        <v>23</v>
      </c>
      <c r="T94" s="2" t="s">
        <v>23</v>
      </c>
      <c r="U94" s="25">
        <f t="shared" si="5"/>
        <v>12588.000094000001</v>
      </c>
    </row>
    <row r="95" spans="1:21">
      <c r="A95" s="2" t="s">
        <v>225</v>
      </c>
      <c r="B95" s="2" t="s">
        <v>226</v>
      </c>
      <c r="C95" s="2" t="s">
        <v>35</v>
      </c>
      <c r="D95" s="2">
        <v>54</v>
      </c>
      <c r="E95" s="2" t="str">
        <f t="shared" si="6"/>
        <v>46-60</v>
      </c>
      <c r="F95" s="2" t="s">
        <v>57</v>
      </c>
      <c r="G95" s="2" t="s">
        <v>27</v>
      </c>
      <c r="H95" s="2">
        <v>4</v>
      </c>
      <c r="I95" s="2" t="str">
        <f t="shared" si="4"/>
        <v>0-6 months</v>
      </c>
      <c r="J95" s="3">
        <v>1199</v>
      </c>
      <c r="K95" s="3">
        <v>4796</v>
      </c>
      <c r="L95" s="2" t="s">
        <v>22</v>
      </c>
      <c r="M95" s="4">
        <v>45780</v>
      </c>
      <c r="N95" s="2" t="s">
        <v>23</v>
      </c>
      <c r="O95" s="2">
        <f t="shared" si="7"/>
        <v>0</v>
      </c>
      <c r="P95" s="2" t="s">
        <v>23</v>
      </c>
      <c r="Q95" s="2" t="s">
        <v>23</v>
      </c>
      <c r="R95" s="2" t="s">
        <v>23</v>
      </c>
      <c r="S95" s="2" t="s">
        <v>23</v>
      </c>
      <c r="T95" s="2" t="s">
        <v>23</v>
      </c>
      <c r="U95" s="25">
        <f t="shared" si="5"/>
        <v>4796.0000950000003</v>
      </c>
    </row>
    <row r="96" spans="1:21">
      <c r="A96" s="2" t="s">
        <v>227</v>
      </c>
      <c r="B96" s="2" t="s">
        <v>228</v>
      </c>
      <c r="C96" s="2" t="s">
        <v>37</v>
      </c>
      <c r="D96" s="2">
        <v>69</v>
      </c>
      <c r="E96" s="2" t="str">
        <f t="shared" si="6"/>
        <v>60+</v>
      </c>
      <c r="F96" s="2" t="s">
        <v>30</v>
      </c>
      <c r="G96" s="2" t="s">
        <v>21</v>
      </c>
      <c r="H96" s="2">
        <v>9</v>
      </c>
      <c r="I96" s="2" t="str">
        <f t="shared" si="4"/>
        <v>7-12 months</v>
      </c>
      <c r="J96" s="3">
        <v>849</v>
      </c>
      <c r="K96" s="3">
        <v>7641</v>
      </c>
      <c r="L96" s="2" t="s">
        <v>31</v>
      </c>
      <c r="M96" s="4">
        <v>45630</v>
      </c>
      <c r="N96" s="2" t="s">
        <v>23</v>
      </c>
      <c r="O96" s="2">
        <f t="shared" si="7"/>
        <v>0</v>
      </c>
      <c r="P96" s="2" t="s">
        <v>23</v>
      </c>
      <c r="Q96" s="2" t="s">
        <v>23</v>
      </c>
      <c r="R96" s="2" t="s">
        <v>23</v>
      </c>
      <c r="S96" s="2" t="s">
        <v>23</v>
      </c>
      <c r="T96" s="2" t="s">
        <v>23</v>
      </c>
      <c r="U96" s="25">
        <f t="shared" si="5"/>
        <v>7641.0000959999998</v>
      </c>
    </row>
    <row r="97" spans="1:21">
      <c r="A97" s="2" t="s">
        <v>229</v>
      </c>
      <c r="B97" s="2" t="s">
        <v>230</v>
      </c>
      <c r="C97" s="2" t="s">
        <v>19</v>
      </c>
      <c r="D97" s="2">
        <v>20</v>
      </c>
      <c r="E97" s="2" t="str">
        <f t="shared" si="6"/>
        <v>18-25</v>
      </c>
      <c r="F97" s="2" t="s">
        <v>91</v>
      </c>
      <c r="G97" s="2" t="s">
        <v>21</v>
      </c>
      <c r="H97" s="2">
        <v>10</v>
      </c>
      <c r="I97" s="2" t="str">
        <f t="shared" si="4"/>
        <v>7-12 months</v>
      </c>
      <c r="J97" s="3">
        <v>699</v>
      </c>
      <c r="K97" s="3">
        <v>6990</v>
      </c>
      <c r="L97" s="2" t="s">
        <v>31</v>
      </c>
      <c r="M97" s="4">
        <v>45624</v>
      </c>
      <c r="N97" s="2" t="s">
        <v>32</v>
      </c>
      <c r="O97" s="2">
        <f t="shared" si="7"/>
        <v>1</v>
      </c>
      <c r="P97" s="2" t="s">
        <v>23</v>
      </c>
      <c r="Q97" s="2" t="s">
        <v>23</v>
      </c>
      <c r="R97" s="2" t="s">
        <v>23</v>
      </c>
      <c r="S97" s="2" t="s">
        <v>23</v>
      </c>
      <c r="T97" s="2" t="s">
        <v>23</v>
      </c>
      <c r="U97" s="25">
        <f t="shared" si="5"/>
        <v>6990.0000970000001</v>
      </c>
    </row>
    <row r="98" spans="1:21">
      <c r="A98" s="2" t="s">
        <v>231</v>
      </c>
      <c r="B98" s="2" t="s">
        <v>88</v>
      </c>
      <c r="C98" s="2" t="s">
        <v>35</v>
      </c>
      <c r="D98" s="2">
        <v>35</v>
      </c>
      <c r="E98" s="2" t="str">
        <f t="shared" si="6"/>
        <v>26-35</v>
      </c>
      <c r="F98" s="2" t="s">
        <v>57</v>
      </c>
      <c r="G98" s="2" t="s">
        <v>21</v>
      </c>
      <c r="H98" s="2">
        <v>16</v>
      </c>
      <c r="I98" s="2" t="str">
        <f t="shared" si="4"/>
        <v>13-24 months</v>
      </c>
      <c r="J98" s="3">
        <v>449</v>
      </c>
      <c r="K98" s="3">
        <v>7184</v>
      </c>
      <c r="L98" s="2" t="s">
        <v>66</v>
      </c>
      <c r="M98" s="4">
        <v>45434</v>
      </c>
      <c r="N98" s="2" t="s">
        <v>23</v>
      </c>
      <c r="O98" s="2">
        <f t="shared" si="7"/>
        <v>0</v>
      </c>
      <c r="P98" s="2" t="s">
        <v>23</v>
      </c>
      <c r="Q98" s="2" t="s">
        <v>23</v>
      </c>
      <c r="R98" s="2" t="s">
        <v>23</v>
      </c>
      <c r="S98" s="2" t="s">
        <v>23</v>
      </c>
      <c r="T98" s="2" t="s">
        <v>23</v>
      </c>
      <c r="U98" s="25">
        <f t="shared" si="5"/>
        <v>7184.0000980000004</v>
      </c>
    </row>
    <row r="99" spans="1:21">
      <c r="A99" s="2" t="s">
        <v>232</v>
      </c>
      <c r="B99" s="2" t="s">
        <v>233</v>
      </c>
      <c r="C99" s="2" t="s">
        <v>19</v>
      </c>
      <c r="D99" s="2">
        <v>73</v>
      </c>
      <c r="E99" s="2" t="str">
        <f t="shared" si="6"/>
        <v>60+</v>
      </c>
      <c r="F99" s="2" t="s">
        <v>71</v>
      </c>
      <c r="G99" s="2" t="s">
        <v>27</v>
      </c>
      <c r="H99" s="2">
        <v>36</v>
      </c>
      <c r="I99" s="2" t="str">
        <f t="shared" si="4"/>
        <v>25-48 months</v>
      </c>
      <c r="J99" s="3">
        <v>499</v>
      </c>
      <c r="K99" s="3">
        <v>17964</v>
      </c>
      <c r="L99" s="2" t="s">
        <v>66</v>
      </c>
      <c r="M99" s="4"/>
      <c r="N99" s="2" t="s">
        <v>32</v>
      </c>
      <c r="O99" s="2">
        <f t="shared" si="7"/>
        <v>1</v>
      </c>
      <c r="P99" s="2" t="s">
        <v>23</v>
      </c>
      <c r="Q99" s="2" t="s">
        <v>23</v>
      </c>
      <c r="R99" s="2" t="s">
        <v>23</v>
      </c>
      <c r="S99" s="2" t="s">
        <v>23</v>
      </c>
      <c r="T99" s="2" t="s">
        <v>54</v>
      </c>
      <c r="U99" s="25">
        <f t="shared" si="5"/>
        <v>17964.000099000001</v>
      </c>
    </row>
    <row r="100" spans="1:21">
      <c r="A100" s="2" t="s">
        <v>234</v>
      </c>
      <c r="B100" s="2" t="s">
        <v>235</v>
      </c>
      <c r="C100" s="2" t="s">
        <v>19</v>
      </c>
      <c r="D100" s="2">
        <v>61</v>
      </c>
      <c r="E100" s="2" t="str">
        <f t="shared" si="6"/>
        <v>60+</v>
      </c>
      <c r="F100" s="2" t="s">
        <v>141</v>
      </c>
      <c r="G100" s="2" t="s">
        <v>27</v>
      </c>
      <c r="H100" s="2">
        <v>24</v>
      </c>
      <c r="I100" s="2" t="str">
        <f t="shared" si="4"/>
        <v>13-24 months</v>
      </c>
      <c r="J100" s="3">
        <v>1199</v>
      </c>
      <c r="K100" s="3">
        <v>28776</v>
      </c>
      <c r="L100" s="2" t="s">
        <v>22</v>
      </c>
      <c r="M100" s="4">
        <v>45189</v>
      </c>
      <c r="N100" s="2" t="s">
        <v>23</v>
      </c>
      <c r="O100" s="2">
        <f t="shared" si="7"/>
        <v>0</v>
      </c>
      <c r="P100" s="2" t="s">
        <v>23</v>
      </c>
      <c r="Q100" s="2" t="s">
        <v>23</v>
      </c>
      <c r="R100" s="2" t="s">
        <v>23</v>
      </c>
      <c r="S100" s="2" t="s">
        <v>23</v>
      </c>
      <c r="T100" s="2" t="s">
        <v>23</v>
      </c>
      <c r="U100" s="25">
        <f t="shared" si="5"/>
        <v>28776.000100000001</v>
      </c>
    </row>
    <row r="101" spans="1:21">
      <c r="A101" s="2" t="s">
        <v>236</v>
      </c>
      <c r="B101" s="2" t="s">
        <v>237</v>
      </c>
      <c r="C101" s="2" t="s">
        <v>35</v>
      </c>
      <c r="D101" s="2">
        <v>59</v>
      </c>
      <c r="E101" s="2" t="str">
        <f t="shared" si="6"/>
        <v>46-60</v>
      </c>
      <c r="F101" s="2" t="s">
        <v>41</v>
      </c>
      <c r="G101" s="2" t="s">
        <v>27</v>
      </c>
      <c r="H101" s="2">
        <v>20</v>
      </c>
      <c r="I101" s="2" t="str">
        <f t="shared" si="4"/>
        <v>13-24 months</v>
      </c>
      <c r="J101" s="3">
        <v>1099</v>
      </c>
      <c r="K101" s="3">
        <v>21980</v>
      </c>
      <c r="L101" s="2" t="s">
        <v>22</v>
      </c>
      <c r="M101" s="4">
        <v>45327</v>
      </c>
      <c r="N101" s="2" t="s">
        <v>32</v>
      </c>
      <c r="O101" s="2">
        <f t="shared" si="7"/>
        <v>1</v>
      </c>
      <c r="P101" s="2" t="s">
        <v>23</v>
      </c>
      <c r="Q101" s="2" t="s">
        <v>23</v>
      </c>
      <c r="R101" s="2" t="s">
        <v>23</v>
      </c>
      <c r="S101" s="2" t="s">
        <v>32</v>
      </c>
      <c r="T101" s="2" t="s">
        <v>23</v>
      </c>
      <c r="U101" s="25">
        <f t="shared" si="5"/>
        <v>21980.000101000001</v>
      </c>
    </row>
    <row r="102" spans="1:21">
      <c r="A102" s="2" t="s">
        <v>238</v>
      </c>
      <c r="B102" s="2" t="s">
        <v>200</v>
      </c>
      <c r="C102" s="2" t="s">
        <v>35</v>
      </c>
      <c r="D102" s="2">
        <v>24</v>
      </c>
      <c r="E102" s="2" t="str">
        <f t="shared" si="6"/>
        <v>18-25</v>
      </c>
      <c r="F102" s="2" t="s">
        <v>20</v>
      </c>
      <c r="G102" s="2" t="s">
        <v>47</v>
      </c>
      <c r="H102" s="2">
        <v>59</v>
      </c>
      <c r="I102" s="2" t="str">
        <f t="shared" si="4"/>
        <v>49+ months</v>
      </c>
      <c r="J102" s="3">
        <v>699</v>
      </c>
      <c r="K102" s="3">
        <v>41241</v>
      </c>
      <c r="L102" s="2" t="s">
        <v>31</v>
      </c>
      <c r="M102" s="4">
        <v>44135</v>
      </c>
      <c r="N102" s="2" t="s">
        <v>23</v>
      </c>
      <c r="O102" s="2">
        <f t="shared" si="7"/>
        <v>0</v>
      </c>
      <c r="P102" s="2" t="s">
        <v>23</v>
      </c>
      <c r="Q102" s="2" t="s">
        <v>23</v>
      </c>
      <c r="R102" s="2" t="s">
        <v>23</v>
      </c>
      <c r="S102" s="2" t="s">
        <v>23</v>
      </c>
      <c r="T102" s="2" t="s">
        <v>23</v>
      </c>
      <c r="U102" s="25">
        <f t="shared" si="5"/>
        <v>41241.000101999998</v>
      </c>
    </row>
    <row r="103" spans="1:21">
      <c r="A103" s="2" t="s">
        <v>239</v>
      </c>
      <c r="B103" s="2" t="s">
        <v>240</v>
      </c>
      <c r="C103" s="2" t="s">
        <v>19</v>
      </c>
      <c r="D103" s="2">
        <v>24</v>
      </c>
      <c r="E103" s="2" t="str">
        <f t="shared" si="6"/>
        <v>18-25</v>
      </c>
      <c r="F103" s="2" t="s">
        <v>57</v>
      </c>
      <c r="G103" s="2" t="s">
        <v>21</v>
      </c>
      <c r="H103" s="2">
        <v>9</v>
      </c>
      <c r="I103" s="2" t="str">
        <f t="shared" si="4"/>
        <v>7-12 months</v>
      </c>
      <c r="J103" s="3">
        <v>1199</v>
      </c>
      <c r="K103" s="3">
        <v>10791</v>
      </c>
      <c r="L103" s="2" t="s">
        <v>22</v>
      </c>
      <c r="M103" s="4">
        <v>45644</v>
      </c>
      <c r="N103" s="2" t="s">
        <v>32</v>
      </c>
      <c r="O103" s="2">
        <f t="shared" si="7"/>
        <v>1</v>
      </c>
      <c r="P103" s="2" t="s">
        <v>23</v>
      </c>
      <c r="Q103" s="2" t="s">
        <v>23</v>
      </c>
      <c r="R103" s="2" t="s">
        <v>23</v>
      </c>
      <c r="S103" s="2" t="s">
        <v>23</v>
      </c>
      <c r="T103" s="2" t="s">
        <v>23</v>
      </c>
      <c r="U103" s="25">
        <f t="shared" si="5"/>
        <v>10791.000103</v>
      </c>
    </row>
    <row r="104" spans="1:21">
      <c r="A104" s="2" t="s">
        <v>241</v>
      </c>
      <c r="B104" s="2" t="s">
        <v>242</v>
      </c>
      <c r="C104" s="2" t="s">
        <v>19</v>
      </c>
      <c r="D104" s="2">
        <v>61</v>
      </c>
      <c r="E104" s="2" t="str">
        <f t="shared" si="6"/>
        <v>60+</v>
      </c>
      <c r="F104" s="2" t="s">
        <v>37</v>
      </c>
      <c r="G104" s="2" t="s">
        <v>21</v>
      </c>
      <c r="H104" s="2">
        <v>12</v>
      </c>
      <c r="I104" s="2" t="str">
        <f t="shared" si="4"/>
        <v>7-12 months</v>
      </c>
      <c r="J104" s="3">
        <v>449</v>
      </c>
      <c r="K104" s="3">
        <v>5388</v>
      </c>
      <c r="L104" s="2" t="s">
        <v>66</v>
      </c>
      <c r="M104" s="4">
        <v>45565</v>
      </c>
      <c r="N104" s="2" t="s">
        <v>32</v>
      </c>
      <c r="O104" s="2">
        <f t="shared" si="7"/>
        <v>1</v>
      </c>
      <c r="P104" s="2" t="s">
        <v>23</v>
      </c>
      <c r="Q104" s="2" t="s">
        <v>23</v>
      </c>
      <c r="R104" s="2" t="s">
        <v>23</v>
      </c>
      <c r="S104" s="2" t="s">
        <v>23</v>
      </c>
      <c r="T104" s="2" t="s">
        <v>23</v>
      </c>
      <c r="U104" s="25">
        <f t="shared" si="5"/>
        <v>5388.0001039999997</v>
      </c>
    </row>
    <row r="105" spans="1:21">
      <c r="A105" s="2" t="s">
        <v>243</v>
      </c>
      <c r="B105" s="2" t="s">
        <v>244</v>
      </c>
      <c r="C105" s="2" t="s">
        <v>35</v>
      </c>
      <c r="D105" s="2">
        <v>31</v>
      </c>
      <c r="E105" s="2" t="str">
        <f t="shared" si="6"/>
        <v>26-35</v>
      </c>
      <c r="F105" s="2" t="s">
        <v>71</v>
      </c>
      <c r="G105" s="2" t="s">
        <v>27</v>
      </c>
      <c r="H105" s="2">
        <v>4</v>
      </c>
      <c r="I105" s="2" t="str">
        <f t="shared" si="4"/>
        <v>0-6 months</v>
      </c>
      <c r="J105" s="3">
        <v>399</v>
      </c>
      <c r="K105" s="3">
        <v>1596</v>
      </c>
      <c r="L105" s="2" t="s">
        <v>66</v>
      </c>
      <c r="M105" s="4">
        <v>45783</v>
      </c>
      <c r="N105" s="2" t="s">
        <v>23</v>
      </c>
      <c r="O105" s="2">
        <f t="shared" si="7"/>
        <v>0</v>
      </c>
      <c r="P105" s="2" t="s">
        <v>23</v>
      </c>
      <c r="Q105" s="2" t="s">
        <v>23</v>
      </c>
      <c r="R105" s="2" t="s">
        <v>23</v>
      </c>
      <c r="S105" s="2" t="s">
        <v>23</v>
      </c>
      <c r="T105" s="2" t="s">
        <v>23</v>
      </c>
      <c r="U105" s="25">
        <f t="shared" si="5"/>
        <v>1596.0001050000001</v>
      </c>
    </row>
    <row r="106" spans="1:21">
      <c r="A106" s="2" t="s">
        <v>245</v>
      </c>
      <c r="B106" s="2" t="s">
        <v>246</v>
      </c>
      <c r="C106" s="2" t="s">
        <v>19</v>
      </c>
      <c r="D106" s="2">
        <v>47</v>
      </c>
      <c r="E106" s="2" t="str">
        <f t="shared" si="6"/>
        <v>46-60</v>
      </c>
      <c r="F106" s="2" t="s">
        <v>91</v>
      </c>
      <c r="G106" s="2" t="s">
        <v>21</v>
      </c>
      <c r="H106" s="2">
        <v>11</v>
      </c>
      <c r="I106" s="2" t="str">
        <f t="shared" si="4"/>
        <v>7-12 months</v>
      </c>
      <c r="J106" s="3">
        <v>549</v>
      </c>
      <c r="K106" s="3">
        <v>6039</v>
      </c>
      <c r="L106" s="2" t="s">
        <v>37</v>
      </c>
      <c r="M106" s="4">
        <v>45571</v>
      </c>
      <c r="N106" s="2" t="s">
        <v>32</v>
      </c>
      <c r="O106" s="2">
        <f t="shared" si="7"/>
        <v>1</v>
      </c>
      <c r="P106" s="2" t="s">
        <v>32</v>
      </c>
      <c r="Q106" s="2" t="s">
        <v>23</v>
      </c>
      <c r="R106" s="2" t="s">
        <v>23</v>
      </c>
      <c r="S106" s="2" t="s">
        <v>23</v>
      </c>
      <c r="T106" s="2" t="s">
        <v>23</v>
      </c>
      <c r="U106" s="25">
        <f t="shared" si="5"/>
        <v>6039.0001060000004</v>
      </c>
    </row>
    <row r="107" spans="1:21">
      <c r="A107" s="2" t="s">
        <v>247</v>
      </c>
      <c r="B107" s="2" t="s">
        <v>248</v>
      </c>
      <c r="C107" s="2" t="s">
        <v>19</v>
      </c>
      <c r="D107" s="2">
        <v>34</v>
      </c>
      <c r="E107" s="2" t="str">
        <f t="shared" si="6"/>
        <v>26-35</v>
      </c>
      <c r="F107" s="2" t="s">
        <v>110</v>
      </c>
      <c r="G107" s="2" t="s">
        <v>21</v>
      </c>
      <c r="H107" s="2">
        <v>1</v>
      </c>
      <c r="I107" s="2" t="str">
        <f t="shared" si="4"/>
        <v>0-6 months</v>
      </c>
      <c r="J107" s="3">
        <v>899</v>
      </c>
      <c r="K107" s="3">
        <v>899</v>
      </c>
      <c r="L107" s="2" t="s">
        <v>22</v>
      </c>
      <c r="M107" s="4">
        <v>45891</v>
      </c>
      <c r="N107" s="2" t="s">
        <v>23</v>
      </c>
      <c r="O107" s="2">
        <f t="shared" si="7"/>
        <v>0</v>
      </c>
      <c r="P107" s="2" t="s">
        <v>23</v>
      </c>
      <c r="Q107" s="2" t="s">
        <v>23</v>
      </c>
      <c r="R107" s="2" t="s">
        <v>23</v>
      </c>
      <c r="S107" s="2" t="s">
        <v>23</v>
      </c>
      <c r="T107" s="2" t="s">
        <v>23</v>
      </c>
      <c r="U107" s="25">
        <f t="shared" si="5"/>
        <v>899.00010699999996</v>
      </c>
    </row>
    <row r="108" spans="1:21">
      <c r="A108" s="2" t="s">
        <v>249</v>
      </c>
      <c r="B108" s="2" t="s">
        <v>250</v>
      </c>
      <c r="C108" s="2" t="s">
        <v>35</v>
      </c>
      <c r="D108" s="2">
        <v>34</v>
      </c>
      <c r="E108" s="2" t="str">
        <f t="shared" si="6"/>
        <v>26-35</v>
      </c>
      <c r="F108" s="2" t="s">
        <v>36</v>
      </c>
      <c r="G108" s="2" t="s">
        <v>21</v>
      </c>
      <c r="H108" s="2">
        <v>4</v>
      </c>
      <c r="I108" s="2" t="str">
        <f t="shared" si="4"/>
        <v>0-6 months</v>
      </c>
      <c r="J108" s="3">
        <v>899</v>
      </c>
      <c r="K108" s="3">
        <v>3596</v>
      </c>
      <c r="L108" s="2" t="s">
        <v>22</v>
      </c>
      <c r="M108" s="4">
        <v>45797</v>
      </c>
      <c r="N108" s="2" t="s">
        <v>32</v>
      </c>
      <c r="O108" s="2">
        <f t="shared" si="7"/>
        <v>1</v>
      </c>
      <c r="P108" s="2" t="s">
        <v>23</v>
      </c>
      <c r="Q108" s="2" t="s">
        <v>23</v>
      </c>
      <c r="R108" s="2" t="s">
        <v>23</v>
      </c>
      <c r="S108" s="2" t="s">
        <v>23</v>
      </c>
      <c r="T108" s="2" t="s">
        <v>23</v>
      </c>
      <c r="U108" s="25">
        <f t="shared" si="5"/>
        <v>3596.0001080000002</v>
      </c>
    </row>
    <row r="109" spans="1:21">
      <c r="A109" s="2" t="s">
        <v>251</v>
      </c>
      <c r="B109" s="2" t="s">
        <v>252</v>
      </c>
      <c r="C109" s="2" t="s">
        <v>19</v>
      </c>
      <c r="D109" s="2">
        <v>32</v>
      </c>
      <c r="E109" s="2" t="str">
        <f t="shared" si="6"/>
        <v>26-35</v>
      </c>
      <c r="F109" s="2" t="s">
        <v>91</v>
      </c>
      <c r="G109" s="2" t="s">
        <v>21</v>
      </c>
      <c r="H109" s="2">
        <v>22</v>
      </c>
      <c r="I109" s="2" t="str">
        <f t="shared" si="4"/>
        <v>13-24 months</v>
      </c>
      <c r="J109" s="3">
        <v>1049</v>
      </c>
      <c r="K109" s="3">
        <v>23078</v>
      </c>
      <c r="L109" s="2" t="s">
        <v>22</v>
      </c>
      <c r="M109" s="4">
        <v>45268</v>
      </c>
      <c r="N109" s="2" t="s">
        <v>23</v>
      </c>
      <c r="O109" s="2">
        <f t="shared" si="7"/>
        <v>0</v>
      </c>
      <c r="P109" s="2" t="s">
        <v>23</v>
      </c>
      <c r="Q109" s="2" t="s">
        <v>23</v>
      </c>
      <c r="R109" s="2" t="s">
        <v>23</v>
      </c>
      <c r="S109" s="2" t="s">
        <v>23</v>
      </c>
      <c r="T109" s="2" t="s">
        <v>23</v>
      </c>
      <c r="U109" s="25">
        <f t="shared" si="5"/>
        <v>23078.000109000001</v>
      </c>
    </row>
    <row r="110" spans="1:21">
      <c r="A110" s="2" t="s">
        <v>253</v>
      </c>
      <c r="B110" s="2" t="s">
        <v>254</v>
      </c>
      <c r="C110" s="2" t="s">
        <v>19</v>
      </c>
      <c r="D110" s="2">
        <v>45</v>
      </c>
      <c r="E110" s="2" t="str">
        <f t="shared" si="6"/>
        <v>36-45</v>
      </c>
      <c r="F110" s="2" t="s">
        <v>71</v>
      </c>
      <c r="G110" s="2" t="s">
        <v>21</v>
      </c>
      <c r="H110" s="2">
        <v>15</v>
      </c>
      <c r="I110" s="2" t="str">
        <f t="shared" si="4"/>
        <v>13-24 months</v>
      </c>
      <c r="J110" s="3">
        <v>899</v>
      </c>
      <c r="K110" s="3">
        <v>13485</v>
      </c>
      <c r="L110" s="2" t="s">
        <v>22</v>
      </c>
      <c r="M110" s="4">
        <v>45476</v>
      </c>
      <c r="N110" s="2" t="s">
        <v>23</v>
      </c>
      <c r="O110" s="2">
        <f t="shared" si="7"/>
        <v>0</v>
      </c>
      <c r="P110" s="2" t="s">
        <v>23</v>
      </c>
      <c r="Q110" s="2" t="s">
        <v>23</v>
      </c>
      <c r="R110" s="2" t="s">
        <v>23</v>
      </c>
      <c r="S110" s="2" t="s">
        <v>23</v>
      </c>
      <c r="T110" s="2" t="s">
        <v>23</v>
      </c>
      <c r="U110" s="25">
        <f t="shared" si="5"/>
        <v>13485.000110000001</v>
      </c>
    </row>
    <row r="111" spans="1:21">
      <c r="A111" s="2" t="s">
        <v>255</v>
      </c>
      <c r="B111" s="2" t="s">
        <v>256</v>
      </c>
      <c r="C111" s="2" t="s">
        <v>19</v>
      </c>
      <c r="D111" s="2">
        <v>58</v>
      </c>
      <c r="E111" s="2" t="str">
        <f t="shared" si="6"/>
        <v>46-60</v>
      </c>
      <c r="F111" s="2" t="s">
        <v>91</v>
      </c>
      <c r="G111" s="2" t="s">
        <v>21</v>
      </c>
      <c r="H111" s="2">
        <v>20</v>
      </c>
      <c r="I111" s="2" t="str">
        <f t="shared" si="4"/>
        <v>13-24 months</v>
      </c>
      <c r="J111" s="3">
        <v>799</v>
      </c>
      <c r="K111" s="3">
        <v>15980</v>
      </c>
      <c r="L111" s="2" t="s">
        <v>31</v>
      </c>
      <c r="M111" s="4">
        <v>45315</v>
      </c>
      <c r="N111" s="2" t="s">
        <v>23</v>
      </c>
      <c r="O111" s="2">
        <f t="shared" si="7"/>
        <v>0</v>
      </c>
      <c r="P111" s="2" t="s">
        <v>23</v>
      </c>
      <c r="Q111" s="2" t="s">
        <v>23</v>
      </c>
      <c r="R111" s="2" t="s">
        <v>23</v>
      </c>
      <c r="S111" s="2" t="s">
        <v>23</v>
      </c>
      <c r="T111" s="2" t="s">
        <v>23</v>
      </c>
      <c r="U111" s="25">
        <f t="shared" si="5"/>
        <v>15980.000110999999</v>
      </c>
    </row>
    <row r="112" spans="1:21">
      <c r="A112" s="2" t="s">
        <v>257</v>
      </c>
      <c r="B112" s="2" t="s">
        <v>258</v>
      </c>
      <c r="C112" s="2" t="s">
        <v>19</v>
      </c>
      <c r="D112" s="2">
        <v>59</v>
      </c>
      <c r="E112" s="2" t="str">
        <f t="shared" si="6"/>
        <v>46-60</v>
      </c>
      <c r="F112" s="2" t="s">
        <v>110</v>
      </c>
      <c r="G112" s="2" t="s">
        <v>27</v>
      </c>
      <c r="H112" s="2">
        <v>28</v>
      </c>
      <c r="I112" s="2" t="str">
        <f t="shared" si="4"/>
        <v>25-48 months</v>
      </c>
      <c r="J112" s="3">
        <v>499</v>
      </c>
      <c r="K112" s="3">
        <v>13972</v>
      </c>
      <c r="L112" s="2" t="s">
        <v>66</v>
      </c>
      <c r="M112" s="4">
        <v>45074</v>
      </c>
      <c r="N112" s="2" t="s">
        <v>23</v>
      </c>
      <c r="O112" s="2">
        <f t="shared" si="7"/>
        <v>0</v>
      </c>
      <c r="P112" s="2" t="s">
        <v>23</v>
      </c>
      <c r="Q112" s="2" t="s">
        <v>23</v>
      </c>
      <c r="R112" s="2" t="s">
        <v>23</v>
      </c>
      <c r="S112" s="2" t="s">
        <v>23</v>
      </c>
      <c r="T112" s="2" t="s">
        <v>23</v>
      </c>
      <c r="U112" s="25">
        <f t="shared" si="5"/>
        <v>13972.000112</v>
      </c>
    </row>
    <row r="113" spans="1:21">
      <c r="A113" s="2" t="s">
        <v>259</v>
      </c>
      <c r="B113" s="2" t="s">
        <v>260</v>
      </c>
      <c r="C113" s="2" t="s">
        <v>35</v>
      </c>
      <c r="D113" s="2">
        <v>24</v>
      </c>
      <c r="E113" s="2" t="str">
        <f t="shared" si="6"/>
        <v>18-25</v>
      </c>
      <c r="F113" s="2" t="s">
        <v>30</v>
      </c>
      <c r="G113" s="2" t="s">
        <v>21</v>
      </c>
      <c r="H113" s="2">
        <v>12</v>
      </c>
      <c r="I113" s="2" t="str">
        <f t="shared" si="4"/>
        <v>7-12 months</v>
      </c>
      <c r="J113" s="3">
        <v>1199</v>
      </c>
      <c r="K113" s="3">
        <v>14388</v>
      </c>
      <c r="L113" s="2" t="s">
        <v>22</v>
      </c>
      <c r="M113" s="4">
        <v>45542</v>
      </c>
      <c r="N113" s="2" t="s">
        <v>32</v>
      </c>
      <c r="O113" s="2">
        <f t="shared" si="7"/>
        <v>1</v>
      </c>
      <c r="P113" s="2" t="s">
        <v>23</v>
      </c>
      <c r="Q113" s="2" t="s">
        <v>23</v>
      </c>
      <c r="R113" s="2" t="s">
        <v>23</v>
      </c>
      <c r="S113" s="2" t="s">
        <v>23</v>
      </c>
      <c r="T113" s="2" t="s">
        <v>23</v>
      </c>
      <c r="U113" s="25">
        <f t="shared" si="5"/>
        <v>14388.000113</v>
      </c>
    </row>
    <row r="114" spans="1:21">
      <c r="A114" s="2" t="s">
        <v>261</v>
      </c>
      <c r="B114" s="2" t="s">
        <v>262</v>
      </c>
      <c r="C114" s="2" t="s">
        <v>19</v>
      </c>
      <c r="D114" s="2">
        <v>24</v>
      </c>
      <c r="E114" s="2" t="str">
        <f t="shared" si="6"/>
        <v>18-25</v>
      </c>
      <c r="F114" s="2" t="s">
        <v>141</v>
      </c>
      <c r="G114" s="2" t="s">
        <v>27</v>
      </c>
      <c r="H114" s="2">
        <v>36</v>
      </c>
      <c r="I114" s="2" t="str">
        <f t="shared" si="4"/>
        <v>25-48 months</v>
      </c>
      <c r="J114" s="3">
        <v>549</v>
      </c>
      <c r="K114" s="3">
        <v>19764</v>
      </c>
      <c r="L114" s="2" t="s">
        <v>37</v>
      </c>
      <c r="M114" s="4">
        <v>44827</v>
      </c>
      <c r="N114" s="2" t="s">
        <v>23</v>
      </c>
      <c r="O114" s="2">
        <f t="shared" si="7"/>
        <v>0</v>
      </c>
      <c r="P114" s="2" t="s">
        <v>23</v>
      </c>
      <c r="Q114" s="2" t="s">
        <v>23</v>
      </c>
      <c r="R114" s="2" t="s">
        <v>23</v>
      </c>
      <c r="S114" s="2" t="s">
        <v>23</v>
      </c>
      <c r="T114" s="2" t="s">
        <v>23</v>
      </c>
      <c r="U114" s="25">
        <f t="shared" si="5"/>
        <v>19764.000113999999</v>
      </c>
    </row>
    <row r="115" spans="1:21">
      <c r="A115" s="2" t="s">
        <v>263</v>
      </c>
      <c r="B115" s="2" t="s">
        <v>264</v>
      </c>
      <c r="C115" s="2" t="s">
        <v>19</v>
      </c>
      <c r="D115" s="2">
        <v>73</v>
      </c>
      <c r="E115" s="2" t="str">
        <f t="shared" si="6"/>
        <v>60+</v>
      </c>
      <c r="F115" s="2" t="s">
        <v>71</v>
      </c>
      <c r="G115" s="2" t="s">
        <v>47</v>
      </c>
      <c r="H115" s="2">
        <v>7</v>
      </c>
      <c r="I115" s="2" t="str">
        <f t="shared" si="4"/>
        <v>7-12 months</v>
      </c>
      <c r="J115" s="3">
        <v>1149</v>
      </c>
      <c r="K115" s="3">
        <v>8043</v>
      </c>
      <c r="L115" s="2" t="s">
        <v>22</v>
      </c>
      <c r="M115" s="4">
        <v>45700</v>
      </c>
      <c r="N115" s="2" t="s">
        <v>23</v>
      </c>
      <c r="O115" s="2">
        <f t="shared" si="7"/>
        <v>0</v>
      </c>
      <c r="P115" s="2" t="s">
        <v>23</v>
      </c>
      <c r="Q115" s="2" t="s">
        <v>23</v>
      </c>
      <c r="R115" s="2" t="s">
        <v>23</v>
      </c>
      <c r="S115" s="2" t="s">
        <v>23</v>
      </c>
      <c r="T115" s="2" t="s">
        <v>23</v>
      </c>
      <c r="U115" s="25">
        <f t="shared" si="5"/>
        <v>8043.0001149999998</v>
      </c>
    </row>
    <row r="116" spans="1:21">
      <c r="A116" s="2" t="s">
        <v>265</v>
      </c>
      <c r="B116" s="2" t="s">
        <v>68</v>
      </c>
      <c r="C116" s="2" t="s">
        <v>19</v>
      </c>
      <c r="D116" s="2">
        <v>48</v>
      </c>
      <c r="E116" s="2" t="str">
        <f t="shared" si="6"/>
        <v>46-60</v>
      </c>
      <c r="F116" s="2" t="s">
        <v>20</v>
      </c>
      <c r="G116" s="2" t="s">
        <v>47</v>
      </c>
      <c r="H116" s="2">
        <v>72</v>
      </c>
      <c r="I116" s="2" t="str">
        <f t="shared" si="4"/>
        <v>49+ months</v>
      </c>
      <c r="J116" s="3">
        <v>899</v>
      </c>
      <c r="K116" s="3">
        <v>64728</v>
      </c>
      <c r="L116" s="2" t="s">
        <v>22</v>
      </c>
      <c r="M116" s="4">
        <v>43743</v>
      </c>
      <c r="N116" s="2" t="s">
        <v>23</v>
      </c>
      <c r="O116" s="2">
        <f t="shared" si="7"/>
        <v>0</v>
      </c>
      <c r="P116" s="2" t="s">
        <v>23</v>
      </c>
      <c r="Q116" s="2" t="s">
        <v>23</v>
      </c>
      <c r="R116" s="2" t="s">
        <v>23</v>
      </c>
      <c r="S116" s="2" t="s">
        <v>23</v>
      </c>
      <c r="T116" s="2" t="s">
        <v>23</v>
      </c>
      <c r="U116" s="25">
        <f t="shared" si="5"/>
        <v>64728.000116000003</v>
      </c>
    </row>
    <row r="117" spans="1:21">
      <c r="A117" s="2" t="s">
        <v>266</v>
      </c>
      <c r="B117" s="2" t="s">
        <v>267</v>
      </c>
      <c r="C117" s="2" t="s">
        <v>35</v>
      </c>
      <c r="D117" s="2">
        <v>57</v>
      </c>
      <c r="E117" s="2" t="str">
        <f t="shared" si="6"/>
        <v>46-60</v>
      </c>
      <c r="F117" s="2" t="s">
        <v>71</v>
      </c>
      <c r="G117" s="2" t="s">
        <v>27</v>
      </c>
      <c r="H117" s="2">
        <v>18</v>
      </c>
      <c r="I117" s="2" t="str">
        <f t="shared" si="4"/>
        <v>13-24 months</v>
      </c>
      <c r="J117" s="3">
        <v>599</v>
      </c>
      <c r="K117" s="3">
        <v>10782</v>
      </c>
      <c r="L117" s="2" t="s">
        <v>31</v>
      </c>
      <c r="M117" s="4">
        <v>45379</v>
      </c>
      <c r="N117" s="2" t="s">
        <v>23</v>
      </c>
      <c r="O117" s="2">
        <f t="shared" si="7"/>
        <v>0</v>
      </c>
      <c r="P117" s="2" t="s">
        <v>23</v>
      </c>
      <c r="Q117" s="2" t="s">
        <v>23</v>
      </c>
      <c r="R117" s="2" t="s">
        <v>23</v>
      </c>
      <c r="S117" s="2" t="s">
        <v>23</v>
      </c>
      <c r="T117" s="2" t="s">
        <v>23</v>
      </c>
      <c r="U117" s="25">
        <f t="shared" si="5"/>
        <v>10782.000117</v>
      </c>
    </row>
    <row r="118" spans="1:21">
      <c r="A118" s="2" t="s">
        <v>268</v>
      </c>
      <c r="B118" s="2" t="s">
        <v>269</v>
      </c>
      <c r="C118" s="2" t="s">
        <v>35</v>
      </c>
      <c r="D118" s="2">
        <v>29</v>
      </c>
      <c r="E118" s="2" t="str">
        <f t="shared" si="6"/>
        <v>26-35</v>
      </c>
      <c r="F118" s="2" t="s">
        <v>57</v>
      </c>
      <c r="G118" s="2" t="s">
        <v>21</v>
      </c>
      <c r="H118" s="2">
        <v>3</v>
      </c>
      <c r="I118" s="2" t="str">
        <f t="shared" si="4"/>
        <v>0-6 months</v>
      </c>
      <c r="J118" s="3">
        <v>1199</v>
      </c>
      <c r="K118" s="3">
        <v>3597</v>
      </c>
      <c r="L118" s="2" t="s">
        <v>22</v>
      </c>
      <c r="M118" s="4">
        <v>45822</v>
      </c>
      <c r="N118" s="2" t="s">
        <v>32</v>
      </c>
      <c r="O118" s="2">
        <f t="shared" si="7"/>
        <v>1</v>
      </c>
      <c r="P118" s="2" t="s">
        <v>23</v>
      </c>
      <c r="Q118" s="2" t="s">
        <v>23</v>
      </c>
      <c r="R118" s="2" t="s">
        <v>23</v>
      </c>
      <c r="S118" s="2" t="s">
        <v>23</v>
      </c>
      <c r="T118" s="2" t="s">
        <v>23</v>
      </c>
      <c r="U118" s="25">
        <f t="shared" si="5"/>
        <v>3597.0001179999999</v>
      </c>
    </row>
    <row r="119" spans="1:21">
      <c r="A119" s="2" t="s">
        <v>270</v>
      </c>
      <c r="B119" s="2" t="s">
        <v>271</v>
      </c>
      <c r="C119" s="2" t="s">
        <v>19</v>
      </c>
      <c r="D119" s="2">
        <v>47</v>
      </c>
      <c r="E119" s="2" t="str">
        <f t="shared" si="6"/>
        <v>46-60</v>
      </c>
      <c r="F119" s="2" t="s">
        <v>30</v>
      </c>
      <c r="G119" s="2" t="s">
        <v>21</v>
      </c>
      <c r="H119" s="2">
        <v>11</v>
      </c>
      <c r="I119" s="2" t="str">
        <f t="shared" si="4"/>
        <v>7-12 months</v>
      </c>
      <c r="J119" s="3">
        <v>899</v>
      </c>
      <c r="K119" s="3">
        <v>9889</v>
      </c>
      <c r="L119" s="2" t="s">
        <v>31</v>
      </c>
      <c r="M119" s="4">
        <v>45597</v>
      </c>
      <c r="N119" s="2" t="s">
        <v>32</v>
      </c>
      <c r="O119" s="2">
        <f t="shared" si="7"/>
        <v>1</v>
      </c>
      <c r="P119" s="2" t="s">
        <v>23</v>
      </c>
      <c r="Q119" s="2" t="s">
        <v>23</v>
      </c>
      <c r="R119" s="2" t="s">
        <v>23</v>
      </c>
      <c r="S119" s="2" t="s">
        <v>23</v>
      </c>
      <c r="T119" s="2" t="s">
        <v>23</v>
      </c>
      <c r="U119" s="25">
        <f t="shared" si="5"/>
        <v>9889.0001190000003</v>
      </c>
    </row>
    <row r="120" spans="1:21">
      <c r="A120" s="2" t="s">
        <v>272</v>
      </c>
      <c r="B120" s="2" t="s">
        <v>273</v>
      </c>
      <c r="C120" s="2" t="s">
        <v>19</v>
      </c>
      <c r="D120" s="2">
        <v>21</v>
      </c>
      <c r="E120" s="2" t="str">
        <f t="shared" si="6"/>
        <v>18-25</v>
      </c>
      <c r="F120" s="2" t="s">
        <v>71</v>
      </c>
      <c r="G120" s="2" t="s">
        <v>21</v>
      </c>
      <c r="H120" s="2">
        <v>14</v>
      </c>
      <c r="I120" s="2" t="str">
        <f t="shared" si="4"/>
        <v>13-24 months</v>
      </c>
      <c r="J120" s="3">
        <v>1149</v>
      </c>
      <c r="K120" s="3">
        <v>16086</v>
      </c>
      <c r="L120" s="2" t="s">
        <v>22</v>
      </c>
      <c r="M120" s="4">
        <v>45502</v>
      </c>
      <c r="N120" s="2" t="s">
        <v>32</v>
      </c>
      <c r="O120" s="2">
        <f t="shared" si="7"/>
        <v>1</v>
      </c>
      <c r="P120" s="2" t="s">
        <v>23</v>
      </c>
      <c r="Q120" s="2" t="s">
        <v>23</v>
      </c>
      <c r="R120" s="2" t="s">
        <v>23</v>
      </c>
      <c r="S120" s="2" t="s">
        <v>23</v>
      </c>
      <c r="T120" s="2" t="s">
        <v>23</v>
      </c>
      <c r="U120" s="25">
        <f t="shared" si="5"/>
        <v>16086.000120000001</v>
      </c>
    </row>
    <row r="121" spans="1:21">
      <c r="A121" s="2" t="s">
        <v>274</v>
      </c>
      <c r="B121" s="2" t="s">
        <v>275</v>
      </c>
      <c r="C121" s="2" t="s">
        <v>19</v>
      </c>
      <c r="D121" s="2">
        <v>25</v>
      </c>
      <c r="E121" s="2" t="str">
        <f t="shared" si="6"/>
        <v>18-25</v>
      </c>
      <c r="F121" s="2" t="s">
        <v>46</v>
      </c>
      <c r="G121" s="2" t="s">
        <v>27</v>
      </c>
      <c r="H121" s="2">
        <v>34</v>
      </c>
      <c r="I121" s="2" t="str">
        <f t="shared" si="4"/>
        <v>25-48 months</v>
      </c>
      <c r="J121" s="3">
        <v>1049</v>
      </c>
      <c r="K121" s="3">
        <v>35666</v>
      </c>
      <c r="L121" s="2" t="s">
        <v>22</v>
      </c>
      <c r="M121" s="4">
        <v>44889</v>
      </c>
      <c r="N121" s="2" t="s">
        <v>23</v>
      </c>
      <c r="O121" s="2">
        <f t="shared" si="7"/>
        <v>0</v>
      </c>
      <c r="P121" s="2" t="s">
        <v>23</v>
      </c>
      <c r="Q121" s="2" t="s">
        <v>23</v>
      </c>
      <c r="R121" s="2" t="s">
        <v>23</v>
      </c>
      <c r="S121" s="2" t="s">
        <v>23</v>
      </c>
      <c r="T121" s="2" t="s">
        <v>23</v>
      </c>
      <c r="U121" s="25">
        <f t="shared" si="5"/>
        <v>35666.000120999997</v>
      </c>
    </row>
    <row r="122" spans="1:21">
      <c r="A122" s="2" t="s">
        <v>276</v>
      </c>
      <c r="B122" s="2" t="s">
        <v>277</v>
      </c>
      <c r="C122" s="2" t="s">
        <v>19</v>
      </c>
      <c r="D122" s="2">
        <v>47</v>
      </c>
      <c r="E122" s="2" t="str">
        <f t="shared" si="6"/>
        <v>46-60</v>
      </c>
      <c r="F122" s="2" t="s">
        <v>20</v>
      </c>
      <c r="G122" s="2" t="s">
        <v>27</v>
      </c>
      <c r="H122" s="2">
        <v>19</v>
      </c>
      <c r="I122" s="2" t="str">
        <f t="shared" si="4"/>
        <v>13-24 months</v>
      </c>
      <c r="J122" s="3">
        <v>899</v>
      </c>
      <c r="K122" s="3">
        <v>17081</v>
      </c>
      <c r="L122" s="2" t="s">
        <v>22</v>
      </c>
      <c r="M122" s="4">
        <v>45345</v>
      </c>
      <c r="N122" s="2" t="s">
        <v>23</v>
      </c>
      <c r="O122" s="2">
        <f t="shared" si="7"/>
        <v>0</v>
      </c>
      <c r="P122" s="2" t="s">
        <v>32</v>
      </c>
      <c r="Q122" s="2" t="s">
        <v>23</v>
      </c>
      <c r="R122" s="2" t="s">
        <v>23</v>
      </c>
      <c r="S122" s="2" t="s">
        <v>23</v>
      </c>
      <c r="T122" s="2" t="s">
        <v>23</v>
      </c>
      <c r="U122" s="25">
        <f t="shared" si="5"/>
        <v>17081.000122000001</v>
      </c>
    </row>
    <row r="123" spans="1:21">
      <c r="A123" s="2" t="s">
        <v>278</v>
      </c>
      <c r="B123" s="2" t="s">
        <v>279</v>
      </c>
      <c r="C123" s="2" t="s">
        <v>19</v>
      </c>
      <c r="D123" s="2">
        <v>52</v>
      </c>
      <c r="E123" s="2" t="str">
        <f t="shared" si="6"/>
        <v>46-60</v>
      </c>
      <c r="F123" s="2" t="s">
        <v>141</v>
      </c>
      <c r="G123" s="2" t="s">
        <v>21</v>
      </c>
      <c r="H123" s="2">
        <v>22</v>
      </c>
      <c r="I123" s="2" t="str">
        <f t="shared" si="4"/>
        <v>13-24 months</v>
      </c>
      <c r="J123" s="3">
        <v>1049</v>
      </c>
      <c r="K123" s="3">
        <v>23078</v>
      </c>
      <c r="L123" s="2" t="s">
        <v>22</v>
      </c>
      <c r="M123" s="4">
        <v>45245</v>
      </c>
      <c r="N123" s="2" t="s">
        <v>32</v>
      </c>
      <c r="O123" s="2">
        <f t="shared" si="7"/>
        <v>1</v>
      </c>
      <c r="P123" s="2" t="s">
        <v>23</v>
      </c>
      <c r="Q123" s="2" t="s">
        <v>23</v>
      </c>
      <c r="R123" s="2" t="s">
        <v>23</v>
      </c>
      <c r="S123" s="2" t="s">
        <v>23</v>
      </c>
      <c r="T123" s="2" t="s">
        <v>23</v>
      </c>
      <c r="U123" s="25">
        <f t="shared" si="5"/>
        <v>23078.000123000002</v>
      </c>
    </row>
    <row r="124" spans="1:21">
      <c r="A124" s="2" t="s">
        <v>280</v>
      </c>
      <c r="B124" s="2" t="s">
        <v>281</v>
      </c>
      <c r="C124" s="2" t="s">
        <v>19</v>
      </c>
      <c r="D124" s="2">
        <v>47</v>
      </c>
      <c r="E124" s="2" t="str">
        <f t="shared" si="6"/>
        <v>46-60</v>
      </c>
      <c r="F124" s="2" t="s">
        <v>41</v>
      </c>
      <c r="G124" s="2" t="s">
        <v>47</v>
      </c>
      <c r="H124" s="2">
        <v>52</v>
      </c>
      <c r="I124" s="2" t="str">
        <f t="shared" si="4"/>
        <v>49+ months</v>
      </c>
      <c r="J124" s="3">
        <v>1199</v>
      </c>
      <c r="K124" s="3">
        <v>62348</v>
      </c>
      <c r="L124" s="2" t="s">
        <v>22</v>
      </c>
      <c r="M124" s="4">
        <v>44356</v>
      </c>
      <c r="N124" s="2" t="s">
        <v>23</v>
      </c>
      <c r="O124" s="2">
        <f t="shared" si="7"/>
        <v>0</v>
      </c>
      <c r="P124" s="2" t="s">
        <v>23</v>
      </c>
      <c r="Q124" s="2" t="s">
        <v>23</v>
      </c>
      <c r="R124" s="2" t="s">
        <v>23</v>
      </c>
      <c r="S124" s="2" t="s">
        <v>23</v>
      </c>
      <c r="T124" s="2" t="s">
        <v>23</v>
      </c>
      <c r="U124" s="25">
        <f t="shared" si="5"/>
        <v>62348.000123999998</v>
      </c>
    </row>
    <row r="125" spans="1:21">
      <c r="A125" s="2" t="s">
        <v>282</v>
      </c>
      <c r="B125" s="2" t="s">
        <v>283</v>
      </c>
      <c r="C125" s="2" t="s">
        <v>19</v>
      </c>
      <c r="D125" s="2">
        <v>69</v>
      </c>
      <c r="E125" s="2" t="str">
        <f t="shared" si="6"/>
        <v>60+</v>
      </c>
      <c r="F125" s="2" t="s">
        <v>91</v>
      </c>
      <c r="G125" s="2" t="s">
        <v>21</v>
      </c>
      <c r="H125" s="2">
        <v>12</v>
      </c>
      <c r="I125" s="2" t="str">
        <f t="shared" si="4"/>
        <v>7-12 months</v>
      </c>
      <c r="J125" s="3">
        <v>1099</v>
      </c>
      <c r="K125" s="3">
        <v>13188</v>
      </c>
      <c r="L125" s="2" t="s">
        <v>22</v>
      </c>
      <c r="M125" s="4">
        <v>45550</v>
      </c>
      <c r="N125" s="2" t="s">
        <v>32</v>
      </c>
      <c r="O125" s="2">
        <f t="shared" si="7"/>
        <v>1</v>
      </c>
      <c r="P125" s="2" t="s">
        <v>23</v>
      </c>
      <c r="Q125" s="2" t="s">
        <v>23</v>
      </c>
      <c r="R125" s="2" t="s">
        <v>23</v>
      </c>
      <c r="S125" s="2" t="s">
        <v>23</v>
      </c>
      <c r="T125" s="2" t="s">
        <v>23</v>
      </c>
      <c r="U125" s="25">
        <f t="shared" si="5"/>
        <v>13188.000125</v>
      </c>
    </row>
    <row r="126" spans="1:21">
      <c r="A126" s="2" t="s">
        <v>284</v>
      </c>
      <c r="B126" s="2" t="s">
        <v>285</v>
      </c>
      <c r="C126" s="2" t="s">
        <v>35</v>
      </c>
      <c r="D126" s="2">
        <v>43</v>
      </c>
      <c r="E126" s="2" t="str">
        <f t="shared" si="6"/>
        <v>36-45</v>
      </c>
      <c r="F126" s="2" t="s">
        <v>57</v>
      </c>
      <c r="G126" s="2" t="s">
        <v>21</v>
      </c>
      <c r="H126" s="2">
        <v>11</v>
      </c>
      <c r="I126" s="2" t="str">
        <f t="shared" si="4"/>
        <v>7-12 months</v>
      </c>
      <c r="J126" s="3">
        <v>899</v>
      </c>
      <c r="K126" s="3">
        <v>9889</v>
      </c>
      <c r="L126" s="2" t="s">
        <v>31</v>
      </c>
      <c r="M126" s="4">
        <v>45595</v>
      </c>
      <c r="N126" s="2" t="s">
        <v>23</v>
      </c>
      <c r="O126" s="2">
        <f t="shared" si="7"/>
        <v>0</v>
      </c>
      <c r="P126" s="2" t="s">
        <v>23</v>
      </c>
      <c r="Q126" s="2" t="s">
        <v>23</v>
      </c>
      <c r="R126" s="2" t="s">
        <v>23</v>
      </c>
      <c r="S126" s="2" t="s">
        <v>23</v>
      </c>
      <c r="T126" s="2" t="s">
        <v>23</v>
      </c>
      <c r="U126" s="25">
        <f t="shared" si="5"/>
        <v>9889.0001260000008</v>
      </c>
    </row>
    <row r="127" spans="1:21">
      <c r="A127" s="2" t="s">
        <v>286</v>
      </c>
      <c r="B127" s="2" t="s">
        <v>287</v>
      </c>
      <c r="C127" s="2" t="s">
        <v>19</v>
      </c>
      <c r="D127" s="2">
        <v>64</v>
      </c>
      <c r="E127" s="2" t="str">
        <f t="shared" si="6"/>
        <v>60+</v>
      </c>
      <c r="F127" s="2" t="s">
        <v>57</v>
      </c>
      <c r="G127" s="2" t="s">
        <v>27</v>
      </c>
      <c r="H127" s="2">
        <v>7</v>
      </c>
      <c r="I127" s="2" t="str">
        <f t="shared" si="4"/>
        <v>7-12 months</v>
      </c>
      <c r="J127" s="3">
        <v>649</v>
      </c>
      <c r="K127" s="3">
        <v>4543</v>
      </c>
      <c r="L127" s="2" t="s">
        <v>31</v>
      </c>
      <c r="M127" s="4">
        <v>45714</v>
      </c>
      <c r="N127" s="2" t="s">
        <v>23</v>
      </c>
      <c r="O127" s="2">
        <f t="shared" si="7"/>
        <v>0</v>
      </c>
      <c r="P127" s="2" t="s">
        <v>23</v>
      </c>
      <c r="Q127" s="2" t="s">
        <v>23</v>
      </c>
      <c r="R127" s="2" t="s">
        <v>23</v>
      </c>
      <c r="S127" s="2" t="s">
        <v>23</v>
      </c>
      <c r="T127" s="2" t="s">
        <v>23</v>
      </c>
      <c r="U127" s="25">
        <f t="shared" si="5"/>
        <v>4543.0001270000002</v>
      </c>
    </row>
    <row r="128" spans="1:21">
      <c r="A128" s="2" t="s">
        <v>288</v>
      </c>
      <c r="B128" s="2" t="s">
        <v>289</v>
      </c>
      <c r="C128" s="2" t="s">
        <v>19</v>
      </c>
      <c r="D128" s="2">
        <v>49</v>
      </c>
      <c r="E128" s="2" t="str">
        <f t="shared" si="6"/>
        <v>46-60</v>
      </c>
      <c r="F128" s="2" t="s">
        <v>60</v>
      </c>
      <c r="G128" s="2" t="s">
        <v>37</v>
      </c>
      <c r="H128" s="2">
        <v>29</v>
      </c>
      <c r="I128" s="2" t="str">
        <f t="shared" si="4"/>
        <v>25-48 months</v>
      </c>
      <c r="J128" s="3">
        <v>1149</v>
      </c>
      <c r="K128" s="3">
        <v>33321</v>
      </c>
      <c r="L128" s="2" t="s">
        <v>22</v>
      </c>
      <c r="M128" s="4">
        <v>45038</v>
      </c>
      <c r="N128" s="2" t="s">
        <v>23</v>
      </c>
      <c r="O128" s="2">
        <f t="shared" si="7"/>
        <v>0</v>
      </c>
      <c r="P128" s="2" t="s">
        <v>23</v>
      </c>
      <c r="Q128" s="2" t="s">
        <v>23</v>
      </c>
      <c r="R128" s="2" t="s">
        <v>23</v>
      </c>
      <c r="S128" s="2" t="s">
        <v>23</v>
      </c>
      <c r="T128" s="2" t="s">
        <v>23</v>
      </c>
      <c r="U128" s="25">
        <f t="shared" si="5"/>
        <v>33321.000128</v>
      </c>
    </row>
    <row r="129" spans="1:21">
      <c r="A129" s="2" t="s">
        <v>290</v>
      </c>
      <c r="B129" s="2" t="s">
        <v>291</v>
      </c>
      <c r="C129" s="2" t="s">
        <v>35</v>
      </c>
      <c r="D129" s="2">
        <v>22</v>
      </c>
      <c r="E129" s="2" t="str">
        <f t="shared" si="6"/>
        <v>18-25</v>
      </c>
      <c r="F129" s="2" t="s">
        <v>60</v>
      </c>
      <c r="G129" s="2" t="s">
        <v>21</v>
      </c>
      <c r="H129" s="2">
        <v>9</v>
      </c>
      <c r="I129" s="2" t="str">
        <f t="shared" si="4"/>
        <v>7-12 months</v>
      </c>
      <c r="J129" s="3">
        <v>799</v>
      </c>
      <c r="K129" s="3">
        <v>7191</v>
      </c>
      <c r="L129" s="2" t="s">
        <v>31</v>
      </c>
      <c r="M129" s="4">
        <v>45649</v>
      </c>
      <c r="N129" s="2" t="s">
        <v>23</v>
      </c>
      <c r="O129" s="2">
        <f t="shared" si="7"/>
        <v>0</v>
      </c>
      <c r="P129" s="2" t="s">
        <v>23</v>
      </c>
      <c r="Q129" s="2" t="s">
        <v>23</v>
      </c>
      <c r="R129" s="2" t="s">
        <v>23</v>
      </c>
      <c r="S129" s="2" t="s">
        <v>23</v>
      </c>
      <c r="T129" s="2" t="s">
        <v>23</v>
      </c>
      <c r="U129" s="25">
        <f t="shared" si="5"/>
        <v>7191.000129</v>
      </c>
    </row>
    <row r="130" spans="1:21">
      <c r="A130" s="2" t="s">
        <v>292</v>
      </c>
      <c r="B130" s="2" t="s">
        <v>293</v>
      </c>
      <c r="C130" s="2" t="s">
        <v>35</v>
      </c>
      <c r="D130" s="2">
        <v>21</v>
      </c>
      <c r="E130" s="2" t="str">
        <f t="shared" si="6"/>
        <v>18-25</v>
      </c>
      <c r="F130" s="2" t="s">
        <v>30</v>
      </c>
      <c r="G130" s="2" t="s">
        <v>47</v>
      </c>
      <c r="H130" s="2">
        <v>12</v>
      </c>
      <c r="I130" s="2" t="str">
        <f t="shared" ref="I130:I193" si="8">IF(H130="","Unknown",IF(H130&lt;=6,"0-6 months",IF(H130&lt;=12,"7-12 months",IF(H130&lt;=24,"13-24 months",IF(H130&lt;=48,"25-48 months","49+ months")))))</f>
        <v>7-12 months</v>
      </c>
      <c r="J130" s="3">
        <v>799</v>
      </c>
      <c r="K130" s="3">
        <v>9588</v>
      </c>
      <c r="L130" s="2" t="s">
        <v>31</v>
      </c>
      <c r="M130" s="4">
        <v>45550</v>
      </c>
      <c r="N130" s="2" t="s">
        <v>23</v>
      </c>
      <c r="O130" s="2">
        <f t="shared" si="7"/>
        <v>0</v>
      </c>
      <c r="P130" s="2" t="s">
        <v>23</v>
      </c>
      <c r="Q130" s="2" t="s">
        <v>23</v>
      </c>
      <c r="R130" s="2" t="s">
        <v>23</v>
      </c>
      <c r="S130" s="2" t="s">
        <v>23</v>
      </c>
      <c r="T130" s="2" t="s">
        <v>23</v>
      </c>
      <c r="U130" s="25">
        <f t="shared" ref="U130:U193" si="9">IF(K130="","",K130+ROW()/1000000)</f>
        <v>9588.0001300000004</v>
      </c>
    </row>
    <row r="131" spans="1:21">
      <c r="A131" s="2" t="s">
        <v>294</v>
      </c>
      <c r="B131" s="2" t="s">
        <v>295</v>
      </c>
      <c r="C131" s="2" t="s">
        <v>19</v>
      </c>
      <c r="D131" s="2">
        <v>59</v>
      </c>
      <c r="E131" s="2" t="str">
        <f t="shared" ref="E131:E194" si="10">IF(D131&lt;=25,"18-25",IF(D131&lt;=35,"26-35",IF(D131&lt;=45,"36-45",IF(D131&lt;=60,"46-60","60+"))))</f>
        <v>46-60</v>
      </c>
      <c r="F131" s="2" t="s">
        <v>20</v>
      </c>
      <c r="G131" s="2" t="s">
        <v>21</v>
      </c>
      <c r="H131" s="2">
        <v>5</v>
      </c>
      <c r="I131" s="2" t="str">
        <f t="shared" si="8"/>
        <v>0-6 months</v>
      </c>
      <c r="J131" s="3">
        <v>1099</v>
      </c>
      <c r="K131" s="3">
        <v>5495</v>
      </c>
      <c r="L131" s="2" t="s">
        <v>22</v>
      </c>
      <c r="M131" s="4">
        <v>45752</v>
      </c>
      <c r="N131" s="2" t="s">
        <v>23</v>
      </c>
      <c r="O131" s="2">
        <f t="shared" ref="O131:O194" si="11">IF(N131="Yes",1,IF(N131="No",0,""))</f>
        <v>0</v>
      </c>
      <c r="P131" s="2" t="s">
        <v>23</v>
      </c>
      <c r="Q131" s="2" t="s">
        <v>23</v>
      </c>
      <c r="R131" s="2" t="s">
        <v>23</v>
      </c>
      <c r="S131" s="2" t="s">
        <v>32</v>
      </c>
      <c r="T131" s="2" t="s">
        <v>23</v>
      </c>
      <c r="U131" s="25">
        <f t="shared" si="9"/>
        <v>5495.0001309999998</v>
      </c>
    </row>
    <row r="132" spans="1:21">
      <c r="A132" s="2" t="s">
        <v>296</v>
      </c>
      <c r="B132" s="2" t="s">
        <v>297</v>
      </c>
      <c r="C132" s="2" t="s">
        <v>35</v>
      </c>
      <c r="D132" s="2">
        <v>59</v>
      </c>
      <c r="E132" s="2" t="str">
        <f t="shared" si="10"/>
        <v>46-60</v>
      </c>
      <c r="F132" s="2" t="s">
        <v>63</v>
      </c>
      <c r="G132" s="2" t="s">
        <v>21</v>
      </c>
      <c r="H132" s="2">
        <v>15</v>
      </c>
      <c r="I132" s="2" t="str">
        <f t="shared" si="8"/>
        <v>13-24 months</v>
      </c>
      <c r="J132" s="3">
        <v>1149</v>
      </c>
      <c r="K132" s="3">
        <v>17235</v>
      </c>
      <c r="L132" s="2" t="s">
        <v>22</v>
      </c>
      <c r="M132" s="4">
        <v>45467</v>
      </c>
      <c r="N132" s="2" t="s">
        <v>32</v>
      </c>
      <c r="O132" s="2">
        <f t="shared" si="11"/>
        <v>1</v>
      </c>
      <c r="P132" s="2" t="s">
        <v>23</v>
      </c>
      <c r="Q132" s="2" t="s">
        <v>23</v>
      </c>
      <c r="R132" s="2" t="s">
        <v>23</v>
      </c>
      <c r="S132" s="2" t="s">
        <v>23</v>
      </c>
      <c r="T132" s="2" t="s">
        <v>23</v>
      </c>
      <c r="U132" s="25">
        <f t="shared" si="9"/>
        <v>17235.000132000001</v>
      </c>
    </row>
    <row r="133" spans="1:21">
      <c r="A133" s="2" t="s">
        <v>298</v>
      </c>
      <c r="B133" s="2" t="s">
        <v>299</v>
      </c>
      <c r="C133" s="2" t="s">
        <v>35</v>
      </c>
      <c r="D133" s="2">
        <v>67</v>
      </c>
      <c r="E133" s="2" t="str">
        <f t="shared" si="10"/>
        <v>60+</v>
      </c>
      <c r="F133" s="2" t="s">
        <v>30</v>
      </c>
      <c r="G133" s="2" t="s">
        <v>27</v>
      </c>
      <c r="H133" s="2">
        <v>22</v>
      </c>
      <c r="I133" s="2" t="str">
        <f t="shared" si="8"/>
        <v>13-24 months</v>
      </c>
      <c r="J133" s="3">
        <v>599</v>
      </c>
      <c r="K133" s="3">
        <v>13178</v>
      </c>
      <c r="L133" s="2" t="s">
        <v>31</v>
      </c>
      <c r="M133" s="4">
        <v>45256</v>
      </c>
      <c r="N133" s="2" t="s">
        <v>23</v>
      </c>
      <c r="O133" s="2">
        <f t="shared" si="11"/>
        <v>0</v>
      </c>
      <c r="P133" s="2" t="s">
        <v>23</v>
      </c>
      <c r="Q133" s="2" t="s">
        <v>23</v>
      </c>
      <c r="R133" s="2" t="s">
        <v>23</v>
      </c>
      <c r="S133" s="2" t="s">
        <v>23</v>
      </c>
      <c r="T133" s="2" t="s">
        <v>23</v>
      </c>
      <c r="U133" s="25">
        <f t="shared" si="9"/>
        <v>13178.000133</v>
      </c>
    </row>
    <row r="134" spans="1:21">
      <c r="A134" s="2" t="s">
        <v>300</v>
      </c>
      <c r="B134" s="2" t="s">
        <v>170</v>
      </c>
      <c r="C134" s="2" t="s">
        <v>35</v>
      </c>
      <c r="D134" s="2">
        <v>72</v>
      </c>
      <c r="E134" s="2" t="str">
        <f t="shared" si="10"/>
        <v>60+</v>
      </c>
      <c r="F134" s="2" t="s">
        <v>71</v>
      </c>
      <c r="G134" s="2" t="s">
        <v>47</v>
      </c>
      <c r="H134" s="2">
        <v>20</v>
      </c>
      <c r="I134" s="2" t="str">
        <f t="shared" si="8"/>
        <v>13-24 months</v>
      </c>
      <c r="J134" s="3">
        <v>899</v>
      </c>
      <c r="K134" s="3">
        <v>17980</v>
      </c>
      <c r="L134" s="2" t="s">
        <v>22</v>
      </c>
      <c r="M134" s="4">
        <v>45299</v>
      </c>
      <c r="N134" s="2" t="s">
        <v>23</v>
      </c>
      <c r="O134" s="2">
        <f t="shared" si="11"/>
        <v>0</v>
      </c>
      <c r="P134" s="2" t="s">
        <v>23</v>
      </c>
      <c r="Q134" s="2" t="s">
        <v>23</v>
      </c>
      <c r="R134" s="2" t="s">
        <v>23</v>
      </c>
      <c r="S134" s="2" t="s">
        <v>23</v>
      </c>
      <c r="T134" s="2" t="s">
        <v>23</v>
      </c>
      <c r="U134" s="25">
        <f t="shared" si="9"/>
        <v>17980.000134000002</v>
      </c>
    </row>
    <row r="135" spans="1:21">
      <c r="A135" s="2" t="s">
        <v>301</v>
      </c>
      <c r="B135" s="2" t="s">
        <v>302</v>
      </c>
      <c r="C135" s="2" t="s">
        <v>35</v>
      </c>
      <c r="D135" s="2">
        <v>62</v>
      </c>
      <c r="E135" s="2" t="str">
        <f t="shared" si="10"/>
        <v>60+</v>
      </c>
      <c r="F135" s="2" t="s">
        <v>71</v>
      </c>
      <c r="G135" s="2" t="s">
        <v>21</v>
      </c>
      <c r="H135" s="2">
        <v>3</v>
      </c>
      <c r="I135" s="2" t="str">
        <f t="shared" si="8"/>
        <v>0-6 months</v>
      </c>
      <c r="J135" s="3">
        <v>1149</v>
      </c>
      <c r="K135" s="3">
        <v>3447</v>
      </c>
      <c r="L135" s="2" t="s">
        <v>22</v>
      </c>
      <c r="M135" s="4">
        <v>45828</v>
      </c>
      <c r="N135" s="2" t="s">
        <v>23</v>
      </c>
      <c r="O135" s="2">
        <f t="shared" si="11"/>
        <v>0</v>
      </c>
      <c r="P135" s="2" t="s">
        <v>23</v>
      </c>
      <c r="Q135" s="2" t="s">
        <v>23</v>
      </c>
      <c r="R135" s="2" t="s">
        <v>23</v>
      </c>
      <c r="S135" s="2" t="s">
        <v>23</v>
      </c>
      <c r="T135" s="2" t="s">
        <v>23</v>
      </c>
      <c r="U135" s="25">
        <f t="shared" si="9"/>
        <v>3447.0001349999998</v>
      </c>
    </row>
    <row r="136" spans="1:21">
      <c r="A136" s="2" t="s">
        <v>303</v>
      </c>
      <c r="B136" s="2" t="s">
        <v>304</v>
      </c>
      <c r="C136" s="2" t="s">
        <v>19</v>
      </c>
      <c r="D136" s="2">
        <v>59</v>
      </c>
      <c r="E136" s="2" t="str">
        <f t="shared" si="10"/>
        <v>46-60</v>
      </c>
      <c r="F136" s="2" t="s">
        <v>71</v>
      </c>
      <c r="G136" s="2" t="s">
        <v>21</v>
      </c>
      <c r="H136" s="2">
        <v>12</v>
      </c>
      <c r="I136" s="2" t="str">
        <f t="shared" si="8"/>
        <v>7-12 months</v>
      </c>
      <c r="J136" s="3">
        <v>999</v>
      </c>
      <c r="K136" s="3">
        <v>11988</v>
      </c>
      <c r="L136" s="2" t="s">
        <v>22</v>
      </c>
      <c r="M136" s="4">
        <v>45544</v>
      </c>
      <c r="N136" s="2" t="s">
        <v>32</v>
      </c>
      <c r="O136" s="2">
        <f t="shared" si="11"/>
        <v>1</v>
      </c>
      <c r="P136" s="2" t="s">
        <v>23</v>
      </c>
      <c r="Q136" s="2" t="s">
        <v>23</v>
      </c>
      <c r="R136" s="2" t="s">
        <v>23</v>
      </c>
      <c r="S136" s="2" t="s">
        <v>23</v>
      </c>
      <c r="T136" s="2" t="s">
        <v>23</v>
      </c>
      <c r="U136" s="25">
        <f t="shared" si="9"/>
        <v>11988.000136000001</v>
      </c>
    </row>
    <row r="137" spans="1:21">
      <c r="A137" s="2" t="s">
        <v>305</v>
      </c>
      <c r="B137" s="2" t="s">
        <v>306</v>
      </c>
      <c r="C137" s="2" t="s">
        <v>35</v>
      </c>
      <c r="D137" s="2">
        <v>26</v>
      </c>
      <c r="E137" s="2" t="str">
        <f t="shared" si="10"/>
        <v>26-35</v>
      </c>
      <c r="F137" s="2" t="s">
        <v>63</v>
      </c>
      <c r="G137" s="2" t="s">
        <v>21</v>
      </c>
      <c r="H137" s="2">
        <v>4</v>
      </c>
      <c r="I137" s="2" t="str">
        <f t="shared" si="8"/>
        <v>0-6 months</v>
      </c>
      <c r="J137" s="3">
        <v>549</v>
      </c>
      <c r="K137" s="3">
        <v>2196</v>
      </c>
      <c r="L137" s="2" t="s">
        <v>66</v>
      </c>
      <c r="M137" s="4">
        <v>45780</v>
      </c>
      <c r="N137" s="2" t="s">
        <v>23</v>
      </c>
      <c r="O137" s="2">
        <f t="shared" si="11"/>
        <v>0</v>
      </c>
      <c r="P137" s="2" t="s">
        <v>23</v>
      </c>
      <c r="Q137" s="2" t="s">
        <v>23</v>
      </c>
      <c r="R137" s="2" t="s">
        <v>23</v>
      </c>
      <c r="S137" s="2" t="s">
        <v>23</v>
      </c>
      <c r="T137" s="2" t="s">
        <v>23</v>
      </c>
      <c r="U137" s="25">
        <f t="shared" si="9"/>
        <v>2196.000137</v>
      </c>
    </row>
    <row r="138" spans="1:21">
      <c r="A138" s="2" t="s">
        <v>307</v>
      </c>
      <c r="B138" s="2" t="s">
        <v>308</v>
      </c>
      <c r="C138" s="2" t="s">
        <v>19</v>
      </c>
      <c r="D138" s="2">
        <v>26</v>
      </c>
      <c r="E138" s="2" t="str">
        <f t="shared" si="10"/>
        <v>26-35</v>
      </c>
      <c r="F138" s="2" t="s">
        <v>91</v>
      </c>
      <c r="G138" s="2" t="s">
        <v>21</v>
      </c>
      <c r="H138" s="2">
        <v>23</v>
      </c>
      <c r="I138" s="2" t="str">
        <f t="shared" si="8"/>
        <v>13-24 months</v>
      </c>
      <c r="J138" s="3">
        <v>899</v>
      </c>
      <c r="K138" s="3">
        <v>20677</v>
      </c>
      <c r="L138" s="2" t="s">
        <v>31</v>
      </c>
      <c r="M138" s="4">
        <v>45237</v>
      </c>
      <c r="N138" s="2" t="s">
        <v>23</v>
      </c>
      <c r="O138" s="2">
        <f t="shared" si="11"/>
        <v>0</v>
      </c>
      <c r="P138" s="2" t="s">
        <v>23</v>
      </c>
      <c r="Q138" s="2" t="s">
        <v>23</v>
      </c>
      <c r="R138" s="2" t="s">
        <v>23</v>
      </c>
      <c r="S138" s="2" t="s">
        <v>23</v>
      </c>
      <c r="T138" s="2" t="s">
        <v>23</v>
      </c>
      <c r="U138" s="25">
        <f t="shared" si="9"/>
        <v>20677.000137999999</v>
      </c>
    </row>
    <row r="139" spans="1:21">
      <c r="A139" s="2" t="s">
        <v>309</v>
      </c>
      <c r="B139" s="2" t="s">
        <v>310</v>
      </c>
      <c r="C139" s="2" t="s">
        <v>35</v>
      </c>
      <c r="D139" s="2">
        <v>64</v>
      </c>
      <c r="E139" s="2" t="str">
        <f t="shared" si="10"/>
        <v>60+</v>
      </c>
      <c r="F139" s="2" t="s">
        <v>20</v>
      </c>
      <c r="G139" s="2" t="s">
        <v>47</v>
      </c>
      <c r="H139" s="2">
        <v>58</v>
      </c>
      <c r="I139" s="2" t="str">
        <f t="shared" si="8"/>
        <v>49+ months</v>
      </c>
      <c r="J139" s="3">
        <v>1149</v>
      </c>
      <c r="K139" s="3">
        <v>66642</v>
      </c>
      <c r="L139" s="2" t="s">
        <v>22</v>
      </c>
      <c r="M139" s="4">
        <v>44163</v>
      </c>
      <c r="N139" s="2" t="s">
        <v>23</v>
      </c>
      <c r="O139" s="2">
        <f t="shared" si="11"/>
        <v>0</v>
      </c>
      <c r="P139" s="2" t="s">
        <v>23</v>
      </c>
      <c r="Q139" s="2" t="s">
        <v>23</v>
      </c>
      <c r="R139" s="2" t="s">
        <v>23</v>
      </c>
      <c r="S139" s="2" t="s">
        <v>23</v>
      </c>
      <c r="T139" s="2" t="s">
        <v>23</v>
      </c>
      <c r="U139" s="25">
        <f t="shared" si="9"/>
        <v>66642.000138999996</v>
      </c>
    </row>
    <row r="140" spans="1:21">
      <c r="A140" s="2" t="s">
        <v>311</v>
      </c>
      <c r="B140" s="2" t="s">
        <v>312</v>
      </c>
      <c r="C140" s="2" t="s">
        <v>35</v>
      </c>
      <c r="D140" s="2">
        <v>61</v>
      </c>
      <c r="E140" s="2" t="str">
        <f t="shared" si="10"/>
        <v>60+</v>
      </c>
      <c r="F140" s="2" t="s">
        <v>91</v>
      </c>
      <c r="G140" s="2" t="s">
        <v>47</v>
      </c>
      <c r="H140" s="2">
        <v>37</v>
      </c>
      <c r="I140" s="2" t="str">
        <f t="shared" si="8"/>
        <v>25-48 months</v>
      </c>
      <c r="J140" s="3">
        <v>1099</v>
      </c>
      <c r="K140" s="3">
        <v>40663</v>
      </c>
      <c r="L140" s="2" t="s">
        <v>22</v>
      </c>
      <c r="M140" s="4">
        <v>44813</v>
      </c>
      <c r="N140" s="2" t="s">
        <v>23</v>
      </c>
      <c r="O140" s="2">
        <f t="shared" si="11"/>
        <v>0</v>
      </c>
      <c r="P140" s="2" t="s">
        <v>23</v>
      </c>
      <c r="Q140" s="2" t="s">
        <v>23</v>
      </c>
      <c r="R140" s="2" t="s">
        <v>23</v>
      </c>
      <c r="S140" s="2" t="s">
        <v>23</v>
      </c>
      <c r="T140" s="2" t="s">
        <v>23</v>
      </c>
      <c r="U140" s="25">
        <f t="shared" si="9"/>
        <v>40663.000139999996</v>
      </c>
    </row>
    <row r="141" spans="1:21">
      <c r="A141" s="2" t="s">
        <v>313</v>
      </c>
      <c r="B141" s="2" t="s">
        <v>314</v>
      </c>
      <c r="C141" s="2" t="s">
        <v>19</v>
      </c>
      <c r="D141" s="2">
        <v>73</v>
      </c>
      <c r="E141" s="2" t="str">
        <f t="shared" si="10"/>
        <v>60+</v>
      </c>
      <c r="F141" s="2" t="s">
        <v>46</v>
      </c>
      <c r="G141" s="2" t="s">
        <v>21</v>
      </c>
      <c r="H141" s="2">
        <v>12</v>
      </c>
      <c r="I141" s="2" t="str">
        <f t="shared" si="8"/>
        <v>7-12 months</v>
      </c>
      <c r="J141" s="3">
        <v>899</v>
      </c>
      <c r="K141" s="3">
        <v>10788</v>
      </c>
      <c r="L141" s="2" t="s">
        <v>22</v>
      </c>
      <c r="M141" s="4">
        <v>45559</v>
      </c>
      <c r="N141" s="2" t="s">
        <v>23</v>
      </c>
      <c r="O141" s="2">
        <f t="shared" si="11"/>
        <v>0</v>
      </c>
      <c r="P141" s="2" t="s">
        <v>23</v>
      </c>
      <c r="Q141" s="2" t="s">
        <v>23</v>
      </c>
      <c r="R141" s="2" t="s">
        <v>23</v>
      </c>
      <c r="S141" s="2" t="s">
        <v>23</v>
      </c>
      <c r="T141" s="2" t="s">
        <v>23</v>
      </c>
      <c r="U141" s="25">
        <f t="shared" si="9"/>
        <v>10788.000141</v>
      </c>
    </row>
    <row r="142" spans="1:21">
      <c r="A142" s="2" t="s">
        <v>315</v>
      </c>
      <c r="B142" s="2" t="s">
        <v>316</v>
      </c>
      <c r="C142" s="2" t="s">
        <v>19</v>
      </c>
      <c r="D142" s="2">
        <v>46</v>
      </c>
      <c r="E142" s="2" t="str">
        <f t="shared" si="10"/>
        <v>46-60</v>
      </c>
      <c r="F142" s="2" t="s">
        <v>26</v>
      </c>
      <c r="G142" s="2" t="s">
        <v>21</v>
      </c>
      <c r="H142" s="2">
        <v>8</v>
      </c>
      <c r="I142" s="2" t="str">
        <f t="shared" si="8"/>
        <v>7-12 months</v>
      </c>
      <c r="J142" s="3">
        <v>1099</v>
      </c>
      <c r="K142" s="3">
        <v>8792</v>
      </c>
      <c r="L142" s="2" t="s">
        <v>22</v>
      </c>
      <c r="M142" s="4">
        <v>45675</v>
      </c>
      <c r="N142" s="2" t="s">
        <v>23</v>
      </c>
      <c r="O142" s="2">
        <f t="shared" si="11"/>
        <v>0</v>
      </c>
      <c r="P142" s="2" t="s">
        <v>23</v>
      </c>
      <c r="Q142" s="2" t="s">
        <v>23</v>
      </c>
      <c r="R142" s="2" t="s">
        <v>23</v>
      </c>
      <c r="S142" s="2" t="s">
        <v>23</v>
      </c>
      <c r="T142" s="2" t="s">
        <v>23</v>
      </c>
      <c r="U142" s="25">
        <f t="shared" si="9"/>
        <v>8792.0001420000008</v>
      </c>
    </row>
    <row r="143" spans="1:21">
      <c r="A143" s="2" t="s">
        <v>317</v>
      </c>
      <c r="B143" s="2" t="s">
        <v>318</v>
      </c>
      <c r="C143" s="2" t="s">
        <v>19</v>
      </c>
      <c r="D143" s="2">
        <v>41</v>
      </c>
      <c r="E143" s="2" t="str">
        <f t="shared" si="10"/>
        <v>36-45</v>
      </c>
      <c r="F143" s="2" t="s">
        <v>20</v>
      </c>
      <c r="G143" s="2" t="s">
        <v>21</v>
      </c>
      <c r="H143" s="2">
        <v>8</v>
      </c>
      <c r="I143" s="2" t="str">
        <f t="shared" si="8"/>
        <v>7-12 months</v>
      </c>
      <c r="J143" s="3">
        <v>599</v>
      </c>
      <c r="K143" s="3">
        <v>4792</v>
      </c>
      <c r="L143" s="2" t="s">
        <v>31</v>
      </c>
      <c r="M143" s="4">
        <v>45668</v>
      </c>
      <c r="N143" s="2" t="s">
        <v>23</v>
      </c>
      <c r="O143" s="2">
        <f t="shared" si="11"/>
        <v>0</v>
      </c>
      <c r="P143" s="2" t="s">
        <v>23</v>
      </c>
      <c r="Q143" s="2" t="s">
        <v>23</v>
      </c>
      <c r="R143" s="2" t="s">
        <v>23</v>
      </c>
      <c r="S143" s="2" t="s">
        <v>23</v>
      </c>
      <c r="T143" s="2" t="s">
        <v>23</v>
      </c>
      <c r="U143" s="25">
        <f t="shared" si="9"/>
        <v>4792.0001430000002</v>
      </c>
    </row>
    <row r="144" spans="1:21">
      <c r="A144" s="2" t="s">
        <v>319</v>
      </c>
      <c r="B144" s="2" t="s">
        <v>320</v>
      </c>
      <c r="C144" s="2" t="s">
        <v>35</v>
      </c>
      <c r="D144" s="2">
        <v>20</v>
      </c>
      <c r="E144" s="2" t="str">
        <f t="shared" si="10"/>
        <v>18-25</v>
      </c>
      <c r="F144" s="2" t="s">
        <v>46</v>
      </c>
      <c r="G144" s="2" t="s">
        <v>47</v>
      </c>
      <c r="H144" s="2">
        <v>18</v>
      </c>
      <c r="I144" s="2" t="str">
        <f t="shared" si="8"/>
        <v>13-24 months</v>
      </c>
      <c r="J144" s="3">
        <v>1199</v>
      </c>
      <c r="K144" s="3">
        <v>21582</v>
      </c>
      <c r="L144" s="2" t="s">
        <v>22</v>
      </c>
      <c r="M144" s="4">
        <v>45388</v>
      </c>
      <c r="N144" s="2" t="s">
        <v>23</v>
      </c>
      <c r="O144" s="2">
        <f t="shared" si="11"/>
        <v>0</v>
      </c>
      <c r="P144" s="2" t="s">
        <v>23</v>
      </c>
      <c r="Q144" s="2" t="s">
        <v>23</v>
      </c>
      <c r="R144" s="2" t="s">
        <v>23</v>
      </c>
      <c r="S144" s="2" t="s">
        <v>23</v>
      </c>
      <c r="T144" s="2" t="s">
        <v>23</v>
      </c>
      <c r="U144" s="25">
        <f t="shared" si="9"/>
        <v>21582.000144000001</v>
      </c>
    </row>
    <row r="145" spans="1:21">
      <c r="A145" s="2" t="s">
        <v>321</v>
      </c>
      <c r="B145" s="2" t="s">
        <v>322</v>
      </c>
      <c r="C145" s="2" t="s">
        <v>19</v>
      </c>
      <c r="D145" s="2">
        <v>31</v>
      </c>
      <c r="E145" s="2" t="str">
        <f t="shared" si="10"/>
        <v>26-35</v>
      </c>
      <c r="F145" s="2" t="s">
        <v>57</v>
      </c>
      <c r="G145" s="2" t="s">
        <v>21</v>
      </c>
      <c r="H145" s="2">
        <v>20</v>
      </c>
      <c r="I145" s="2" t="str">
        <f t="shared" si="8"/>
        <v>13-24 months</v>
      </c>
      <c r="J145" s="3">
        <v>349</v>
      </c>
      <c r="K145" s="3">
        <v>6980</v>
      </c>
      <c r="L145" s="2" t="s">
        <v>66</v>
      </c>
      <c r="M145" s="4">
        <v>45321</v>
      </c>
      <c r="N145" s="2" t="s">
        <v>23</v>
      </c>
      <c r="O145" s="2">
        <f t="shared" si="11"/>
        <v>0</v>
      </c>
      <c r="P145" s="2" t="s">
        <v>23</v>
      </c>
      <c r="Q145" s="2" t="s">
        <v>23</v>
      </c>
      <c r="R145" s="2" t="s">
        <v>23</v>
      </c>
      <c r="S145" s="2" t="s">
        <v>23</v>
      </c>
      <c r="T145" s="2" t="s">
        <v>23</v>
      </c>
      <c r="U145" s="25">
        <f t="shared" si="9"/>
        <v>6980.000145</v>
      </c>
    </row>
    <row r="146" spans="1:21">
      <c r="A146" s="2" t="s">
        <v>323</v>
      </c>
      <c r="B146" s="2" t="s">
        <v>324</v>
      </c>
      <c r="C146" s="2" t="s">
        <v>35</v>
      </c>
      <c r="D146" s="2">
        <v>33</v>
      </c>
      <c r="E146" s="2" t="str">
        <f t="shared" si="10"/>
        <v>26-35</v>
      </c>
      <c r="F146" s="2" t="s">
        <v>105</v>
      </c>
      <c r="G146" s="2" t="s">
        <v>27</v>
      </c>
      <c r="H146" s="2">
        <v>5</v>
      </c>
      <c r="I146" s="2" t="str">
        <f t="shared" si="8"/>
        <v>0-6 months</v>
      </c>
      <c r="J146" s="3">
        <v>1299</v>
      </c>
      <c r="K146" s="3">
        <v>6495</v>
      </c>
      <c r="L146" s="2" t="s">
        <v>22</v>
      </c>
      <c r="M146" s="4">
        <v>45778</v>
      </c>
      <c r="N146" s="2" t="s">
        <v>23</v>
      </c>
      <c r="O146" s="2">
        <f t="shared" si="11"/>
        <v>0</v>
      </c>
      <c r="P146" s="2" t="s">
        <v>23</v>
      </c>
      <c r="Q146" s="2" t="s">
        <v>23</v>
      </c>
      <c r="R146" s="2" t="s">
        <v>23</v>
      </c>
      <c r="S146" s="2" t="s">
        <v>23</v>
      </c>
      <c r="T146" s="2" t="s">
        <v>23</v>
      </c>
      <c r="U146" s="25">
        <f t="shared" si="9"/>
        <v>6495.0001460000003</v>
      </c>
    </row>
    <row r="147" spans="1:21">
      <c r="A147" s="2" t="s">
        <v>325</v>
      </c>
      <c r="B147" s="2" t="s">
        <v>326</v>
      </c>
      <c r="C147" s="2" t="s">
        <v>19</v>
      </c>
      <c r="D147" s="2">
        <v>45</v>
      </c>
      <c r="E147" s="2" t="str">
        <f t="shared" si="10"/>
        <v>36-45</v>
      </c>
      <c r="F147" s="2" t="s">
        <v>36</v>
      </c>
      <c r="G147" s="2" t="s">
        <v>27</v>
      </c>
      <c r="H147" s="2">
        <v>27</v>
      </c>
      <c r="I147" s="2" t="str">
        <f t="shared" si="8"/>
        <v>25-48 months</v>
      </c>
      <c r="J147" s="3">
        <v>649</v>
      </c>
      <c r="K147" s="3">
        <v>17523</v>
      </c>
      <c r="L147" s="2" t="s">
        <v>31</v>
      </c>
      <c r="M147" s="4">
        <v>45107</v>
      </c>
      <c r="N147" s="2" t="s">
        <v>23</v>
      </c>
      <c r="O147" s="2">
        <f t="shared" si="11"/>
        <v>0</v>
      </c>
      <c r="P147" s="2" t="s">
        <v>23</v>
      </c>
      <c r="Q147" s="2" t="s">
        <v>23</v>
      </c>
      <c r="R147" s="2" t="s">
        <v>23</v>
      </c>
      <c r="S147" s="2" t="s">
        <v>23</v>
      </c>
      <c r="T147" s="2" t="s">
        <v>23</v>
      </c>
      <c r="U147" s="25">
        <f t="shared" si="9"/>
        <v>17523.000146999999</v>
      </c>
    </row>
    <row r="148" spans="1:21">
      <c r="A148" s="2" t="s">
        <v>327</v>
      </c>
      <c r="B148" s="2" t="s">
        <v>328</v>
      </c>
      <c r="C148" s="2" t="s">
        <v>19</v>
      </c>
      <c r="D148" s="2">
        <v>50</v>
      </c>
      <c r="E148" s="2" t="str">
        <f t="shared" si="10"/>
        <v>46-60</v>
      </c>
      <c r="F148" s="2" t="s">
        <v>110</v>
      </c>
      <c r="G148" s="2" t="s">
        <v>47</v>
      </c>
      <c r="H148" s="2">
        <v>50</v>
      </c>
      <c r="I148" s="2" t="str">
        <f t="shared" si="8"/>
        <v>49+ months</v>
      </c>
      <c r="J148" s="3">
        <v>1099</v>
      </c>
      <c r="K148" s="3">
        <v>54950</v>
      </c>
      <c r="L148" s="2" t="s">
        <v>22</v>
      </c>
      <c r="M148" s="4">
        <v>44417</v>
      </c>
      <c r="N148" s="2" t="s">
        <v>23</v>
      </c>
      <c r="O148" s="2">
        <f t="shared" si="11"/>
        <v>0</v>
      </c>
      <c r="P148" s="2" t="s">
        <v>23</v>
      </c>
      <c r="Q148" s="2" t="s">
        <v>23</v>
      </c>
      <c r="R148" s="2" t="s">
        <v>23</v>
      </c>
      <c r="S148" s="2" t="s">
        <v>23</v>
      </c>
      <c r="T148" s="2" t="s">
        <v>23</v>
      </c>
      <c r="U148" s="25">
        <f t="shared" si="9"/>
        <v>54950.000147999999</v>
      </c>
    </row>
    <row r="149" spans="1:21">
      <c r="A149" s="2" t="s">
        <v>329</v>
      </c>
      <c r="B149" s="2" t="s">
        <v>330</v>
      </c>
      <c r="C149" s="2" t="s">
        <v>35</v>
      </c>
      <c r="D149" s="2">
        <v>68</v>
      </c>
      <c r="E149" s="2" t="str">
        <f t="shared" si="10"/>
        <v>60+</v>
      </c>
      <c r="F149" s="2" t="s">
        <v>41</v>
      </c>
      <c r="G149" s="2" t="s">
        <v>21</v>
      </c>
      <c r="H149" s="2">
        <v>21</v>
      </c>
      <c r="I149" s="2" t="str">
        <f t="shared" si="8"/>
        <v>13-24 months</v>
      </c>
      <c r="J149" s="3">
        <v>1299</v>
      </c>
      <c r="K149" s="3">
        <v>27279</v>
      </c>
      <c r="L149" s="2" t="s">
        <v>22</v>
      </c>
      <c r="M149" s="4">
        <v>45288</v>
      </c>
      <c r="N149" s="2" t="s">
        <v>23</v>
      </c>
      <c r="O149" s="2">
        <f t="shared" si="11"/>
        <v>0</v>
      </c>
      <c r="P149" s="2" t="s">
        <v>23</v>
      </c>
      <c r="Q149" s="2" t="s">
        <v>23</v>
      </c>
      <c r="R149" s="2" t="s">
        <v>23</v>
      </c>
      <c r="S149" s="2" t="s">
        <v>23</v>
      </c>
      <c r="T149" s="2" t="s">
        <v>23</v>
      </c>
      <c r="U149" s="25">
        <f t="shared" si="9"/>
        <v>27279.000149</v>
      </c>
    </row>
    <row r="150" spans="1:21">
      <c r="A150" s="2" t="s">
        <v>331</v>
      </c>
      <c r="B150" s="2" t="s">
        <v>332</v>
      </c>
      <c r="C150" s="2" t="s">
        <v>19</v>
      </c>
      <c r="D150" s="2">
        <v>52</v>
      </c>
      <c r="E150" s="2" t="str">
        <f t="shared" si="10"/>
        <v>46-60</v>
      </c>
      <c r="F150" s="2" t="s">
        <v>30</v>
      </c>
      <c r="G150" s="2" t="s">
        <v>47</v>
      </c>
      <c r="H150" s="2">
        <v>60</v>
      </c>
      <c r="I150" s="2" t="str">
        <f t="shared" si="8"/>
        <v>49+ months</v>
      </c>
      <c r="J150" s="3">
        <v>849</v>
      </c>
      <c r="K150" s="3">
        <v>50940</v>
      </c>
      <c r="L150" s="2" t="s">
        <v>31</v>
      </c>
      <c r="M150" s="4">
        <v>44126</v>
      </c>
      <c r="N150" s="2" t="s">
        <v>23</v>
      </c>
      <c r="O150" s="2">
        <f t="shared" si="11"/>
        <v>0</v>
      </c>
      <c r="P150" s="2" t="s">
        <v>23</v>
      </c>
      <c r="Q150" s="2" t="s">
        <v>23</v>
      </c>
      <c r="R150" s="2" t="s">
        <v>23</v>
      </c>
      <c r="S150" s="2" t="s">
        <v>23</v>
      </c>
      <c r="T150" s="2" t="s">
        <v>23</v>
      </c>
      <c r="U150" s="25">
        <f t="shared" si="9"/>
        <v>50940.00015</v>
      </c>
    </row>
    <row r="151" spans="1:21">
      <c r="A151" s="2" t="s">
        <v>333</v>
      </c>
      <c r="B151" s="2" t="s">
        <v>334</v>
      </c>
      <c r="C151" s="2" t="s">
        <v>35</v>
      </c>
      <c r="D151" s="2">
        <v>30</v>
      </c>
      <c r="E151" s="2" t="str">
        <f t="shared" si="10"/>
        <v>26-35</v>
      </c>
      <c r="F151" s="2" t="s">
        <v>36</v>
      </c>
      <c r="G151" s="2" t="s">
        <v>27</v>
      </c>
      <c r="H151" s="2">
        <v>21</v>
      </c>
      <c r="I151" s="2" t="str">
        <f t="shared" si="8"/>
        <v>13-24 months</v>
      </c>
      <c r="J151" s="3">
        <v>499</v>
      </c>
      <c r="K151" s="3">
        <v>10479</v>
      </c>
      <c r="L151" s="2" t="s">
        <v>66</v>
      </c>
      <c r="M151" s="4">
        <v>45281</v>
      </c>
      <c r="N151" s="2" t="s">
        <v>23</v>
      </c>
      <c r="O151" s="2">
        <f t="shared" si="11"/>
        <v>0</v>
      </c>
      <c r="P151" s="2" t="s">
        <v>23</v>
      </c>
      <c r="Q151" s="2" t="s">
        <v>23</v>
      </c>
      <c r="R151" s="2" t="s">
        <v>23</v>
      </c>
      <c r="S151" s="2" t="s">
        <v>23</v>
      </c>
      <c r="T151" s="2" t="s">
        <v>23</v>
      </c>
      <c r="U151" s="25">
        <f t="shared" si="9"/>
        <v>10479.000151</v>
      </c>
    </row>
    <row r="152" spans="1:21">
      <c r="A152" s="2" t="s">
        <v>335</v>
      </c>
      <c r="B152" s="2" t="s">
        <v>336</v>
      </c>
      <c r="C152" s="2" t="s">
        <v>35</v>
      </c>
      <c r="D152" s="2">
        <v>66</v>
      </c>
      <c r="E152" s="2" t="str">
        <f t="shared" si="10"/>
        <v>60+</v>
      </c>
      <c r="F152" s="2" t="s">
        <v>71</v>
      </c>
      <c r="G152" s="2" t="s">
        <v>37</v>
      </c>
      <c r="H152" s="2">
        <v>2</v>
      </c>
      <c r="I152" s="2" t="str">
        <f t="shared" si="8"/>
        <v>0-6 months</v>
      </c>
      <c r="J152" s="3">
        <v>1199</v>
      </c>
      <c r="K152" s="3">
        <v>2398</v>
      </c>
      <c r="L152" s="2" t="s">
        <v>22</v>
      </c>
      <c r="M152" s="4">
        <v>45843</v>
      </c>
      <c r="N152" s="2" t="s">
        <v>32</v>
      </c>
      <c r="O152" s="2">
        <f t="shared" si="11"/>
        <v>1</v>
      </c>
      <c r="P152" s="2" t="s">
        <v>23</v>
      </c>
      <c r="Q152" s="2" t="s">
        <v>23</v>
      </c>
      <c r="R152" s="2" t="s">
        <v>23</v>
      </c>
      <c r="S152" s="2" t="s">
        <v>23</v>
      </c>
      <c r="T152" s="2" t="s">
        <v>23</v>
      </c>
      <c r="U152" s="25">
        <f t="shared" si="9"/>
        <v>2398.0001520000001</v>
      </c>
    </row>
    <row r="153" spans="1:21">
      <c r="A153" s="2" t="s">
        <v>337</v>
      </c>
      <c r="B153" s="2" t="s">
        <v>338</v>
      </c>
      <c r="C153" s="2" t="s">
        <v>35</v>
      </c>
      <c r="D153" s="2">
        <v>65</v>
      </c>
      <c r="E153" s="2" t="str">
        <f t="shared" si="10"/>
        <v>60+</v>
      </c>
      <c r="F153" s="2" t="s">
        <v>60</v>
      </c>
      <c r="G153" s="2" t="s">
        <v>47</v>
      </c>
      <c r="H153" s="2">
        <v>24</v>
      </c>
      <c r="I153" s="2" t="str">
        <f t="shared" si="8"/>
        <v>13-24 months</v>
      </c>
      <c r="J153" s="3">
        <v>1199</v>
      </c>
      <c r="K153" s="3">
        <v>28776</v>
      </c>
      <c r="L153" s="2" t="s">
        <v>22</v>
      </c>
      <c r="M153" s="4"/>
      <c r="N153" s="2" t="s">
        <v>23</v>
      </c>
      <c r="O153" s="2">
        <f t="shared" si="11"/>
        <v>0</v>
      </c>
      <c r="P153" s="2" t="s">
        <v>23</v>
      </c>
      <c r="Q153" s="2" t="s">
        <v>32</v>
      </c>
      <c r="R153" s="2" t="s">
        <v>23</v>
      </c>
      <c r="S153" s="2" t="s">
        <v>23</v>
      </c>
      <c r="T153" s="2" t="s">
        <v>54</v>
      </c>
      <c r="U153" s="25">
        <f t="shared" si="9"/>
        <v>28776.000153000001</v>
      </c>
    </row>
    <row r="154" spans="1:21">
      <c r="A154" s="2" t="s">
        <v>339</v>
      </c>
      <c r="B154" s="2" t="s">
        <v>340</v>
      </c>
      <c r="C154" s="2" t="s">
        <v>35</v>
      </c>
      <c r="D154" s="2">
        <v>45</v>
      </c>
      <c r="E154" s="2" t="str">
        <f t="shared" si="10"/>
        <v>36-45</v>
      </c>
      <c r="F154" s="2" t="s">
        <v>41</v>
      </c>
      <c r="G154" s="2" t="s">
        <v>21</v>
      </c>
      <c r="H154" s="2">
        <v>6</v>
      </c>
      <c r="I154" s="2" t="str">
        <f t="shared" si="8"/>
        <v>0-6 months</v>
      </c>
      <c r="J154" s="3">
        <v>449</v>
      </c>
      <c r="K154" s="3">
        <v>2694</v>
      </c>
      <c r="L154" s="2" t="s">
        <v>66</v>
      </c>
      <c r="M154" s="4">
        <v>45738</v>
      </c>
      <c r="N154" s="2" t="s">
        <v>32</v>
      </c>
      <c r="O154" s="2">
        <f t="shared" si="11"/>
        <v>1</v>
      </c>
      <c r="P154" s="2" t="s">
        <v>23</v>
      </c>
      <c r="Q154" s="2" t="s">
        <v>23</v>
      </c>
      <c r="R154" s="2" t="s">
        <v>23</v>
      </c>
      <c r="S154" s="2" t="s">
        <v>23</v>
      </c>
      <c r="T154" s="2" t="s">
        <v>23</v>
      </c>
      <c r="U154" s="25">
        <f t="shared" si="9"/>
        <v>2694.0001539999998</v>
      </c>
    </row>
    <row r="155" spans="1:21">
      <c r="A155" s="2" t="s">
        <v>341</v>
      </c>
      <c r="B155" s="2" t="s">
        <v>342</v>
      </c>
      <c r="C155" s="2" t="s">
        <v>35</v>
      </c>
      <c r="D155" s="2">
        <v>56</v>
      </c>
      <c r="E155" s="2" t="str">
        <f t="shared" si="10"/>
        <v>46-60</v>
      </c>
      <c r="F155" s="2" t="s">
        <v>141</v>
      </c>
      <c r="G155" s="2" t="s">
        <v>21</v>
      </c>
      <c r="H155" s="2">
        <v>12</v>
      </c>
      <c r="I155" s="2" t="str">
        <f t="shared" si="8"/>
        <v>7-12 months</v>
      </c>
      <c r="J155" s="3">
        <v>899</v>
      </c>
      <c r="K155" s="3">
        <v>10788</v>
      </c>
      <c r="L155" s="2" t="s">
        <v>22</v>
      </c>
      <c r="M155" s="4">
        <v>45555</v>
      </c>
      <c r="N155" s="2" t="s">
        <v>23</v>
      </c>
      <c r="O155" s="2">
        <f t="shared" si="11"/>
        <v>0</v>
      </c>
      <c r="P155" s="2" t="s">
        <v>23</v>
      </c>
      <c r="Q155" s="2" t="s">
        <v>23</v>
      </c>
      <c r="R155" s="2" t="s">
        <v>32</v>
      </c>
      <c r="S155" s="2" t="s">
        <v>23</v>
      </c>
      <c r="T155" s="2" t="s">
        <v>23</v>
      </c>
      <c r="U155" s="25">
        <f t="shared" si="9"/>
        <v>10788.000155</v>
      </c>
    </row>
    <row r="156" spans="1:21">
      <c r="A156" s="2" t="s">
        <v>343</v>
      </c>
      <c r="B156" s="2" t="s">
        <v>344</v>
      </c>
      <c r="C156" s="2" t="s">
        <v>35</v>
      </c>
      <c r="D156" s="2">
        <v>60</v>
      </c>
      <c r="E156" s="2" t="str">
        <f t="shared" si="10"/>
        <v>46-60</v>
      </c>
      <c r="F156" s="2" t="s">
        <v>71</v>
      </c>
      <c r="G156" s="2" t="s">
        <v>21</v>
      </c>
      <c r="H156" s="2">
        <v>24</v>
      </c>
      <c r="I156" s="2" t="str">
        <f t="shared" si="8"/>
        <v>13-24 months</v>
      </c>
      <c r="J156" s="3">
        <v>999</v>
      </c>
      <c r="K156" s="3">
        <v>23976</v>
      </c>
      <c r="L156" s="2" t="s">
        <v>22</v>
      </c>
      <c r="M156" s="4">
        <v>45189</v>
      </c>
      <c r="N156" s="2" t="s">
        <v>32</v>
      </c>
      <c r="O156" s="2">
        <f t="shared" si="11"/>
        <v>1</v>
      </c>
      <c r="P156" s="2" t="s">
        <v>23</v>
      </c>
      <c r="Q156" s="2" t="s">
        <v>23</v>
      </c>
      <c r="R156" s="2" t="s">
        <v>23</v>
      </c>
      <c r="S156" s="2" t="s">
        <v>23</v>
      </c>
      <c r="T156" s="2" t="s">
        <v>23</v>
      </c>
      <c r="U156" s="25">
        <f t="shared" si="9"/>
        <v>23976.000155999998</v>
      </c>
    </row>
    <row r="157" spans="1:21">
      <c r="A157" s="2" t="s">
        <v>345</v>
      </c>
      <c r="B157" s="2" t="s">
        <v>346</v>
      </c>
      <c r="C157" s="2" t="s">
        <v>35</v>
      </c>
      <c r="D157" s="2">
        <v>22</v>
      </c>
      <c r="E157" s="2" t="str">
        <f t="shared" si="10"/>
        <v>18-25</v>
      </c>
      <c r="F157" s="2" t="s">
        <v>20</v>
      </c>
      <c r="G157" s="2" t="s">
        <v>27</v>
      </c>
      <c r="H157" s="2">
        <v>25</v>
      </c>
      <c r="I157" s="2" t="str">
        <f t="shared" si="8"/>
        <v>25-48 months</v>
      </c>
      <c r="J157" s="3">
        <v>899</v>
      </c>
      <c r="K157" s="3">
        <v>22475</v>
      </c>
      <c r="L157" s="2" t="s">
        <v>22</v>
      </c>
      <c r="M157" s="4">
        <v>45164</v>
      </c>
      <c r="N157" s="2" t="s">
        <v>32</v>
      </c>
      <c r="O157" s="2">
        <f t="shared" si="11"/>
        <v>1</v>
      </c>
      <c r="P157" s="2" t="s">
        <v>23</v>
      </c>
      <c r="Q157" s="2" t="s">
        <v>23</v>
      </c>
      <c r="R157" s="2" t="s">
        <v>23</v>
      </c>
      <c r="S157" s="2" t="s">
        <v>23</v>
      </c>
      <c r="T157" s="2" t="s">
        <v>23</v>
      </c>
      <c r="U157" s="25">
        <f t="shared" si="9"/>
        <v>22475.000156999999</v>
      </c>
    </row>
    <row r="158" spans="1:21">
      <c r="A158" s="2" t="s">
        <v>347</v>
      </c>
      <c r="B158" s="2" t="s">
        <v>348</v>
      </c>
      <c r="C158" s="2" t="s">
        <v>35</v>
      </c>
      <c r="D158" s="2">
        <v>47</v>
      </c>
      <c r="E158" s="2" t="str">
        <f t="shared" si="10"/>
        <v>46-60</v>
      </c>
      <c r="F158" s="2" t="s">
        <v>41</v>
      </c>
      <c r="G158" s="2" t="s">
        <v>27</v>
      </c>
      <c r="H158" s="2">
        <v>26</v>
      </c>
      <c r="I158" s="2" t="str">
        <f t="shared" si="8"/>
        <v>25-48 months</v>
      </c>
      <c r="J158" s="3">
        <v>1199</v>
      </c>
      <c r="K158" s="3">
        <v>31174</v>
      </c>
      <c r="L158" s="2" t="s">
        <v>22</v>
      </c>
      <c r="M158" s="4">
        <v>45145</v>
      </c>
      <c r="N158" s="2" t="s">
        <v>23</v>
      </c>
      <c r="O158" s="2">
        <f t="shared" si="11"/>
        <v>0</v>
      </c>
      <c r="P158" s="2" t="s">
        <v>32</v>
      </c>
      <c r="Q158" s="2" t="s">
        <v>23</v>
      </c>
      <c r="R158" s="2" t="s">
        <v>23</v>
      </c>
      <c r="S158" s="2" t="s">
        <v>23</v>
      </c>
      <c r="T158" s="2" t="s">
        <v>23</v>
      </c>
      <c r="U158" s="25">
        <f t="shared" si="9"/>
        <v>31174.000157999999</v>
      </c>
    </row>
    <row r="159" spans="1:21">
      <c r="A159" s="2" t="s">
        <v>349</v>
      </c>
      <c r="B159" s="2" t="s">
        <v>350</v>
      </c>
      <c r="C159" s="2" t="s">
        <v>19</v>
      </c>
      <c r="D159" s="2">
        <v>51</v>
      </c>
      <c r="E159" s="2" t="str">
        <f t="shared" si="10"/>
        <v>46-60</v>
      </c>
      <c r="F159" s="2" t="s">
        <v>105</v>
      </c>
      <c r="G159" s="2" t="s">
        <v>47</v>
      </c>
      <c r="H159" s="2">
        <v>34</v>
      </c>
      <c r="I159" s="2" t="str">
        <f t="shared" si="8"/>
        <v>25-48 months</v>
      </c>
      <c r="J159" s="3">
        <v>849</v>
      </c>
      <c r="K159" s="3">
        <v>28866</v>
      </c>
      <c r="L159" s="2" t="s">
        <v>31</v>
      </c>
      <c r="M159" s="4">
        <v>44899</v>
      </c>
      <c r="N159" s="2" t="s">
        <v>23</v>
      </c>
      <c r="O159" s="2">
        <f t="shared" si="11"/>
        <v>0</v>
      </c>
      <c r="P159" s="2" t="s">
        <v>23</v>
      </c>
      <c r="Q159" s="2" t="s">
        <v>23</v>
      </c>
      <c r="R159" s="2" t="s">
        <v>23</v>
      </c>
      <c r="S159" s="2" t="s">
        <v>23</v>
      </c>
      <c r="T159" s="2" t="s">
        <v>23</v>
      </c>
      <c r="U159" s="25">
        <f t="shared" si="9"/>
        <v>28866.000158999999</v>
      </c>
    </row>
    <row r="160" spans="1:21">
      <c r="A160" s="2" t="s">
        <v>351</v>
      </c>
      <c r="B160" s="2" t="s">
        <v>352</v>
      </c>
      <c r="C160" s="2" t="s">
        <v>35</v>
      </c>
      <c r="D160" s="2">
        <v>26</v>
      </c>
      <c r="E160" s="2" t="str">
        <f t="shared" si="10"/>
        <v>26-35</v>
      </c>
      <c r="F160" s="2" t="s">
        <v>57</v>
      </c>
      <c r="G160" s="2" t="s">
        <v>21</v>
      </c>
      <c r="H160" s="2">
        <v>23</v>
      </c>
      <c r="I160" s="2" t="str">
        <f t="shared" si="8"/>
        <v>13-24 months</v>
      </c>
      <c r="J160" s="3">
        <v>749</v>
      </c>
      <c r="K160" s="3">
        <v>17227</v>
      </c>
      <c r="L160" s="2" t="s">
        <v>31</v>
      </c>
      <c r="M160" s="4">
        <v>45216</v>
      </c>
      <c r="N160" s="2" t="s">
        <v>23</v>
      </c>
      <c r="O160" s="2">
        <f t="shared" si="11"/>
        <v>0</v>
      </c>
      <c r="P160" s="2" t="s">
        <v>23</v>
      </c>
      <c r="Q160" s="2" t="s">
        <v>23</v>
      </c>
      <c r="R160" s="2" t="s">
        <v>32</v>
      </c>
      <c r="S160" s="2" t="s">
        <v>23</v>
      </c>
      <c r="T160" s="2" t="s">
        <v>23</v>
      </c>
      <c r="U160" s="25">
        <f t="shared" si="9"/>
        <v>17227.00016</v>
      </c>
    </row>
    <row r="161" spans="1:21">
      <c r="A161" s="2" t="s">
        <v>353</v>
      </c>
      <c r="B161" s="2" t="s">
        <v>354</v>
      </c>
      <c r="C161" s="2" t="s">
        <v>19</v>
      </c>
      <c r="D161" s="2">
        <v>36</v>
      </c>
      <c r="E161" s="2" t="str">
        <f t="shared" si="10"/>
        <v>36-45</v>
      </c>
      <c r="F161" s="2" t="s">
        <v>46</v>
      </c>
      <c r="G161" s="2" t="s">
        <v>47</v>
      </c>
      <c r="H161" s="2">
        <v>23</v>
      </c>
      <c r="I161" s="2" t="str">
        <f t="shared" si="8"/>
        <v>13-24 months</v>
      </c>
      <c r="J161" s="3">
        <v>1049</v>
      </c>
      <c r="K161" s="3">
        <v>24127</v>
      </c>
      <c r="L161" s="2" t="s">
        <v>22</v>
      </c>
      <c r="M161" s="4">
        <v>45232</v>
      </c>
      <c r="N161" s="2" t="s">
        <v>23</v>
      </c>
      <c r="O161" s="2">
        <f t="shared" si="11"/>
        <v>0</v>
      </c>
      <c r="P161" s="2" t="s">
        <v>23</v>
      </c>
      <c r="Q161" s="2" t="s">
        <v>23</v>
      </c>
      <c r="R161" s="2" t="s">
        <v>23</v>
      </c>
      <c r="S161" s="2" t="s">
        <v>23</v>
      </c>
      <c r="T161" s="2" t="s">
        <v>23</v>
      </c>
      <c r="U161" s="25">
        <f t="shared" si="9"/>
        <v>24127.000161</v>
      </c>
    </row>
    <row r="162" spans="1:21">
      <c r="A162" s="2" t="s">
        <v>355</v>
      </c>
      <c r="B162" s="2" t="s">
        <v>356</v>
      </c>
      <c r="C162" s="2" t="s">
        <v>19</v>
      </c>
      <c r="D162" s="2">
        <v>19</v>
      </c>
      <c r="E162" s="2" t="str">
        <f t="shared" si="10"/>
        <v>18-25</v>
      </c>
      <c r="F162" s="2" t="s">
        <v>30</v>
      </c>
      <c r="G162" s="2" t="s">
        <v>27</v>
      </c>
      <c r="H162" s="2">
        <v>36</v>
      </c>
      <c r="I162" s="2" t="str">
        <f t="shared" si="8"/>
        <v>25-48 months</v>
      </c>
      <c r="J162" s="3">
        <v>1149</v>
      </c>
      <c r="K162" s="3">
        <v>41364</v>
      </c>
      <c r="L162" s="2" t="s">
        <v>22</v>
      </c>
      <c r="M162" s="4">
        <v>44836</v>
      </c>
      <c r="N162" s="2" t="s">
        <v>32</v>
      </c>
      <c r="O162" s="2">
        <f t="shared" si="11"/>
        <v>1</v>
      </c>
      <c r="P162" s="2" t="s">
        <v>23</v>
      </c>
      <c r="Q162" s="2" t="s">
        <v>23</v>
      </c>
      <c r="R162" s="2" t="s">
        <v>23</v>
      </c>
      <c r="S162" s="2" t="s">
        <v>23</v>
      </c>
      <c r="T162" s="2" t="s">
        <v>23</v>
      </c>
      <c r="U162" s="25">
        <f t="shared" si="9"/>
        <v>41364.000161999997</v>
      </c>
    </row>
    <row r="163" spans="1:21">
      <c r="A163" s="2" t="s">
        <v>357</v>
      </c>
      <c r="B163" s="2" t="s">
        <v>358</v>
      </c>
      <c r="C163" s="2" t="s">
        <v>37</v>
      </c>
      <c r="D163" s="2">
        <v>67</v>
      </c>
      <c r="E163" s="2" t="str">
        <f t="shared" si="10"/>
        <v>60+</v>
      </c>
      <c r="F163" s="2" t="s">
        <v>105</v>
      </c>
      <c r="G163" s="2" t="s">
        <v>47</v>
      </c>
      <c r="H163" s="2">
        <v>41</v>
      </c>
      <c r="I163" s="2" t="str">
        <f t="shared" si="8"/>
        <v>25-48 months</v>
      </c>
      <c r="J163" s="3">
        <v>849</v>
      </c>
      <c r="K163" s="3">
        <v>34809</v>
      </c>
      <c r="L163" s="2" t="s">
        <v>31</v>
      </c>
      <c r="M163" s="4">
        <v>44682</v>
      </c>
      <c r="N163" s="2" t="s">
        <v>23</v>
      </c>
      <c r="O163" s="2">
        <f t="shared" si="11"/>
        <v>0</v>
      </c>
      <c r="P163" s="2" t="s">
        <v>23</v>
      </c>
      <c r="Q163" s="2" t="s">
        <v>23</v>
      </c>
      <c r="R163" s="2" t="s">
        <v>23</v>
      </c>
      <c r="S163" s="2" t="s">
        <v>23</v>
      </c>
      <c r="T163" s="2" t="s">
        <v>23</v>
      </c>
      <c r="U163" s="25">
        <f t="shared" si="9"/>
        <v>34809.000162999997</v>
      </c>
    </row>
    <row r="164" spans="1:21">
      <c r="A164" s="2" t="s">
        <v>359</v>
      </c>
      <c r="B164" s="2" t="s">
        <v>360</v>
      </c>
      <c r="C164" s="2" t="s">
        <v>35</v>
      </c>
      <c r="D164" s="2">
        <v>58</v>
      </c>
      <c r="E164" s="2" t="str">
        <f t="shared" si="10"/>
        <v>46-60</v>
      </c>
      <c r="F164" s="2" t="s">
        <v>91</v>
      </c>
      <c r="G164" s="2" t="s">
        <v>21</v>
      </c>
      <c r="H164" s="2">
        <v>14</v>
      </c>
      <c r="I164" s="2" t="str">
        <f t="shared" si="8"/>
        <v>13-24 months</v>
      </c>
      <c r="J164" s="3">
        <v>349</v>
      </c>
      <c r="K164" s="3">
        <v>4886</v>
      </c>
      <c r="L164" s="2" t="s">
        <v>66</v>
      </c>
      <c r="M164" s="4">
        <v>45492</v>
      </c>
      <c r="N164" s="2" t="s">
        <v>23</v>
      </c>
      <c r="O164" s="2">
        <f t="shared" si="11"/>
        <v>0</v>
      </c>
      <c r="P164" s="2" t="s">
        <v>23</v>
      </c>
      <c r="Q164" s="2" t="s">
        <v>23</v>
      </c>
      <c r="R164" s="2" t="s">
        <v>23</v>
      </c>
      <c r="S164" s="2" t="s">
        <v>23</v>
      </c>
      <c r="T164" s="2" t="s">
        <v>23</v>
      </c>
      <c r="U164" s="25">
        <f t="shared" si="9"/>
        <v>4886.000164</v>
      </c>
    </row>
    <row r="165" spans="1:21">
      <c r="A165" s="2" t="s">
        <v>361</v>
      </c>
      <c r="B165" s="2" t="s">
        <v>362</v>
      </c>
      <c r="C165" s="2" t="s">
        <v>19</v>
      </c>
      <c r="D165" s="2">
        <v>28</v>
      </c>
      <c r="E165" s="2" t="str">
        <f t="shared" si="10"/>
        <v>26-35</v>
      </c>
      <c r="F165" s="2" t="s">
        <v>30</v>
      </c>
      <c r="G165" s="2" t="s">
        <v>47</v>
      </c>
      <c r="H165" s="2">
        <v>67</v>
      </c>
      <c r="I165" s="2" t="str">
        <f t="shared" si="8"/>
        <v>49+ months</v>
      </c>
      <c r="J165" s="3">
        <v>699</v>
      </c>
      <c r="K165" s="3">
        <v>46833</v>
      </c>
      <c r="L165" s="2" t="s">
        <v>31</v>
      </c>
      <c r="M165" s="4">
        <v>43898</v>
      </c>
      <c r="N165" s="2" t="s">
        <v>23</v>
      </c>
      <c r="O165" s="2">
        <f t="shared" si="11"/>
        <v>0</v>
      </c>
      <c r="P165" s="2" t="s">
        <v>23</v>
      </c>
      <c r="Q165" s="2" t="s">
        <v>23</v>
      </c>
      <c r="R165" s="2" t="s">
        <v>23</v>
      </c>
      <c r="S165" s="2" t="s">
        <v>23</v>
      </c>
      <c r="T165" s="2" t="s">
        <v>23</v>
      </c>
      <c r="U165" s="25">
        <f t="shared" si="9"/>
        <v>46833.000164999998</v>
      </c>
    </row>
    <row r="166" spans="1:21">
      <c r="A166" s="2" t="s">
        <v>363</v>
      </c>
      <c r="B166" s="2" t="s">
        <v>364</v>
      </c>
      <c r="C166" s="2" t="s">
        <v>35</v>
      </c>
      <c r="D166" s="2">
        <v>37</v>
      </c>
      <c r="E166" s="2" t="str">
        <f t="shared" si="10"/>
        <v>36-45</v>
      </c>
      <c r="F166" s="2" t="s">
        <v>91</v>
      </c>
      <c r="G166" s="2" t="s">
        <v>21</v>
      </c>
      <c r="H166" s="2">
        <v>6</v>
      </c>
      <c r="I166" s="2" t="str">
        <f t="shared" si="8"/>
        <v>0-6 months</v>
      </c>
      <c r="J166" s="3">
        <v>1149</v>
      </c>
      <c r="K166" s="3">
        <v>6894</v>
      </c>
      <c r="L166" s="2" t="s">
        <v>22</v>
      </c>
      <c r="M166" s="4">
        <v>45729</v>
      </c>
      <c r="N166" s="2" t="s">
        <v>32</v>
      </c>
      <c r="O166" s="2">
        <f t="shared" si="11"/>
        <v>1</v>
      </c>
      <c r="P166" s="2" t="s">
        <v>23</v>
      </c>
      <c r="Q166" s="2" t="s">
        <v>23</v>
      </c>
      <c r="R166" s="2" t="s">
        <v>23</v>
      </c>
      <c r="S166" s="2" t="s">
        <v>23</v>
      </c>
      <c r="T166" s="2" t="s">
        <v>23</v>
      </c>
      <c r="U166" s="25">
        <f t="shared" si="9"/>
        <v>6894.0001659999998</v>
      </c>
    </row>
    <row r="167" spans="1:21">
      <c r="A167" s="2" t="s">
        <v>365</v>
      </c>
      <c r="B167" s="2" t="s">
        <v>366</v>
      </c>
      <c r="C167" s="2" t="s">
        <v>35</v>
      </c>
      <c r="D167" s="2">
        <v>70</v>
      </c>
      <c r="E167" s="2" t="str">
        <f t="shared" si="10"/>
        <v>60+</v>
      </c>
      <c r="F167" s="2" t="s">
        <v>57</v>
      </c>
      <c r="G167" s="2" t="s">
        <v>21</v>
      </c>
      <c r="H167" s="2">
        <v>21</v>
      </c>
      <c r="I167" s="2" t="str">
        <f t="shared" si="8"/>
        <v>13-24 months</v>
      </c>
      <c r="J167" s="3">
        <v>899</v>
      </c>
      <c r="K167" s="3">
        <v>18879</v>
      </c>
      <c r="L167" s="2" t="s">
        <v>31</v>
      </c>
      <c r="M167" s="4">
        <v>45274</v>
      </c>
      <c r="N167" s="2" t="s">
        <v>23</v>
      </c>
      <c r="O167" s="2">
        <f t="shared" si="11"/>
        <v>0</v>
      </c>
      <c r="P167" s="2" t="s">
        <v>23</v>
      </c>
      <c r="Q167" s="2" t="s">
        <v>23</v>
      </c>
      <c r="R167" s="2" t="s">
        <v>23</v>
      </c>
      <c r="S167" s="2" t="s">
        <v>23</v>
      </c>
      <c r="T167" s="2" t="s">
        <v>23</v>
      </c>
      <c r="U167" s="25">
        <f t="shared" si="9"/>
        <v>18879.000166999998</v>
      </c>
    </row>
    <row r="168" spans="1:21">
      <c r="A168" s="2" t="s">
        <v>367</v>
      </c>
      <c r="B168" s="2" t="s">
        <v>368</v>
      </c>
      <c r="C168" s="2" t="s">
        <v>35</v>
      </c>
      <c r="D168" s="2">
        <v>19</v>
      </c>
      <c r="E168" s="2" t="str">
        <f t="shared" si="10"/>
        <v>18-25</v>
      </c>
      <c r="F168" s="2" t="s">
        <v>60</v>
      </c>
      <c r="G168" s="2" t="s">
        <v>47</v>
      </c>
      <c r="H168" s="2">
        <v>39</v>
      </c>
      <c r="I168" s="2" t="str">
        <f t="shared" si="8"/>
        <v>25-48 months</v>
      </c>
      <c r="J168" s="3">
        <v>999</v>
      </c>
      <c r="K168" s="3">
        <v>38961</v>
      </c>
      <c r="L168" s="2" t="s">
        <v>22</v>
      </c>
      <c r="M168" s="4">
        <v>44756</v>
      </c>
      <c r="N168" s="2" t="s">
        <v>23</v>
      </c>
      <c r="O168" s="2">
        <f t="shared" si="11"/>
        <v>0</v>
      </c>
      <c r="P168" s="2" t="s">
        <v>23</v>
      </c>
      <c r="Q168" s="2" t="s">
        <v>23</v>
      </c>
      <c r="R168" s="2" t="s">
        <v>23</v>
      </c>
      <c r="S168" s="2" t="s">
        <v>32</v>
      </c>
      <c r="T168" s="2" t="s">
        <v>23</v>
      </c>
      <c r="U168" s="25">
        <f t="shared" si="9"/>
        <v>38961.000167999999</v>
      </c>
    </row>
    <row r="169" spans="1:21">
      <c r="A169" s="2" t="s">
        <v>369</v>
      </c>
      <c r="B169" s="2" t="s">
        <v>45</v>
      </c>
      <c r="C169" s="2" t="s">
        <v>19</v>
      </c>
      <c r="D169" s="2">
        <v>44</v>
      </c>
      <c r="E169" s="2" t="str">
        <f t="shared" si="10"/>
        <v>36-45</v>
      </c>
      <c r="F169" s="2" t="s">
        <v>60</v>
      </c>
      <c r="G169" s="2" t="s">
        <v>21</v>
      </c>
      <c r="H169" s="2">
        <v>5</v>
      </c>
      <c r="I169" s="2" t="str">
        <f t="shared" si="8"/>
        <v>0-6 months</v>
      </c>
      <c r="J169" s="3">
        <v>699</v>
      </c>
      <c r="K169" s="3">
        <v>3495</v>
      </c>
      <c r="L169" s="2" t="s">
        <v>31</v>
      </c>
      <c r="M169" s="4">
        <v>45751</v>
      </c>
      <c r="N169" s="2" t="s">
        <v>23</v>
      </c>
      <c r="O169" s="2">
        <f t="shared" si="11"/>
        <v>0</v>
      </c>
      <c r="P169" s="2" t="s">
        <v>23</v>
      </c>
      <c r="Q169" s="2" t="s">
        <v>23</v>
      </c>
      <c r="R169" s="2" t="s">
        <v>23</v>
      </c>
      <c r="S169" s="2" t="s">
        <v>32</v>
      </c>
      <c r="T169" s="2" t="s">
        <v>23</v>
      </c>
      <c r="U169" s="25">
        <f t="shared" si="9"/>
        <v>3495.0001689999999</v>
      </c>
    </row>
    <row r="170" spans="1:21">
      <c r="A170" s="2" t="s">
        <v>370</v>
      </c>
      <c r="B170" s="2" t="s">
        <v>371</v>
      </c>
      <c r="C170" s="2" t="s">
        <v>35</v>
      </c>
      <c r="D170" s="2">
        <v>66</v>
      </c>
      <c r="E170" s="2" t="str">
        <f t="shared" si="10"/>
        <v>60+</v>
      </c>
      <c r="F170" s="2" t="s">
        <v>30</v>
      </c>
      <c r="G170" s="2" t="s">
        <v>21</v>
      </c>
      <c r="H170" s="2">
        <v>8</v>
      </c>
      <c r="I170" s="2" t="str">
        <f t="shared" si="8"/>
        <v>7-12 months</v>
      </c>
      <c r="J170" s="3">
        <v>749</v>
      </c>
      <c r="K170" s="3">
        <v>5992</v>
      </c>
      <c r="L170" s="2" t="s">
        <v>31</v>
      </c>
      <c r="M170" s="4">
        <v>45684</v>
      </c>
      <c r="N170" s="2" t="s">
        <v>23</v>
      </c>
      <c r="O170" s="2">
        <f t="shared" si="11"/>
        <v>0</v>
      </c>
      <c r="P170" s="2" t="s">
        <v>23</v>
      </c>
      <c r="Q170" s="2" t="s">
        <v>23</v>
      </c>
      <c r="R170" s="2" t="s">
        <v>23</v>
      </c>
      <c r="S170" s="2" t="s">
        <v>23</v>
      </c>
      <c r="T170" s="2" t="s">
        <v>23</v>
      </c>
      <c r="U170" s="25">
        <f t="shared" si="9"/>
        <v>5992.0001700000003</v>
      </c>
    </row>
    <row r="171" spans="1:21">
      <c r="A171" s="2" t="s">
        <v>372</v>
      </c>
      <c r="B171" s="2" t="s">
        <v>373</v>
      </c>
      <c r="C171" s="2" t="s">
        <v>19</v>
      </c>
      <c r="D171" s="2">
        <v>42</v>
      </c>
      <c r="E171" s="2" t="str">
        <f t="shared" si="10"/>
        <v>36-45</v>
      </c>
      <c r="F171" s="2" t="s">
        <v>57</v>
      </c>
      <c r="G171" s="2" t="s">
        <v>27</v>
      </c>
      <c r="H171" s="2">
        <v>11</v>
      </c>
      <c r="I171" s="2" t="str">
        <f t="shared" si="8"/>
        <v>7-12 months</v>
      </c>
      <c r="J171" s="3">
        <v>899</v>
      </c>
      <c r="K171" s="3">
        <v>9889</v>
      </c>
      <c r="L171" s="2" t="s">
        <v>31</v>
      </c>
      <c r="M171" s="4">
        <v>45592</v>
      </c>
      <c r="N171" s="2" t="s">
        <v>23</v>
      </c>
      <c r="O171" s="2">
        <f t="shared" si="11"/>
        <v>0</v>
      </c>
      <c r="P171" s="2" t="s">
        <v>23</v>
      </c>
      <c r="Q171" s="2" t="s">
        <v>23</v>
      </c>
      <c r="R171" s="2" t="s">
        <v>32</v>
      </c>
      <c r="S171" s="2" t="s">
        <v>23</v>
      </c>
      <c r="T171" s="2" t="s">
        <v>23</v>
      </c>
      <c r="U171" s="25">
        <f t="shared" si="9"/>
        <v>9889.0001709999997</v>
      </c>
    </row>
    <row r="172" spans="1:21">
      <c r="A172" s="2" t="s">
        <v>374</v>
      </c>
      <c r="B172" s="2" t="s">
        <v>375</v>
      </c>
      <c r="C172" s="2" t="s">
        <v>19</v>
      </c>
      <c r="D172" s="2">
        <v>47</v>
      </c>
      <c r="E172" s="2" t="str">
        <f t="shared" si="10"/>
        <v>46-60</v>
      </c>
      <c r="F172" s="2" t="s">
        <v>60</v>
      </c>
      <c r="G172" s="2" t="s">
        <v>47</v>
      </c>
      <c r="H172" s="2">
        <v>12</v>
      </c>
      <c r="I172" s="2" t="str">
        <f t="shared" si="8"/>
        <v>7-12 months</v>
      </c>
      <c r="J172" s="3">
        <v>1149</v>
      </c>
      <c r="K172" s="3">
        <v>13788</v>
      </c>
      <c r="L172" s="2" t="s">
        <v>22</v>
      </c>
      <c r="M172" s="4"/>
      <c r="N172" s="2" t="s">
        <v>23</v>
      </c>
      <c r="O172" s="2">
        <f t="shared" si="11"/>
        <v>0</v>
      </c>
      <c r="P172" s="2" t="s">
        <v>23</v>
      </c>
      <c r="Q172" s="2" t="s">
        <v>23</v>
      </c>
      <c r="R172" s="2" t="s">
        <v>23</v>
      </c>
      <c r="S172" s="2" t="s">
        <v>23</v>
      </c>
      <c r="T172" s="2" t="s">
        <v>54</v>
      </c>
      <c r="U172" s="25">
        <f t="shared" si="9"/>
        <v>13788.000172</v>
      </c>
    </row>
    <row r="173" spans="1:21">
      <c r="A173" s="2" t="s">
        <v>376</v>
      </c>
      <c r="B173" s="2" t="s">
        <v>377</v>
      </c>
      <c r="C173" s="2" t="s">
        <v>35</v>
      </c>
      <c r="D173" s="2">
        <v>36</v>
      </c>
      <c r="E173" s="2" t="str">
        <f t="shared" si="10"/>
        <v>36-45</v>
      </c>
      <c r="F173" s="2" t="s">
        <v>60</v>
      </c>
      <c r="G173" s="2" t="s">
        <v>27</v>
      </c>
      <c r="H173" s="2">
        <v>31</v>
      </c>
      <c r="I173" s="2" t="str">
        <f t="shared" si="8"/>
        <v>25-48 months</v>
      </c>
      <c r="J173" s="3">
        <v>349</v>
      </c>
      <c r="K173" s="3">
        <v>10819</v>
      </c>
      <c r="L173" s="2" t="s">
        <v>66</v>
      </c>
      <c r="M173" s="4">
        <v>44985</v>
      </c>
      <c r="N173" s="2" t="s">
        <v>23</v>
      </c>
      <c r="O173" s="2">
        <f t="shared" si="11"/>
        <v>0</v>
      </c>
      <c r="P173" s="2" t="s">
        <v>23</v>
      </c>
      <c r="Q173" s="2" t="s">
        <v>23</v>
      </c>
      <c r="R173" s="2" t="s">
        <v>23</v>
      </c>
      <c r="S173" s="2" t="s">
        <v>23</v>
      </c>
      <c r="T173" s="2" t="s">
        <v>23</v>
      </c>
      <c r="U173" s="25">
        <f t="shared" si="9"/>
        <v>10819.000173</v>
      </c>
    </row>
    <row r="174" spans="1:21">
      <c r="A174" s="2" t="s">
        <v>378</v>
      </c>
      <c r="B174" s="2" t="s">
        <v>379</v>
      </c>
      <c r="C174" s="2" t="s">
        <v>19</v>
      </c>
      <c r="D174" s="2">
        <v>41</v>
      </c>
      <c r="E174" s="2" t="str">
        <f t="shared" si="10"/>
        <v>36-45</v>
      </c>
      <c r="F174" s="2" t="s">
        <v>110</v>
      </c>
      <c r="G174" s="2" t="s">
        <v>21</v>
      </c>
      <c r="H174" s="2">
        <v>2</v>
      </c>
      <c r="I174" s="2" t="str">
        <f t="shared" si="8"/>
        <v>0-6 months</v>
      </c>
      <c r="J174" s="3">
        <v>799</v>
      </c>
      <c r="K174" s="3">
        <v>1598</v>
      </c>
      <c r="L174" s="2" t="s">
        <v>31</v>
      </c>
      <c r="M174" s="4">
        <v>45859</v>
      </c>
      <c r="N174" s="2" t="s">
        <v>32</v>
      </c>
      <c r="O174" s="2">
        <f t="shared" si="11"/>
        <v>1</v>
      </c>
      <c r="P174" s="2" t="s">
        <v>23</v>
      </c>
      <c r="Q174" s="2" t="s">
        <v>23</v>
      </c>
      <c r="R174" s="2" t="s">
        <v>23</v>
      </c>
      <c r="S174" s="2" t="s">
        <v>23</v>
      </c>
      <c r="T174" s="2" t="s">
        <v>23</v>
      </c>
      <c r="U174" s="25">
        <f t="shared" si="9"/>
        <v>1598.000174</v>
      </c>
    </row>
    <row r="175" spans="1:21">
      <c r="A175" s="2" t="s">
        <v>380</v>
      </c>
      <c r="B175" s="2" t="s">
        <v>318</v>
      </c>
      <c r="C175" s="2" t="s">
        <v>19</v>
      </c>
      <c r="D175" s="2">
        <v>46</v>
      </c>
      <c r="E175" s="2" t="str">
        <f t="shared" si="10"/>
        <v>46-60</v>
      </c>
      <c r="F175" s="2" t="s">
        <v>110</v>
      </c>
      <c r="G175" s="2" t="s">
        <v>21</v>
      </c>
      <c r="H175" s="2">
        <v>20</v>
      </c>
      <c r="I175" s="2" t="str">
        <f t="shared" si="8"/>
        <v>13-24 months</v>
      </c>
      <c r="J175" s="3">
        <v>349</v>
      </c>
      <c r="K175" s="3">
        <v>6980</v>
      </c>
      <c r="L175" s="2" t="s">
        <v>66</v>
      </c>
      <c r="M175" s="4">
        <v>45325</v>
      </c>
      <c r="N175" s="2" t="s">
        <v>32</v>
      </c>
      <c r="O175" s="2">
        <f t="shared" si="11"/>
        <v>1</v>
      </c>
      <c r="P175" s="2" t="s">
        <v>23</v>
      </c>
      <c r="Q175" s="2" t="s">
        <v>23</v>
      </c>
      <c r="R175" s="2" t="s">
        <v>23</v>
      </c>
      <c r="S175" s="2" t="s">
        <v>23</v>
      </c>
      <c r="T175" s="2" t="s">
        <v>23</v>
      </c>
      <c r="U175" s="25">
        <f t="shared" si="9"/>
        <v>6980.0001750000001</v>
      </c>
    </row>
    <row r="176" spans="1:21">
      <c r="A176" s="2" t="s">
        <v>381</v>
      </c>
      <c r="B176" s="2" t="s">
        <v>208</v>
      </c>
      <c r="C176" s="2" t="s">
        <v>35</v>
      </c>
      <c r="D176" s="2">
        <v>53</v>
      </c>
      <c r="E176" s="2" t="str">
        <f t="shared" si="10"/>
        <v>46-60</v>
      </c>
      <c r="F176" s="2" t="s">
        <v>30</v>
      </c>
      <c r="G176" s="2" t="s">
        <v>27</v>
      </c>
      <c r="H176" s="2">
        <v>33</v>
      </c>
      <c r="I176" s="2" t="str">
        <f t="shared" si="8"/>
        <v>25-48 months</v>
      </c>
      <c r="J176" s="3">
        <v>749</v>
      </c>
      <c r="K176" s="3">
        <v>24717</v>
      </c>
      <c r="L176" s="2" t="s">
        <v>31</v>
      </c>
      <c r="M176" s="4">
        <v>44934</v>
      </c>
      <c r="N176" s="2" t="s">
        <v>32</v>
      </c>
      <c r="O176" s="2">
        <f t="shared" si="11"/>
        <v>1</v>
      </c>
      <c r="P176" s="2" t="s">
        <v>23</v>
      </c>
      <c r="Q176" s="2" t="s">
        <v>23</v>
      </c>
      <c r="R176" s="2" t="s">
        <v>23</v>
      </c>
      <c r="S176" s="2" t="s">
        <v>32</v>
      </c>
      <c r="T176" s="2" t="s">
        <v>23</v>
      </c>
      <c r="U176" s="25">
        <f t="shared" si="9"/>
        <v>24717.000176000001</v>
      </c>
    </row>
    <row r="177" spans="1:21">
      <c r="A177" s="2" t="s">
        <v>382</v>
      </c>
      <c r="B177" s="2" t="s">
        <v>383</v>
      </c>
      <c r="C177" s="2" t="s">
        <v>35</v>
      </c>
      <c r="D177" s="2">
        <v>47</v>
      </c>
      <c r="E177" s="2" t="str">
        <f t="shared" si="10"/>
        <v>46-60</v>
      </c>
      <c r="F177" s="2" t="s">
        <v>63</v>
      </c>
      <c r="G177" s="2" t="s">
        <v>37</v>
      </c>
      <c r="H177" s="2">
        <v>21</v>
      </c>
      <c r="I177" s="2" t="str">
        <f t="shared" si="8"/>
        <v>13-24 months</v>
      </c>
      <c r="J177" s="3">
        <v>1049</v>
      </c>
      <c r="K177" s="3">
        <v>22029</v>
      </c>
      <c r="L177" s="2" t="s">
        <v>22</v>
      </c>
      <c r="M177" s="4">
        <v>45279</v>
      </c>
      <c r="N177" s="2" t="s">
        <v>23</v>
      </c>
      <c r="O177" s="2">
        <f t="shared" si="11"/>
        <v>0</v>
      </c>
      <c r="P177" s="2" t="s">
        <v>23</v>
      </c>
      <c r="Q177" s="2" t="s">
        <v>23</v>
      </c>
      <c r="R177" s="2" t="s">
        <v>32</v>
      </c>
      <c r="S177" s="2" t="s">
        <v>23</v>
      </c>
      <c r="T177" s="2" t="s">
        <v>23</v>
      </c>
      <c r="U177" s="25">
        <f t="shared" si="9"/>
        <v>22029.000177000002</v>
      </c>
    </row>
    <row r="178" spans="1:21">
      <c r="A178" s="2" t="s">
        <v>384</v>
      </c>
      <c r="B178" s="2" t="s">
        <v>385</v>
      </c>
      <c r="C178" s="2" t="s">
        <v>35</v>
      </c>
      <c r="D178" s="2">
        <v>50</v>
      </c>
      <c r="E178" s="2" t="str">
        <f t="shared" si="10"/>
        <v>46-60</v>
      </c>
      <c r="F178" s="2" t="s">
        <v>57</v>
      </c>
      <c r="G178" s="2" t="s">
        <v>21</v>
      </c>
      <c r="H178" s="2">
        <v>19</v>
      </c>
      <c r="I178" s="2" t="str">
        <f t="shared" si="8"/>
        <v>13-24 months</v>
      </c>
      <c r="J178" s="3">
        <v>1099</v>
      </c>
      <c r="K178" s="3">
        <v>20881</v>
      </c>
      <c r="L178" s="2" t="s">
        <v>22</v>
      </c>
      <c r="M178" s="4">
        <v>45337</v>
      </c>
      <c r="N178" s="2" t="s">
        <v>32</v>
      </c>
      <c r="O178" s="2">
        <f t="shared" si="11"/>
        <v>1</v>
      </c>
      <c r="P178" s="2" t="s">
        <v>23</v>
      </c>
      <c r="Q178" s="2" t="s">
        <v>23</v>
      </c>
      <c r="R178" s="2" t="s">
        <v>23</v>
      </c>
      <c r="S178" s="2" t="s">
        <v>23</v>
      </c>
      <c r="T178" s="2" t="s">
        <v>23</v>
      </c>
      <c r="U178" s="25">
        <f t="shared" si="9"/>
        <v>20881.000177999998</v>
      </c>
    </row>
    <row r="179" spans="1:21">
      <c r="A179" s="2" t="s">
        <v>386</v>
      </c>
      <c r="B179" s="2" t="s">
        <v>387</v>
      </c>
      <c r="C179" s="2" t="s">
        <v>19</v>
      </c>
      <c r="D179" s="2">
        <v>37</v>
      </c>
      <c r="E179" s="2" t="str">
        <f t="shared" si="10"/>
        <v>36-45</v>
      </c>
      <c r="F179" s="2" t="s">
        <v>110</v>
      </c>
      <c r="G179" s="2" t="s">
        <v>37</v>
      </c>
      <c r="H179" s="2">
        <v>4</v>
      </c>
      <c r="I179" s="2" t="str">
        <f t="shared" si="8"/>
        <v>0-6 months</v>
      </c>
      <c r="J179" s="3">
        <v>449</v>
      </c>
      <c r="K179" s="3">
        <v>1796</v>
      </c>
      <c r="L179" s="2" t="s">
        <v>66</v>
      </c>
      <c r="M179" s="4">
        <v>45783</v>
      </c>
      <c r="N179" s="2" t="s">
        <v>23</v>
      </c>
      <c r="O179" s="2">
        <f t="shared" si="11"/>
        <v>0</v>
      </c>
      <c r="P179" s="2" t="s">
        <v>23</v>
      </c>
      <c r="Q179" s="2" t="s">
        <v>23</v>
      </c>
      <c r="R179" s="2" t="s">
        <v>23</v>
      </c>
      <c r="S179" s="2" t="s">
        <v>23</v>
      </c>
      <c r="T179" s="2" t="s">
        <v>23</v>
      </c>
      <c r="U179" s="25">
        <f t="shared" si="9"/>
        <v>1796.0001789999999</v>
      </c>
    </row>
    <row r="180" spans="1:21">
      <c r="A180" s="2" t="s">
        <v>388</v>
      </c>
      <c r="B180" s="2" t="s">
        <v>389</v>
      </c>
      <c r="C180" s="2" t="s">
        <v>19</v>
      </c>
      <c r="D180" s="2">
        <v>48</v>
      </c>
      <c r="E180" s="2" t="str">
        <f t="shared" si="10"/>
        <v>46-60</v>
      </c>
      <c r="F180" s="2" t="s">
        <v>63</v>
      </c>
      <c r="G180" s="2" t="s">
        <v>21</v>
      </c>
      <c r="H180" s="2">
        <v>13</v>
      </c>
      <c r="I180" s="2" t="str">
        <f t="shared" si="8"/>
        <v>13-24 months</v>
      </c>
      <c r="J180" s="3">
        <v>1299</v>
      </c>
      <c r="K180" s="3">
        <v>16887</v>
      </c>
      <c r="L180" s="2" t="s">
        <v>22</v>
      </c>
      <c r="M180" s="4">
        <v>45516</v>
      </c>
      <c r="N180" s="2" t="s">
        <v>32</v>
      </c>
      <c r="O180" s="2">
        <f t="shared" si="11"/>
        <v>1</v>
      </c>
      <c r="P180" s="2" t="s">
        <v>23</v>
      </c>
      <c r="Q180" s="2" t="s">
        <v>23</v>
      </c>
      <c r="R180" s="2" t="s">
        <v>23</v>
      </c>
      <c r="S180" s="2" t="s">
        <v>23</v>
      </c>
      <c r="T180" s="2" t="s">
        <v>23</v>
      </c>
      <c r="U180" s="25">
        <f t="shared" si="9"/>
        <v>16887.000179999999</v>
      </c>
    </row>
    <row r="181" spans="1:21">
      <c r="A181" s="2" t="s">
        <v>390</v>
      </c>
      <c r="B181" s="2" t="s">
        <v>391</v>
      </c>
      <c r="C181" s="2" t="s">
        <v>19</v>
      </c>
      <c r="D181" s="2">
        <v>46</v>
      </c>
      <c r="E181" s="2" t="str">
        <f t="shared" si="10"/>
        <v>46-60</v>
      </c>
      <c r="F181" s="2" t="s">
        <v>30</v>
      </c>
      <c r="G181" s="2" t="s">
        <v>21</v>
      </c>
      <c r="H181" s="2">
        <v>7</v>
      </c>
      <c r="I181" s="2" t="str">
        <f t="shared" si="8"/>
        <v>7-12 months</v>
      </c>
      <c r="J181" s="3">
        <v>1149</v>
      </c>
      <c r="K181" s="3">
        <v>8043</v>
      </c>
      <c r="L181" s="2" t="s">
        <v>22</v>
      </c>
      <c r="M181" s="4">
        <v>45691</v>
      </c>
      <c r="N181" s="2" t="s">
        <v>23</v>
      </c>
      <c r="O181" s="2">
        <f t="shared" si="11"/>
        <v>0</v>
      </c>
      <c r="P181" s="2" t="s">
        <v>23</v>
      </c>
      <c r="Q181" s="2" t="s">
        <v>23</v>
      </c>
      <c r="R181" s="2" t="s">
        <v>23</v>
      </c>
      <c r="S181" s="2" t="s">
        <v>23</v>
      </c>
      <c r="T181" s="2" t="s">
        <v>23</v>
      </c>
      <c r="U181" s="25">
        <f t="shared" si="9"/>
        <v>8043.0001810000003</v>
      </c>
    </row>
    <row r="182" spans="1:21">
      <c r="A182" s="2" t="s">
        <v>392</v>
      </c>
      <c r="B182" s="2" t="s">
        <v>393</v>
      </c>
      <c r="C182" s="2" t="s">
        <v>19</v>
      </c>
      <c r="D182" s="2">
        <v>31</v>
      </c>
      <c r="E182" s="2" t="str">
        <f t="shared" si="10"/>
        <v>26-35</v>
      </c>
      <c r="F182" s="2" t="s">
        <v>26</v>
      </c>
      <c r="G182" s="2" t="s">
        <v>21</v>
      </c>
      <c r="H182" s="2">
        <v>17</v>
      </c>
      <c r="I182" s="2" t="str">
        <f t="shared" si="8"/>
        <v>13-24 months</v>
      </c>
      <c r="J182" s="3">
        <v>1049</v>
      </c>
      <c r="K182" s="3">
        <v>17833</v>
      </c>
      <c r="L182" s="2" t="s">
        <v>22</v>
      </c>
      <c r="M182" s="4">
        <v>45401</v>
      </c>
      <c r="N182" s="2" t="s">
        <v>32</v>
      </c>
      <c r="O182" s="2">
        <f t="shared" si="11"/>
        <v>1</v>
      </c>
      <c r="P182" s="2" t="s">
        <v>23</v>
      </c>
      <c r="Q182" s="2" t="s">
        <v>23</v>
      </c>
      <c r="R182" s="2" t="s">
        <v>23</v>
      </c>
      <c r="S182" s="2" t="s">
        <v>23</v>
      </c>
      <c r="T182" s="2" t="s">
        <v>23</v>
      </c>
      <c r="U182" s="25">
        <f t="shared" si="9"/>
        <v>17833.000182</v>
      </c>
    </row>
    <row r="183" spans="1:21">
      <c r="A183" s="2" t="s">
        <v>394</v>
      </c>
      <c r="B183" s="2" t="s">
        <v>395</v>
      </c>
      <c r="C183" s="2" t="s">
        <v>35</v>
      </c>
      <c r="D183" s="2">
        <v>61</v>
      </c>
      <c r="E183" s="2" t="str">
        <f t="shared" si="10"/>
        <v>60+</v>
      </c>
      <c r="F183" s="2" t="s">
        <v>110</v>
      </c>
      <c r="G183" s="2" t="s">
        <v>47</v>
      </c>
      <c r="H183" s="2">
        <v>34</v>
      </c>
      <c r="I183" s="2" t="str">
        <f t="shared" si="8"/>
        <v>25-48 months</v>
      </c>
      <c r="J183" s="3">
        <v>1099</v>
      </c>
      <c r="K183" s="3">
        <v>37366</v>
      </c>
      <c r="L183" s="2" t="s">
        <v>22</v>
      </c>
      <c r="M183" s="4">
        <v>44900</v>
      </c>
      <c r="N183" s="2" t="s">
        <v>23</v>
      </c>
      <c r="O183" s="2">
        <f t="shared" si="11"/>
        <v>0</v>
      </c>
      <c r="P183" s="2" t="s">
        <v>23</v>
      </c>
      <c r="Q183" s="2" t="s">
        <v>23</v>
      </c>
      <c r="R183" s="2" t="s">
        <v>23</v>
      </c>
      <c r="S183" s="2" t="s">
        <v>23</v>
      </c>
      <c r="T183" s="2" t="s">
        <v>23</v>
      </c>
      <c r="U183" s="25">
        <f t="shared" si="9"/>
        <v>37366.000182999996</v>
      </c>
    </row>
    <row r="184" spans="1:21">
      <c r="A184" s="2" t="s">
        <v>396</v>
      </c>
      <c r="B184" s="2" t="s">
        <v>397</v>
      </c>
      <c r="C184" s="2" t="s">
        <v>35</v>
      </c>
      <c r="D184" s="2">
        <v>67</v>
      </c>
      <c r="E184" s="2" t="str">
        <f t="shared" si="10"/>
        <v>60+</v>
      </c>
      <c r="F184" s="2" t="s">
        <v>46</v>
      </c>
      <c r="G184" s="2" t="s">
        <v>27</v>
      </c>
      <c r="H184" s="2">
        <v>32</v>
      </c>
      <c r="I184" s="2" t="str">
        <f t="shared" si="8"/>
        <v>25-48 months</v>
      </c>
      <c r="J184" s="3">
        <v>1099</v>
      </c>
      <c r="K184" s="3">
        <v>35168</v>
      </c>
      <c r="L184" s="2" t="s">
        <v>22</v>
      </c>
      <c r="M184" s="4">
        <v>44939</v>
      </c>
      <c r="N184" s="2" t="s">
        <v>23</v>
      </c>
      <c r="O184" s="2">
        <f t="shared" si="11"/>
        <v>0</v>
      </c>
      <c r="P184" s="2" t="s">
        <v>23</v>
      </c>
      <c r="Q184" s="2" t="s">
        <v>23</v>
      </c>
      <c r="R184" s="2" t="s">
        <v>23</v>
      </c>
      <c r="S184" s="2" t="s">
        <v>32</v>
      </c>
      <c r="T184" s="2" t="s">
        <v>23</v>
      </c>
      <c r="U184" s="25">
        <f t="shared" si="9"/>
        <v>35168.000183999997</v>
      </c>
    </row>
    <row r="185" spans="1:21">
      <c r="A185" s="2" t="s">
        <v>398</v>
      </c>
      <c r="B185" s="2" t="s">
        <v>399</v>
      </c>
      <c r="C185" s="2" t="s">
        <v>35</v>
      </c>
      <c r="D185" s="2">
        <v>54</v>
      </c>
      <c r="E185" s="2" t="str">
        <f t="shared" si="10"/>
        <v>46-60</v>
      </c>
      <c r="F185" s="2" t="s">
        <v>71</v>
      </c>
      <c r="G185" s="2" t="s">
        <v>21</v>
      </c>
      <c r="H185" s="2">
        <v>13</v>
      </c>
      <c r="I185" s="2" t="str">
        <f t="shared" si="8"/>
        <v>13-24 months</v>
      </c>
      <c r="J185" s="3">
        <v>399</v>
      </c>
      <c r="K185" s="3">
        <v>5187</v>
      </c>
      <c r="L185" s="2" t="s">
        <v>66</v>
      </c>
      <c r="M185" s="4">
        <v>45529</v>
      </c>
      <c r="N185" s="2" t="s">
        <v>32</v>
      </c>
      <c r="O185" s="2">
        <f t="shared" si="11"/>
        <v>1</v>
      </c>
      <c r="P185" s="2" t="s">
        <v>23</v>
      </c>
      <c r="Q185" s="2" t="s">
        <v>23</v>
      </c>
      <c r="R185" s="2" t="s">
        <v>23</v>
      </c>
      <c r="S185" s="2" t="s">
        <v>23</v>
      </c>
      <c r="T185" s="2" t="s">
        <v>23</v>
      </c>
      <c r="U185" s="25">
        <f t="shared" si="9"/>
        <v>5187.0001849999999</v>
      </c>
    </row>
    <row r="186" spans="1:21">
      <c r="A186" s="2" t="s">
        <v>400</v>
      </c>
      <c r="B186" s="2" t="s">
        <v>401</v>
      </c>
      <c r="C186" s="2" t="s">
        <v>19</v>
      </c>
      <c r="D186" s="2">
        <v>59</v>
      </c>
      <c r="E186" s="2" t="str">
        <f t="shared" si="10"/>
        <v>46-60</v>
      </c>
      <c r="F186" s="2" t="s">
        <v>46</v>
      </c>
      <c r="G186" s="2" t="s">
        <v>27</v>
      </c>
      <c r="H186" s="2">
        <v>35</v>
      </c>
      <c r="I186" s="2" t="str">
        <f t="shared" si="8"/>
        <v>25-48 months</v>
      </c>
      <c r="J186" s="3">
        <v>699</v>
      </c>
      <c r="K186" s="3">
        <v>24465</v>
      </c>
      <c r="L186" s="2" t="s">
        <v>31</v>
      </c>
      <c r="M186" s="4">
        <v>44859</v>
      </c>
      <c r="N186" s="2" t="s">
        <v>37</v>
      </c>
      <c r="O186" s="2" t="str">
        <f t="shared" si="11"/>
        <v/>
      </c>
      <c r="P186" s="2" t="s">
        <v>23</v>
      </c>
      <c r="Q186" s="2" t="s">
        <v>23</v>
      </c>
      <c r="R186" s="2" t="s">
        <v>23</v>
      </c>
      <c r="S186" s="2" t="s">
        <v>23</v>
      </c>
      <c r="T186" s="2" t="s">
        <v>38</v>
      </c>
      <c r="U186" s="25">
        <f t="shared" si="9"/>
        <v>24465.000186000001</v>
      </c>
    </row>
    <row r="187" spans="1:21">
      <c r="A187" s="2" t="s">
        <v>402</v>
      </c>
      <c r="B187" s="2" t="s">
        <v>49</v>
      </c>
      <c r="C187" s="2" t="s">
        <v>19</v>
      </c>
      <c r="D187" s="2">
        <v>60</v>
      </c>
      <c r="E187" s="2" t="str">
        <f t="shared" si="10"/>
        <v>46-60</v>
      </c>
      <c r="F187" s="2" t="s">
        <v>26</v>
      </c>
      <c r="G187" s="2" t="s">
        <v>21</v>
      </c>
      <c r="H187" s="2">
        <v>4</v>
      </c>
      <c r="I187" s="2" t="str">
        <f t="shared" si="8"/>
        <v>0-6 months</v>
      </c>
      <c r="J187" s="3">
        <v>749</v>
      </c>
      <c r="K187" s="3">
        <v>2996</v>
      </c>
      <c r="L187" s="2" t="s">
        <v>31</v>
      </c>
      <c r="M187" s="4">
        <v>45784</v>
      </c>
      <c r="N187" s="2" t="s">
        <v>37</v>
      </c>
      <c r="O187" s="2" t="str">
        <f t="shared" si="11"/>
        <v/>
      </c>
      <c r="P187" s="2" t="s">
        <v>23</v>
      </c>
      <c r="Q187" s="2" t="s">
        <v>23</v>
      </c>
      <c r="R187" s="2" t="s">
        <v>23</v>
      </c>
      <c r="S187" s="2" t="s">
        <v>23</v>
      </c>
      <c r="T187" s="2" t="s">
        <v>38</v>
      </c>
      <c r="U187" s="25">
        <f t="shared" si="9"/>
        <v>2996.0001870000001</v>
      </c>
    </row>
    <row r="188" spans="1:21">
      <c r="A188" s="2" t="s">
        <v>403</v>
      </c>
      <c r="B188" s="2" t="s">
        <v>404</v>
      </c>
      <c r="C188" s="2" t="s">
        <v>19</v>
      </c>
      <c r="D188" s="2">
        <v>28</v>
      </c>
      <c r="E188" s="2" t="str">
        <f t="shared" si="10"/>
        <v>26-35</v>
      </c>
      <c r="F188" s="2" t="s">
        <v>105</v>
      </c>
      <c r="G188" s="2" t="s">
        <v>27</v>
      </c>
      <c r="H188" s="2">
        <v>31</v>
      </c>
      <c r="I188" s="2" t="str">
        <f t="shared" si="8"/>
        <v>25-48 months</v>
      </c>
      <c r="J188" s="3">
        <v>399</v>
      </c>
      <c r="K188" s="3">
        <v>12369</v>
      </c>
      <c r="L188" s="2" t="s">
        <v>66</v>
      </c>
      <c r="M188" s="4">
        <v>44989</v>
      </c>
      <c r="N188" s="2" t="s">
        <v>23</v>
      </c>
      <c r="O188" s="2">
        <f t="shared" si="11"/>
        <v>0</v>
      </c>
      <c r="P188" s="2" t="s">
        <v>23</v>
      </c>
      <c r="Q188" s="2" t="s">
        <v>23</v>
      </c>
      <c r="R188" s="2" t="s">
        <v>23</v>
      </c>
      <c r="S188" s="2" t="s">
        <v>23</v>
      </c>
      <c r="T188" s="2" t="s">
        <v>23</v>
      </c>
      <c r="U188" s="25">
        <f t="shared" si="9"/>
        <v>12369.000188</v>
      </c>
    </row>
    <row r="189" spans="1:21">
      <c r="A189" s="2" t="s">
        <v>405</v>
      </c>
      <c r="B189" s="2" t="s">
        <v>302</v>
      </c>
      <c r="C189" s="2" t="s">
        <v>35</v>
      </c>
      <c r="D189" s="2">
        <v>21</v>
      </c>
      <c r="E189" s="2" t="str">
        <f t="shared" si="10"/>
        <v>18-25</v>
      </c>
      <c r="F189" s="2" t="s">
        <v>110</v>
      </c>
      <c r="G189" s="2" t="s">
        <v>21</v>
      </c>
      <c r="H189" s="2">
        <v>18</v>
      </c>
      <c r="I189" s="2" t="str">
        <f t="shared" si="8"/>
        <v>13-24 months</v>
      </c>
      <c r="J189" s="3">
        <v>1199</v>
      </c>
      <c r="K189" s="3">
        <v>21582</v>
      </c>
      <c r="L189" s="2" t="s">
        <v>22</v>
      </c>
      <c r="M189" s="4">
        <v>45383</v>
      </c>
      <c r="N189" s="2" t="s">
        <v>23</v>
      </c>
      <c r="O189" s="2">
        <f t="shared" si="11"/>
        <v>0</v>
      </c>
      <c r="P189" s="2" t="s">
        <v>23</v>
      </c>
      <c r="Q189" s="2" t="s">
        <v>23</v>
      </c>
      <c r="R189" s="2" t="s">
        <v>23</v>
      </c>
      <c r="S189" s="2" t="s">
        <v>23</v>
      </c>
      <c r="T189" s="2" t="s">
        <v>23</v>
      </c>
      <c r="U189" s="25">
        <f t="shared" si="9"/>
        <v>21582.000188999998</v>
      </c>
    </row>
    <row r="190" spans="1:21">
      <c r="A190" s="2" t="s">
        <v>406</v>
      </c>
      <c r="B190" s="2" t="s">
        <v>407</v>
      </c>
      <c r="C190" s="2" t="s">
        <v>35</v>
      </c>
      <c r="D190" s="2">
        <v>71</v>
      </c>
      <c r="E190" s="2" t="str">
        <f t="shared" si="10"/>
        <v>60+</v>
      </c>
      <c r="F190" s="2" t="s">
        <v>105</v>
      </c>
      <c r="G190" s="2" t="s">
        <v>27</v>
      </c>
      <c r="H190" s="2">
        <v>19</v>
      </c>
      <c r="I190" s="2" t="str">
        <f t="shared" si="8"/>
        <v>13-24 months</v>
      </c>
      <c r="J190" s="3">
        <v>599</v>
      </c>
      <c r="K190" s="3">
        <v>11381</v>
      </c>
      <c r="L190" s="2" t="s">
        <v>31</v>
      </c>
      <c r="M190" s="4">
        <v>45355</v>
      </c>
      <c r="N190" s="2" t="s">
        <v>23</v>
      </c>
      <c r="O190" s="2">
        <f t="shared" si="11"/>
        <v>0</v>
      </c>
      <c r="P190" s="2" t="s">
        <v>23</v>
      </c>
      <c r="Q190" s="2" t="s">
        <v>23</v>
      </c>
      <c r="R190" s="2" t="s">
        <v>23</v>
      </c>
      <c r="S190" s="2" t="s">
        <v>23</v>
      </c>
      <c r="T190" s="2" t="s">
        <v>23</v>
      </c>
      <c r="U190" s="25">
        <f t="shared" si="9"/>
        <v>11381.000190000001</v>
      </c>
    </row>
    <row r="191" spans="1:21">
      <c r="A191" s="2" t="s">
        <v>408</v>
      </c>
      <c r="B191" s="2" t="s">
        <v>342</v>
      </c>
      <c r="C191" s="2" t="s">
        <v>35</v>
      </c>
      <c r="D191" s="2">
        <v>59</v>
      </c>
      <c r="E191" s="2" t="str">
        <f t="shared" si="10"/>
        <v>46-60</v>
      </c>
      <c r="F191" s="2" t="s">
        <v>26</v>
      </c>
      <c r="G191" s="2" t="s">
        <v>21</v>
      </c>
      <c r="H191" s="2">
        <v>5</v>
      </c>
      <c r="I191" s="2" t="str">
        <f t="shared" si="8"/>
        <v>0-6 months</v>
      </c>
      <c r="J191" s="3">
        <v>499</v>
      </c>
      <c r="K191" s="3">
        <v>2495</v>
      </c>
      <c r="L191" s="2" t="s">
        <v>66</v>
      </c>
      <c r="M191" s="4">
        <v>45753</v>
      </c>
      <c r="N191" s="2" t="s">
        <v>32</v>
      </c>
      <c r="O191" s="2">
        <f t="shared" si="11"/>
        <v>1</v>
      </c>
      <c r="P191" s="2" t="s">
        <v>23</v>
      </c>
      <c r="Q191" s="2" t="s">
        <v>23</v>
      </c>
      <c r="R191" s="2" t="s">
        <v>23</v>
      </c>
      <c r="S191" s="2" t="s">
        <v>23</v>
      </c>
      <c r="T191" s="2" t="s">
        <v>23</v>
      </c>
      <c r="U191" s="25">
        <f t="shared" si="9"/>
        <v>2495.0001910000001</v>
      </c>
    </row>
    <row r="192" spans="1:21">
      <c r="A192" s="2" t="s">
        <v>409</v>
      </c>
      <c r="B192" s="2" t="s">
        <v>283</v>
      </c>
      <c r="C192" s="2" t="s">
        <v>19</v>
      </c>
      <c r="D192" s="2">
        <v>64</v>
      </c>
      <c r="E192" s="2" t="str">
        <f t="shared" si="10"/>
        <v>60+</v>
      </c>
      <c r="F192" s="2" t="s">
        <v>60</v>
      </c>
      <c r="G192" s="2" t="s">
        <v>27</v>
      </c>
      <c r="H192" s="2">
        <v>1</v>
      </c>
      <c r="I192" s="2" t="str">
        <f t="shared" si="8"/>
        <v>0-6 months</v>
      </c>
      <c r="J192" s="3">
        <v>1049</v>
      </c>
      <c r="K192" s="3">
        <v>1049</v>
      </c>
      <c r="L192" s="2" t="s">
        <v>22</v>
      </c>
      <c r="M192" s="4">
        <v>45874</v>
      </c>
      <c r="N192" s="2" t="s">
        <v>23</v>
      </c>
      <c r="O192" s="2">
        <f t="shared" si="11"/>
        <v>0</v>
      </c>
      <c r="P192" s="2" t="s">
        <v>23</v>
      </c>
      <c r="Q192" s="2" t="s">
        <v>23</v>
      </c>
      <c r="R192" s="2" t="s">
        <v>23</v>
      </c>
      <c r="S192" s="2" t="s">
        <v>23</v>
      </c>
      <c r="T192" s="2" t="s">
        <v>23</v>
      </c>
      <c r="U192" s="25">
        <f t="shared" si="9"/>
        <v>1049.000192</v>
      </c>
    </row>
    <row r="193" spans="1:21">
      <c r="A193" s="2" t="s">
        <v>410</v>
      </c>
      <c r="B193" s="2" t="s">
        <v>273</v>
      </c>
      <c r="C193" s="2" t="s">
        <v>19</v>
      </c>
      <c r="D193" s="2">
        <v>72</v>
      </c>
      <c r="E193" s="2" t="str">
        <f t="shared" si="10"/>
        <v>60+</v>
      </c>
      <c r="F193" s="2" t="s">
        <v>71</v>
      </c>
      <c r="G193" s="2" t="s">
        <v>47</v>
      </c>
      <c r="H193" s="2">
        <v>66</v>
      </c>
      <c r="I193" s="2" t="str">
        <f t="shared" si="8"/>
        <v>49+ months</v>
      </c>
      <c r="J193" s="3">
        <v>499</v>
      </c>
      <c r="K193" s="3">
        <v>32934</v>
      </c>
      <c r="L193" s="2" t="s">
        <v>66</v>
      </c>
      <c r="M193" s="4">
        <v>43943</v>
      </c>
      <c r="N193" s="2" t="s">
        <v>23</v>
      </c>
      <c r="O193" s="2">
        <f t="shared" si="11"/>
        <v>0</v>
      </c>
      <c r="P193" s="2" t="s">
        <v>23</v>
      </c>
      <c r="Q193" s="2" t="s">
        <v>23</v>
      </c>
      <c r="R193" s="2" t="s">
        <v>23</v>
      </c>
      <c r="S193" s="2" t="s">
        <v>23</v>
      </c>
      <c r="T193" s="2" t="s">
        <v>23</v>
      </c>
      <c r="U193" s="25">
        <f t="shared" si="9"/>
        <v>32934.000193</v>
      </c>
    </row>
    <row r="194" spans="1:21">
      <c r="A194" s="2" t="s">
        <v>411</v>
      </c>
      <c r="B194" s="2" t="s">
        <v>412</v>
      </c>
      <c r="C194" s="2" t="s">
        <v>19</v>
      </c>
      <c r="D194" s="2">
        <v>33</v>
      </c>
      <c r="E194" s="2" t="str">
        <f t="shared" si="10"/>
        <v>26-35</v>
      </c>
      <c r="F194" s="2" t="s">
        <v>36</v>
      </c>
      <c r="G194" s="2" t="s">
        <v>21</v>
      </c>
      <c r="H194" s="2">
        <v>9</v>
      </c>
      <c r="I194" s="2" t="str">
        <f t="shared" ref="I194:I257" si="12">IF(H194="","Unknown",IF(H194&lt;=6,"0-6 months",IF(H194&lt;=12,"7-12 months",IF(H194&lt;=24,"13-24 months",IF(H194&lt;=48,"25-48 months","49+ months")))))</f>
        <v>7-12 months</v>
      </c>
      <c r="J194" s="3">
        <v>699</v>
      </c>
      <c r="K194" s="3">
        <v>6291</v>
      </c>
      <c r="L194" s="2" t="s">
        <v>31</v>
      </c>
      <c r="M194" s="4">
        <v>45658</v>
      </c>
      <c r="N194" s="2" t="s">
        <v>23</v>
      </c>
      <c r="O194" s="2">
        <f t="shared" si="11"/>
        <v>0</v>
      </c>
      <c r="P194" s="2" t="s">
        <v>23</v>
      </c>
      <c r="Q194" s="2" t="s">
        <v>23</v>
      </c>
      <c r="R194" s="2" t="s">
        <v>23</v>
      </c>
      <c r="S194" s="2" t="s">
        <v>23</v>
      </c>
      <c r="T194" s="2" t="s">
        <v>23</v>
      </c>
      <c r="U194" s="25">
        <f t="shared" ref="U194:U257" si="13">IF(K194="","",K194+ROW()/1000000)</f>
        <v>6291.0001940000002</v>
      </c>
    </row>
    <row r="195" spans="1:21">
      <c r="A195" s="2" t="s">
        <v>413</v>
      </c>
      <c r="B195" s="2" t="s">
        <v>414</v>
      </c>
      <c r="C195" s="2" t="s">
        <v>35</v>
      </c>
      <c r="D195" s="2">
        <v>33</v>
      </c>
      <c r="E195" s="2" t="str">
        <f t="shared" ref="E195:E258" si="14">IF(D195&lt;=25,"18-25",IF(D195&lt;=35,"26-35",IF(D195&lt;=45,"36-45",IF(D195&lt;=60,"46-60","60+"))))</f>
        <v>26-35</v>
      </c>
      <c r="F195" s="2" t="s">
        <v>36</v>
      </c>
      <c r="G195" s="2" t="s">
        <v>27</v>
      </c>
      <c r="H195" s="2">
        <v>11</v>
      </c>
      <c r="I195" s="2" t="str">
        <f t="shared" si="12"/>
        <v>7-12 months</v>
      </c>
      <c r="J195" s="3">
        <v>1199</v>
      </c>
      <c r="K195" s="3">
        <v>13189</v>
      </c>
      <c r="L195" s="2" t="s">
        <v>22</v>
      </c>
      <c r="M195" s="4">
        <v>45570</v>
      </c>
      <c r="N195" s="2" t="s">
        <v>23</v>
      </c>
      <c r="O195" s="2">
        <f t="shared" ref="O195:O258" si="15">IF(N195="Yes",1,IF(N195="No",0,""))</f>
        <v>0</v>
      </c>
      <c r="P195" s="2" t="s">
        <v>23</v>
      </c>
      <c r="Q195" s="2" t="s">
        <v>23</v>
      </c>
      <c r="R195" s="2" t="s">
        <v>23</v>
      </c>
      <c r="S195" s="2" t="s">
        <v>23</v>
      </c>
      <c r="T195" s="2" t="s">
        <v>23</v>
      </c>
      <c r="U195" s="25">
        <f t="shared" si="13"/>
        <v>13189.000195000001</v>
      </c>
    </row>
    <row r="196" spans="1:21">
      <c r="A196" s="2" t="s">
        <v>415</v>
      </c>
      <c r="B196" s="2" t="s">
        <v>416</v>
      </c>
      <c r="C196" s="2" t="s">
        <v>35</v>
      </c>
      <c r="D196" s="2">
        <v>36</v>
      </c>
      <c r="E196" s="2" t="str">
        <f t="shared" si="14"/>
        <v>36-45</v>
      </c>
      <c r="F196" s="2" t="s">
        <v>30</v>
      </c>
      <c r="G196" s="2" t="s">
        <v>27</v>
      </c>
      <c r="H196" s="2">
        <v>9</v>
      </c>
      <c r="I196" s="2" t="str">
        <f t="shared" si="12"/>
        <v>7-12 months</v>
      </c>
      <c r="J196" s="3">
        <v>749</v>
      </c>
      <c r="K196" s="3">
        <v>6741</v>
      </c>
      <c r="L196" s="2" t="s">
        <v>31</v>
      </c>
      <c r="M196" s="4">
        <v>45639</v>
      </c>
      <c r="N196" s="2" t="s">
        <v>23</v>
      </c>
      <c r="O196" s="2">
        <f t="shared" si="15"/>
        <v>0</v>
      </c>
      <c r="P196" s="2" t="s">
        <v>23</v>
      </c>
      <c r="Q196" s="2" t="s">
        <v>23</v>
      </c>
      <c r="R196" s="2" t="s">
        <v>23</v>
      </c>
      <c r="S196" s="2" t="s">
        <v>23</v>
      </c>
      <c r="T196" s="2" t="s">
        <v>23</v>
      </c>
      <c r="U196" s="25">
        <f t="shared" si="13"/>
        <v>6741.000196</v>
      </c>
    </row>
    <row r="197" spans="1:21">
      <c r="A197" s="2" t="s">
        <v>417</v>
      </c>
      <c r="B197" s="2" t="s">
        <v>418</v>
      </c>
      <c r="C197" s="2" t="s">
        <v>35</v>
      </c>
      <c r="D197" s="2">
        <v>53</v>
      </c>
      <c r="E197" s="2" t="str">
        <f t="shared" si="14"/>
        <v>46-60</v>
      </c>
      <c r="F197" s="2" t="s">
        <v>60</v>
      </c>
      <c r="G197" s="2" t="s">
        <v>27</v>
      </c>
      <c r="H197" s="2">
        <v>14</v>
      </c>
      <c r="I197" s="2" t="str">
        <f t="shared" si="12"/>
        <v>13-24 months</v>
      </c>
      <c r="J197" s="3">
        <v>549</v>
      </c>
      <c r="K197" s="3">
        <v>7686</v>
      </c>
      <c r="L197" s="2" t="s">
        <v>66</v>
      </c>
      <c r="M197" s="4">
        <v>45506</v>
      </c>
      <c r="N197" s="2" t="s">
        <v>23</v>
      </c>
      <c r="O197" s="2">
        <f t="shared" si="15"/>
        <v>0</v>
      </c>
      <c r="P197" s="2" t="s">
        <v>23</v>
      </c>
      <c r="Q197" s="2" t="s">
        <v>23</v>
      </c>
      <c r="R197" s="2" t="s">
        <v>23</v>
      </c>
      <c r="S197" s="2" t="s">
        <v>23</v>
      </c>
      <c r="T197" s="2" t="s">
        <v>23</v>
      </c>
      <c r="U197" s="25">
        <f t="shared" si="13"/>
        <v>7686.0001970000003</v>
      </c>
    </row>
    <row r="198" spans="1:21">
      <c r="A198" s="2" t="s">
        <v>419</v>
      </c>
      <c r="B198" s="2" t="s">
        <v>420</v>
      </c>
      <c r="C198" s="2" t="s">
        <v>35</v>
      </c>
      <c r="D198" s="2">
        <v>41</v>
      </c>
      <c r="E198" s="2" t="str">
        <f t="shared" si="14"/>
        <v>36-45</v>
      </c>
      <c r="F198" s="2" t="s">
        <v>41</v>
      </c>
      <c r="G198" s="2" t="s">
        <v>47</v>
      </c>
      <c r="H198" s="2">
        <v>71</v>
      </c>
      <c r="I198" s="2" t="str">
        <f t="shared" si="12"/>
        <v>49+ months</v>
      </c>
      <c r="J198" s="3">
        <v>799</v>
      </c>
      <c r="K198" s="3">
        <v>56729</v>
      </c>
      <c r="L198" s="2" t="s">
        <v>31</v>
      </c>
      <c r="M198" s="4">
        <v>43793</v>
      </c>
      <c r="N198" s="2" t="s">
        <v>23</v>
      </c>
      <c r="O198" s="2">
        <f t="shared" si="15"/>
        <v>0</v>
      </c>
      <c r="P198" s="2" t="s">
        <v>23</v>
      </c>
      <c r="Q198" s="2" t="s">
        <v>23</v>
      </c>
      <c r="R198" s="2" t="s">
        <v>23</v>
      </c>
      <c r="S198" s="2" t="s">
        <v>32</v>
      </c>
      <c r="T198" s="2" t="s">
        <v>23</v>
      </c>
      <c r="U198" s="25">
        <f t="shared" si="13"/>
        <v>56729.000198000002</v>
      </c>
    </row>
    <row r="199" spans="1:21">
      <c r="A199" s="2" t="s">
        <v>421</v>
      </c>
      <c r="B199" s="2" t="s">
        <v>422</v>
      </c>
      <c r="C199" s="2" t="s">
        <v>35</v>
      </c>
      <c r="D199" s="2">
        <v>25</v>
      </c>
      <c r="E199" s="2" t="str">
        <f t="shared" si="14"/>
        <v>18-25</v>
      </c>
      <c r="F199" s="2" t="s">
        <v>71</v>
      </c>
      <c r="G199" s="2" t="s">
        <v>21</v>
      </c>
      <c r="H199" s="2">
        <v>3</v>
      </c>
      <c r="I199" s="2" t="str">
        <f t="shared" si="12"/>
        <v>0-6 months</v>
      </c>
      <c r="J199" s="3">
        <v>1099</v>
      </c>
      <c r="K199" s="3">
        <v>3297</v>
      </c>
      <c r="L199" s="2" t="s">
        <v>22</v>
      </c>
      <c r="M199" s="4">
        <v>45822</v>
      </c>
      <c r="N199" s="2" t="s">
        <v>32</v>
      </c>
      <c r="O199" s="2">
        <f t="shared" si="15"/>
        <v>1</v>
      </c>
      <c r="P199" s="2" t="s">
        <v>23</v>
      </c>
      <c r="Q199" s="2" t="s">
        <v>23</v>
      </c>
      <c r="R199" s="2" t="s">
        <v>23</v>
      </c>
      <c r="S199" s="2" t="s">
        <v>23</v>
      </c>
      <c r="T199" s="2" t="s">
        <v>23</v>
      </c>
      <c r="U199" s="25">
        <f t="shared" si="13"/>
        <v>3297.0001990000001</v>
      </c>
    </row>
    <row r="200" spans="1:21">
      <c r="A200" s="2" t="s">
        <v>423</v>
      </c>
      <c r="B200" s="2" t="s">
        <v>424</v>
      </c>
      <c r="C200" s="2" t="s">
        <v>35</v>
      </c>
      <c r="D200" s="2">
        <v>21</v>
      </c>
      <c r="E200" s="2" t="str">
        <f t="shared" si="14"/>
        <v>18-25</v>
      </c>
      <c r="F200" s="2" t="s">
        <v>37</v>
      </c>
      <c r="G200" s="2" t="s">
        <v>21</v>
      </c>
      <c r="H200" s="2">
        <v>24</v>
      </c>
      <c r="I200" s="2" t="str">
        <f t="shared" si="12"/>
        <v>13-24 months</v>
      </c>
      <c r="J200" s="3">
        <v>449</v>
      </c>
      <c r="K200" s="3">
        <v>10776</v>
      </c>
      <c r="L200" s="2" t="s">
        <v>66</v>
      </c>
      <c r="M200" s="4">
        <v>45185</v>
      </c>
      <c r="N200" s="2" t="s">
        <v>23</v>
      </c>
      <c r="O200" s="2">
        <f t="shared" si="15"/>
        <v>0</v>
      </c>
      <c r="P200" s="2" t="s">
        <v>23</v>
      </c>
      <c r="Q200" s="2" t="s">
        <v>23</v>
      </c>
      <c r="R200" s="2" t="s">
        <v>23</v>
      </c>
      <c r="S200" s="2" t="s">
        <v>23</v>
      </c>
      <c r="T200" s="2" t="s">
        <v>23</v>
      </c>
      <c r="U200" s="25">
        <f t="shared" si="13"/>
        <v>10776.0002</v>
      </c>
    </row>
    <row r="201" spans="1:21">
      <c r="A201" s="2" t="s">
        <v>425</v>
      </c>
      <c r="B201" s="2" t="s">
        <v>426</v>
      </c>
      <c r="C201" s="2" t="s">
        <v>19</v>
      </c>
      <c r="D201" s="2">
        <v>20</v>
      </c>
      <c r="E201" s="2" t="str">
        <f t="shared" si="14"/>
        <v>18-25</v>
      </c>
      <c r="F201" s="2" t="s">
        <v>105</v>
      </c>
      <c r="G201" s="2" t="s">
        <v>21</v>
      </c>
      <c r="H201" s="2">
        <v>2</v>
      </c>
      <c r="I201" s="2" t="str">
        <f t="shared" si="12"/>
        <v>0-6 months</v>
      </c>
      <c r="J201" s="3">
        <v>599</v>
      </c>
      <c r="K201" s="3">
        <v>1198</v>
      </c>
      <c r="L201" s="2" t="s">
        <v>31</v>
      </c>
      <c r="M201" s="4">
        <v>45863</v>
      </c>
      <c r="N201" s="2" t="s">
        <v>32</v>
      </c>
      <c r="O201" s="2">
        <f t="shared" si="15"/>
        <v>1</v>
      </c>
      <c r="P201" s="2" t="s">
        <v>23</v>
      </c>
      <c r="Q201" s="2" t="s">
        <v>23</v>
      </c>
      <c r="R201" s="2" t="s">
        <v>23</v>
      </c>
      <c r="S201" s="2" t="s">
        <v>23</v>
      </c>
      <c r="T201" s="2" t="s">
        <v>23</v>
      </c>
      <c r="U201" s="25">
        <f t="shared" si="13"/>
        <v>1198.0002010000001</v>
      </c>
    </row>
    <row r="202" spans="1:21">
      <c r="A202" s="2" t="s">
        <v>427</v>
      </c>
      <c r="B202" s="2" t="s">
        <v>264</v>
      </c>
      <c r="C202" s="2" t="s">
        <v>19</v>
      </c>
      <c r="D202" s="2">
        <v>75</v>
      </c>
      <c r="E202" s="2" t="str">
        <f t="shared" si="14"/>
        <v>60+</v>
      </c>
      <c r="F202" s="2" t="s">
        <v>105</v>
      </c>
      <c r="G202" s="2" t="s">
        <v>21</v>
      </c>
      <c r="H202" s="2">
        <v>13</v>
      </c>
      <c r="I202" s="2" t="str">
        <f t="shared" si="12"/>
        <v>13-24 months</v>
      </c>
      <c r="J202" s="3">
        <v>549</v>
      </c>
      <c r="K202" s="3">
        <v>7137</v>
      </c>
      <c r="L202" s="2" t="s">
        <v>66</v>
      </c>
      <c r="M202" s="4">
        <v>45511</v>
      </c>
      <c r="N202" s="2" t="s">
        <v>32</v>
      </c>
      <c r="O202" s="2">
        <f t="shared" si="15"/>
        <v>1</v>
      </c>
      <c r="P202" s="2" t="s">
        <v>23</v>
      </c>
      <c r="Q202" s="2" t="s">
        <v>23</v>
      </c>
      <c r="R202" s="2" t="s">
        <v>23</v>
      </c>
      <c r="S202" s="2" t="s">
        <v>23</v>
      </c>
      <c r="T202" s="2" t="s">
        <v>23</v>
      </c>
      <c r="U202" s="25">
        <f t="shared" si="13"/>
        <v>7137.0002020000002</v>
      </c>
    </row>
    <row r="203" spans="1:21">
      <c r="A203" s="2" t="s">
        <v>428</v>
      </c>
      <c r="B203" s="2" t="s">
        <v>429</v>
      </c>
      <c r="C203" s="2" t="s">
        <v>35</v>
      </c>
      <c r="D203" s="2">
        <v>52</v>
      </c>
      <c r="E203" s="2" t="str">
        <f t="shared" si="14"/>
        <v>46-60</v>
      </c>
      <c r="F203" s="2" t="s">
        <v>105</v>
      </c>
      <c r="G203" s="2" t="s">
        <v>21</v>
      </c>
      <c r="H203" s="2">
        <v>8</v>
      </c>
      <c r="I203" s="2" t="str">
        <f t="shared" si="12"/>
        <v>7-12 months</v>
      </c>
      <c r="J203" s="3">
        <v>899</v>
      </c>
      <c r="K203" s="3">
        <v>7192</v>
      </c>
      <c r="L203" s="2" t="s">
        <v>22</v>
      </c>
      <c r="M203" s="4">
        <v>45674</v>
      </c>
      <c r="N203" s="2" t="s">
        <v>23</v>
      </c>
      <c r="O203" s="2">
        <f t="shared" si="15"/>
        <v>0</v>
      </c>
      <c r="P203" s="2" t="s">
        <v>23</v>
      </c>
      <c r="Q203" s="2" t="s">
        <v>23</v>
      </c>
      <c r="R203" s="2" t="s">
        <v>23</v>
      </c>
      <c r="S203" s="2" t="s">
        <v>23</v>
      </c>
      <c r="T203" s="2" t="s">
        <v>23</v>
      </c>
      <c r="U203" s="25">
        <f t="shared" si="13"/>
        <v>7192.0002029999996</v>
      </c>
    </row>
    <row r="204" spans="1:21">
      <c r="A204" s="2" t="s">
        <v>430</v>
      </c>
      <c r="B204" s="2" t="s">
        <v>431</v>
      </c>
      <c r="C204" s="2" t="s">
        <v>35</v>
      </c>
      <c r="D204" s="2">
        <v>70</v>
      </c>
      <c r="E204" s="2" t="str">
        <f t="shared" si="14"/>
        <v>60+</v>
      </c>
      <c r="F204" s="2" t="s">
        <v>20</v>
      </c>
      <c r="G204" s="2" t="s">
        <v>21</v>
      </c>
      <c r="H204" s="2">
        <v>9</v>
      </c>
      <c r="I204" s="2" t="str">
        <f t="shared" si="12"/>
        <v>7-12 months</v>
      </c>
      <c r="J204" s="3">
        <v>649</v>
      </c>
      <c r="K204" s="3">
        <v>5841</v>
      </c>
      <c r="L204" s="2" t="s">
        <v>31</v>
      </c>
      <c r="M204" s="4">
        <v>45637</v>
      </c>
      <c r="N204" s="2" t="s">
        <v>32</v>
      </c>
      <c r="O204" s="2">
        <f t="shared" si="15"/>
        <v>1</v>
      </c>
      <c r="P204" s="2" t="s">
        <v>23</v>
      </c>
      <c r="Q204" s="2" t="s">
        <v>23</v>
      </c>
      <c r="R204" s="2" t="s">
        <v>32</v>
      </c>
      <c r="S204" s="2" t="s">
        <v>23</v>
      </c>
      <c r="T204" s="2" t="s">
        <v>23</v>
      </c>
      <c r="U204" s="25">
        <f t="shared" si="13"/>
        <v>5841.0002039999999</v>
      </c>
    </row>
    <row r="205" spans="1:21">
      <c r="A205" s="2" t="s">
        <v>432</v>
      </c>
      <c r="B205" s="2" t="s">
        <v>433</v>
      </c>
      <c r="C205" s="2" t="s">
        <v>35</v>
      </c>
      <c r="D205" s="2">
        <v>33</v>
      </c>
      <c r="E205" s="2" t="str">
        <f t="shared" si="14"/>
        <v>26-35</v>
      </c>
      <c r="F205" s="2" t="s">
        <v>20</v>
      </c>
      <c r="G205" s="2" t="s">
        <v>21</v>
      </c>
      <c r="H205" s="2">
        <v>15</v>
      </c>
      <c r="I205" s="2" t="str">
        <f t="shared" si="12"/>
        <v>13-24 months</v>
      </c>
      <c r="J205" s="3">
        <v>1199</v>
      </c>
      <c r="K205" s="3">
        <v>17985</v>
      </c>
      <c r="L205" s="2" t="s">
        <v>22</v>
      </c>
      <c r="M205" s="4">
        <v>45477</v>
      </c>
      <c r="N205" s="2" t="s">
        <v>32</v>
      </c>
      <c r="O205" s="2">
        <f t="shared" si="15"/>
        <v>1</v>
      </c>
      <c r="P205" s="2" t="s">
        <v>23</v>
      </c>
      <c r="Q205" s="2" t="s">
        <v>23</v>
      </c>
      <c r="R205" s="2" t="s">
        <v>23</v>
      </c>
      <c r="S205" s="2" t="s">
        <v>23</v>
      </c>
      <c r="T205" s="2" t="s">
        <v>23</v>
      </c>
      <c r="U205" s="25">
        <f t="shared" si="13"/>
        <v>17985.000205</v>
      </c>
    </row>
    <row r="206" spans="1:21">
      <c r="A206" s="2" t="s">
        <v>434</v>
      </c>
      <c r="B206" s="2" t="s">
        <v>161</v>
      </c>
      <c r="C206" s="2" t="s">
        <v>35</v>
      </c>
      <c r="D206" s="2">
        <v>52</v>
      </c>
      <c r="E206" s="2" t="str">
        <f t="shared" si="14"/>
        <v>46-60</v>
      </c>
      <c r="F206" s="2" t="s">
        <v>20</v>
      </c>
      <c r="G206" s="2" t="s">
        <v>27</v>
      </c>
      <c r="H206" s="2">
        <v>9</v>
      </c>
      <c r="I206" s="2" t="str">
        <f t="shared" si="12"/>
        <v>7-12 months</v>
      </c>
      <c r="J206" s="3">
        <v>1049</v>
      </c>
      <c r="K206" s="3">
        <v>9441</v>
      </c>
      <c r="L206" s="2" t="s">
        <v>22</v>
      </c>
      <c r="M206" s="4">
        <v>45635</v>
      </c>
      <c r="N206" s="2" t="s">
        <v>23</v>
      </c>
      <c r="O206" s="2">
        <f t="shared" si="15"/>
        <v>0</v>
      </c>
      <c r="P206" s="2" t="s">
        <v>23</v>
      </c>
      <c r="Q206" s="2" t="s">
        <v>23</v>
      </c>
      <c r="R206" s="2" t="s">
        <v>32</v>
      </c>
      <c r="S206" s="2" t="s">
        <v>23</v>
      </c>
      <c r="T206" s="2" t="s">
        <v>23</v>
      </c>
      <c r="U206" s="25">
        <f t="shared" si="13"/>
        <v>9441.0002060000006</v>
      </c>
    </row>
    <row r="207" spans="1:21">
      <c r="A207" s="2" t="s">
        <v>435</v>
      </c>
      <c r="B207" s="2" t="s">
        <v>436</v>
      </c>
      <c r="C207" s="2" t="s">
        <v>35</v>
      </c>
      <c r="D207" s="2">
        <v>67</v>
      </c>
      <c r="E207" s="2" t="str">
        <f t="shared" si="14"/>
        <v>60+</v>
      </c>
      <c r="F207" s="2" t="s">
        <v>71</v>
      </c>
      <c r="G207" s="2" t="s">
        <v>47</v>
      </c>
      <c r="H207" s="2">
        <v>19</v>
      </c>
      <c r="I207" s="2" t="str">
        <f t="shared" si="12"/>
        <v>13-24 months</v>
      </c>
      <c r="J207" s="3">
        <v>849</v>
      </c>
      <c r="K207" s="3">
        <v>16131</v>
      </c>
      <c r="L207" s="2" t="s">
        <v>31</v>
      </c>
      <c r="M207" s="4">
        <v>45350</v>
      </c>
      <c r="N207" s="2" t="s">
        <v>23</v>
      </c>
      <c r="O207" s="2">
        <f t="shared" si="15"/>
        <v>0</v>
      </c>
      <c r="P207" s="2" t="s">
        <v>23</v>
      </c>
      <c r="Q207" s="2" t="s">
        <v>23</v>
      </c>
      <c r="R207" s="2" t="s">
        <v>23</v>
      </c>
      <c r="S207" s="2" t="s">
        <v>23</v>
      </c>
      <c r="T207" s="2" t="s">
        <v>23</v>
      </c>
      <c r="U207" s="25">
        <f t="shared" si="13"/>
        <v>16131.000206999999</v>
      </c>
    </row>
    <row r="208" spans="1:21">
      <c r="A208" s="2" t="s">
        <v>437</v>
      </c>
      <c r="B208" s="2" t="s">
        <v>438</v>
      </c>
      <c r="C208" s="2" t="s">
        <v>37</v>
      </c>
      <c r="D208" s="2">
        <v>47</v>
      </c>
      <c r="E208" s="2" t="str">
        <f t="shared" si="14"/>
        <v>46-60</v>
      </c>
      <c r="F208" s="2" t="s">
        <v>141</v>
      </c>
      <c r="G208" s="2" t="s">
        <v>47</v>
      </c>
      <c r="H208" s="2">
        <v>55</v>
      </c>
      <c r="I208" s="2" t="str">
        <f t="shared" si="12"/>
        <v>49+ months</v>
      </c>
      <c r="J208" s="3">
        <v>1099</v>
      </c>
      <c r="K208" s="3">
        <v>60445</v>
      </c>
      <c r="L208" s="2" t="s">
        <v>22</v>
      </c>
      <c r="M208" s="4">
        <v>44258</v>
      </c>
      <c r="N208" s="2" t="s">
        <v>23</v>
      </c>
      <c r="O208" s="2">
        <f t="shared" si="15"/>
        <v>0</v>
      </c>
      <c r="P208" s="2" t="s">
        <v>32</v>
      </c>
      <c r="Q208" s="2" t="s">
        <v>23</v>
      </c>
      <c r="R208" s="2" t="s">
        <v>23</v>
      </c>
      <c r="S208" s="2" t="s">
        <v>23</v>
      </c>
      <c r="T208" s="2" t="s">
        <v>23</v>
      </c>
      <c r="U208" s="25">
        <f t="shared" si="13"/>
        <v>60445.000207999998</v>
      </c>
    </row>
    <row r="209" spans="1:21">
      <c r="A209" s="2" t="s">
        <v>439</v>
      </c>
      <c r="B209" s="2" t="s">
        <v>440</v>
      </c>
      <c r="C209" s="2" t="s">
        <v>35</v>
      </c>
      <c r="D209" s="2">
        <v>62</v>
      </c>
      <c r="E209" s="2" t="str">
        <f t="shared" si="14"/>
        <v>60+</v>
      </c>
      <c r="F209" s="2" t="s">
        <v>105</v>
      </c>
      <c r="G209" s="2" t="s">
        <v>21</v>
      </c>
      <c r="H209" s="2">
        <v>6</v>
      </c>
      <c r="I209" s="2" t="str">
        <f t="shared" si="12"/>
        <v>0-6 months</v>
      </c>
      <c r="J209" s="3">
        <v>899</v>
      </c>
      <c r="K209" s="3">
        <v>5394</v>
      </c>
      <c r="L209" s="2" t="s">
        <v>31</v>
      </c>
      <c r="M209" s="4">
        <v>45741</v>
      </c>
      <c r="N209" s="2" t="s">
        <v>32</v>
      </c>
      <c r="O209" s="2">
        <f t="shared" si="15"/>
        <v>1</v>
      </c>
      <c r="P209" s="2" t="s">
        <v>23</v>
      </c>
      <c r="Q209" s="2" t="s">
        <v>23</v>
      </c>
      <c r="R209" s="2" t="s">
        <v>23</v>
      </c>
      <c r="S209" s="2" t="s">
        <v>23</v>
      </c>
      <c r="T209" s="2" t="s">
        <v>23</v>
      </c>
      <c r="U209" s="25">
        <f t="shared" si="13"/>
        <v>5394.0002089999998</v>
      </c>
    </row>
    <row r="210" spans="1:21">
      <c r="A210" s="2" t="s">
        <v>441</v>
      </c>
      <c r="B210" s="2" t="s">
        <v>291</v>
      </c>
      <c r="C210" s="2" t="s">
        <v>35</v>
      </c>
      <c r="D210" s="2">
        <v>21</v>
      </c>
      <c r="E210" s="2" t="str">
        <f t="shared" si="14"/>
        <v>18-25</v>
      </c>
      <c r="F210" s="2" t="s">
        <v>26</v>
      </c>
      <c r="G210" s="2" t="s">
        <v>21</v>
      </c>
      <c r="H210" s="2">
        <v>17</v>
      </c>
      <c r="I210" s="2" t="str">
        <f t="shared" si="12"/>
        <v>13-24 months</v>
      </c>
      <c r="J210" s="3">
        <v>1099</v>
      </c>
      <c r="K210" s="3">
        <v>18683</v>
      </c>
      <c r="L210" s="2" t="s">
        <v>37</v>
      </c>
      <c r="M210" s="4">
        <v>45408</v>
      </c>
      <c r="N210" s="2" t="s">
        <v>32</v>
      </c>
      <c r="O210" s="2">
        <f t="shared" si="15"/>
        <v>1</v>
      </c>
      <c r="P210" s="2" t="s">
        <v>23</v>
      </c>
      <c r="Q210" s="2" t="s">
        <v>32</v>
      </c>
      <c r="R210" s="2" t="s">
        <v>23</v>
      </c>
      <c r="S210" s="2" t="s">
        <v>23</v>
      </c>
      <c r="T210" s="2" t="s">
        <v>23</v>
      </c>
      <c r="U210" s="25">
        <f t="shared" si="13"/>
        <v>18683.000209999998</v>
      </c>
    </row>
    <row r="211" spans="1:21">
      <c r="A211" s="2" t="s">
        <v>442</v>
      </c>
      <c r="B211" s="2" t="s">
        <v>235</v>
      </c>
      <c r="C211" s="2" t="s">
        <v>19</v>
      </c>
      <c r="D211" s="2">
        <v>23</v>
      </c>
      <c r="E211" s="2" t="str">
        <f t="shared" si="14"/>
        <v>18-25</v>
      </c>
      <c r="F211" s="2" t="s">
        <v>26</v>
      </c>
      <c r="G211" s="2" t="s">
        <v>27</v>
      </c>
      <c r="H211" s="2">
        <v>18</v>
      </c>
      <c r="I211" s="2" t="str">
        <f t="shared" si="12"/>
        <v>13-24 months</v>
      </c>
      <c r="J211" s="3">
        <v>749</v>
      </c>
      <c r="K211" s="3">
        <v>13482</v>
      </c>
      <c r="L211" s="2" t="s">
        <v>31</v>
      </c>
      <c r="M211" s="4">
        <v>45361</v>
      </c>
      <c r="N211" s="2" t="s">
        <v>23</v>
      </c>
      <c r="O211" s="2">
        <f t="shared" si="15"/>
        <v>0</v>
      </c>
      <c r="P211" s="2" t="s">
        <v>23</v>
      </c>
      <c r="Q211" s="2" t="s">
        <v>23</v>
      </c>
      <c r="R211" s="2" t="s">
        <v>23</v>
      </c>
      <c r="S211" s="2" t="s">
        <v>23</v>
      </c>
      <c r="T211" s="2" t="s">
        <v>23</v>
      </c>
      <c r="U211" s="25">
        <f t="shared" si="13"/>
        <v>13482.000211</v>
      </c>
    </row>
    <row r="212" spans="1:21">
      <c r="A212" s="2" t="s">
        <v>443</v>
      </c>
      <c r="B212" s="2" t="s">
        <v>444</v>
      </c>
      <c r="C212" s="2" t="s">
        <v>37</v>
      </c>
      <c r="D212" s="2">
        <v>64</v>
      </c>
      <c r="E212" s="2" t="str">
        <f t="shared" si="14"/>
        <v>60+</v>
      </c>
      <c r="F212" s="2" t="s">
        <v>71</v>
      </c>
      <c r="G212" s="2" t="s">
        <v>27</v>
      </c>
      <c r="H212" s="2">
        <v>22</v>
      </c>
      <c r="I212" s="2" t="str">
        <f t="shared" si="12"/>
        <v>13-24 months</v>
      </c>
      <c r="J212" s="3">
        <v>899</v>
      </c>
      <c r="K212" s="3">
        <v>19778</v>
      </c>
      <c r="L212" s="2" t="s">
        <v>22</v>
      </c>
      <c r="M212" s="4">
        <v>45245</v>
      </c>
      <c r="N212" s="2" t="s">
        <v>23</v>
      </c>
      <c r="O212" s="2">
        <f t="shared" si="15"/>
        <v>0</v>
      </c>
      <c r="P212" s="2" t="s">
        <v>23</v>
      </c>
      <c r="Q212" s="2" t="s">
        <v>23</v>
      </c>
      <c r="R212" s="2" t="s">
        <v>23</v>
      </c>
      <c r="S212" s="2" t="s">
        <v>23</v>
      </c>
      <c r="T212" s="2" t="s">
        <v>23</v>
      </c>
      <c r="U212" s="25">
        <f t="shared" si="13"/>
        <v>19778.000211999999</v>
      </c>
    </row>
    <row r="213" spans="1:21">
      <c r="A213" s="2" t="s">
        <v>445</v>
      </c>
      <c r="B213" s="2" t="s">
        <v>446</v>
      </c>
      <c r="C213" s="2" t="s">
        <v>19</v>
      </c>
      <c r="D213" s="2">
        <v>62</v>
      </c>
      <c r="E213" s="2" t="str">
        <f t="shared" si="14"/>
        <v>60+</v>
      </c>
      <c r="F213" s="2" t="s">
        <v>91</v>
      </c>
      <c r="G213" s="2" t="s">
        <v>27</v>
      </c>
      <c r="H213" s="2">
        <v>16</v>
      </c>
      <c r="I213" s="2" t="str">
        <f t="shared" si="12"/>
        <v>13-24 months</v>
      </c>
      <c r="J213" s="3">
        <v>1049</v>
      </c>
      <c r="K213" s="3">
        <v>16784</v>
      </c>
      <c r="L213" s="2" t="s">
        <v>22</v>
      </c>
      <c r="M213" s="4">
        <v>45431</v>
      </c>
      <c r="N213" s="2" t="s">
        <v>23</v>
      </c>
      <c r="O213" s="2">
        <f t="shared" si="15"/>
        <v>0</v>
      </c>
      <c r="P213" s="2" t="s">
        <v>23</v>
      </c>
      <c r="Q213" s="2" t="s">
        <v>23</v>
      </c>
      <c r="R213" s="2" t="s">
        <v>23</v>
      </c>
      <c r="S213" s="2" t="s">
        <v>23</v>
      </c>
      <c r="T213" s="2" t="s">
        <v>23</v>
      </c>
      <c r="U213" s="25">
        <f t="shared" si="13"/>
        <v>16784.000212999999</v>
      </c>
    </row>
    <row r="214" spans="1:21">
      <c r="A214" s="2" t="s">
        <v>447</v>
      </c>
      <c r="B214" s="2" t="s">
        <v>448</v>
      </c>
      <c r="C214" s="2" t="s">
        <v>35</v>
      </c>
      <c r="D214" s="2">
        <v>41</v>
      </c>
      <c r="E214" s="2" t="str">
        <f t="shared" si="14"/>
        <v>36-45</v>
      </c>
      <c r="F214" s="2" t="s">
        <v>26</v>
      </c>
      <c r="G214" s="2" t="s">
        <v>47</v>
      </c>
      <c r="H214" s="2">
        <v>61</v>
      </c>
      <c r="I214" s="2" t="str">
        <f t="shared" si="12"/>
        <v>49+ months</v>
      </c>
      <c r="J214" s="3">
        <v>1299</v>
      </c>
      <c r="K214" s="3">
        <v>79239</v>
      </c>
      <c r="L214" s="2" t="s">
        <v>22</v>
      </c>
      <c r="M214" s="4">
        <v>44087</v>
      </c>
      <c r="N214" s="2" t="s">
        <v>23</v>
      </c>
      <c r="O214" s="2">
        <f t="shared" si="15"/>
        <v>0</v>
      </c>
      <c r="P214" s="2" t="s">
        <v>23</v>
      </c>
      <c r="Q214" s="2" t="s">
        <v>23</v>
      </c>
      <c r="R214" s="2" t="s">
        <v>23</v>
      </c>
      <c r="S214" s="2" t="s">
        <v>23</v>
      </c>
      <c r="T214" s="2" t="s">
        <v>23</v>
      </c>
      <c r="U214" s="25">
        <f t="shared" si="13"/>
        <v>79239.000214</v>
      </c>
    </row>
    <row r="215" spans="1:21">
      <c r="A215" s="2" t="s">
        <v>449</v>
      </c>
      <c r="B215" s="2" t="s">
        <v>450</v>
      </c>
      <c r="C215" s="2" t="s">
        <v>35</v>
      </c>
      <c r="D215" s="2">
        <v>54</v>
      </c>
      <c r="E215" s="2" t="str">
        <f t="shared" si="14"/>
        <v>46-60</v>
      </c>
      <c r="F215" s="2" t="s">
        <v>57</v>
      </c>
      <c r="G215" s="2" t="s">
        <v>21</v>
      </c>
      <c r="H215" s="2">
        <v>9</v>
      </c>
      <c r="I215" s="2" t="str">
        <f t="shared" si="12"/>
        <v>7-12 months</v>
      </c>
      <c r="J215" s="3">
        <v>799</v>
      </c>
      <c r="K215" s="3">
        <v>7191</v>
      </c>
      <c r="L215" s="2" t="s">
        <v>31</v>
      </c>
      <c r="M215" s="4">
        <v>45649</v>
      </c>
      <c r="N215" s="2" t="s">
        <v>23</v>
      </c>
      <c r="O215" s="2">
        <f t="shared" si="15"/>
        <v>0</v>
      </c>
      <c r="P215" s="2" t="s">
        <v>23</v>
      </c>
      <c r="Q215" s="2" t="s">
        <v>23</v>
      </c>
      <c r="R215" s="2" t="s">
        <v>23</v>
      </c>
      <c r="S215" s="2" t="s">
        <v>23</v>
      </c>
      <c r="T215" s="2" t="s">
        <v>23</v>
      </c>
      <c r="U215" s="25">
        <f t="shared" si="13"/>
        <v>7191.000215</v>
      </c>
    </row>
    <row r="216" spans="1:21">
      <c r="A216" s="2" t="s">
        <v>451</v>
      </c>
      <c r="B216" s="2" t="s">
        <v>452</v>
      </c>
      <c r="C216" s="2" t="s">
        <v>19</v>
      </c>
      <c r="D216" s="2">
        <v>32</v>
      </c>
      <c r="E216" s="2" t="str">
        <f t="shared" si="14"/>
        <v>26-35</v>
      </c>
      <c r="F216" s="2" t="s">
        <v>105</v>
      </c>
      <c r="G216" s="2" t="s">
        <v>27</v>
      </c>
      <c r="H216" s="2">
        <v>36</v>
      </c>
      <c r="I216" s="2" t="str">
        <f t="shared" si="12"/>
        <v>25-48 months</v>
      </c>
      <c r="J216" s="3">
        <v>849</v>
      </c>
      <c r="K216" s="3">
        <v>30564</v>
      </c>
      <c r="L216" s="2" t="s">
        <v>31</v>
      </c>
      <c r="M216" s="4">
        <v>44822</v>
      </c>
      <c r="N216" s="2" t="s">
        <v>23</v>
      </c>
      <c r="O216" s="2">
        <f t="shared" si="15"/>
        <v>0</v>
      </c>
      <c r="P216" s="2" t="s">
        <v>23</v>
      </c>
      <c r="Q216" s="2" t="s">
        <v>23</v>
      </c>
      <c r="R216" s="2" t="s">
        <v>23</v>
      </c>
      <c r="S216" s="2" t="s">
        <v>23</v>
      </c>
      <c r="T216" s="2" t="s">
        <v>23</v>
      </c>
      <c r="U216" s="25">
        <f t="shared" si="13"/>
        <v>30564.000216</v>
      </c>
    </row>
    <row r="217" spans="1:21">
      <c r="A217" s="2" t="s">
        <v>453</v>
      </c>
      <c r="B217" s="2" t="s">
        <v>454</v>
      </c>
      <c r="C217" s="2" t="s">
        <v>37</v>
      </c>
      <c r="D217" s="2">
        <v>28</v>
      </c>
      <c r="E217" s="2" t="str">
        <f t="shared" si="14"/>
        <v>26-35</v>
      </c>
      <c r="F217" s="2" t="s">
        <v>141</v>
      </c>
      <c r="G217" s="2" t="s">
        <v>27</v>
      </c>
      <c r="H217" s="2">
        <v>35</v>
      </c>
      <c r="I217" s="2" t="str">
        <f t="shared" si="12"/>
        <v>25-48 months</v>
      </c>
      <c r="J217" s="3">
        <v>749</v>
      </c>
      <c r="K217" s="3">
        <v>26215</v>
      </c>
      <c r="L217" s="2" t="s">
        <v>31</v>
      </c>
      <c r="M217" s="4">
        <v>44877</v>
      </c>
      <c r="N217" s="2" t="s">
        <v>23</v>
      </c>
      <c r="O217" s="2">
        <f t="shared" si="15"/>
        <v>0</v>
      </c>
      <c r="P217" s="2" t="s">
        <v>23</v>
      </c>
      <c r="Q217" s="2" t="s">
        <v>23</v>
      </c>
      <c r="R217" s="2" t="s">
        <v>23</v>
      </c>
      <c r="S217" s="2" t="s">
        <v>32</v>
      </c>
      <c r="T217" s="2" t="s">
        <v>23</v>
      </c>
      <c r="U217" s="25">
        <f t="shared" si="13"/>
        <v>26215.000217000001</v>
      </c>
    </row>
    <row r="218" spans="1:21">
      <c r="A218" s="2" t="s">
        <v>455</v>
      </c>
      <c r="B218" s="2" t="s">
        <v>456</v>
      </c>
      <c r="C218" s="2" t="s">
        <v>19</v>
      </c>
      <c r="D218" s="2">
        <v>21</v>
      </c>
      <c r="E218" s="2" t="str">
        <f t="shared" si="14"/>
        <v>18-25</v>
      </c>
      <c r="F218" s="2" t="s">
        <v>110</v>
      </c>
      <c r="G218" s="2" t="s">
        <v>21</v>
      </c>
      <c r="H218" s="2">
        <v>21</v>
      </c>
      <c r="I218" s="2" t="str">
        <f t="shared" si="12"/>
        <v>13-24 months</v>
      </c>
      <c r="J218" s="3">
        <v>649</v>
      </c>
      <c r="K218" s="3">
        <v>13629</v>
      </c>
      <c r="L218" s="2" t="s">
        <v>31</v>
      </c>
      <c r="M218" s="4">
        <v>45282</v>
      </c>
      <c r="N218" s="2" t="s">
        <v>32</v>
      </c>
      <c r="O218" s="2">
        <f t="shared" si="15"/>
        <v>1</v>
      </c>
      <c r="P218" s="2" t="s">
        <v>23</v>
      </c>
      <c r="Q218" s="2" t="s">
        <v>23</v>
      </c>
      <c r="R218" s="2" t="s">
        <v>23</v>
      </c>
      <c r="S218" s="2" t="s">
        <v>23</v>
      </c>
      <c r="T218" s="2" t="s">
        <v>23</v>
      </c>
      <c r="U218" s="25">
        <f t="shared" si="13"/>
        <v>13629.000217999999</v>
      </c>
    </row>
    <row r="219" spans="1:21">
      <c r="A219" s="2" t="s">
        <v>457</v>
      </c>
      <c r="B219" s="2" t="s">
        <v>458</v>
      </c>
      <c r="C219" s="2" t="s">
        <v>35</v>
      </c>
      <c r="D219" s="2">
        <v>57</v>
      </c>
      <c r="E219" s="2" t="str">
        <f t="shared" si="14"/>
        <v>46-60</v>
      </c>
      <c r="F219" s="2" t="s">
        <v>71</v>
      </c>
      <c r="G219" s="2" t="s">
        <v>27</v>
      </c>
      <c r="H219" s="2">
        <v>31</v>
      </c>
      <c r="I219" s="2" t="str">
        <f t="shared" si="12"/>
        <v>25-48 months</v>
      </c>
      <c r="J219" s="3">
        <v>1099</v>
      </c>
      <c r="K219" s="3">
        <v>34069</v>
      </c>
      <c r="L219" s="2" t="s">
        <v>22</v>
      </c>
      <c r="M219" s="4">
        <v>44981</v>
      </c>
      <c r="N219" s="2" t="s">
        <v>32</v>
      </c>
      <c r="O219" s="2">
        <f t="shared" si="15"/>
        <v>1</v>
      </c>
      <c r="P219" s="2" t="s">
        <v>23</v>
      </c>
      <c r="Q219" s="2" t="s">
        <v>23</v>
      </c>
      <c r="R219" s="2" t="s">
        <v>23</v>
      </c>
      <c r="S219" s="2" t="s">
        <v>23</v>
      </c>
      <c r="T219" s="2" t="s">
        <v>23</v>
      </c>
      <c r="U219" s="25">
        <f t="shared" si="13"/>
        <v>34069.000219000001</v>
      </c>
    </row>
    <row r="220" spans="1:21">
      <c r="A220" s="2" t="s">
        <v>459</v>
      </c>
      <c r="B220" s="2" t="s">
        <v>460</v>
      </c>
      <c r="C220" s="2" t="s">
        <v>35</v>
      </c>
      <c r="D220" s="2">
        <v>51</v>
      </c>
      <c r="E220" s="2" t="str">
        <f t="shared" si="14"/>
        <v>46-60</v>
      </c>
      <c r="F220" s="2" t="s">
        <v>141</v>
      </c>
      <c r="G220" s="2" t="s">
        <v>21</v>
      </c>
      <c r="H220" s="2">
        <v>1</v>
      </c>
      <c r="I220" s="2" t="str">
        <f t="shared" si="12"/>
        <v>0-6 months</v>
      </c>
      <c r="J220" s="3">
        <v>499</v>
      </c>
      <c r="K220" s="3">
        <v>499</v>
      </c>
      <c r="L220" s="2" t="s">
        <v>66</v>
      </c>
      <c r="M220" s="4">
        <v>45869</v>
      </c>
      <c r="N220" s="2" t="s">
        <v>23</v>
      </c>
      <c r="O220" s="2">
        <f t="shared" si="15"/>
        <v>0</v>
      </c>
      <c r="P220" s="2" t="s">
        <v>23</v>
      </c>
      <c r="Q220" s="2" t="s">
        <v>23</v>
      </c>
      <c r="R220" s="2" t="s">
        <v>23</v>
      </c>
      <c r="S220" s="2" t="s">
        <v>23</v>
      </c>
      <c r="T220" s="2" t="s">
        <v>23</v>
      </c>
      <c r="U220" s="25">
        <f t="shared" si="13"/>
        <v>499.00022000000001</v>
      </c>
    </row>
    <row r="221" spans="1:21">
      <c r="A221" s="2" t="s">
        <v>461</v>
      </c>
      <c r="B221" s="2" t="s">
        <v>462</v>
      </c>
      <c r="C221" s="2" t="s">
        <v>19</v>
      </c>
      <c r="D221" s="2">
        <v>51</v>
      </c>
      <c r="E221" s="2" t="str">
        <f t="shared" si="14"/>
        <v>46-60</v>
      </c>
      <c r="F221" s="2" t="s">
        <v>63</v>
      </c>
      <c r="G221" s="2" t="s">
        <v>21</v>
      </c>
      <c r="H221" s="2">
        <v>9</v>
      </c>
      <c r="I221" s="2" t="str">
        <f t="shared" si="12"/>
        <v>7-12 months</v>
      </c>
      <c r="J221" s="3">
        <v>1049</v>
      </c>
      <c r="K221" s="3">
        <v>9441</v>
      </c>
      <c r="L221" s="2" t="s">
        <v>22</v>
      </c>
      <c r="M221" s="4">
        <v>45656</v>
      </c>
      <c r="N221" s="2" t="s">
        <v>23</v>
      </c>
      <c r="O221" s="2">
        <f t="shared" si="15"/>
        <v>0</v>
      </c>
      <c r="P221" s="2" t="s">
        <v>23</v>
      </c>
      <c r="Q221" s="2" t="s">
        <v>23</v>
      </c>
      <c r="R221" s="2" t="s">
        <v>23</v>
      </c>
      <c r="S221" s="2" t="s">
        <v>23</v>
      </c>
      <c r="T221" s="2" t="s">
        <v>23</v>
      </c>
      <c r="U221" s="25">
        <f t="shared" si="13"/>
        <v>9441.0002210000002</v>
      </c>
    </row>
    <row r="222" spans="1:21">
      <c r="A222" s="2" t="s">
        <v>463</v>
      </c>
      <c r="B222" s="2" t="s">
        <v>464</v>
      </c>
      <c r="C222" s="2" t="s">
        <v>35</v>
      </c>
      <c r="D222" s="2">
        <v>54</v>
      </c>
      <c r="E222" s="2" t="str">
        <f t="shared" si="14"/>
        <v>46-60</v>
      </c>
      <c r="F222" s="2" t="s">
        <v>20</v>
      </c>
      <c r="G222" s="2" t="s">
        <v>47</v>
      </c>
      <c r="H222" s="2">
        <v>11</v>
      </c>
      <c r="I222" s="2" t="str">
        <f t="shared" si="12"/>
        <v>7-12 months</v>
      </c>
      <c r="J222" s="3">
        <v>849</v>
      </c>
      <c r="K222" s="3">
        <v>9339</v>
      </c>
      <c r="L222" s="2" t="s">
        <v>31</v>
      </c>
      <c r="M222" s="4">
        <v>45586</v>
      </c>
      <c r="N222" s="2" t="s">
        <v>23</v>
      </c>
      <c r="O222" s="2">
        <f t="shared" si="15"/>
        <v>0</v>
      </c>
      <c r="P222" s="2" t="s">
        <v>23</v>
      </c>
      <c r="Q222" s="2" t="s">
        <v>23</v>
      </c>
      <c r="R222" s="2" t="s">
        <v>23</v>
      </c>
      <c r="S222" s="2" t="s">
        <v>23</v>
      </c>
      <c r="T222" s="2" t="s">
        <v>23</v>
      </c>
      <c r="U222" s="25">
        <f t="shared" si="13"/>
        <v>9339.0002220000006</v>
      </c>
    </row>
    <row r="223" spans="1:21">
      <c r="A223" s="2" t="s">
        <v>465</v>
      </c>
      <c r="B223" s="2" t="s">
        <v>466</v>
      </c>
      <c r="C223" s="2" t="s">
        <v>35</v>
      </c>
      <c r="D223" s="2">
        <v>47</v>
      </c>
      <c r="E223" s="2" t="str">
        <f t="shared" si="14"/>
        <v>46-60</v>
      </c>
      <c r="F223" s="2" t="s">
        <v>71</v>
      </c>
      <c r="G223" s="2" t="s">
        <v>21</v>
      </c>
      <c r="H223" s="2">
        <v>16</v>
      </c>
      <c r="I223" s="2" t="str">
        <f t="shared" si="12"/>
        <v>13-24 months</v>
      </c>
      <c r="J223" s="3">
        <v>899</v>
      </c>
      <c r="K223" s="3">
        <v>14384</v>
      </c>
      <c r="L223" s="2" t="s">
        <v>31</v>
      </c>
      <c r="M223" s="4">
        <v>45421</v>
      </c>
      <c r="N223" s="2" t="s">
        <v>23</v>
      </c>
      <c r="O223" s="2">
        <f t="shared" si="15"/>
        <v>0</v>
      </c>
      <c r="P223" s="2" t="s">
        <v>32</v>
      </c>
      <c r="Q223" s="2" t="s">
        <v>23</v>
      </c>
      <c r="R223" s="2" t="s">
        <v>23</v>
      </c>
      <c r="S223" s="2" t="s">
        <v>23</v>
      </c>
      <c r="T223" s="2" t="s">
        <v>23</v>
      </c>
      <c r="U223" s="25">
        <f t="shared" si="13"/>
        <v>14384.000222999999</v>
      </c>
    </row>
    <row r="224" spans="1:21">
      <c r="A224" s="2" t="s">
        <v>467</v>
      </c>
      <c r="B224" s="2" t="s">
        <v>468</v>
      </c>
      <c r="C224" s="2" t="s">
        <v>19</v>
      </c>
      <c r="D224" s="2">
        <v>32</v>
      </c>
      <c r="E224" s="2" t="str">
        <f t="shared" si="14"/>
        <v>26-35</v>
      </c>
      <c r="F224" s="2" t="s">
        <v>20</v>
      </c>
      <c r="G224" s="2" t="s">
        <v>47</v>
      </c>
      <c r="H224" s="2">
        <v>61</v>
      </c>
      <c r="I224" s="2" t="str">
        <f t="shared" si="12"/>
        <v>49+ months</v>
      </c>
      <c r="J224" s="3">
        <v>899</v>
      </c>
      <c r="K224" s="3">
        <v>54839</v>
      </c>
      <c r="L224" s="2" t="s">
        <v>22</v>
      </c>
      <c r="M224" s="4">
        <v>44090</v>
      </c>
      <c r="N224" s="2" t="s">
        <v>23</v>
      </c>
      <c r="O224" s="2">
        <f t="shared" si="15"/>
        <v>0</v>
      </c>
      <c r="P224" s="2" t="s">
        <v>23</v>
      </c>
      <c r="Q224" s="2" t="s">
        <v>23</v>
      </c>
      <c r="R224" s="2" t="s">
        <v>23</v>
      </c>
      <c r="S224" s="2" t="s">
        <v>32</v>
      </c>
      <c r="T224" s="2" t="s">
        <v>23</v>
      </c>
      <c r="U224" s="25">
        <f t="shared" si="13"/>
        <v>54839.000224000003</v>
      </c>
    </row>
    <row r="225" spans="1:21">
      <c r="A225" s="2" t="s">
        <v>469</v>
      </c>
      <c r="B225" s="2" t="s">
        <v>37</v>
      </c>
      <c r="C225" s="2" t="s">
        <v>19</v>
      </c>
      <c r="D225" s="2">
        <v>19</v>
      </c>
      <c r="E225" s="2" t="str">
        <f t="shared" si="14"/>
        <v>18-25</v>
      </c>
      <c r="F225" s="2" t="s">
        <v>20</v>
      </c>
      <c r="G225" s="2" t="s">
        <v>27</v>
      </c>
      <c r="H225" s="2">
        <v>26</v>
      </c>
      <c r="I225" s="2" t="str">
        <f t="shared" si="12"/>
        <v>25-48 months</v>
      </c>
      <c r="J225" s="3">
        <v>1049</v>
      </c>
      <c r="K225" s="3">
        <v>27274</v>
      </c>
      <c r="L225" s="2" t="s">
        <v>22</v>
      </c>
      <c r="M225" s="4">
        <v>45130</v>
      </c>
      <c r="N225" s="2" t="s">
        <v>23</v>
      </c>
      <c r="O225" s="2">
        <f t="shared" si="15"/>
        <v>0</v>
      </c>
      <c r="P225" s="2" t="s">
        <v>23</v>
      </c>
      <c r="Q225" s="2" t="s">
        <v>23</v>
      </c>
      <c r="R225" s="2" t="s">
        <v>23</v>
      </c>
      <c r="S225" s="2" t="s">
        <v>23</v>
      </c>
      <c r="T225" s="2" t="s">
        <v>23</v>
      </c>
      <c r="U225" s="25">
        <f t="shared" si="13"/>
        <v>27274.000225</v>
      </c>
    </row>
    <row r="226" spans="1:21">
      <c r="A226" s="2" t="s">
        <v>470</v>
      </c>
      <c r="B226" s="2" t="s">
        <v>471</v>
      </c>
      <c r="C226" s="2" t="s">
        <v>35</v>
      </c>
      <c r="D226" s="2">
        <v>42</v>
      </c>
      <c r="E226" s="2" t="str">
        <f t="shared" si="14"/>
        <v>36-45</v>
      </c>
      <c r="F226" s="2" t="s">
        <v>110</v>
      </c>
      <c r="G226" s="2" t="s">
        <v>27</v>
      </c>
      <c r="H226" s="2">
        <v>6</v>
      </c>
      <c r="I226" s="2" t="str">
        <f t="shared" si="12"/>
        <v>0-6 months</v>
      </c>
      <c r="J226" s="3">
        <v>1199</v>
      </c>
      <c r="K226" s="3">
        <v>7194</v>
      </c>
      <c r="L226" s="2" t="s">
        <v>22</v>
      </c>
      <c r="M226" s="4">
        <v>45735</v>
      </c>
      <c r="N226" s="2" t="s">
        <v>32</v>
      </c>
      <c r="O226" s="2">
        <f t="shared" si="15"/>
        <v>1</v>
      </c>
      <c r="P226" s="2" t="s">
        <v>23</v>
      </c>
      <c r="Q226" s="2" t="s">
        <v>23</v>
      </c>
      <c r="R226" s="2" t="s">
        <v>23</v>
      </c>
      <c r="S226" s="2" t="s">
        <v>23</v>
      </c>
      <c r="T226" s="2" t="s">
        <v>23</v>
      </c>
      <c r="U226" s="25">
        <f t="shared" si="13"/>
        <v>7194.0002260000001</v>
      </c>
    </row>
    <row r="227" spans="1:21">
      <c r="A227" s="2" t="s">
        <v>472</v>
      </c>
      <c r="B227" s="2" t="s">
        <v>473</v>
      </c>
      <c r="C227" s="2" t="s">
        <v>19</v>
      </c>
      <c r="D227" s="2">
        <v>56</v>
      </c>
      <c r="E227" s="2" t="str">
        <f t="shared" si="14"/>
        <v>46-60</v>
      </c>
      <c r="F227" s="2" t="s">
        <v>110</v>
      </c>
      <c r="G227" s="2" t="s">
        <v>27</v>
      </c>
      <c r="H227" s="2">
        <v>21</v>
      </c>
      <c r="I227" s="2" t="str">
        <f t="shared" si="12"/>
        <v>13-24 months</v>
      </c>
      <c r="J227" s="3">
        <v>1199</v>
      </c>
      <c r="K227" s="3">
        <v>25179</v>
      </c>
      <c r="L227" s="2" t="s">
        <v>22</v>
      </c>
      <c r="M227" s="4">
        <v>45284</v>
      </c>
      <c r="N227" s="2" t="s">
        <v>23</v>
      </c>
      <c r="O227" s="2">
        <f t="shared" si="15"/>
        <v>0</v>
      </c>
      <c r="P227" s="2" t="s">
        <v>23</v>
      </c>
      <c r="Q227" s="2" t="s">
        <v>23</v>
      </c>
      <c r="R227" s="2" t="s">
        <v>23</v>
      </c>
      <c r="S227" s="2" t="s">
        <v>23</v>
      </c>
      <c r="T227" s="2" t="s">
        <v>23</v>
      </c>
      <c r="U227" s="25">
        <f t="shared" si="13"/>
        <v>25179.000227</v>
      </c>
    </row>
    <row r="228" spans="1:21">
      <c r="A228" s="2" t="s">
        <v>474</v>
      </c>
      <c r="B228" s="2" t="s">
        <v>475</v>
      </c>
      <c r="C228" s="2" t="s">
        <v>35</v>
      </c>
      <c r="D228" s="2">
        <v>53</v>
      </c>
      <c r="E228" s="2" t="str">
        <f t="shared" si="14"/>
        <v>46-60</v>
      </c>
      <c r="F228" s="2" t="s">
        <v>105</v>
      </c>
      <c r="G228" s="2" t="s">
        <v>21</v>
      </c>
      <c r="H228" s="2">
        <v>22</v>
      </c>
      <c r="I228" s="2" t="str">
        <f t="shared" si="12"/>
        <v>13-24 months</v>
      </c>
      <c r="J228" s="3">
        <v>899</v>
      </c>
      <c r="K228" s="3">
        <v>19778</v>
      </c>
      <c r="L228" s="2" t="s">
        <v>22</v>
      </c>
      <c r="M228" s="4">
        <v>45261</v>
      </c>
      <c r="N228" s="2" t="s">
        <v>32</v>
      </c>
      <c r="O228" s="2">
        <f t="shared" si="15"/>
        <v>1</v>
      </c>
      <c r="P228" s="2" t="s">
        <v>23</v>
      </c>
      <c r="Q228" s="2" t="s">
        <v>23</v>
      </c>
      <c r="R228" s="2" t="s">
        <v>23</v>
      </c>
      <c r="S228" s="2" t="s">
        <v>23</v>
      </c>
      <c r="T228" s="2" t="s">
        <v>23</v>
      </c>
      <c r="U228" s="25">
        <f t="shared" si="13"/>
        <v>19778.000228000001</v>
      </c>
    </row>
    <row r="229" spans="1:21">
      <c r="A229" s="2" t="s">
        <v>476</v>
      </c>
      <c r="B229" s="2" t="s">
        <v>477</v>
      </c>
      <c r="C229" s="2" t="s">
        <v>19</v>
      </c>
      <c r="D229" s="2">
        <v>27</v>
      </c>
      <c r="E229" s="2" t="str">
        <f t="shared" si="14"/>
        <v>26-35</v>
      </c>
      <c r="F229" s="2" t="s">
        <v>105</v>
      </c>
      <c r="G229" s="2" t="s">
        <v>27</v>
      </c>
      <c r="H229" s="2">
        <v>25</v>
      </c>
      <c r="I229" s="2" t="str">
        <f t="shared" si="12"/>
        <v>25-48 months</v>
      </c>
      <c r="J229" s="3">
        <v>1049</v>
      </c>
      <c r="K229" s="3">
        <v>26225</v>
      </c>
      <c r="L229" s="2" t="s">
        <v>22</v>
      </c>
      <c r="M229" s="4">
        <v>45169</v>
      </c>
      <c r="N229" s="2" t="s">
        <v>32</v>
      </c>
      <c r="O229" s="2">
        <f t="shared" si="15"/>
        <v>1</v>
      </c>
      <c r="P229" s="2" t="s">
        <v>23</v>
      </c>
      <c r="Q229" s="2" t="s">
        <v>32</v>
      </c>
      <c r="R229" s="2" t="s">
        <v>23</v>
      </c>
      <c r="S229" s="2" t="s">
        <v>23</v>
      </c>
      <c r="T229" s="2" t="s">
        <v>23</v>
      </c>
      <c r="U229" s="25">
        <f t="shared" si="13"/>
        <v>26225.000229000001</v>
      </c>
    </row>
    <row r="230" spans="1:21">
      <c r="A230" s="2" t="s">
        <v>478</v>
      </c>
      <c r="B230" s="2" t="s">
        <v>479</v>
      </c>
      <c r="C230" s="2" t="s">
        <v>35</v>
      </c>
      <c r="D230" s="2">
        <v>24</v>
      </c>
      <c r="E230" s="2" t="str">
        <f t="shared" si="14"/>
        <v>18-25</v>
      </c>
      <c r="F230" s="2" t="s">
        <v>63</v>
      </c>
      <c r="G230" s="2" t="s">
        <v>21</v>
      </c>
      <c r="H230" s="2">
        <v>18</v>
      </c>
      <c r="I230" s="2" t="str">
        <f t="shared" si="12"/>
        <v>13-24 months</v>
      </c>
      <c r="J230" s="3">
        <v>1149</v>
      </c>
      <c r="K230" s="3">
        <v>20682</v>
      </c>
      <c r="L230" s="2" t="s">
        <v>22</v>
      </c>
      <c r="M230" s="4">
        <v>45386</v>
      </c>
      <c r="N230" s="2" t="s">
        <v>32</v>
      </c>
      <c r="O230" s="2">
        <f t="shared" si="15"/>
        <v>1</v>
      </c>
      <c r="P230" s="2" t="s">
        <v>23</v>
      </c>
      <c r="Q230" s="2" t="s">
        <v>23</v>
      </c>
      <c r="R230" s="2" t="s">
        <v>23</v>
      </c>
      <c r="S230" s="2" t="s">
        <v>23</v>
      </c>
      <c r="T230" s="2" t="s">
        <v>23</v>
      </c>
      <c r="U230" s="25">
        <f t="shared" si="13"/>
        <v>20682.000230000001</v>
      </c>
    </row>
    <row r="231" spans="1:21">
      <c r="A231" s="2" t="s">
        <v>480</v>
      </c>
      <c r="B231" s="2" t="s">
        <v>481</v>
      </c>
      <c r="C231" s="2" t="s">
        <v>35</v>
      </c>
      <c r="D231" s="2">
        <v>56</v>
      </c>
      <c r="E231" s="2" t="str">
        <f t="shared" si="14"/>
        <v>46-60</v>
      </c>
      <c r="F231" s="2" t="s">
        <v>91</v>
      </c>
      <c r="G231" s="2" t="s">
        <v>27</v>
      </c>
      <c r="H231" s="2">
        <v>1</v>
      </c>
      <c r="I231" s="2" t="str">
        <f t="shared" si="12"/>
        <v>0-6 months</v>
      </c>
      <c r="J231" s="3">
        <v>499</v>
      </c>
      <c r="K231" s="3">
        <v>499</v>
      </c>
      <c r="L231" s="2" t="s">
        <v>66</v>
      </c>
      <c r="M231" s="4">
        <v>45875</v>
      </c>
      <c r="N231" s="2" t="s">
        <v>23</v>
      </c>
      <c r="O231" s="2">
        <f t="shared" si="15"/>
        <v>0</v>
      </c>
      <c r="P231" s="2" t="s">
        <v>23</v>
      </c>
      <c r="Q231" s="2" t="s">
        <v>23</v>
      </c>
      <c r="R231" s="2" t="s">
        <v>23</v>
      </c>
      <c r="S231" s="2" t="s">
        <v>23</v>
      </c>
      <c r="T231" s="2" t="s">
        <v>23</v>
      </c>
      <c r="U231" s="25">
        <f t="shared" si="13"/>
        <v>499.00023099999999</v>
      </c>
    </row>
    <row r="232" spans="1:21">
      <c r="A232" s="2" t="s">
        <v>482</v>
      </c>
      <c r="B232" s="2" t="s">
        <v>483</v>
      </c>
      <c r="C232" s="2" t="s">
        <v>19</v>
      </c>
      <c r="D232" s="2">
        <v>28</v>
      </c>
      <c r="E232" s="2" t="str">
        <f t="shared" si="14"/>
        <v>26-35</v>
      </c>
      <c r="F232" s="2" t="s">
        <v>71</v>
      </c>
      <c r="G232" s="2" t="s">
        <v>21</v>
      </c>
      <c r="H232" s="2">
        <v>10</v>
      </c>
      <c r="I232" s="2" t="str">
        <f t="shared" si="12"/>
        <v>7-12 months</v>
      </c>
      <c r="J232" s="3">
        <v>699</v>
      </c>
      <c r="K232" s="3">
        <v>6990</v>
      </c>
      <c r="L232" s="2" t="s">
        <v>31</v>
      </c>
      <c r="M232" s="4">
        <v>45615</v>
      </c>
      <c r="N232" s="2" t="s">
        <v>32</v>
      </c>
      <c r="O232" s="2">
        <f t="shared" si="15"/>
        <v>1</v>
      </c>
      <c r="P232" s="2" t="s">
        <v>23</v>
      </c>
      <c r="Q232" s="2" t="s">
        <v>23</v>
      </c>
      <c r="R232" s="2" t="s">
        <v>23</v>
      </c>
      <c r="S232" s="2" t="s">
        <v>23</v>
      </c>
      <c r="T232" s="2" t="s">
        <v>23</v>
      </c>
      <c r="U232" s="25">
        <f t="shared" si="13"/>
        <v>6990.0002320000003</v>
      </c>
    </row>
    <row r="233" spans="1:21">
      <c r="A233" s="2" t="s">
        <v>484</v>
      </c>
      <c r="B233" s="2" t="s">
        <v>485</v>
      </c>
      <c r="C233" s="2" t="s">
        <v>37</v>
      </c>
      <c r="D233" s="2">
        <v>48</v>
      </c>
      <c r="E233" s="2" t="str">
        <f t="shared" si="14"/>
        <v>46-60</v>
      </c>
      <c r="F233" s="2" t="s">
        <v>110</v>
      </c>
      <c r="G233" s="2" t="s">
        <v>21</v>
      </c>
      <c r="H233" s="2">
        <v>8</v>
      </c>
      <c r="I233" s="2" t="str">
        <f t="shared" si="12"/>
        <v>7-12 months</v>
      </c>
      <c r="J233" s="3">
        <v>849</v>
      </c>
      <c r="K233" s="3">
        <v>6792</v>
      </c>
      <c r="L233" s="2" t="s">
        <v>31</v>
      </c>
      <c r="M233" s="4">
        <v>45682</v>
      </c>
      <c r="N233" s="2" t="s">
        <v>23</v>
      </c>
      <c r="O233" s="2">
        <f t="shared" si="15"/>
        <v>0</v>
      </c>
      <c r="P233" s="2" t="s">
        <v>23</v>
      </c>
      <c r="Q233" s="2" t="s">
        <v>23</v>
      </c>
      <c r="R233" s="2" t="s">
        <v>23</v>
      </c>
      <c r="S233" s="2" t="s">
        <v>23</v>
      </c>
      <c r="T233" s="2" t="s">
        <v>23</v>
      </c>
      <c r="U233" s="25">
        <f t="shared" si="13"/>
        <v>6792.0002329999998</v>
      </c>
    </row>
    <row r="234" spans="1:21">
      <c r="A234" s="2" t="s">
        <v>486</v>
      </c>
      <c r="B234" s="2" t="s">
        <v>98</v>
      </c>
      <c r="C234" s="2" t="s">
        <v>35</v>
      </c>
      <c r="D234" s="2">
        <v>37</v>
      </c>
      <c r="E234" s="2" t="str">
        <f t="shared" si="14"/>
        <v>36-45</v>
      </c>
      <c r="F234" s="2" t="s">
        <v>36</v>
      </c>
      <c r="G234" s="2" t="s">
        <v>47</v>
      </c>
      <c r="H234" s="2">
        <v>49</v>
      </c>
      <c r="I234" s="2" t="str">
        <f t="shared" si="12"/>
        <v>49+ months</v>
      </c>
      <c r="J234" s="3">
        <v>899</v>
      </c>
      <c r="K234" s="3">
        <v>44051</v>
      </c>
      <c r="L234" s="2" t="s">
        <v>31</v>
      </c>
      <c r="M234" s="4">
        <v>44445</v>
      </c>
      <c r="N234" s="2" t="s">
        <v>23</v>
      </c>
      <c r="O234" s="2">
        <f t="shared" si="15"/>
        <v>0</v>
      </c>
      <c r="P234" s="2" t="s">
        <v>23</v>
      </c>
      <c r="Q234" s="2" t="s">
        <v>23</v>
      </c>
      <c r="R234" s="2" t="s">
        <v>23</v>
      </c>
      <c r="S234" s="2" t="s">
        <v>23</v>
      </c>
      <c r="T234" s="2" t="s">
        <v>23</v>
      </c>
      <c r="U234" s="25">
        <f t="shared" si="13"/>
        <v>44051.000233999999</v>
      </c>
    </row>
    <row r="235" spans="1:21">
      <c r="A235" s="2" t="s">
        <v>487</v>
      </c>
      <c r="B235" s="2" t="s">
        <v>488</v>
      </c>
      <c r="C235" s="2" t="s">
        <v>19</v>
      </c>
      <c r="D235" s="2">
        <v>56</v>
      </c>
      <c r="E235" s="2" t="str">
        <f t="shared" si="14"/>
        <v>46-60</v>
      </c>
      <c r="F235" s="2" t="s">
        <v>141</v>
      </c>
      <c r="G235" s="2" t="s">
        <v>21</v>
      </c>
      <c r="H235" s="2">
        <v>13</v>
      </c>
      <c r="I235" s="2" t="str">
        <f t="shared" si="12"/>
        <v>13-24 months</v>
      </c>
      <c r="J235" s="3">
        <v>699</v>
      </c>
      <c r="K235" s="3">
        <v>9087</v>
      </c>
      <c r="L235" s="2" t="s">
        <v>31</v>
      </c>
      <c r="M235" s="4">
        <v>45513</v>
      </c>
      <c r="N235" s="2" t="s">
        <v>23</v>
      </c>
      <c r="O235" s="2">
        <f t="shared" si="15"/>
        <v>0</v>
      </c>
      <c r="P235" s="2" t="s">
        <v>23</v>
      </c>
      <c r="Q235" s="2" t="s">
        <v>23</v>
      </c>
      <c r="R235" s="2" t="s">
        <v>23</v>
      </c>
      <c r="S235" s="2" t="s">
        <v>23</v>
      </c>
      <c r="T235" s="2" t="s">
        <v>23</v>
      </c>
      <c r="U235" s="25">
        <f t="shared" si="13"/>
        <v>9087.0002349999995</v>
      </c>
    </row>
    <row r="236" spans="1:21">
      <c r="A236" s="2" t="s">
        <v>489</v>
      </c>
      <c r="B236" s="2" t="s">
        <v>490</v>
      </c>
      <c r="C236" s="2" t="s">
        <v>19</v>
      </c>
      <c r="D236" s="2">
        <v>35</v>
      </c>
      <c r="E236" s="2" t="str">
        <f t="shared" si="14"/>
        <v>26-35</v>
      </c>
      <c r="F236" s="2" t="s">
        <v>57</v>
      </c>
      <c r="G236" s="2" t="s">
        <v>27</v>
      </c>
      <c r="H236" s="2">
        <v>37</v>
      </c>
      <c r="I236" s="2" t="str">
        <f t="shared" si="12"/>
        <v>25-48 months</v>
      </c>
      <c r="J236" s="3">
        <v>1149</v>
      </c>
      <c r="K236" s="3">
        <v>42513</v>
      </c>
      <c r="L236" s="2" t="s">
        <v>22</v>
      </c>
      <c r="M236" s="4">
        <v>44794</v>
      </c>
      <c r="N236" s="2" t="s">
        <v>32</v>
      </c>
      <c r="O236" s="2">
        <f t="shared" si="15"/>
        <v>1</v>
      </c>
      <c r="P236" s="2" t="s">
        <v>23</v>
      </c>
      <c r="Q236" s="2" t="s">
        <v>23</v>
      </c>
      <c r="R236" s="2" t="s">
        <v>23</v>
      </c>
      <c r="S236" s="2" t="s">
        <v>23</v>
      </c>
      <c r="T236" s="2" t="s">
        <v>23</v>
      </c>
      <c r="U236" s="25">
        <f t="shared" si="13"/>
        <v>42513.000236</v>
      </c>
    </row>
    <row r="237" spans="1:21">
      <c r="A237" s="2" t="s">
        <v>491</v>
      </c>
      <c r="B237" s="2" t="s">
        <v>492</v>
      </c>
      <c r="C237" s="2" t="s">
        <v>19</v>
      </c>
      <c r="D237" s="2">
        <v>31</v>
      </c>
      <c r="E237" s="2" t="str">
        <f t="shared" si="14"/>
        <v>26-35</v>
      </c>
      <c r="F237" s="2" t="s">
        <v>60</v>
      </c>
      <c r="G237" s="2" t="s">
        <v>27</v>
      </c>
      <c r="H237" s="2">
        <v>5</v>
      </c>
      <c r="I237" s="2" t="str">
        <f t="shared" si="12"/>
        <v>0-6 months</v>
      </c>
      <c r="J237" s="3">
        <v>499</v>
      </c>
      <c r="K237" s="3">
        <v>2495</v>
      </c>
      <c r="L237" s="2" t="s">
        <v>66</v>
      </c>
      <c r="M237" s="4">
        <v>45774</v>
      </c>
      <c r="N237" s="2" t="s">
        <v>23</v>
      </c>
      <c r="O237" s="2">
        <f t="shared" si="15"/>
        <v>0</v>
      </c>
      <c r="P237" s="2" t="s">
        <v>23</v>
      </c>
      <c r="Q237" s="2" t="s">
        <v>23</v>
      </c>
      <c r="R237" s="2" t="s">
        <v>23</v>
      </c>
      <c r="S237" s="2" t="s">
        <v>23</v>
      </c>
      <c r="T237" s="2" t="s">
        <v>23</v>
      </c>
      <c r="U237" s="25">
        <f t="shared" si="13"/>
        <v>2495.0002370000002</v>
      </c>
    </row>
    <row r="238" spans="1:21">
      <c r="A238" s="2" t="s">
        <v>493</v>
      </c>
      <c r="B238" s="2" t="s">
        <v>109</v>
      </c>
      <c r="C238" s="2" t="s">
        <v>35</v>
      </c>
      <c r="D238" s="2">
        <v>60</v>
      </c>
      <c r="E238" s="2" t="str">
        <f t="shared" si="14"/>
        <v>46-60</v>
      </c>
      <c r="F238" s="2" t="s">
        <v>63</v>
      </c>
      <c r="G238" s="2" t="s">
        <v>27</v>
      </c>
      <c r="H238" s="2">
        <v>5</v>
      </c>
      <c r="I238" s="2" t="str">
        <f t="shared" si="12"/>
        <v>0-6 months</v>
      </c>
      <c r="J238" s="3">
        <v>1149</v>
      </c>
      <c r="K238" s="3">
        <v>5745</v>
      </c>
      <c r="L238" s="2" t="s">
        <v>22</v>
      </c>
      <c r="M238" s="4">
        <v>45761</v>
      </c>
      <c r="N238" s="2" t="s">
        <v>23</v>
      </c>
      <c r="O238" s="2">
        <f t="shared" si="15"/>
        <v>0</v>
      </c>
      <c r="P238" s="2" t="s">
        <v>23</v>
      </c>
      <c r="Q238" s="2" t="s">
        <v>23</v>
      </c>
      <c r="R238" s="2" t="s">
        <v>23</v>
      </c>
      <c r="S238" s="2" t="s">
        <v>23</v>
      </c>
      <c r="T238" s="2" t="s">
        <v>23</v>
      </c>
      <c r="U238" s="25">
        <f t="shared" si="13"/>
        <v>5745.0002379999996</v>
      </c>
    </row>
    <row r="239" spans="1:21">
      <c r="A239" s="2" t="s">
        <v>494</v>
      </c>
      <c r="B239" s="2" t="s">
        <v>495</v>
      </c>
      <c r="C239" s="2" t="s">
        <v>35</v>
      </c>
      <c r="D239" s="2">
        <v>68</v>
      </c>
      <c r="E239" s="2" t="str">
        <f t="shared" si="14"/>
        <v>60+</v>
      </c>
      <c r="F239" s="2" t="s">
        <v>30</v>
      </c>
      <c r="G239" s="2" t="s">
        <v>27</v>
      </c>
      <c r="H239" s="2">
        <v>39</v>
      </c>
      <c r="I239" s="2" t="str">
        <f t="shared" si="12"/>
        <v>25-48 months</v>
      </c>
      <c r="J239" s="3">
        <v>349</v>
      </c>
      <c r="K239" s="3">
        <v>13611</v>
      </c>
      <c r="L239" s="2" t="s">
        <v>66</v>
      </c>
      <c r="M239" s="4">
        <v>44737</v>
      </c>
      <c r="N239" s="2" t="s">
        <v>23</v>
      </c>
      <c r="O239" s="2">
        <f t="shared" si="15"/>
        <v>0</v>
      </c>
      <c r="P239" s="2" t="s">
        <v>23</v>
      </c>
      <c r="Q239" s="2" t="s">
        <v>23</v>
      </c>
      <c r="R239" s="2" t="s">
        <v>23</v>
      </c>
      <c r="S239" s="2" t="s">
        <v>23</v>
      </c>
      <c r="T239" s="2" t="s">
        <v>23</v>
      </c>
      <c r="U239" s="25">
        <f t="shared" si="13"/>
        <v>13611.000239000001</v>
      </c>
    </row>
    <row r="240" spans="1:21">
      <c r="A240" s="2" t="s">
        <v>496</v>
      </c>
      <c r="B240" s="2" t="s">
        <v>497</v>
      </c>
      <c r="C240" s="2" t="s">
        <v>35</v>
      </c>
      <c r="D240" s="2">
        <v>57</v>
      </c>
      <c r="E240" s="2" t="str">
        <f t="shared" si="14"/>
        <v>46-60</v>
      </c>
      <c r="F240" s="2" t="s">
        <v>36</v>
      </c>
      <c r="G240" s="2" t="s">
        <v>27</v>
      </c>
      <c r="H240" s="2">
        <v>26</v>
      </c>
      <c r="I240" s="2" t="str">
        <f t="shared" si="12"/>
        <v>25-48 months</v>
      </c>
      <c r="J240" s="3">
        <v>1049</v>
      </c>
      <c r="K240" s="3">
        <v>27274</v>
      </c>
      <c r="L240" s="2" t="s">
        <v>22</v>
      </c>
      <c r="M240" s="4">
        <v>45145</v>
      </c>
      <c r="N240" s="2" t="s">
        <v>32</v>
      </c>
      <c r="O240" s="2">
        <f t="shared" si="15"/>
        <v>1</v>
      </c>
      <c r="P240" s="2" t="s">
        <v>23</v>
      </c>
      <c r="Q240" s="2" t="s">
        <v>23</v>
      </c>
      <c r="R240" s="2" t="s">
        <v>23</v>
      </c>
      <c r="S240" s="2" t="s">
        <v>23</v>
      </c>
      <c r="T240" s="2" t="s">
        <v>23</v>
      </c>
      <c r="U240" s="25">
        <f t="shared" si="13"/>
        <v>27274.000240000001</v>
      </c>
    </row>
    <row r="241" spans="1:21">
      <c r="A241" s="2" t="s">
        <v>498</v>
      </c>
      <c r="B241" s="2" t="s">
        <v>499</v>
      </c>
      <c r="C241" s="2" t="s">
        <v>35</v>
      </c>
      <c r="D241" s="2">
        <v>65</v>
      </c>
      <c r="E241" s="2" t="str">
        <f t="shared" si="14"/>
        <v>60+</v>
      </c>
      <c r="F241" s="2" t="s">
        <v>26</v>
      </c>
      <c r="G241" s="2" t="s">
        <v>27</v>
      </c>
      <c r="H241" s="2">
        <v>15</v>
      </c>
      <c r="I241" s="2" t="str">
        <f t="shared" si="12"/>
        <v>13-24 months</v>
      </c>
      <c r="J241" s="3">
        <v>1049</v>
      </c>
      <c r="K241" s="3">
        <v>15735</v>
      </c>
      <c r="L241" s="2" t="s">
        <v>22</v>
      </c>
      <c r="M241" s="4">
        <v>45457</v>
      </c>
      <c r="N241" s="2" t="s">
        <v>23</v>
      </c>
      <c r="O241" s="2">
        <f t="shared" si="15"/>
        <v>0</v>
      </c>
      <c r="P241" s="2" t="s">
        <v>23</v>
      </c>
      <c r="Q241" s="2" t="s">
        <v>23</v>
      </c>
      <c r="R241" s="2" t="s">
        <v>23</v>
      </c>
      <c r="S241" s="2" t="s">
        <v>23</v>
      </c>
      <c r="T241" s="2" t="s">
        <v>23</v>
      </c>
      <c r="U241" s="25">
        <f t="shared" si="13"/>
        <v>15735.000241</v>
      </c>
    </row>
    <row r="242" spans="1:21">
      <c r="A242" s="2" t="s">
        <v>500</v>
      </c>
      <c r="B242" s="2" t="s">
        <v>501</v>
      </c>
      <c r="C242" s="2" t="s">
        <v>19</v>
      </c>
      <c r="D242" s="2">
        <v>48</v>
      </c>
      <c r="E242" s="2" t="str">
        <f t="shared" si="14"/>
        <v>46-60</v>
      </c>
      <c r="F242" s="2" t="s">
        <v>41</v>
      </c>
      <c r="G242" s="2" t="s">
        <v>21</v>
      </c>
      <c r="H242" s="2">
        <v>3</v>
      </c>
      <c r="I242" s="2" t="str">
        <f t="shared" si="12"/>
        <v>0-6 months</v>
      </c>
      <c r="J242" s="3">
        <v>399</v>
      </c>
      <c r="K242" s="3">
        <v>1197</v>
      </c>
      <c r="L242" s="2" t="s">
        <v>66</v>
      </c>
      <c r="M242" s="4">
        <v>45828</v>
      </c>
      <c r="N242" s="2" t="s">
        <v>32</v>
      </c>
      <c r="O242" s="2">
        <f t="shared" si="15"/>
        <v>1</v>
      </c>
      <c r="P242" s="2" t="s">
        <v>23</v>
      </c>
      <c r="Q242" s="2" t="s">
        <v>23</v>
      </c>
      <c r="R242" s="2" t="s">
        <v>32</v>
      </c>
      <c r="S242" s="2" t="s">
        <v>23</v>
      </c>
      <c r="T242" s="2" t="s">
        <v>23</v>
      </c>
      <c r="U242" s="25">
        <f t="shared" si="13"/>
        <v>1197.0002420000001</v>
      </c>
    </row>
    <row r="243" spans="1:21">
      <c r="A243" s="2" t="s">
        <v>502</v>
      </c>
      <c r="B243" s="2" t="s">
        <v>503</v>
      </c>
      <c r="C243" s="2" t="s">
        <v>35</v>
      </c>
      <c r="D243" s="2">
        <v>48</v>
      </c>
      <c r="E243" s="2" t="str">
        <f t="shared" si="14"/>
        <v>46-60</v>
      </c>
      <c r="F243" s="2" t="s">
        <v>30</v>
      </c>
      <c r="G243" s="2" t="s">
        <v>21</v>
      </c>
      <c r="H243" s="2">
        <v>23</v>
      </c>
      <c r="I243" s="2" t="str">
        <f t="shared" si="12"/>
        <v>13-24 months</v>
      </c>
      <c r="J243" s="3">
        <v>1049</v>
      </c>
      <c r="K243" s="3">
        <v>24127</v>
      </c>
      <c r="L243" s="2" t="s">
        <v>22</v>
      </c>
      <c r="M243" s="4">
        <v>45213</v>
      </c>
      <c r="N243" s="2" t="s">
        <v>32</v>
      </c>
      <c r="O243" s="2">
        <f t="shared" si="15"/>
        <v>1</v>
      </c>
      <c r="P243" s="2" t="s">
        <v>23</v>
      </c>
      <c r="Q243" s="2" t="s">
        <v>23</v>
      </c>
      <c r="R243" s="2" t="s">
        <v>23</v>
      </c>
      <c r="S243" s="2" t="s">
        <v>32</v>
      </c>
      <c r="T243" s="2" t="s">
        <v>23</v>
      </c>
      <c r="U243" s="25">
        <f t="shared" si="13"/>
        <v>24127.000242999999</v>
      </c>
    </row>
    <row r="244" spans="1:21">
      <c r="A244" s="2" t="s">
        <v>504</v>
      </c>
      <c r="B244" s="2" t="s">
        <v>505</v>
      </c>
      <c r="C244" s="2" t="s">
        <v>37</v>
      </c>
      <c r="D244" s="2">
        <v>59</v>
      </c>
      <c r="E244" s="2" t="str">
        <f t="shared" si="14"/>
        <v>46-60</v>
      </c>
      <c r="F244" s="2" t="s">
        <v>41</v>
      </c>
      <c r="G244" s="2" t="s">
        <v>27</v>
      </c>
      <c r="H244" s="2">
        <v>16</v>
      </c>
      <c r="I244" s="2" t="str">
        <f t="shared" si="12"/>
        <v>13-24 months</v>
      </c>
      <c r="J244" s="3">
        <v>799</v>
      </c>
      <c r="K244" s="3">
        <v>12784</v>
      </c>
      <c r="L244" s="2" t="s">
        <v>37</v>
      </c>
      <c r="M244" s="4">
        <v>45431</v>
      </c>
      <c r="N244" s="2" t="s">
        <v>23</v>
      </c>
      <c r="O244" s="2">
        <f t="shared" si="15"/>
        <v>0</v>
      </c>
      <c r="P244" s="2" t="s">
        <v>23</v>
      </c>
      <c r="Q244" s="2" t="s">
        <v>23</v>
      </c>
      <c r="R244" s="2" t="s">
        <v>23</v>
      </c>
      <c r="S244" s="2" t="s">
        <v>23</v>
      </c>
      <c r="T244" s="2" t="s">
        <v>23</v>
      </c>
      <c r="U244" s="25">
        <f t="shared" si="13"/>
        <v>12784.000244000001</v>
      </c>
    </row>
    <row r="245" spans="1:21">
      <c r="A245" s="2" t="s">
        <v>506</v>
      </c>
      <c r="B245" s="2" t="s">
        <v>161</v>
      </c>
      <c r="C245" s="2" t="s">
        <v>35</v>
      </c>
      <c r="D245" s="2">
        <v>69</v>
      </c>
      <c r="E245" s="2" t="str">
        <f t="shared" si="14"/>
        <v>60+</v>
      </c>
      <c r="F245" s="2" t="s">
        <v>105</v>
      </c>
      <c r="G245" s="2" t="s">
        <v>27</v>
      </c>
      <c r="H245" s="2">
        <v>28</v>
      </c>
      <c r="I245" s="2" t="str">
        <f t="shared" si="12"/>
        <v>25-48 months</v>
      </c>
      <c r="J245" s="3">
        <v>749</v>
      </c>
      <c r="K245" s="3">
        <v>20972</v>
      </c>
      <c r="L245" s="2" t="s">
        <v>31</v>
      </c>
      <c r="M245" s="4">
        <v>45074</v>
      </c>
      <c r="N245" s="2" t="s">
        <v>23</v>
      </c>
      <c r="O245" s="2">
        <f t="shared" si="15"/>
        <v>0</v>
      </c>
      <c r="P245" s="2" t="s">
        <v>23</v>
      </c>
      <c r="Q245" s="2" t="s">
        <v>23</v>
      </c>
      <c r="R245" s="2" t="s">
        <v>23</v>
      </c>
      <c r="S245" s="2" t="s">
        <v>23</v>
      </c>
      <c r="T245" s="2" t="s">
        <v>23</v>
      </c>
      <c r="U245" s="25">
        <f t="shared" si="13"/>
        <v>20972.000244999999</v>
      </c>
    </row>
    <row r="246" spans="1:21">
      <c r="A246" s="2" t="s">
        <v>507</v>
      </c>
      <c r="B246" s="2" t="s">
        <v>508</v>
      </c>
      <c r="C246" s="2" t="s">
        <v>35</v>
      </c>
      <c r="D246" s="2">
        <v>63</v>
      </c>
      <c r="E246" s="2" t="str">
        <f t="shared" si="14"/>
        <v>60+</v>
      </c>
      <c r="F246" s="2" t="s">
        <v>20</v>
      </c>
      <c r="G246" s="2" t="s">
        <v>21</v>
      </c>
      <c r="H246" s="2">
        <v>3</v>
      </c>
      <c r="I246" s="2" t="str">
        <f t="shared" si="12"/>
        <v>0-6 months</v>
      </c>
      <c r="J246" s="3">
        <v>899</v>
      </c>
      <c r="K246" s="3">
        <v>2697</v>
      </c>
      <c r="L246" s="2" t="s">
        <v>22</v>
      </c>
      <c r="M246" s="4">
        <v>45828</v>
      </c>
      <c r="N246" s="2" t="s">
        <v>32</v>
      </c>
      <c r="O246" s="2">
        <f t="shared" si="15"/>
        <v>1</v>
      </c>
      <c r="P246" s="2" t="s">
        <v>23</v>
      </c>
      <c r="Q246" s="2" t="s">
        <v>23</v>
      </c>
      <c r="R246" s="2" t="s">
        <v>23</v>
      </c>
      <c r="S246" s="2" t="s">
        <v>23</v>
      </c>
      <c r="T246" s="2" t="s">
        <v>23</v>
      </c>
      <c r="U246" s="25">
        <f t="shared" si="13"/>
        <v>2697.0002460000001</v>
      </c>
    </row>
    <row r="247" spans="1:21">
      <c r="A247" s="2" t="s">
        <v>509</v>
      </c>
      <c r="B247" s="2" t="s">
        <v>37</v>
      </c>
      <c r="C247" s="2" t="s">
        <v>19</v>
      </c>
      <c r="D247" s="2">
        <v>34</v>
      </c>
      <c r="E247" s="2" t="str">
        <f t="shared" si="14"/>
        <v>26-35</v>
      </c>
      <c r="F247" s="2" t="s">
        <v>71</v>
      </c>
      <c r="G247" s="2" t="s">
        <v>47</v>
      </c>
      <c r="H247" s="2">
        <v>41</v>
      </c>
      <c r="I247" s="2" t="str">
        <f t="shared" si="12"/>
        <v>25-48 months</v>
      </c>
      <c r="J247" s="3">
        <v>1099</v>
      </c>
      <c r="K247" s="3">
        <v>45059</v>
      </c>
      <c r="L247" s="2" t="s">
        <v>22</v>
      </c>
      <c r="M247" s="4">
        <v>44695</v>
      </c>
      <c r="N247" s="2" t="s">
        <v>23</v>
      </c>
      <c r="O247" s="2">
        <f t="shared" si="15"/>
        <v>0</v>
      </c>
      <c r="P247" s="2" t="s">
        <v>23</v>
      </c>
      <c r="Q247" s="2" t="s">
        <v>23</v>
      </c>
      <c r="R247" s="2" t="s">
        <v>23</v>
      </c>
      <c r="S247" s="2" t="s">
        <v>23</v>
      </c>
      <c r="T247" s="2" t="s">
        <v>23</v>
      </c>
      <c r="U247" s="25">
        <f t="shared" si="13"/>
        <v>45059.000247000004</v>
      </c>
    </row>
    <row r="248" spans="1:21">
      <c r="A248" s="2" t="s">
        <v>510</v>
      </c>
      <c r="B248" s="2" t="s">
        <v>348</v>
      </c>
      <c r="C248" s="2" t="s">
        <v>35</v>
      </c>
      <c r="D248" s="2">
        <v>57</v>
      </c>
      <c r="E248" s="2" t="str">
        <f t="shared" si="14"/>
        <v>46-60</v>
      </c>
      <c r="F248" s="2" t="s">
        <v>63</v>
      </c>
      <c r="G248" s="2" t="s">
        <v>47</v>
      </c>
      <c r="H248" s="2">
        <v>39</v>
      </c>
      <c r="I248" s="2" t="str">
        <f t="shared" si="12"/>
        <v>25-48 months</v>
      </c>
      <c r="J248" s="3">
        <v>1149</v>
      </c>
      <c r="K248" s="3">
        <v>44811</v>
      </c>
      <c r="L248" s="2" t="s">
        <v>22</v>
      </c>
      <c r="M248" s="4">
        <v>44748</v>
      </c>
      <c r="N248" s="2" t="s">
        <v>23</v>
      </c>
      <c r="O248" s="2">
        <f t="shared" si="15"/>
        <v>0</v>
      </c>
      <c r="P248" s="2" t="s">
        <v>23</v>
      </c>
      <c r="Q248" s="2" t="s">
        <v>23</v>
      </c>
      <c r="R248" s="2" t="s">
        <v>23</v>
      </c>
      <c r="S248" s="2" t="s">
        <v>23</v>
      </c>
      <c r="T248" s="2" t="s">
        <v>23</v>
      </c>
      <c r="U248" s="25">
        <f t="shared" si="13"/>
        <v>44811.000247999997</v>
      </c>
    </row>
    <row r="249" spans="1:21">
      <c r="A249" s="2" t="s">
        <v>511</v>
      </c>
      <c r="B249" s="2" t="s">
        <v>512</v>
      </c>
      <c r="C249" s="2" t="s">
        <v>19</v>
      </c>
      <c r="D249" s="2">
        <v>25</v>
      </c>
      <c r="E249" s="2" t="str">
        <f t="shared" si="14"/>
        <v>18-25</v>
      </c>
      <c r="F249" s="2" t="s">
        <v>63</v>
      </c>
      <c r="G249" s="2" t="s">
        <v>21</v>
      </c>
      <c r="H249" s="2">
        <v>13</v>
      </c>
      <c r="I249" s="2" t="str">
        <f t="shared" si="12"/>
        <v>13-24 months</v>
      </c>
      <c r="J249" s="3">
        <v>749</v>
      </c>
      <c r="K249" s="3">
        <v>9737</v>
      </c>
      <c r="L249" s="2" t="s">
        <v>31</v>
      </c>
      <c r="M249" s="4">
        <v>45525</v>
      </c>
      <c r="N249" s="2" t="s">
        <v>23</v>
      </c>
      <c r="O249" s="2">
        <f t="shared" si="15"/>
        <v>0</v>
      </c>
      <c r="P249" s="2" t="s">
        <v>23</v>
      </c>
      <c r="Q249" s="2" t="s">
        <v>23</v>
      </c>
      <c r="R249" s="2" t="s">
        <v>23</v>
      </c>
      <c r="S249" s="2" t="s">
        <v>23</v>
      </c>
      <c r="T249" s="2" t="s">
        <v>23</v>
      </c>
      <c r="U249" s="25">
        <f t="shared" si="13"/>
        <v>9737.0002490000006</v>
      </c>
    </row>
    <row r="250" spans="1:21">
      <c r="A250" s="2" t="s">
        <v>513</v>
      </c>
      <c r="B250" s="2" t="s">
        <v>514</v>
      </c>
      <c r="C250" s="2" t="s">
        <v>19</v>
      </c>
      <c r="D250" s="2">
        <v>52</v>
      </c>
      <c r="E250" s="2" t="str">
        <f t="shared" si="14"/>
        <v>46-60</v>
      </c>
      <c r="F250" s="2" t="s">
        <v>141</v>
      </c>
      <c r="G250" s="2" t="s">
        <v>47</v>
      </c>
      <c r="H250" s="2">
        <v>23</v>
      </c>
      <c r="I250" s="2" t="str">
        <f t="shared" si="12"/>
        <v>13-24 months</v>
      </c>
      <c r="J250" s="3">
        <v>499</v>
      </c>
      <c r="K250" s="3">
        <v>11477</v>
      </c>
      <c r="L250" s="2" t="s">
        <v>66</v>
      </c>
      <c r="M250" s="4">
        <v>45233</v>
      </c>
      <c r="N250" s="2" t="s">
        <v>23</v>
      </c>
      <c r="O250" s="2">
        <f t="shared" si="15"/>
        <v>0</v>
      </c>
      <c r="P250" s="2" t="s">
        <v>23</v>
      </c>
      <c r="Q250" s="2" t="s">
        <v>23</v>
      </c>
      <c r="R250" s="2" t="s">
        <v>23</v>
      </c>
      <c r="S250" s="2" t="s">
        <v>23</v>
      </c>
      <c r="T250" s="2" t="s">
        <v>23</v>
      </c>
      <c r="U250" s="25">
        <f t="shared" si="13"/>
        <v>11477.000249999999</v>
      </c>
    </row>
    <row r="251" spans="1:21">
      <c r="A251" s="2" t="s">
        <v>515</v>
      </c>
      <c r="B251" s="2" t="s">
        <v>516</v>
      </c>
      <c r="C251" s="2" t="s">
        <v>35</v>
      </c>
      <c r="D251" s="2">
        <v>21</v>
      </c>
      <c r="E251" s="2" t="str">
        <f t="shared" si="14"/>
        <v>18-25</v>
      </c>
      <c r="F251" s="2" t="s">
        <v>57</v>
      </c>
      <c r="G251" s="2" t="s">
        <v>21</v>
      </c>
      <c r="H251" s="2">
        <v>5</v>
      </c>
      <c r="I251" s="2" t="str">
        <f t="shared" si="12"/>
        <v>0-6 months</v>
      </c>
      <c r="J251" s="3">
        <v>649</v>
      </c>
      <c r="K251" s="3">
        <v>3245</v>
      </c>
      <c r="L251" s="2" t="s">
        <v>31</v>
      </c>
      <c r="M251" s="4">
        <v>45762</v>
      </c>
      <c r="N251" s="2" t="s">
        <v>23</v>
      </c>
      <c r="O251" s="2">
        <f t="shared" si="15"/>
        <v>0</v>
      </c>
      <c r="P251" s="2" t="s">
        <v>23</v>
      </c>
      <c r="Q251" s="2" t="s">
        <v>23</v>
      </c>
      <c r="R251" s="2" t="s">
        <v>23</v>
      </c>
      <c r="S251" s="2" t="s">
        <v>23</v>
      </c>
      <c r="T251" s="2" t="s">
        <v>23</v>
      </c>
      <c r="U251" s="25">
        <f t="shared" si="13"/>
        <v>3245.0002509999999</v>
      </c>
    </row>
    <row r="252" spans="1:21">
      <c r="A252" s="2" t="s">
        <v>517</v>
      </c>
      <c r="B252" s="2" t="s">
        <v>518</v>
      </c>
      <c r="C252" s="2" t="s">
        <v>35</v>
      </c>
      <c r="D252" s="2">
        <v>49</v>
      </c>
      <c r="E252" s="2" t="str">
        <f t="shared" si="14"/>
        <v>46-60</v>
      </c>
      <c r="F252" s="2" t="s">
        <v>105</v>
      </c>
      <c r="G252" s="2" t="s">
        <v>27</v>
      </c>
      <c r="H252" s="2">
        <v>11</v>
      </c>
      <c r="I252" s="2" t="str">
        <f t="shared" si="12"/>
        <v>7-12 months</v>
      </c>
      <c r="J252" s="3">
        <v>1149</v>
      </c>
      <c r="K252" s="3">
        <v>12639</v>
      </c>
      <c r="L252" s="2" t="s">
        <v>22</v>
      </c>
      <c r="M252" s="4">
        <v>45591</v>
      </c>
      <c r="N252" s="2" t="s">
        <v>23</v>
      </c>
      <c r="O252" s="2">
        <f t="shared" si="15"/>
        <v>0</v>
      </c>
      <c r="P252" s="2" t="s">
        <v>23</v>
      </c>
      <c r="Q252" s="2" t="s">
        <v>23</v>
      </c>
      <c r="R252" s="2" t="s">
        <v>23</v>
      </c>
      <c r="S252" s="2" t="s">
        <v>23</v>
      </c>
      <c r="T252" s="2" t="s">
        <v>23</v>
      </c>
      <c r="U252" s="25">
        <f t="shared" si="13"/>
        <v>12639.000252</v>
      </c>
    </row>
    <row r="253" spans="1:21">
      <c r="A253" s="2" t="s">
        <v>519</v>
      </c>
      <c r="B253" s="2" t="s">
        <v>520</v>
      </c>
      <c r="C253" s="2" t="s">
        <v>35</v>
      </c>
      <c r="D253" s="2">
        <v>32</v>
      </c>
      <c r="E253" s="2" t="str">
        <f t="shared" si="14"/>
        <v>26-35</v>
      </c>
      <c r="F253" s="2" t="s">
        <v>26</v>
      </c>
      <c r="G253" s="2" t="s">
        <v>21</v>
      </c>
      <c r="H253" s="2">
        <v>19</v>
      </c>
      <c r="I253" s="2" t="str">
        <f t="shared" si="12"/>
        <v>13-24 months</v>
      </c>
      <c r="J253" s="3">
        <v>1299</v>
      </c>
      <c r="K253" s="3">
        <v>24681</v>
      </c>
      <c r="L253" s="2" t="s">
        <v>22</v>
      </c>
      <c r="M253" s="4">
        <v>45355</v>
      </c>
      <c r="N253" s="2" t="s">
        <v>23</v>
      </c>
      <c r="O253" s="2">
        <f t="shared" si="15"/>
        <v>0</v>
      </c>
      <c r="P253" s="2" t="s">
        <v>23</v>
      </c>
      <c r="Q253" s="2" t="s">
        <v>32</v>
      </c>
      <c r="R253" s="2" t="s">
        <v>23</v>
      </c>
      <c r="S253" s="2" t="s">
        <v>23</v>
      </c>
      <c r="T253" s="2" t="s">
        <v>23</v>
      </c>
      <c r="U253" s="25">
        <f t="shared" si="13"/>
        <v>24681.000252999998</v>
      </c>
    </row>
    <row r="254" spans="1:21">
      <c r="A254" s="2" t="s">
        <v>521</v>
      </c>
      <c r="B254" s="2" t="s">
        <v>522</v>
      </c>
      <c r="C254" s="2" t="s">
        <v>19</v>
      </c>
      <c r="D254" s="2">
        <v>70</v>
      </c>
      <c r="E254" s="2" t="str">
        <f t="shared" si="14"/>
        <v>60+</v>
      </c>
      <c r="F254" s="2" t="s">
        <v>30</v>
      </c>
      <c r="G254" s="2" t="s">
        <v>21</v>
      </c>
      <c r="H254" s="2">
        <v>24</v>
      </c>
      <c r="I254" s="2" t="str">
        <f t="shared" si="12"/>
        <v>13-24 months</v>
      </c>
      <c r="J254" s="3">
        <v>1149</v>
      </c>
      <c r="K254" s="3">
        <v>27576</v>
      </c>
      <c r="L254" s="2" t="s">
        <v>22</v>
      </c>
      <c r="M254" s="4">
        <v>45205</v>
      </c>
      <c r="N254" s="2" t="s">
        <v>23</v>
      </c>
      <c r="O254" s="2">
        <f t="shared" si="15"/>
        <v>0</v>
      </c>
      <c r="P254" s="2" t="s">
        <v>23</v>
      </c>
      <c r="Q254" s="2" t="s">
        <v>23</v>
      </c>
      <c r="R254" s="2" t="s">
        <v>23</v>
      </c>
      <c r="S254" s="2" t="s">
        <v>23</v>
      </c>
      <c r="T254" s="2" t="s">
        <v>23</v>
      </c>
      <c r="U254" s="25">
        <f t="shared" si="13"/>
        <v>27576.000253999999</v>
      </c>
    </row>
    <row r="255" spans="1:21">
      <c r="A255" s="2" t="s">
        <v>523</v>
      </c>
      <c r="B255" s="2" t="s">
        <v>524</v>
      </c>
      <c r="C255" s="2" t="s">
        <v>19</v>
      </c>
      <c r="D255" s="2">
        <v>46</v>
      </c>
      <c r="E255" s="2" t="str">
        <f t="shared" si="14"/>
        <v>46-60</v>
      </c>
      <c r="F255" s="2" t="s">
        <v>46</v>
      </c>
      <c r="G255" s="2" t="s">
        <v>21</v>
      </c>
      <c r="H255" s="2">
        <v>15</v>
      </c>
      <c r="I255" s="2" t="str">
        <f t="shared" si="12"/>
        <v>13-24 months</v>
      </c>
      <c r="J255" s="3">
        <v>399</v>
      </c>
      <c r="K255" s="3">
        <v>5985</v>
      </c>
      <c r="L255" s="2" t="s">
        <v>66</v>
      </c>
      <c r="M255" s="4">
        <v>45455</v>
      </c>
      <c r="N255" s="2" t="s">
        <v>32</v>
      </c>
      <c r="O255" s="2">
        <f t="shared" si="15"/>
        <v>1</v>
      </c>
      <c r="P255" s="2" t="s">
        <v>23</v>
      </c>
      <c r="Q255" s="2" t="s">
        <v>23</v>
      </c>
      <c r="R255" s="2" t="s">
        <v>23</v>
      </c>
      <c r="S255" s="2" t="s">
        <v>32</v>
      </c>
      <c r="T255" s="2" t="s">
        <v>23</v>
      </c>
      <c r="U255" s="25">
        <f t="shared" si="13"/>
        <v>5985.0002549999999</v>
      </c>
    </row>
    <row r="256" spans="1:21">
      <c r="A256" s="2" t="s">
        <v>525</v>
      </c>
      <c r="B256" s="2" t="s">
        <v>368</v>
      </c>
      <c r="C256" s="2" t="s">
        <v>35</v>
      </c>
      <c r="D256" s="2">
        <v>45</v>
      </c>
      <c r="E256" s="2" t="str">
        <f t="shared" si="14"/>
        <v>36-45</v>
      </c>
      <c r="F256" s="2" t="s">
        <v>63</v>
      </c>
      <c r="G256" s="2" t="s">
        <v>27</v>
      </c>
      <c r="H256" s="2">
        <v>14</v>
      </c>
      <c r="I256" s="2" t="str">
        <f t="shared" si="12"/>
        <v>13-24 months</v>
      </c>
      <c r="J256" s="3">
        <v>899</v>
      </c>
      <c r="K256" s="3">
        <v>12586</v>
      </c>
      <c r="L256" s="2" t="s">
        <v>22</v>
      </c>
      <c r="M256" s="4">
        <v>45500</v>
      </c>
      <c r="N256" s="2" t="s">
        <v>23</v>
      </c>
      <c r="O256" s="2">
        <f t="shared" si="15"/>
        <v>0</v>
      </c>
      <c r="P256" s="2" t="s">
        <v>23</v>
      </c>
      <c r="Q256" s="2" t="s">
        <v>23</v>
      </c>
      <c r="R256" s="2" t="s">
        <v>23</v>
      </c>
      <c r="S256" s="2" t="s">
        <v>23</v>
      </c>
      <c r="T256" s="2" t="s">
        <v>23</v>
      </c>
      <c r="U256" s="25">
        <f t="shared" si="13"/>
        <v>12586.000255999999</v>
      </c>
    </row>
    <row r="257" spans="1:21">
      <c r="A257" s="2" t="s">
        <v>526</v>
      </c>
      <c r="B257" s="2" t="s">
        <v>527</v>
      </c>
      <c r="C257" s="2" t="s">
        <v>19</v>
      </c>
      <c r="D257" s="2">
        <v>36</v>
      </c>
      <c r="E257" s="2" t="str">
        <f t="shared" si="14"/>
        <v>36-45</v>
      </c>
      <c r="F257" s="2" t="s">
        <v>46</v>
      </c>
      <c r="G257" s="2" t="s">
        <v>27</v>
      </c>
      <c r="H257" s="2">
        <v>33</v>
      </c>
      <c r="I257" s="2" t="str">
        <f t="shared" si="12"/>
        <v>25-48 months</v>
      </c>
      <c r="J257" s="3">
        <v>349</v>
      </c>
      <c r="K257" s="3">
        <v>11517</v>
      </c>
      <c r="L257" s="2" t="s">
        <v>66</v>
      </c>
      <c r="M257" s="4">
        <v>44914</v>
      </c>
      <c r="N257" s="2" t="s">
        <v>32</v>
      </c>
      <c r="O257" s="2">
        <f t="shared" si="15"/>
        <v>1</v>
      </c>
      <c r="P257" s="2" t="s">
        <v>23</v>
      </c>
      <c r="Q257" s="2" t="s">
        <v>23</v>
      </c>
      <c r="R257" s="2" t="s">
        <v>23</v>
      </c>
      <c r="S257" s="2" t="s">
        <v>23</v>
      </c>
      <c r="T257" s="2" t="s">
        <v>23</v>
      </c>
      <c r="U257" s="25">
        <f t="shared" si="13"/>
        <v>11517.000257</v>
      </c>
    </row>
    <row r="258" spans="1:21">
      <c r="A258" s="2" t="s">
        <v>528</v>
      </c>
      <c r="B258" s="2" t="s">
        <v>520</v>
      </c>
      <c r="C258" s="2" t="s">
        <v>35</v>
      </c>
      <c r="D258" s="2">
        <v>73</v>
      </c>
      <c r="E258" s="2" t="str">
        <f t="shared" si="14"/>
        <v>60+</v>
      </c>
      <c r="F258" s="2" t="s">
        <v>71</v>
      </c>
      <c r="G258" s="2" t="s">
        <v>21</v>
      </c>
      <c r="H258" s="2">
        <v>8</v>
      </c>
      <c r="I258" s="2" t="str">
        <f t="shared" ref="I258:I321" si="16">IF(H258="","Unknown",IF(H258&lt;=6,"0-6 months",IF(H258&lt;=12,"7-12 months",IF(H258&lt;=24,"13-24 months",IF(H258&lt;=48,"25-48 months","49+ months")))))</f>
        <v>7-12 months</v>
      </c>
      <c r="J258" s="3">
        <v>449</v>
      </c>
      <c r="K258" s="3">
        <v>3592</v>
      </c>
      <c r="L258" s="2" t="s">
        <v>66</v>
      </c>
      <c r="M258" s="4">
        <v>45664</v>
      </c>
      <c r="N258" s="2" t="s">
        <v>23</v>
      </c>
      <c r="O258" s="2">
        <f t="shared" si="15"/>
        <v>0</v>
      </c>
      <c r="P258" s="2" t="s">
        <v>23</v>
      </c>
      <c r="Q258" s="2" t="s">
        <v>23</v>
      </c>
      <c r="R258" s="2" t="s">
        <v>23</v>
      </c>
      <c r="S258" s="2" t="s">
        <v>23</v>
      </c>
      <c r="T258" s="2" t="s">
        <v>23</v>
      </c>
      <c r="U258" s="25">
        <f t="shared" ref="U258:U321" si="17">IF(K258="","",K258+ROW()/1000000)</f>
        <v>3592.000258</v>
      </c>
    </row>
    <row r="259" spans="1:21">
      <c r="A259" s="2" t="s">
        <v>529</v>
      </c>
      <c r="B259" s="2" t="s">
        <v>530</v>
      </c>
      <c r="C259" s="2" t="s">
        <v>35</v>
      </c>
      <c r="D259" s="2">
        <v>54</v>
      </c>
      <c r="E259" s="2" t="str">
        <f t="shared" ref="E259:E322" si="18">IF(D259&lt;=25,"18-25",IF(D259&lt;=35,"26-35",IF(D259&lt;=45,"36-45",IF(D259&lt;=60,"46-60","60+"))))</f>
        <v>46-60</v>
      </c>
      <c r="F259" s="2" t="s">
        <v>71</v>
      </c>
      <c r="G259" s="2" t="s">
        <v>21</v>
      </c>
      <c r="H259" s="2">
        <v>15</v>
      </c>
      <c r="I259" s="2" t="str">
        <f t="shared" si="16"/>
        <v>13-24 months</v>
      </c>
      <c r="J259" s="3">
        <v>1199</v>
      </c>
      <c r="K259" s="3">
        <v>17985</v>
      </c>
      <c r="L259" s="2" t="s">
        <v>22</v>
      </c>
      <c r="M259" s="4">
        <v>45455</v>
      </c>
      <c r="N259" s="2" t="s">
        <v>32</v>
      </c>
      <c r="O259" s="2">
        <f t="shared" ref="O259:O322" si="19">IF(N259="Yes",1,IF(N259="No",0,""))</f>
        <v>1</v>
      </c>
      <c r="P259" s="2" t="s">
        <v>23</v>
      </c>
      <c r="Q259" s="2" t="s">
        <v>23</v>
      </c>
      <c r="R259" s="2" t="s">
        <v>23</v>
      </c>
      <c r="S259" s="2" t="s">
        <v>23</v>
      </c>
      <c r="T259" s="2" t="s">
        <v>23</v>
      </c>
      <c r="U259" s="25">
        <f t="shared" si="17"/>
        <v>17985.000259</v>
      </c>
    </row>
    <row r="260" spans="1:21">
      <c r="A260" s="2" t="s">
        <v>531</v>
      </c>
      <c r="B260" s="2" t="s">
        <v>348</v>
      </c>
      <c r="C260" s="2" t="s">
        <v>35</v>
      </c>
      <c r="D260" s="2">
        <v>49</v>
      </c>
      <c r="E260" s="2" t="str">
        <f t="shared" si="18"/>
        <v>46-60</v>
      </c>
      <c r="F260" s="2" t="s">
        <v>30</v>
      </c>
      <c r="G260" s="2" t="s">
        <v>27</v>
      </c>
      <c r="H260" s="2">
        <v>6</v>
      </c>
      <c r="I260" s="2" t="str">
        <f t="shared" si="16"/>
        <v>0-6 months</v>
      </c>
      <c r="J260" s="3">
        <v>449</v>
      </c>
      <c r="K260" s="3">
        <v>2694</v>
      </c>
      <c r="L260" s="2" t="s">
        <v>66</v>
      </c>
      <c r="M260" s="4">
        <v>45723</v>
      </c>
      <c r="N260" s="2" t="s">
        <v>23</v>
      </c>
      <c r="O260" s="2">
        <f t="shared" si="19"/>
        <v>0</v>
      </c>
      <c r="P260" s="2" t="s">
        <v>23</v>
      </c>
      <c r="Q260" s="2" t="s">
        <v>23</v>
      </c>
      <c r="R260" s="2" t="s">
        <v>23</v>
      </c>
      <c r="S260" s="2" t="s">
        <v>23</v>
      </c>
      <c r="T260" s="2" t="s">
        <v>23</v>
      </c>
      <c r="U260" s="25">
        <f t="shared" si="17"/>
        <v>2694.0002599999998</v>
      </c>
    </row>
    <row r="261" spans="1:21">
      <c r="A261" s="2" t="s">
        <v>532</v>
      </c>
      <c r="B261" s="2" t="s">
        <v>533</v>
      </c>
      <c r="C261" s="2" t="s">
        <v>35</v>
      </c>
      <c r="D261" s="2">
        <v>70</v>
      </c>
      <c r="E261" s="2" t="str">
        <f t="shared" si="18"/>
        <v>60+</v>
      </c>
      <c r="F261" s="2" t="s">
        <v>20</v>
      </c>
      <c r="G261" s="2" t="s">
        <v>21</v>
      </c>
      <c r="H261" s="2">
        <v>10</v>
      </c>
      <c r="I261" s="2" t="str">
        <f t="shared" si="16"/>
        <v>7-12 months</v>
      </c>
      <c r="J261" s="3">
        <v>699</v>
      </c>
      <c r="K261" s="3">
        <v>6990</v>
      </c>
      <c r="L261" s="2" t="s">
        <v>31</v>
      </c>
      <c r="M261" s="4">
        <v>45601</v>
      </c>
      <c r="N261" s="2" t="s">
        <v>32</v>
      </c>
      <c r="O261" s="2">
        <f t="shared" si="19"/>
        <v>1</v>
      </c>
      <c r="P261" s="2" t="s">
        <v>23</v>
      </c>
      <c r="Q261" s="2" t="s">
        <v>23</v>
      </c>
      <c r="R261" s="2" t="s">
        <v>23</v>
      </c>
      <c r="S261" s="2" t="s">
        <v>23</v>
      </c>
      <c r="T261" s="2" t="s">
        <v>23</v>
      </c>
      <c r="U261" s="25">
        <f t="shared" si="17"/>
        <v>6990.0002610000001</v>
      </c>
    </row>
    <row r="262" spans="1:21">
      <c r="A262" s="2" t="s">
        <v>534</v>
      </c>
      <c r="B262" s="2" t="s">
        <v>143</v>
      </c>
      <c r="C262" s="2" t="s">
        <v>35</v>
      </c>
      <c r="D262" s="2">
        <v>66</v>
      </c>
      <c r="E262" s="2" t="str">
        <f t="shared" si="18"/>
        <v>60+</v>
      </c>
      <c r="F262" s="2" t="s">
        <v>36</v>
      </c>
      <c r="G262" s="2" t="s">
        <v>21</v>
      </c>
      <c r="H262" s="2">
        <v>15</v>
      </c>
      <c r="I262" s="2" t="str">
        <f t="shared" si="16"/>
        <v>13-24 months</v>
      </c>
      <c r="J262" s="3">
        <v>899</v>
      </c>
      <c r="K262" s="3">
        <v>13485</v>
      </c>
      <c r="L262" s="2" t="s">
        <v>22</v>
      </c>
      <c r="M262" s="4">
        <v>45478</v>
      </c>
      <c r="N262" s="2" t="s">
        <v>32</v>
      </c>
      <c r="O262" s="2">
        <f t="shared" si="19"/>
        <v>1</v>
      </c>
      <c r="P262" s="2" t="s">
        <v>23</v>
      </c>
      <c r="Q262" s="2" t="s">
        <v>23</v>
      </c>
      <c r="R262" s="2" t="s">
        <v>23</v>
      </c>
      <c r="S262" s="2" t="s">
        <v>23</v>
      </c>
      <c r="T262" s="2" t="s">
        <v>23</v>
      </c>
      <c r="U262" s="25">
        <f t="shared" si="17"/>
        <v>13485.000262</v>
      </c>
    </row>
    <row r="263" spans="1:21">
      <c r="A263" s="2" t="s">
        <v>535</v>
      </c>
      <c r="B263" s="2" t="s">
        <v>536</v>
      </c>
      <c r="C263" s="2" t="s">
        <v>35</v>
      </c>
      <c r="D263" s="2">
        <v>26</v>
      </c>
      <c r="E263" s="2" t="str">
        <f t="shared" si="18"/>
        <v>26-35</v>
      </c>
      <c r="F263" s="2" t="s">
        <v>71</v>
      </c>
      <c r="G263" s="2" t="s">
        <v>21</v>
      </c>
      <c r="H263" s="2">
        <v>9</v>
      </c>
      <c r="I263" s="2" t="str">
        <f t="shared" si="16"/>
        <v>7-12 months</v>
      </c>
      <c r="J263" s="3">
        <v>449</v>
      </c>
      <c r="K263" s="3">
        <v>4041</v>
      </c>
      <c r="L263" s="2" t="s">
        <v>66</v>
      </c>
      <c r="M263" s="4">
        <v>45647</v>
      </c>
      <c r="N263" s="2" t="s">
        <v>32</v>
      </c>
      <c r="O263" s="2">
        <f t="shared" si="19"/>
        <v>1</v>
      </c>
      <c r="P263" s="2" t="s">
        <v>23</v>
      </c>
      <c r="Q263" s="2" t="s">
        <v>23</v>
      </c>
      <c r="R263" s="2" t="s">
        <v>23</v>
      </c>
      <c r="S263" s="2" t="s">
        <v>23</v>
      </c>
      <c r="T263" s="2" t="s">
        <v>23</v>
      </c>
      <c r="U263" s="25">
        <f t="shared" si="17"/>
        <v>4041.0002629999999</v>
      </c>
    </row>
    <row r="264" spans="1:21">
      <c r="A264" s="2" t="s">
        <v>537</v>
      </c>
      <c r="B264" s="2" t="s">
        <v>538</v>
      </c>
      <c r="C264" s="2" t="s">
        <v>19</v>
      </c>
      <c r="D264" s="2">
        <v>58</v>
      </c>
      <c r="E264" s="2" t="str">
        <f t="shared" si="18"/>
        <v>46-60</v>
      </c>
      <c r="F264" s="2" t="s">
        <v>46</v>
      </c>
      <c r="G264" s="2" t="s">
        <v>27</v>
      </c>
      <c r="H264" s="2">
        <v>28</v>
      </c>
      <c r="I264" s="2" t="str">
        <f t="shared" si="16"/>
        <v>25-48 months</v>
      </c>
      <c r="J264" s="3">
        <v>899</v>
      </c>
      <c r="K264" s="3">
        <v>25172</v>
      </c>
      <c r="L264" s="2" t="s">
        <v>22</v>
      </c>
      <c r="M264" s="4">
        <v>45073</v>
      </c>
      <c r="N264" s="2" t="s">
        <v>32</v>
      </c>
      <c r="O264" s="2">
        <f t="shared" si="19"/>
        <v>1</v>
      </c>
      <c r="P264" s="2" t="s">
        <v>23</v>
      </c>
      <c r="Q264" s="2" t="s">
        <v>23</v>
      </c>
      <c r="R264" s="2" t="s">
        <v>23</v>
      </c>
      <c r="S264" s="2" t="s">
        <v>23</v>
      </c>
      <c r="T264" s="2" t="s">
        <v>23</v>
      </c>
      <c r="U264" s="25">
        <f t="shared" si="17"/>
        <v>25172.000263999998</v>
      </c>
    </row>
    <row r="265" spans="1:21">
      <c r="A265" s="2" t="s">
        <v>539</v>
      </c>
      <c r="B265" s="2" t="s">
        <v>540</v>
      </c>
      <c r="C265" s="2" t="s">
        <v>19</v>
      </c>
      <c r="D265" s="2">
        <v>32</v>
      </c>
      <c r="E265" s="2" t="str">
        <f t="shared" si="18"/>
        <v>26-35</v>
      </c>
      <c r="F265" s="2" t="s">
        <v>26</v>
      </c>
      <c r="G265" s="2" t="s">
        <v>27</v>
      </c>
      <c r="H265" s="2">
        <v>22</v>
      </c>
      <c r="I265" s="2" t="str">
        <f t="shared" si="16"/>
        <v>13-24 months</v>
      </c>
      <c r="J265" s="3">
        <v>899</v>
      </c>
      <c r="K265" s="3">
        <v>19778</v>
      </c>
      <c r="L265" s="2" t="s">
        <v>31</v>
      </c>
      <c r="M265" s="4">
        <v>45253</v>
      </c>
      <c r="N265" s="2" t="s">
        <v>23</v>
      </c>
      <c r="O265" s="2">
        <f t="shared" si="19"/>
        <v>0</v>
      </c>
      <c r="P265" s="2" t="s">
        <v>23</v>
      </c>
      <c r="Q265" s="2" t="s">
        <v>23</v>
      </c>
      <c r="R265" s="2" t="s">
        <v>23</v>
      </c>
      <c r="S265" s="2" t="s">
        <v>23</v>
      </c>
      <c r="T265" s="2" t="s">
        <v>23</v>
      </c>
      <c r="U265" s="25">
        <f t="shared" si="17"/>
        <v>19778.000264999999</v>
      </c>
    </row>
    <row r="266" spans="1:21">
      <c r="A266" s="2" t="s">
        <v>541</v>
      </c>
      <c r="B266" s="2" t="s">
        <v>542</v>
      </c>
      <c r="C266" s="2" t="s">
        <v>19</v>
      </c>
      <c r="D266" s="2">
        <v>23</v>
      </c>
      <c r="E266" s="2" t="str">
        <f t="shared" si="18"/>
        <v>18-25</v>
      </c>
      <c r="F266" s="2" t="s">
        <v>141</v>
      </c>
      <c r="G266" s="2" t="s">
        <v>47</v>
      </c>
      <c r="H266" s="2">
        <v>48</v>
      </c>
      <c r="I266" s="2" t="str">
        <f t="shared" si="16"/>
        <v>25-48 months</v>
      </c>
      <c r="J266" s="3">
        <v>699</v>
      </c>
      <c r="K266" s="3">
        <v>33552</v>
      </c>
      <c r="L266" s="2" t="s">
        <v>31</v>
      </c>
      <c r="M266" s="4">
        <v>44464</v>
      </c>
      <c r="N266" s="2" t="s">
        <v>23</v>
      </c>
      <c r="O266" s="2">
        <f t="shared" si="19"/>
        <v>0</v>
      </c>
      <c r="P266" s="2" t="s">
        <v>23</v>
      </c>
      <c r="Q266" s="2" t="s">
        <v>23</v>
      </c>
      <c r="R266" s="2" t="s">
        <v>23</v>
      </c>
      <c r="S266" s="2" t="s">
        <v>23</v>
      </c>
      <c r="T266" s="2" t="s">
        <v>23</v>
      </c>
      <c r="U266" s="25">
        <f t="shared" si="17"/>
        <v>33552.000266000003</v>
      </c>
    </row>
    <row r="267" spans="1:21">
      <c r="A267" s="2" t="s">
        <v>543</v>
      </c>
      <c r="B267" s="2" t="s">
        <v>544</v>
      </c>
      <c r="C267" s="2" t="s">
        <v>19</v>
      </c>
      <c r="D267" s="2">
        <v>51</v>
      </c>
      <c r="E267" s="2" t="str">
        <f t="shared" si="18"/>
        <v>46-60</v>
      </c>
      <c r="F267" s="2" t="s">
        <v>91</v>
      </c>
      <c r="G267" s="2" t="s">
        <v>21</v>
      </c>
      <c r="H267" s="2">
        <v>15</v>
      </c>
      <c r="I267" s="2" t="str">
        <f t="shared" si="16"/>
        <v>13-24 months</v>
      </c>
      <c r="J267" s="3">
        <v>1199</v>
      </c>
      <c r="K267" s="3">
        <v>17985</v>
      </c>
      <c r="L267" s="2" t="s">
        <v>22</v>
      </c>
      <c r="M267" s="4">
        <v>45474</v>
      </c>
      <c r="N267" s="2" t="s">
        <v>23</v>
      </c>
      <c r="O267" s="2">
        <f t="shared" si="19"/>
        <v>0</v>
      </c>
      <c r="P267" s="2" t="s">
        <v>23</v>
      </c>
      <c r="Q267" s="2" t="s">
        <v>23</v>
      </c>
      <c r="R267" s="2" t="s">
        <v>23</v>
      </c>
      <c r="S267" s="2" t="s">
        <v>23</v>
      </c>
      <c r="T267" s="2" t="s">
        <v>23</v>
      </c>
      <c r="U267" s="25">
        <f t="shared" si="17"/>
        <v>17985.000266999999</v>
      </c>
    </row>
    <row r="268" spans="1:21">
      <c r="A268" s="2" t="s">
        <v>545</v>
      </c>
      <c r="B268" s="2" t="s">
        <v>546</v>
      </c>
      <c r="C268" s="2" t="s">
        <v>35</v>
      </c>
      <c r="D268" s="2">
        <v>46</v>
      </c>
      <c r="E268" s="2" t="str">
        <f t="shared" si="18"/>
        <v>46-60</v>
      </c>
      <c r="F268" s="2" t="s">
        <v>57</v>
      </c>
      <c r="G268" s="2" t="s">
        <v>21</v>
      </c>
      <c r="H268" s="2">
        <v>5</v>
      </c>
      <c r="I268" s="2" t="str">
        <f t="shared" si="16"/>
        <v>0-6 months</v>
      </c>
      <c r="J268" s="3">
        <v>549</v>
      </c>
      <c r="K268" s="3">
        <v>2745</v>
      </c>
      <c r="L268" s="2" t="s">
        <v>66</v>
      </c>
      <c r="M268" s="4">
        <v>45767</v>
      </c>
      <c r="N268" s="2" t="s">
        <v>23</v>
      </c>
      <c r="O268" s="2">
        <f t="shared" si="19"/>
        <v>0</v>
      </c>
      <c r="P268" s="2" t="s">
        <v>23</v>
      </c>
      <c r="Q268" s="2" t="s">
        <v>23</v>
      </c>
      <c r="R268" s="2" t="s">
        <v>23</v>
      </c>
      <c r="S268" s="2" t="s">
        <v>23</v>
      </c>
      <c r="T268" s="2" t="s">
        <v>23</v>
      </c>
      <c r="U268" s="25">
        <f t="shared" si="17"/>
        <v>2745.0002679999998</v>
      </c>
    </row>
    <row r="269" spans="1:21">
      <c r="A269" s="2" t="s">
        <v>547</v>
      </c>
      <c r="B269" s="2" t="s">
        <v>548</v>
      </c>
      <c r="C269" s="2" t="s">
        <v>35</v>
      </c>
      <c r="D269" s="2">
        <v>33</v>
      </c>
      <c r="E269" s="2" t="str">
        <f t="shared" si="18"/>
        <v>26-35</v>
      </c>
      <c r="F269" s="2" t="s">
        <v>46</v>
      </c>
      <c r="G269" s="2" t="s">
        <v>27</v>
      </c>
      <c r="H269" s="2">
        <v>39</v>
      </c>
      <c r="I269" s="2" t="str">
        <f t="shared" si="16"/>
        <v>25-48 months</v>
      </c>
      <c r="J269" s="3">
        <v>799</v>
      </c>
      <c r="K269" s="3">
        <v>31161</v>
      </c>
      <c r="L269" s="2" t="s">
        <v>31</v>
      </c>
      <c r="M269" s="4">
        <v>44736</v>
      </c>
      <c r="N269" s="2" t="s">
        <v>23</v>
      </c>
      <c r="O269" s="2">
        <f t="shared" si="19"/>
        <v>0</v>
      </c>
      <c r="P269" s="2" t="s">
        <v>23</v>
      </c>
      <c r="Q269" s="2" t="s">
        <v>23</v>
      </c>
      <c r="R269" s="2" t="s">
        <v>23</v>
      </c>
      <c r="S269" s="2" t="s">
        <v>23</v>
      </c>
      <c r="T269" s="2" t="s">
        <v>23</v>
      </c>
      <c r="U269" s="25">
        <f t="shared" si="17"/>
        <v>31161.000269</v>
      </c>
    </row>
    <row r="270" spans="1:21">
      <c r="A270" s="2" t="s">
        <v>549</v>
      </c>
      <c r="B270" s="2" t="s">
        <v>550</v>
      </c>
      <c r="C270" s="2" t="s">
        <v>19</v>
      </c>
      <c r="D270" s="2">
        <v>51</v>
      </c>
      <c r="E270" s="2" t="str">
        <f t="shared" si="18"/>
        <v>46-60</v>
      </c>
      <c r="F270" s="2" t="s">
        <v>91</v>
      </c>
      <c r="G270" s="2" t="s">
        <v>21</v>
      </c>
      <c r="H270" s="2">
        <v>10</v>
      </c>
      <c r="I270" s="2" t="str">
        <f t="shared" si="16"/>
        <v>7-12 months</v>
      </c>
      <c r="J270" s="3">
        <v>899</v>
      </c>
      <c r="K270" s="3">
        <v>8990</v>
      </c>
      <c r="L270" s="2" t="s">
        <v>22</v>
      </c>
      <c r="M270" s="4">
        <v>45625</v>
      </c>
      <c r="N270" s="2" t="s">
        <v>23</v>
      </c>
      <c r="O270" s="2">
        <f t="shared" si="19"/>
        <v>0</v>
      </c>
      <c r="P270" s="2" t="s">
        <v>23</v>
      </c>
      <c r="Q270" s="2" t="s">
        <v>23</v>
      </c>
      <c r="R270" s="2" t="s">
        <v>23</v>
      </c>
      <c r="S270" s="2" t="s">
        <v>23</v>
      </c>
      <c r="T270" s="2" t="s">
        <v>23</v>
      </c>
      <c r="U270" s="25">
        <f t="shared" si="17"/>
        <v>8990.0002700000005</v>
      </c>
    </row>
    <row r="271" spans="1:21">
      <c r="A271" s="2" t="s">
        <v>551</v>
      </c>
      <c r="B271" s="2" t="s">
        <v>514</v>
      </c>
      <c r="C271" s="2" t="s">
        <v>19</v>
      </c>
      <c r="D271" s="2">
        <v>56</v>
      </c>
      <c r="E271" s="2" t="str">
        <f t="shared" si="18"/>
        <v>46-60</v>
      </c>
      <c r="F271" s="2" t="s">
        <v>41</v>
      </c>
      <c r="G271" s="2" t="s">
        <v>21</v>
      </c>
      <c r="H271" s="2">
        <v>12</v>
      </c>
      <c r="I271" s="2" t="str">
        <f t="shared" si="16"/>
        <v>7-12 months</v>
      </c>
      <c r="J271" s="3">
        <v>499</v>
      </c>
      <c r="K271" s="3">
        <v>5988</v>
      </c>
      <c r="L271" s="2" t="s">
        <v>66</v>
      </c>
      <c r="M271" s="4">
        <v>45550</v>
      </c>
      <c r="N271" s="2" t="s">
        <v>23</v>
      </c>
      <c r="O271" s="2">
        <f t="shared" si="19"/>
        <v>0</v>
      </c>
      <c r="P271" s="2" t="s">
        <v>23</v>
      </c>
      <c r="Q271" s="2" t="s">
        <v>23</v>
      </c>
      <c r="R271" s="2" t="s">
        <v>23</v>
      </c>
      <c r="S271" s="2" t="s">
        <v>23</v>
      </c>
      <c r="T271" s="2" t="s">
        <v>23</v>
      </c>
      <c r="U271" s="25">
        <f t="shared" si="17"/>
        <v>5988.0002709999999</v>
      </c>
    </row>
    <row r="272" spans="1:21">
      <c r="A272" s="2" t="s">
        <v>552</v>
      </c>
      <c r="B272" s="2" t="s">
        <v>37</v>
      </c>
      <c r="C272" s="2" t="s">
        <v>35</v>
      </c>
      <c r="D272" s="2">
        <v>61</v>
      </c>
      <c r="E272" s="2" t="str">
        <f t="shared" si="18"/>
        <v>60+</v>
      </c>
      <c r="F272" s="2" t="s">
        <v>63</v>
      </c>
      <c r="G272" s="2" t="s">
        <v>27</v>
      </c>
      <c r="H272" s="2">
        <v>5</v>
      </c>
      <c r="I272" s="2" t="str">
        <f t="shared" si="16"/>
        <v>0-6 months</v>
      </c>
      <c r="J272" s="3"/>
      <c r="K272" s="3"/>
      <c r="L272" s="2" t="s">
        <v>66</v>
      </c>
      <c r="M272" s="4">
        <v>45772</v>
      </c>
      <c r="N272" s="2" t="s">
        <v>32</v>
      </c>
      <c r="O272" s="2">
        <f t="shared" si="19"/>
        <v>1</v>
      </c>
      <c r="P272" s="2" t="s">
        <v>23</v>
      </c>
      <c r="Q272" s="2" t="s">
        <v>23</v>
      </c>
      <c r="R272" s="2" t="s">
        <v>23</v>
      </c>
      <c r="S272" s="2" t="s">
        <v>23</v>
      </c>
      <c r="T272" s="2" t="s">
        <v>553</v>
      </c>
      <c r="U272" s="25" t="str">
        <f t="shared" si="17"/>
        <v/>
      </c>
    </row>
    <row r="273" spans="1:21">
      <c r="A273" s="2" t="s">
        <v>554</v>
      </c>
      <c r="B273" s="2" t="s">
        <v>538</v>
      </c>
      <c r="C273" s="2" t="s">
        <v>19</v>
      </c>
      <c r="D273" s="2">
        <v>50</v>
      </c>
      <c r="E273" s="2" t="str">
        <f t="shared" si="18"/>
        <v>46-60</v>
      </c>
      <c r="F273" s="2" t="s">
        <v>46</v>
      </c>
      <c r="G273" s="2" t="s">
        <v>27</v>
      </c>
      <c r="H273" s="2">
        <v>27</v>
      </c>
      <c r="I273" s="2" t="str">
        <f t="shared" si="16"/>
        <v>25-48 months</v>
      </c>
      <c r="J273" s="3">
        <v>1199</v>
      </c>
      <c r="K273" s="3">
        <v>32373</v>
      </c>
      <c r="L273" s="2" t="s">
        <v>22</v>
      </c>
      <c r="M273" s="4">
        <v>45101</v>
      </c>
      <c r="N273" s="2" t="s">
        <v>32</v>
      </c>
      <c r="O273" s="2">
        <f t="shared" si="19"/>
        <v>1</v>
      </c>
      <c r="P273" s="2" t="s">
        <v>23</v>
      </c>
      <c r="Q273" s="2" t="s">
        <v>23</v>
      </c>
      <c r="R273" s="2" t="s">
        <v>23</v>
      </c>
      <c r="S273" s="2" t="s">
        <v>23</v>
      </c>
      <c r="T273" s="2" t="s">
        <v>23</v>
      </c>
      <c r="U273" s="25">
        <f t="shared" si="17"/>
        <v>32373.000273000001</v>
      </c>
    </row>
    <row r="274" spans="1:21">
      <c r="A274" s="2" t="s">
        <v>555</v>
      </c>
      <c r="B274" s="2" t="s">
        <v>556</v>
      </c>
      <c r="C274" s="2" t="s">
        <v>19</v>
      </c>
      <c r="D274" s="2">
        <v>37</v>
      </c>
      <c r="E274" s="2" t="str">
        <f t="shared" si="18"/>
        <v>36-45</v>
      </c>
      <c r="F274" s="2" t="s">
        <v>41</v>
      </c>
      <c r="G274" s="2" t="s">
        <v>21</v>
      </c>
      <c r="H274" s="2">
        <v>5</v>
      </c>
      <c r="I274" s="2" t="str">
        <f t="shared" si="16"/>
        <v>0-6 months</v>
      </c>
      <c r="J274" s="3">
        <v>799</v>
      </c>
      <c r="K274" s="3">
        <v>3995</v>
      </c>
      <c r="L274" s="2" t="s">
        <v>31</v>
      </c>
      <c r="M274" s="4">
        <v>45754</v>
      </c>
      <c r="N274" s="2" t="s">
        <v>23</v>
      </c>
      <c r="O274" s="2">
        <f t="shared" si="19"/>
        <v>0</v>
      </c>
      <c r="P274" s="2" t="s">
        <v>23</v>
      </c>
      <c r="Q274" s="2" t="s">
        <v>23</v>
      </c>
      <c r="R274" s="2" t="s">
        <v>23</v>
      </c>
      <c r="S274" s="2" t="s">
        <v>23</v>
      </c>
      <c r="T274" s="2" t="s">
        <v>23</v>
      </c>
      <c r="U274" s="25">
        <f t="shared" si="17"/>
        <v>3995.000274</v>
      </c>
    </row>
    <row r="275" spans="1:21">
      <c r="A275" s="2" t="s">
        <v>557</v>
      </c>
      <c r="B275" s="2" t="s">
        <v>558</v>
      </c>
      <c r="C275" s="2" t="s">
        <v>19</v>
      </c>
      <c r="D275" s="2">
        <v>45</v>
      </c>
      <c r="E275" s="2" t="str">
        <f t="shared" si="18"/>
        <v>36-45</v>
      </c>
      <c r="F275" s="2" t="s">
        <v>141</v>
      </c>
      <c r="G275" s="2" t="s">
        <v>47</v>
      </c>
      <c r="H275" s="2">
        <v>32</v>
      </c>
      <c r="I275" s="2" t="str">
        <f t="shared" si="16"/>
        <v>25-48 months</v>
      </c>
      <c r="J275" s="3">
        <v>599</v>
      </c>
      <c r="K275" s="3">
        <v>19168</v>
      </c>
      <c r="L275" s="2" t="s">
        <v>31</v>
      </c>
      <c r="M275" s="4">
        <v>44949</v>
      </c>
      <c r="N275" s="2" t="s">
        <v>23</v>
      </c>
      <c r="O275" s="2">
        <f t="shared" si="19"/>
        <v>0</v>
      </c>
      <c r="P275" s="2" t="s">
        <v>23</v>
      </c>
      <c r="Q275" s="2" t="s">
        <v>23</v>
      </c>
      <c r="R275" s="2" t="s">
        <v>23</v>
      </c>
      <c r="S275" s="2" t="s">
        <v>23</v>
      </c>
      <c r="T275" s="2" t="s">
        <v>23</v>
      </c>
      <c r="U275" s="25">
        <f t="shared" si="17"/>
        <v>19168.000274999999</v>
      </c>
    </row>
    <row r="276" spans="1:21">
      <c r="A276" s="2" t="s">
        <v>559</v>
      </c>
      <c r="B276" s="2" t="s">
        <v>560</v>
      </c>
      <c r="C276" s="2" t="s">
        <v>19</v>
      </c>
      <c r="D276" s="2">
        <v>65</v>
      </c>
      <c r="E276" s="2" t="str">
        <f t="shared" si="18"/>
        <v>60+</v>
      </c>
      <c r="F276" s="2" t="s">
        <v>37</v>
      </c>
      <c r="G276" s="2" t="s">
        <v>27</v>
      </c>
      <c r="H276" s="2">
        <v>9</v>
      </c>
      <c r="I276" s="2" t="str">
        <f t="shared" si="16"/>
        <v>7-12 months</v>
      </c>
      <c r="J276" s="3">
        <v>849</v>
      </c>
      <c r="K276" s="3">
        <v>7641</v>
      </c>
      <c r="L276" s="2" t="s">
        <v>31</v>
      </c>
      <c r="M276" s="4">
        <v>45647</v>
      </c>
      <c r="N276" s="2" t="s">
        <v>23</v>
      </c>
      <c r="O276" s="2">
        <f t="shared" si="19"/>
        <v>0</v>
      </c>
      <c r="P276" s="2" t="s">
        <v>23</v>
      </c>
      <c r="Q276" s="2" t="s">
        <v>23</v>
      </c>
      <c r="R276" s="2" t="s">
        <v>23</v>
      </c>
      <c r="S276" s="2" t="s">
        <v>23</v>
      </c>
      <c r="T276" s="2" t="s">
        <v>23</v>
      </c>
      <c r="U276" s="25">
        <f t="shared" si="17"/>
        <v>7641.0002759999998</v>
      </c>
    </row>
    <row r="277" spans="1:21">
      <c r="A277" s="2" t="s">
        <v>561</v>
      </c>
      <c r="B277" s="2" t="s">
        <v>562</v>
      </c>
      <c r="C277" s="2" t="s">
        <v>35</v>
      </c>
      <c r="D277" s="2">
        <v>26</v>
      </c>
      <c r="E277" s="2" t="str">
        <f t="shared" si="18"/>
        <v>26-35</v>
      </c>
      <c r="F277" s="2" t="s">
        <v>141</v>
      </c>
      <c r="G277" s="2" t="s">
        <v>27</v>
      </c>
      <c r="H277" s="2">
        <v>8</v>
      </c>
      <c r="I277" s="2" t="str">
        <f t="shared" si="16"/>
        <v>7-12 months</v>
      </c>
      <c r="J277" s="3">
        <v>899</v>
      </c>
      <c r="K277" s="3">
        <v>7192</v>
      </c>
      <c r="L277" s="2" t="s">
        <v>31</v>
      </c>
      <c r="M277" s="4">
        <v>45680</v>
      </c>
      <c r="N277" s="2" t="s">
        <v>23</v>
      </c>
      <c r="O277" s="2">
        <f t="shared" si="19"/>
        <v>0</v>
      </c>
      <c r="P277" s="2" t="s">
        <v>23</v>
      </c>
      <c r="Q277" s="2" t="s">
        <v>23</v>
      </c>
      <c r="R277" s="2" t="s">
        <v>23</v>
      </c>
      <c r="S277" s="2" t="s">
        <v>23</v>
      </c>
      <c r="T277" s="2" t="s">
        <v>23</v>
      </c>
      <c r="U277" s="25">
        <f t="shared" si="17"/>
        <v>7192.0002770000001</v>
      </c>
    </row>
    <row r="278" spans="1:21">
      <c r="A278" s="2" t="s">
        <v>563</v>
      </c>
      <c r="B278" s="2" t="s">
        <v>564</v>
      </c>
      <c r="C278" s="2" t="s">
        <v>19</v>
      </c>
      <c r="D278" s="2">
        <v>54</v>
      </c>
      <c r="E278" s="2" t="str">
        <f t="shared" si="18"/>
        <v>46-60</v>
      </c>
      <c r="F278" s="2" t="s">
        <v>37</v>
      </c>
      <c r="G278" s="2" t="s">
        <v>21</v>
      </c>
      <c r="H278" s="2">
        <v>12</v>
      </c>
      <c r="I278" s="2" t="str">
        <f t="shared" si="16"/>
        <v>7-12 months</v>
      </c>
      <c r="J278" s="3">
        <v>1099</v>
      </c>
      <c r="K278" s="3">
        <v>13188</v>
      </c>
      <c r="L278" s="2" t="s">
        <v>22</v>
      </c>
      <c r="M278" s="4">
        <v>45563</v>
      </c>
      <c r="N278" s="2" t="s">
        <v>32</v>
      </c>
      <c r="O278" s="2">
        <f t="shared" si="19"/>
        <v>1</v>
      </c>
      <c r="P278" s="2" t="s">
        <v>23</v>
      </c>
      <c r="Q278" s="2" t="s">
        <v>23</v>
      </c>
      <c r="R278" s="2" t="s">
        <v>23</v>
      </c>
      <c r="S278" s="2" t="s">
        <v>23</v>
      </c>
      <c r="T278" s="2" t="s">
        <v>23</v>
      </c>
      <c r="U278" s="25">
        <f t="shared" si="17"/>
        <v>13188.000278</v>
      </c>
    </row>
    <row r="279" spans="1:21">
      <c r="A279" s="2" t="s">
        <v>565</v>
      </c>
      <c r="B279" s="2" t="s">
        <v>90</v>
      </c>
      <c r="C279" s="2" t="s">
        <v>35</v>
      </c>
      <c r="D279" s="2">
        <v>61</v>
      </c>
      <c r="E279" s="2" t="str">
        <f t="shared" si="18"/>
        <v>60+</v>
      </c>
      <c r="F279" s="2" t="s">
        <v>37</v>
      </c>
      <c r="G279" s="2" t="s">
        <v>21</v>
      </c>
      <c r="H279" s="2">
        <v>1</v>
      </c>
      <c r="I279" s="2" t="str">
        <f t="shared" si="16"/>
        <v>0-6 months</v>
      </c>
      <c r="J279" s="3">
        <v>1299</v>
      </c>
      <c r="K279" s="3">
        <v>1299</v>
      </c>
      <c r="L279" s="2" t="s">
        <v>22</v>
      </c>
      <c r="M279" s="4">
        <v>45883</v>
      </c>
      <c r="N279" s="2" t="s">
        <v>32</v>
      </c>
      <c r="O279" s="2">
        <f t="shared" si="19"/>
        <v>1</v>
      </c>
      <c r="P279" s="2" t="s">
        <v>23</v>
      </c>
      <c r="Q279" s="2" t="s">
        <v>23</v>
      </c>
      <c r="R279" s="2" t="s">
        <v>23</v>
      </c>
      <c r="S279" s="2" t="s">
        <v>23</v>
      </c>
      <c r="T279" s="2" t="s">
        <v>23</v>
      </c>
      <c r="U279" s="25">
        <f t="shared" si="17"/>
        <v>1299.0002790000001</v>
      </c>
    </row>
    <row r="280" spans="1:21">
      <c r="A280" s="2" t="s">
        <v>566</v>
      </c>
      <c r="B280" s="2" t="s">
        <v>371</v>
      </c>
      <c r="C280" s="2" t="s">
        <v>35</v>
      </c>
      <c r="D280" s="2">
        <v>29</v>
      </c>
      <c r="E280" s="2" t="str">
        <f t="shared" si="18"/>
        <v>26-35</v>
      </c>
      <c r="F280" s="2" t="s">
        <v>57</v>
      </c>
      <c r="G280" s="2" t="s">
        <v>21</v>
      </c>
      <c r="H280" s="2">
        <v>23</v>
      </c>
      <c r="I280" s="2" t="str">
        <f t="shared" si="16"/>
        <v>13-24 months</v>
      </c>
      <c r="J280" s="3">
        <v>499</v>
      </c>
      <c r="K280" s="3">
        <v>11477</v>
      </c>
      <c r="L280" s="2" t="s">
        <v>66</v>
      </c>
      <c r="M280" s="4">
        <v>45231</v>
      </c>
      <c r="N280" s="2" t="s">
        <v>32</v>
      </c>
      <c r="O280" s="2">
        <f t="shared" si="19"/>
        <v>1</v>
      </c>
      <c r="P280" s="2" t="s">
        <v>23</v>
      </c>
      <c r="Q280" s="2" t="s">
        <v>23</v>
      </c>
      <c r="R280" s="2" t="s">
        <v>23</v>
      </c>
      <c r="S280" s="2" t="s">
        <v>23</v>
      </c>
      <c r="T280" s="2" t="s">
        <v>23</v>
      </c>
      <c r="U280" s="25">
        <f t="shared" si="17"/>
        <v>11477.00028</v>
      </c>
    </row>
    <row r="281" spans="1:21">
      <c r="A281" s="2" t="s">
        <v>567</v>
      </c>
      <c r="B281" s="2" t="s">
        <v>568</v>
      </c>
      <c r="C281" s="2" t="s">
        <v>35</v>
      </c>
      <c r="D281" s="2">
        <v>70</v>
      </c>
      <c r="E281" s="2" t="str">
        <f t="shared" si="18"/>
        <v>60+</v>
      </c>
      <c r="F281" s="2" t="s">
        <v>41</v>
      </c>
      <c r="G281" s="2" t="s">
        <v>27</v>
      </c>
      <c r="H281" s="2">
        <v>4</v>
      </c>
      <c r="I281" s="2" t="str">
        <f t="shared" si="16"/>
        <v>0-6 months</v>
      </c>
      <c r="J281" s="3">
        <v>649</v>
      </c>
      <c r="K281" s="3">
        <v>2596</v>
      </c>
      <c r="L281" s="2" t="s">
        <v>37</v>
      </c>
      <c r="M281" s="4">
        <v>45796</v>
      </c>
      <c r="N281" s="2" t="s">
        <v>23</v>
      </c>
      <c r="O281" s="2">
        <f t="shared" si="19"/>
        <v>0</v>
      </c>
      <c r="P281" s="2" t="s">
        <v>23</v>
      </c>
      <c r="Q281" s="2" t="s">
        <v>23</v>
      </c>
      <c r="R281" s="2" t="s">
        <v>23</v>
      </c>
      <c r="S281" s="2" t="s">
        <v>23</v>
      </c>
      <c r="T281" s="2" t="s">
        <v>23</v>
      </c>
      <c r="U281" s="25">
        <f t="shared" si="17"/>
        <v>2596.0002810000001</v>
      </c>
    </row>
    <row r="282" spans="1:21">
      <c r="A282" s="2" t="s">
        <v>569</v>
      </c>
      <c r="B282" s="2" t="s">
        <v>570</v>
      </c>
      <c r="C282" s="2" t="s">
        <v>19</v>
      </c>
      <c r="D282" s="2">
        <v>67</v>
      </c>
      <c r="E282" s="2" t="str">
        <f t="shared" si="18"/>
        <v>60+</v>
      </c>
      <c r="F282" s="2" t="s">
        <v>57</v>
      </c>
      <c r="G282" s="2" t="s">
        <v>21</v>
      </c>
      <c r="H282" s="2">
        <v>15</v>
      </c>
      <c r="I282" s="2" t="str">
        <f t="shared" si="16"/>
        <v>13-24 months</v>
      </c>
      <c r="J282" s="3">
        <v>599</v>
      </c>
      <c r="K282" s="3">
        <v>8985</v>
      </c>
      <c r="L282" s="2" t="s">
        <v>31</v>
      </c>
      <c r="M282" s="4">
        <v>45453</v>
      </c>
      <c r="N282" s="2" t="s">
        <v>32</v>
      </c>
      <c r="O282" s="2">
        <f t="shared" si="19"/>
        <v>1</v>
      </c>
      <c r="P282" s="2" t="s">
        <v>23</v>
      </c>
      <c r="Q282" s="2" t="s">
        <v>23</v>
      </c>
      <c r="R282" s="2" t="s">
        <v>23</v>
      </c>
      <c r="S282" s="2" t="s">
        <v>23</v>
      </c>
      <c r="T282" s="2" t="s">
        <v>23</v>
      </c>
      <c r="U282" s="25">
        <f t="shared" si="17"/>
        <v>8985.0002820000009</v>
      </c>
    </row>
    <row r="283" spans="1:21">
      <c r="A283" s="2" t="s">
        <v>571</v>
      </c>
      <c r="B283" s="2" t="s">
        <v>237</v>
      </c>
      <c r="C283" s="2" t="s">
        <v>35</v>
      </c>
      <c r="D283" s="2">
        <v>47</v>
      </c>
      <c r="E283" s="2" t="str">
        <f t="shared" si="18"/>
        <v>46-60</v>
      </c>
      <c r="F283" s="2" t="s">
        <v>30</v>
      </c>
      <c r="G283" s="2" t="s">
        <v>27</v>
      </c>
      <c r="H283" s="2">
        <v>13</v>
      </c>
      <c r="I283" s="2" t="str">
        <f t="shared" si="16"/>
        <v>13-24 months</v>
      </c>
      <c r="J283" s="3">
        <v>1149</v>
      </c>
      <c r="K283" s="3">
        <v>14937</v>
      </c>
      <c r="L283" s="2" t="s">
        <v>22</v>
      </c>
      <c r="M283" s="4">
        <v>45509</v>
      </c>
      <c r="N283" s="2" t="s">
        <v>32</v>
      </c>
      <c r="O283" s="2">
        <f t="shared" si="19"/>
        <v>1</v>
      </c>
      <c r="P283" s="2" t="s">
        <v>23</v>
      </c>
      <c r="Q283" s="2" t="s">
        <v>23</v>
      </c>
      <c r="R283" s="2" t="s">
        <v>23</v>
      </c>
      <c r="S283" s="2" t="s">
        <v>32</v>
      </c>
      <c r="T283" s="2" t="s">
        <v>23</v>
      </c>
      <c r="U283" s="25">
        <f t="shared" si="17"/>
        <v>14937.000282999999</v>
      </c>
    </row>
    <row r="284" spans="1:21">
      <c r="A284" s="2" t="s">
        <v>572</v>
      </c>
      <c r="B284" s="2" t="s">
        <v>573</v>
      </c>
      <c r="C284" s="2" t="s">
        <v>35</v>
      </c>
      <c r="D284" s="2">
        <v>52</v>
      </c>
      <c r="E284" s="2" t="str">
        <f t="shared" si="18"/>
        <v>46-60</v>
      </c>
      <c r="F284" s="2" t="s">
        <v>30</v>
      </c>
      <c r="G284" s="2" t="s">
        <v>27</v>
      </c>
      <c r="H284" s="2">
        <v>1</v>
      </c>
      <c r="I284" s="2" t="str">
        <f t="shared" si="16"/>
        <v>0-6 months</v>
      </c>
      <c r="J284" s="3">
        <v>899</v>
      </c>
      <c r="K284" s="3">
        <v>899</v>
      </c>
      <c r="L284" s="2" t="s">
        <v>22</v>
      </c>
      <c r="M284" s="4">
        <v>45875</v>
      </c>
      <c r="N284" s="2" t="s">
        <v>23</v>
      </c>
      <c r="O284" s="2">
        <f t="shared" si="19"/>
        <v>0</v>
      </c>
      <c r="P284" s="2" t="s">
        <v>23</v>
      </c>
      <c r="Q284" s="2" t="s">
        <v>23</v>
      </c>
      <c r="R284" s="2" t="s">
        <v>23</v>
      </c>
      <c r="S284" s="2" t="s">
        <v>23</v>
      </c>
      <c r="T284" s="2" t="s">
        <v>23</v>
      </c>
      <c r="U284" s="25">
        <f t="shared" si="17"/>
        <v>899.00028399999997</v>
      </c>
    </row>
    <row r="285" spans="1:21">
      <c r="A285" s="2" t="s">
        <v>574</v>
      </c>
      <c r="B285" s="2" t="s">
        <v>37</v>
      </c>
      <c r="C285" s="2" t="s">
        <v>37</v>
      </c>
      <c r="D285" s="2">
        <v>51</v>
      </c>
      <c r="E285" s="2" t="str">
        <f t="shared" si="18"/>
        <v>46-60</v>
      </c>
      <c r="F285" s="2" t="s">
        <v>20</v>
      </c>
      <c r="G285" s="2" t="s">
        <v>21</v>
      </c>
      <c r="H285" s="2">
        <v>5</v>
      </c>
      <c r="I285" s="2" t="str">
        <f t="shared" si="16"/>
        <v>0-6 months</v>
      </c>
      <c r="J285" s="3">
        <v>349</v>
      </c>
      <c r="K285" s="3">
        <v>1745</v>
      </c>
      <c r="L285" s="2" t="s">
        <v>66</v>
      </c>
      <c r="M285" s="4">
        <v>45771</v>
      </c>
      <c r="N285" s="2" t="s">
        <v>32</v>
      </c>
      <c r="O285" s="2">
        <f t="shared" si="19"/>
        <v>1</v>
      </c>
      <c r="P285" s="2" t="s">
        <v>23</v>
      </c>
      <c r="Q285" s="2" t="s">
        <v>23</v>
      </c>
      <c r="R285" s="2" t="s">
        <v>23</v>
      </c>
      <c r="S285" s="2" t="s">
        <v>23</v>
      </c>
      <c r="T285" s="2" t="s">
        <v>23</v>
      </c>
      <c r="U285" s="25">
        <f t="shared" si="17"/>
        <v>1745.0002850000001</v>
      </c>
    </row>
    <row r="286" spans="1:21">
      <c r="A286" s="2" t="s">
        <v>575</v>
      </c>
      <c r="B286" s="2" t="s">
        <v>348</v>
      </c>
      <c r="C286" s="2" t="s">
        <v>35</v>
      </c>
      <c r="D286" s="2">
        <v>65</v>
      </c>
      <c r="E286" s="2" t="str">
        <f t="shared" si="18"/>
        <v>60+</v>
      </c>
      <c r="F286" s="2" t="s">
        <v>41</v>
      </c>
      <c r="G286" s="2" t="s">
        <v>27</v>
      </c>
      <c r="H286" s="2">
        <v>26</v>
      </c>
      <c r="I286" s="2" t="str">
        <f t="shared" si="16"/>
        <v>25-48 months</v>
      </c>
      <c r="J286" s="3">
        <v>1149</v>
      </c>
      <c r="K286" s="3">
        <v>29874</v>
      </c>
      <c r="L286" s="2" t="s">
        <v>22</v>
      </c>
      <c r="M286" s="4">
        <v>45127</v>
      </c>
      <c r="N286" s="2" t="s">
        <v>32</v>
      </c>
      <c r="O286" s="2">
        <f t="shared" si="19"/>
        <v>1</v>
      </c>
      <c r="P286" s="2" t="s">
        <v>23</v>
      </c>
      <c r="Q286" s="2" t="s">
        <v>23</v>
      </c>
      <c r="R286" s="2" t="s">
        <v>23</v>
      </c>
      <c r="S286" s="2" t="s">
        <v>23</v>
      </c>
      <c r="T286" s="2" t="s">
        <v>23</v>
      </c>
      <c r="U286" s="25">
        <f t="shared" si="17"/>
        <v>29874.000285999999</v>
      </c>
    </row>
    <row r="287" spans="1:21">
      <c r="A287" s="2" t="s">
        <v>576</v>
      </c>
      <c r="B287" s="2" t="s">
        <v>512</v>
      </c>
      <c r="C287" s="2" t="s">
        <v>19</v>
      </c>
      <c r="D287" s="2">
        <v>34</v>
      </c>
      <c r="E287" s="2" t="str">
        <f t="shared" si="18"/>
        <v>26-35</v>
      </c>
      <c r="F287" s="2" t="s">
        <v>57</v>
      </c>
      <c r="G287" s="2" t="s">
        <v>21</v>
      </c>
      <c r="H287" s="2">
        <v>23</v>
      </c>
      <c r="I287" s="2" t="str">
        <f t="shared" si="16"/>
        <v>13-24 months</v>
      </c>
      <c r="J287" s="3">
        <v>449</v>
      </c>
      <c r="K287" s="3">
        <v>10327</v>
      </c>
      <c r="L287" s="2" t="s">
        <v>66</v>
      </c>
      <c r="M287" s="4">
        <v>45230</v>
      </c>
      <c r="N287" s="2" t="s">
        <v>32</v>
      </c>
      <c r="O287" s="2">
        <f t="shared" si="19"/>
        <v>1</v>
      </c>
      <c r="P287" s="2" t="s">
        <v>23</v>
      </c>
      <c r="Q287" s="2" t="s">
        <v>23</v>
      </c>
      <c r="R287" s="2" t="s">
        <v>23</v>
      </c>
      <c r="S287" s="2" t="s">
        <v>23</v>
      </c>
      <c r="T287" s="2" t="s">
        <v>23</v>
      </c>
      <c r="U287" s="25">
        <f t="shared" si="17"/>
        <v>10327.000287000001</v>
      </c>
    </row>
    <row r="288" spans="1:21">
      <c r="A288" s="2" t="s">
        <v>577</v>
      </c>
      <c r="B288" s="2" t="s">
        <v>25</v>
      </c>
      <c r="C288" s="2" t="s">
        <v>19</v>
      </c>
      <c r="D288" s="2">
        <v>26</v>
      </c>
      <c r="E288" s="2" t="str">
        <f t="shared" si="18"/>
        <v>26-35</v>
      </c>
      <c r="F288" s="2" t="s">
        <v>110</v>
      </c>
      <c r="G288" s="2" t="s">
        <v>27</v>
      </c>
      <c r="H288" s="2">
        <v>7</v>
      </c>
      <c r="I288" s="2" t="str">
        <f t="shared" si="16"/>
        <v>7-12 months</v>
      </c>
      <c r="J288" s="3">
        <v>649</v>
      </c>
      <c r="K288" s="3">
        <v>4543</v>
      </c>
      <c r="L288" s="2" t="s">
        <v>31</v>
      </c>
      <c r="M288" s="4">
        <v>45715</v>
      </c>
      <c r="N288" s="2" t="s">
        <v>23</v>
      </c>
      <c r="O288" s="2">
        <f t="shared" si="19"/>
        <v>0</v>
      </c>
      <c r="P288" s="2" t="s">
        <v>23</v>
      </c>
      <c r="Q288" s="2" t="s">
        <v>23</v>
      </c>
      <c r="R288" s="2" t="s">
        <v>23</v>
      </c>
      <c r="S288" s="2" t="s">
        <v>23</v>
      </c>
      <c r="T288" s="2" t="s">
        <v>23</v>
      </c>
      <c r="U288" s="25">
        <f t="shared" si="17"/>
        <v>4543.0002880000002</v>
      </c>
    </row>
    <row r="289" spans="1:21">
      <c r="A289" s="2" t="s">
        <v>578</v>
      </c>
      <c r="B289" s="2" t="s">
        <v>579</v>
      </c>
      <c r="C289" s="2" t="s">
        <v>35</v>
      </c>
      <c r="D289" s="2">
        <v>37</v>
      </c>
      <c r="E289" s="2" t="str">
        <f t="shared" si="18"/>
        <v>36-45</v>
      </c>
      <c r="F289" s="2" t="s">
        <v>60</v>
      </c>
      <c r="G289" s="2" t="s">
        <v>21</v>
      </c>
      <c r="H289" s="2">
        <v>6</v>
      </c>
      <c r="I289" s="2" t="str">
        <f t="shared" si="16"/>
        <v>0-6 months</v>
      </c>
      <c r="J289" s="3">
        <v>899</v>
      </c>
      <c r="K289" s="3">
        <v>5394</v>
      </c>
      <c r="L289" s="2" t="s">
        <v>31</v>
      </c>
      <c r="M289" s="4">
        <v>45726</v>
      </c>
      <c r="N289" s="2" t="s">
        <v>23</v>
      </c>
      <c r="O289" s="2">
        <f t="shared" si="19"/>
        <v>0</v>
      </c>
      <c r="P289" s="2" t="s">
        <v>23</v>
      </c>
      <c r="Q289" s="2" t="s">
        <v>23</v>
      </c>
      <c r="R289" s="2" t="s">
        <v>23</v>
      </c>
      <c r="S289" s="2" t="s">
        <v>23</v>
      </c>
      <c r="T289" s="2" t="s">
        <v>23</v>
      </c>
      <c r="U289" s="25">
        <f t="shared" si="17"/>
        <v>5394.0002889999996</v>
      </c>
    </row>
    <row r="290" spans="1:21">
      <c r="A290" s="2" t="s">
        <v>580</v>
      </c>
      <c r="B290" s="2" t="s">
        <v>452</v>
      </c>
      <c r="C290" s="2" t="s">
        <v>19</v>
      </c>
      <c r="D290" s="2">
        <v>27</v>
      </c>
      <c r="E290" s="2" t="str">
        <f t="shared" si="18"/>
        <v>26-35</v>
      </c>
      <c r="F290" s="2" t="s">
        <v>41</v>
      </c>
      <c r="G290" s="2" t="s">
        <v>27</v>
      </c>
      <c r="H290" s="2">
        <v>26</v>
      </c>
      <c r="I290" s="2" t="str">
        <f t="shared" si="16"/>
        <v>25-48 months</v>
      </c>
      <c r="J290" s="3">
        <v>449</v>
      </c>
      <c r="K290" s="3">
        <v>11674</v>
      </c>
      <c r="L290" s="2" t="s">
        <v>66</v>
      </c>
      <c r="M290" s="4">
        <v>45143</v>
      </c>
      <c r="N290" s="2" t="s">
        <v>23</v>
      </c>
      <c r="O290" s="2">
        <f t="shared" si="19"/>
        <v>0</v>
      </c>
      <c r="P290" s="2" t="s">
        <v>23</v>
      </c>
      <c r="Q290" s="2" t="s">
        <v>23</v>
      </c>
      <c r="R290" s="2" t="s">
        <v>23</v>
      </c>
      <c r="S290" s="2" t="s">
        <v>23</v>
      </c>
      <c r="T290" s="2" t="s">
        <v>23</v>
      </c>
      <c r="U290" s="25">
        <f t="shared" si="17"/>
        <v>11674.00029</v>
      </c>
    </row>
    <row r="291" spans="1:21">
      <c r="A291" s="2" t="s">
        <v>581</v>
      </c>
      <c r="B291" s="2" t="s">
        <v>582</v>
      </c>
      <c r="C291" s="2" t="s">
        <v>19</v>
      </c>
      <c r="D291" s="2">
        <v>53</v>
      </c>
      <c r="E291" s="2" t="str">
        <f t="shared" si="18"/>
        <v>46-60</v>
      </c>
      <c r="F291" s="2" t="s">
        <v>141</v>
      </c>
      <c r="G291" s="2" t="s">
        <v>27</v>
      </c>
      <c r="H291" s="2">
        <v>7</v>
      </c>
      <c r="I291" s="2" t="str">
        <f t="shared" si="16"/>
        <v>7-12 months</v>
      </c>
      <c r="J291" s="3">
        <v>899</v>
      </c>
      <c r="K291" s="3">
        <v>6293</v>
      </c>
      <c r="L291" s="2" t="s">
        <v>31</v>
      </c>
      <c r="M291" s="4">
        <v>45717</v>
      </c>
      <c r="N291" s="2" t="s">
        <v>32</v>
      </c>
      <c r="O291" s="2">
        <f t="shared" si="19"/>
        <v>1</v>
      </c>
      <c r="P291" s="2" t="s">
        <v>23</v>
      </c>
      <c r="Q291" s="2" t="s">
        <v>23</v>
      </c>
      <c r="R291" s="2" t="s">
        <v>23</v>
      </c>
      <c r="S291" s="2" t="s">
        <v>23</v>
      </c>
      <c r="T291" s="2" t="s">
        <v>23</v>
      </c>
      <c r="U291" s="25">
        <f t="shared" si="17"/>
        <v>6293.0002910000003</v>
      </c>
    </row>
    <row r="292" spans="1:21">
      <c r="A292" s="2" t="s">
        <v>583</v>
      </c>
      <c r="B292" s="2" t="s">
        <v>584</v>
      </c>
      <c r="C292" s="2" t="s">
        <v>19</v>
      </c>
      <c r="D292" s="2">
        <v>70</v>
      </c>
      <c r="E292" s="2" t="str">
        <f t="shared" si="18"/>
        <v>60+</v>
      </c>
      <c r="F292" s="2" t="s">
        <v>105</v>
      </c>
      <c r="G292" s="2" t="s">
        <v>21</v>
      </c>
      <c r="H292" s="2">
        <v>21</v>
      </c>
      <c r="I292" s="2" t="str">
        <f t="shared" si="16"/>
        <v>13-24 months</v>
      </c>
      <c r="J292" s="3">
        <v>1149</v>
      </c>
      <c r="K292" s="3">
        <v>24129</v>
      </c>
      <c r="L292" s="2" t="s">
        <v>22</v>
      </c>
      <c r="M292" s="4">
        <v>45272</v>
      </c>
      <c r="N292" s="2" t="s">
        <v>32</v>
      </c>
      <c r="O292" s="2">
        <f t="shared" si="19"/>
        <v>1</v>
      </c>
      <c r="P292" s="2" t="s">
        <v>23</v>
      </c>
      <c r="Q292" s="2" t="s">
        <v>23</v>
      </c>
      <c r="R292" s="2" t="s">
        <v>23</v>
      </c>
      <c r="S292" s="2" t="s">
        <v>23</v>
      </c>
      <c r="T292" s="2" t="s">
        <v>23</v>
      </c>
      <c r="U292" s="25">
        <f t="shared" si="17"/>
        <v>24129.000292000001</v>
      </c>
    </row>
    <row r="293" spans="1:21">
      <c r="A293" s="2" t="s">
        <v>585</v>
      </c>
      <c r="B293" s="2" t="s">
        <v>586</v>
      </c>
      <c r="C293" s="2" t="s">
        <v>19</v>
      </c>
      <c r="D293" s="2">
        <v>30</v>
      </c>
      <c r="E293" s="2" t="str">
        <f t="shared" si="18"/>
        <v>26-35</v>
      </c>
      <c r="F293" s="2" t="s">
        <v>71</v>
      </c>
      <c r="G293" s="2" t="s">
        <v>21</v>
      </c>
      <c r="H293" s="2">
        <v>11</v>
      </c>
      <c r="I293" s="2" t="str">
        <f t="shared" si="16"/>
        <v>7-12 months</v>
      </c>
      <c r="J293" s="3">
        <v>599</v>
      </c>
      <c r="K293" s="3">
        <v>6589</v>
      </c>
      <c r="L293" s="2" t="s">
        <v>31</v>
      </c>
      <c r="M293" s="4">
        <v>45569</v>
      </c>
      <c r="N293" s="2" t="s">
        <v>32</v>
      </c>
      <c r="O293" s="2">
        <f t="shared" si="19"/>
        <v>1</v>
      </c>
      <c r="P293" s="2" t="s">
        <v>23</v>
      </c>
      <c r="Q293" s="2" t="s">
        <v>23</v>
      </c>
      <c r="R293" s="2" t="s">
        <v>23</v>
      </c>
      <c r="S293" s="2" t="s">
        <v>23</v>
      </c>
      <c r="T293" s="2" t="s">
        <v>23</v>
      </c>
      <c r="U293" s="25">
        <f t="shared" si="17"/>
        <v>6589.0002930000001</v>
      </c>
    </row>
    <row r="294" spans="1:21">
      <c r="A294" s="2" t="s">
        <v>587</v>
      </c>
      <c r="B294" s="2" t="s">
        <v>588</v>
      </c>
      <c r="C294" s="2" t="s">
        <v>35</v>
      </c>
      <c r="D294" s="2">
        <v>19</v>
      </c>
      <c r="E294" s="2" t="str">
        <f t="shared" si="18"/>
        <v>18-25</v>
      </c>
      <c r="F294" s="2" t="s">
        <v>105</v>
      </c>
      <c r="G294" s="2" t="s">
        <v>27</v>
      </c>
      <c r="H294" s="2">
        <v>14</v>
      </c>
      <c r="I294" s="2" t="str">
        <f t="shared" si="16"/>
        <v>13-24 months</v>
      </c>
      <c r="J294" s="3">
        <v>649</v>
      </c>
      <c r="K294" s="3">
        <v>9086</v>
      </c>
      <c r="L294" s="2" t="s">
        <v>31</v>
      </c>
      <c r="M294" s="4">
        <v>45504</v>
      </c>
      <c r="N294" s="2" t="s">
        <v>23</v>
      </c>
      <c r="O294" s="2">
        <f t="shared" si="19"/>
        <v>0</v>
      </c>
      <c r="P294" s="2" t="s">
        <v>23</v>
      </c>
      <c r="Q294" s="2" t="s">
        <v>23</v>
      </c>
      <c r="R294" s="2" t="s">
        <v>23</v>
      </c>
      <c r="S294" s="2" t="s">
        <v>23</v>
      </c>
      <c r="T294" s="2" t="s">
        <v>23</v>
      </c>
      <c r="U294" s="25">
        <f t="shared" si="17"/>
        <v>9086.0002939999995</v>
      </c>
    </row>
    <row r="295" spans="1:21">
      <c r="A295" s="2" t="s">
        <v>589</v>
      </c>
      <c r="B295" s="2" t="s">
        <v>590</v>
      </c>
      <c r="C295" s="2" t="s">
        <v>19</v>
      </c>
      <c r="D295" s="2">
        <v>57</v>
      </c>
      <c r="E295" s="2" t="str">
        <f t="shared" si="18"/>
        <v>46-60</v>
      </c>
      <c r="F295" s="2" t="s">
        <v>20</v>
      </c>
      <c r="G295" s="2" t="s">
        <v>27</v>
      </c>
      <c r="H295" s="2">
        <v>36</v>
      </c>
      <c r="I295" s="2" t="str">
        <f t="shared" si="16"/>
        <v>25-48 months</v>
      </c>
      <c r="J295" s="3">
        <v>899</v>
      </c>
      <c r="K295" s="3">
        <v>32364</v>
      </c>
      <c r="L295" s="2" t="s">
        <v>22</v>
      </c>
      <c r="M295" s="4">
        <v>44844</v>
      </c>
      <c r="N295" s="2" t="s">
        <v>23</v>
      </c>
      <c r="O295" s="2">
        <f t="shared" si="19"/>
        <v>0</v>
      </c>
      <c r="P295" s="2" t="s">
        <v>23</v>
      </c>
      <c r="Q295" s="2" t="s">
        <v>23</v>
      </c>
      <c r="R295" s="2" t="s">
        <v>23</v>
      </c>
      <c r="S295" s="2" t="s">
        <v>32</v>
      </c>
      <c r="T295" s="2" t="s">
        <v>23</v>
      </c>
      <c r="U295" s="25">
        <f t="shared" si="17"/>
        <v>32364.000295000002</v>
      </c>
    </row>
    <row r="296" spans="1:21">
      <c r="A296" s="2" t="s">
        <v>591</v>
      </c>
      <c r="B296" s="2" t="s">
        <v>592</v>
      </c>
      <c r="C296" s="2" t="s">
        <v>37</v>
      </c>
      <c r="D296" s="2">
        <v>74</v>
      </c>
      <c r="E296" s="2" t="str">
        <f t="shared" si="18"/>
        <v>60+</v>
      </c>
      <c r="F296" s="2" t="s">
        <v>110</v>
      </c>
      <c r="G296" s="2" t="s">
        <v>21</v>
      </c>
      <c r="H296" s="2">
        <v>18</v>
      </c>
      <c r="I296" s="2" t="str">
        <f t="shared" si="16"/>
        <v>13-24 months</v>
      </c>
      <c r="J296" s="3">
        <v>899</v>
      </c>
      <c r="K296" s="3">
        <v>16182</v>
      </c>
      <c r="L296" s="2" t="s">
        <v>22</v>
      </c>
      <c r="M296" s="4">
        <v>45377</v>
      </c>
      <c r="N296" s="2" t="s">
        <v>23</v>
      </c>
      <c r="O296" s="2">
        <f t="shared" si="19"/>
        <v>0</v>
      </c>
      <c r="P296" s="2" t="s">
        <v>23</v>
      </c>
      <c r="Q296" s="2" t="s">
        <v>23</v>
      </c>
      <c r="R296" s="2" t="s">
        <v>23</v>
      </c>
      <c r="S296" s="2" t="s">
        <v>23</v>
      </c>
      <c r="T296" s="2" t="s">
        <v>23</v>
      </c>
      <c r="U296" s="25">
        <f t="shared" si="17"/>
        <v>16182.000296</v>
      </c>
    </row>
    <row r="297" spans="1:21">
      <c r="A297" s="2" t="s">
        <v>593</v>
      </c>
      <c r="B297" s="2" t="s">
        <v>466</v>
      </c>
      <c r="C297" s="2" t="s">
        <v>35</v>
      </c>
      <c r="D297" s="2">
        <v>40</v>
      </c>
      <c r="E297" s="2" t="str">
        <f t="shared" si="18"/>
        <v>36-45</v>
      </c>
      <c r="F297" s="2" t="s">
        <v>91</v>
      </c>
      <c r="G297" s="2" t="s">
        <v>21</v>
      </c>
      <c r="H297" s="2">
        <v>6</v>
      </c>
      <c r="I297" s="2" t="str">
        <f t="shared" si="16"/>
        <v>0-6 months</v>
      </c>
      <c r="J297" s="3">
        <v>1049</v>
      </c>
      <c r="K297" s="3">
        <v>6294</v>
      </c>
      <c r="L297" s="2" t="s">
        <v>22</v>
      </c>
      <c r="M297" s="4">
        <v>45720</v>
      </c>
      <c r="N297" s="2" t="s">
        <v>32</v>
      </c>
      <c r="O297" s="2">
        <f t="shared" si="19"/>
        <v>1</v>
      </c>
      <c r="P297" s="2" t="s">
        <v>23</v>
      </c>
      <c r="Q297" s="2" t="s">
        <v>23</v>
      </c>
      <c r="R297" s="2" t="s">
        <v>23</v>
      </c>
      <c r="S297" s="2" t="s">
        <v>23</v>
      </c>
      <c r="T297" s="2" t="s">
        <v>23</v>
      </c>
      <c r="U297" s="25">
        <f t="shared" si="17"/>
        <v>6294.0002969999996</v>
      </c>
    </row>
    <row r="298" spans="1:21">
      <c r="A298" s="2" t="s">
        <v>594</v>
      </c>
      <c r="B298" s="2" t="s">
        <v>595</v>
      </c>
      <c r="C298" s="2" t="s">
        <v>35</v>
      </c>
      <c r="D298" s="2">
        <v>51</v>
      </c>
      <c r="E298" s="2" t="str">
        <f t="shared" si="18"/>
        <v>46-60</v>
      </c>
      <c r="F298" s="2" t="s">
        <v>30</v>
      </c>
      <c r="G298" s="2" t="s">
        <v>27</v>
      </c>
      <c r="H298" s="2">
        <v>11</v>
      </c>
      <c r="I298" s="2" t="str">
        <f t="shared" si="16"/>
        <v>7-12 months</v>
      </c>
      <c r="J298" s="3">
        <v>399</v>
      </c>
      <c r="K298" s="3">
        <v>4389</v>
      </c>
      <c r="L298" s="2" t="s">
        <v>66</v>
      </c>
      <c r="M298" s="4">
        <v>45572</v>
      </c>
      <c r="N298" s="2" t="s">
        <v>23</v>
      </c>
      <c r="O298" s="2">
        <f t="shared" si="19"/>
        <v>0</v>
      </c>
      <c r="P298" s="2" t="s">
        <v>23</v>
      </c>
      <c r="Q298" s="2" t="s">
        <v>23</v>
      </c>
      <c r="R298" s="2" t="s">
        <v>32</v>
      </c>
      <c r="S298" s="2" t="s">
        <v>23</v>
      </c>
      <c r="T298" s="2" t="s">
        <v>23</v>
      </c>
      <c r="U298" s="25">
        <f t="shared" si="17"/>
        <v>4389.0002979999999</v>
      </c>
    </row>
    <row r="299" spans="1:21">
      <c r="A299" s="2" t="s">
        <v>596</v>
      </c>
      <c r="B299" s="2" t="s">
        <v>597</v>
      </c>
      <c r="C299" s="2" t="s">
        <v>19</v>
      </c>
      <c r="D299" s="2">
        <v>72</v>
      </c>
      <c r="E299" s="2" t="str">
        <f t="shared" si="18"/>
        <v>60+</v>
      </c>
      <c r="F299" s="2" t="s">
        <v>110</v>
      </c>
      <c r="G299" s="2" t="s">
        <v>21</v>
      </c>
      <c r="H299" s="2">
        <v>6</v>
      </c>
      <c r="I299" s="2" t="str">
        <f t="shared" si="16"/>
        <v>0-6 months</v>
      </c>
      <c r="J299" s="3">
        <v>549</v>
      </c>
      <c r="K299" s="3">
        <v>3294</v>
      </c>
      <c r="L299" s="2" t="s">
        <v>66</v>
      </c>
      <c r="M299" s="4">
        <v>45725</v>
      </c>
      <c r="N299" s="2" t="s">
        <v>32</v>
      </c>
      <c r="O299" s="2">
        <f t="shared" si="19"/>
        <v>1</v>
      </c>
      <c r="P299" s="2" t="s">
        <v>23</v>
      </c>
      <c r="Q299" s="2" t="s">
        <v>23</v>
      </c>
      <c r="R299" s="2" t="s">
        <v>23</v>
      </c>
      <c r="S299" s="2" t="s">
        <v>23</v>
      </c>
      <c r="T299" s="2" t="s">
        <v>23</v>
      </c>
      <c r="U299" s="25">
        <f t="shared" si="17"/>
        <v>3294.0002989999998</v>
      </c>
    </row>
    <row r="300" spans="1:21">
      <c r="A300" s="2" t="s">
        <v>598</v>
      </c>
      <c r="B300" s="2" t="s">
        <v>599</v>
      </c>
      <c r="C300" s="2" t="s">
        <v>35</v>
      </c>
      <c r="D300" s="2">
        <v>63</v>
      </c>
      <c r="E300" s="2" t="str">
        <f t="shared" si="18"/>
        <v>60+</v>
      </c>
      <c r="F300" s="2" t="s">
        <v>141</v>
      </c>
      <c r="G300" s="2" t="s">
        <v>21</v>
      </c>
      <c r="H300" s="2">
        <v>5</v>
      </c>
      <c r="I300" s="2" t="str">
        <f t="shared" si="16"/>
        <v>0-6 months</v>
      </c>
      <c r="J300" s="3">
        <v>999</v>
      </c>
      <c r="K300" s="3">
        <v>4995</v>
      </c>
      <c r="L300" s="2" t="s">
        <v>22</v>
      </c>
      <c r="M300" s="4">
        <v>45773</v>
      </c>
      <c r="N300" s="2" t="s">
        <v>32</v>
      </c>
      <c r="O300" s="2">
        <f t="shared" si="19"/>
        <v>1</v>
      </c>
      <c r="P300" s="2" t="s">
        <v>23</v>
      </c>
      <c r="Q300" s="2" t="s">
        <v>23</v>
      </c>
      <c r="R300" s="2" t="s">
        <v>23</v>
      </c>
      <c r="S300" s="2" t="s">
        <v>23</v>
      </c>
      <c r="T300" s="2" t="s">
        <v>23</v>
      </c>
      <c r="U300" s="25">
        <f t="shared" si="17"/>
        <v>4995.0002999999997</v>
      </c>
    </row>
    <row r="301" spans="1:21">
      <c r="A301" s="2" t="s">
        <v>600</v>
      </c>
      <c r="B301" s="2" t="s">
        <v>344</v>
      </c>
      <c r="C301" s="2" t="s">
        <v>35</v>
      </c>
      <c r="D301" s="2">
        <v>21</v>
      </c>
      <c r="E301" s="2" t="str">
        <f t="shared" si="18"/>
        <v>18-25</v>
      </c>
      <c r="F301" s="2" t="s">
        <v>20</v>
      </c>
      <c r="G301" s="2" t="s">
        <v>27</v>
      </c>
      <c r="H301" s="2">
        <v>31</v>
      </c>
      <c r="I301" s="2" t="str">
        <f t="shared" si="16"/>
        <v>25-48 months</v>
      </c>
      <c r="J301" s="3">
        <v>599</v>
      </c>
      <c r="K301" s="3">
        <v>18569</v>
      </c>
      <c r="L301" s="2" t="s">
        <v>31</v>
      </c>
      <c r="M301" s="4">
        <v>44994</v>
      </c>
      <c r="N301" s="2" t="s">
        <v>23</v>
      </c>
      <c r="O301" s="2">
        <f t="shared" si="19"/>
        <v>0</v>
      </c>
      <c r="P301" s="2" t="s">
        <v>23</v>
      </c>
      <c r="Q301" s="2" t="s">
        <v>23</v>
      </c>
      <c r="R301" s="2" t="s">
        <v>23</v>
      </c>
      <c r="S301" s="2" t="s">
        <v>23</v>
      </c>
      <c r="T301" s="2" t="s">
        <v>23</v>
      </c>
      <c r="U301" s="25">
        <f t="shared" si="17"/>
        <v>18569.000301</v>
      </c>
    </row>
    <row r="302" spans="1:21">
      <c r="A302" s="2" t="s">
        <v>601</v>
      </c>
      <c r="B302" s="2" t="s">
        <v>602</v>
      </c>
      <c r="C302" s="2" t="s">
        <v>35</v>
      </c>
      <c r="D302" s="2">
        <v>21</v>
      </c>
      <c r="E302" s="2" t="str">
        <f t="shared" si="18"/>
        <v>18-25</v>
      </c>
      <c r="F302" s="2" t="s">
        <v>36</v>
      </c>
      <c r="G302" s="2" t="s">
        <v>21</v>
      </c>
      <c r="H302" s="2">
        <v>5</v>
      </c>
      <c r="I302" s="2" t="str">
        <f t="shared" si="16"/>
        <v>0-6 months</v>
      </c>
      <c r="J302" s="3">
        <v>899</v>
      </c>
      <c r="K302" s="3">
        <v>4495</v>
      </c>
      <c r="L302" s="2" t="s">
        <v>22</v>
      </c>
      <c r="M302" s="4">
        <v>45776</v>
      </c>
      <c r="N302" s="2" t="s">
        <v>23</v>
      </c>
      <c r="O302" s="2">
        <f t="shared" si="19"/>
        <v>0</v>
      </c>
      <c r="P302" s="2" t="s">
        <v>23</v>
      </c>
      <c r="Q302" s="2" t="s">
        <v>23</v>
      </c>
      <c r="R302" s="2" t="s">
        <v>23</v>
      </c>
      <c r="S302" s="2" t="s">
        <v>23</v>
      </c>
      <c r="T302" s="2" t="s">
        <v>23</v>
      </c>
      <c r="U302" s="25">
        <f t="shared" si="17"/>
        <v>4495.0003020000004</v>
      </c>
    </row>
    <row r="303" spans="1:21">
      <c r="A303" s="2" t="s">
        <v>603</v>
      </c>
      <c r="B303" s="2" t="s">
        <v>604</v>
      </c>
      <c r="C303" s="2" t="s">
        <v>35</v>
      </c>
      <c r="D303" s="2">
        <v>24</v>
      </c>
      <c r="E303" s="2" t="str">
        <f t="shared" si="18"/>
        <v>18-25</v>
      </c>
      <c r="F303" s="2" t="s">
        <v>30</v>
      </c>
      <c r="G303" s="2" t="s">
        <v>21</v>
      </c>
      <c r="H303" s="2">
        <v>6</v>
      </c>
      <c r="I303" s="2" t="str">
        <f t="shared" si="16"/>
        <v>0-6 months</v>
      </c>
      <c r="J303" s="3">
        <v>849</v>
      </c>
      <c r="K303" s="3">
        <v>5094</v>
      </c>
      <c r="L303" s="2" t="s">
        <v>31</v>
      </c>
      <c r="M303" s="4">
        <v>45743</v>
      </c>
      <c r="N303" s="2" t="s">
        <v>23</v>
      </c>
      <c r="O303" s="2">
        <f t="shared" si="19"/>
        <v>0</v>
      </c>
      <c r="P303" s="2" t="s">
        <v>23</v>
      </c>
      <c r="Q303" s="2" t="s">
        <v>23</v>
      </c>
      <c r="R303" s="2" t="s">
        <v>23</v>
      </c>
      <c r="S303" s="2" t="s">
        <v>32</v>
      </c>
      <c r="T303" s="2" t="s">
        <v>23</v>
      </c>
      <c r="U303" s="25">
        <f t="shared" si="17"/>
        <v>5094.0003029999998</v>
      </c>
    </row>
    <row r="304" spans="1:21">
      <c r="A304" s="2" t="s">
        <v>605</v>
      </c>
      <c r="B304" s="2" t="s">
        <v>606</v>
      </c>
      <c r="C304" s="2" t="s">
        <v>35</v>
      </c>
      <c r="D304" s="2">
        <v>55</v>
      </c>
      <c r="E304" s="2" t="str">
        <f t="shared" si="18"/>
        <v>46-60</v>
      </c>
      <c r="F304" s="2" t="s">
        <v>57</v>
      </c>
      <c r="G304" s="2" t="s">
        <v>21</v>
      </c>
      <c r="H304" s="2">
        <v>23</v>
      </c>
      <c r="I304" s="2" t="str">
        <f t="shared" si="16"/>
        <v>13-24 months</v>
      </c>
      <c r="J304" s="3">
        <v>699</v>
      </c>
      <c r="K304" s="3">
        <v>16077</v>
      </c>
      <c r="L304" s="2" t="s">
        <v>31</v>
      </c>
      <c r="M304" s="4">
        <v>45216</v>
      </c>
      <c r="N304" s="2" t="s">
        <v>23</v>
      </c>
      <c r="O304" s="2">
        <f t="shared" si="19"/>
        <v>0</v>
      </c>
      <c r="P304" s="2" t="s">
        <v>23</v>
      </c>
      <c r="Q304" s="2" t="s">
        <v>23</v>
      </c>
      <c r="R304" s="2" t="s">
        <v>23</v>
      </c>
      <c r="S304" s="2" t="s">
        <v>23</v>
      </c>
      <c r="T304" s="2" t="s">
        <v>23</v>
      </c>
      <c r="U304" s="25">
        <f t="shared" si="17"/>
        <v>16077.000303999999</v>
      </c>
    </row>
    <row r="305" spans="1:21">
      <c r="A305" s="2" t="s">
        <v>607</v>
      </c>
      <c r="B305" s="2" t="s">
        <v>366</v>
      </c>
      <c r="C305" s="2" t="s">
        <v>35</v>
      </c>
      <c r="D305" s="2">
        <v>29</v>
      </c>
      <c r="E305" s="2" t="str">
        <f t="shared" si="18"/>
        <v>26-35</v>
      </c>
      <c r="F305" s="2" t="s">
        <v>91</v>
      </c>
      <c r="G305" s="2" t="s">
        <v>21</v>
      </c>
      <c r="H305" s="2">
        <v>20</v>
      </c>
      <c r="I305" s="2" t="str">
        <f t="shared" si="16"/>
        <v>13-24 months</v>
      </c>
      <c r="J305" s="3"/>
      <c r="K305" s="3"/>
      <c r="L305" s="2" t="s">
        <v>66</v>
      </c>
      <c r="M305" s="4"/>
      <c r="N305" s="2" t="s">
        <v>32</v>
      </c>
      <c r="O305" s="2">
        <f t="shared" si="19"/>
        <v>1</v>
      </c>
      <c r="P305" s="2" t="s">
        <v>23</v>
      </c>
      <c r="Q305" s="2" t="s">
        <v>23</v>
      </c>
      <c r="R305" s="2" t="s">
        <v>23</v>
      </c>
      <c r="S305" s="2" t="s">
        <v>23</v>
      </c>
      <c r="T305" s="2" t="s">
        <v>608</v>
      </c>
      <c r="U305" s="25" t="str">
        <f t="shared" si="17"/>
        <v/>
      </c>
    </row>
    <row r="306" spans="1:21">
      <c r="A306" s="2" t="s">
        <v>609</v>
      </c>
      <c r="B306" s="2" t="s">
        <v>610</v>
      </c>
      <c r="C306" s="2" t="s">
        <v>19</v>
      </c>
      <c r="D306" s="2">
        <v>22</v>
      </c>
      <c r="E306" s="2" t="str">
        <f t="shared" si="18"/>
        <v>18-25</v>
      </c>
      <c r="F306" s="2" t="s">
        <v>37</v>
      </c>
      <c r="G306" s="2" t="s">
        <v>21</v>
      </c>
      <c r="H306" s="2">
        <v>21</v>
      </c>
      <c r="I306" s="2" t="str">
        <f t="shared" si="16"/>
        <v>13-24 months</v>
      </c>
      <c r="J306" s="3">
        <v>599</v>
      </c>
      <c r="K306" s="3">
        <v>12579</v>
      </c>
      <c r="L306" s="2" t="s">
        <v>31</v>
      </c>
      <c r="M306" s="4">
        <v>45290</v>
      </c>
      <c r="N306" s="2" t="s">
        <v>23</v>
      </c>
      <c r="O306" s="2">
        <f t="shared" si="19"/>
        <v>0</v>
      </c>
      <c r="P306" s="2" t="s">
        <v>23</v>
      </c>
      <c r="Q306" s="2" t="s">
        <v>23</v>
      </c>
      <c r="R306" s="2" t="s">
        <v>23</v>
      </c>
      <c r="S306" s="2" t="s">
        <v>23</v>
      </c>
      <c r="T306" s="2" t="s">
        <v>23</v>
      </c>
      <c r="U306" s="25">
        <f t="shared" si="17"/>
        <v>12579.000306</v>
      </c>
    </row>
    <row r="307" spans="1:21">
      <c r="A307" s="2" t="s">
        <v>611</v>
      </c>
      <c r="B307" s="2" t="s">
        <v>612</v>
      </c>
      <c r="C307" s="2" t="s">
        <v>19</v>
      </c>
      <c r="D307" s="2">
        <v>22</v>
      </c>
      <c r="E307" s="2" t="str">
        <f t="shared" si="18"/>
        <v>18-25</v>
      </c>
      <c r="F307" s="2" t="s">
        <v>37</v>
      </c>
      <c r="G307" s="2" t="s">
        <v>21</v>
      </c>
      <c r="H307" s="2">
        <v>1</v>
      </c>
      <c r="I307" s="2" t="str">
        <f t="shared" si="16"/>
        <v>0-6 months</v>
      </c>
      <c r="J307" s="3">
        <v>599</v>
      </c>
      <c r="K307" s="3">
        <v>599</v>
      </c>
      <c r="L307" s="2" t="s">
        <v>31</v>
      </c>
      <c r="M307" s="4">
        <v>45893</v>
      </c>
      <c r="N307" s="2" t="s">
        <v>23</v>
      </c>
      <c r="O307" s="2">
        <f t="shared" si="19"/>
        <v>0</v>
      </c>
      <c r="P307" s="2" t="s">
        <v>23</v>
      </c>
      <c r="Q307" s="2" t="s">
        <v>23</v>
      </c>
      <c r="R307" s="2" t="s">
        <v>23</v>
      </c>
      <c r="S307" s="2" t="s">
        <v>23</v>
      </c>
      <c r="T307" s="2" t="s">
        <v>23</v>
      </c>
      <c r="U307" s="25">
        <f t="shared" si="17"/>
        <v>599.00030700000002</v>
      </c>
    </row>
    <row r="308" spans="1:21">
      <c r="A308" s="2" t="s">
        <v>613</v>
      </c>
      <c r="B308" s="2" t="s">
        <v>130</v>
      </c>
      <c r="C308" s="2" t="s">
        <v>35</v>
      </c>
      <c r="D308" s="2">
        <v>40</v>
      </c>
      <c r="E308" s="2" t="str">
        <f t="shared" si="18"/>
        <v>36-45</v>
      </c>
      <c r="F308" s="2" t="s">
        <v>26</v>
      </c>
      <c r="G308" s="2" t="s">
        <v>21</v>
      </c>
      <c r="H308" s="2">
        <v>19</v>
      </c>
      <c r="I308" s="2" t="str">
        <f t="shared" si="16"/>
        <v>13-24 months</v>
      </c>
      <c r="J308" s="3">
        <v>399</v>
      </c>
      <c r="K308" s="3">
        <v>7581</v>
      </c>
      <c r="L308" s="2" t="s">
        <v>66</v>
      </c>
      <c r="M308" s="4">
        <v>45356</v>
      </c>
      <c r="N308" s="2" t="s">
        <v>32</v>
      </c>
      <c r="O308" s="2">
        <f t="shared" si="19"/>
        <v>1</v>
      </c>
      <c r="P308" s="2" t="s">
        <v>23</v>
      </c>
      <c r="Q308" s="2" t="s">
        <v>23</v>
      </c>
      <c r="R308" s="2" t="s">
        <v>23</v>
      </c>
      <c r="S308" s="2" t="s">
        <v>23</v>
      </c>
      <c r="T308" s="2" t="s">
        <v>23</v>
      </c>
      <c r="U308" s="25">
        <f t="shared" si="17"/>
        <v>7581.0003079999997</v>
      </c>
    </row>
    <row r="309" spans="1:21">
      <c r="A309" s="2" t="s">
        <v>614</v>
      </c>
      <c r="B309" s="2" t="s">
        <v>615</v>
      </c>
      <c r="C309" s="2" t="s">
        <v>19</v>
      </c>
      <c r="D309" s="2">
        <v>47</v>
      </c>
      <c r="E309" s="2" t="str">
        <f t="shared" si="18"/>
        <v>46-60</v>
      </c>
      <c r="F309" s="2" t="s">
        <v>46</v>
      </c>
      <c r="G309" s="2" t="s">
        <v>47</v>
      </c>
      <c r="H309" s="2">
        <v>22</v>
      </c>
      <c r="I309" s="2" t="str">
        <f t="shared" si="16"/>
        <v>13-24 months</v>
      </c>
      <c r="J309" s="3">
        <v>749</v>
      </c>
      <c r="K309" s="3">
        <v>16478</v>
      </c>
      <c r="L309" s="2" t="s">
        <v>31</v>
      </c>
      <c r="M309" s="4">
        <v>45240</v>
      </c>
      <c r="N309" s="2" t="s">
        <v>23</v>
      </c>
      <c r="O309" s="2">
        <f t="shared" si="19"/>
        <v>0</v>
      </c>
      <c r="P309" s="2" t="s">
        <v>32</v>
      </c>
      <c r="Q309" s="2" t="s">
        <v>23</v>
      </c>
      <c r="R309" s="2" t="s">
        <v>23</v>
      </c>
      <c r="S309" s="2" t="s">
        <v>32</v>
      </c>
      <c r="T309" s="2" t="s">
        <v>23</v>
      </c>
      <c r="U309" s="25">
        <f t="shared" si="17"/>
        <v>16478.000308999999</v>
      </c>
    </row>
    <row r="310" spans="1:21">
      <c r="A310" s="2" t="s">
        <v>616</v>
      </c>
      <c r="B310" s="2" t="s">
        <v>308</v>
      </c>
      <c r="C310" s="2" t="s">
        <v>19</v>
      </c>
      <c r="D310" s="2">
        <v>57</v>
      </c>
      <c r="E310" s="2" t="str">
        <f t="shared" si="18"/>
        <v>46-60</v>
      </c>
      <c r="F310" s="2" t="s">
        <v>60</v>
      </c>
      <c r="G310" s="2" t="s">
        <v>27</v>
      </c>
      <c r="H310" s="2">
        <v>11</v>
      </c>
      <c r="I310" s="2" t="str">
        <f t="shared" si="16"/>
        <v>7-12 months</v>
      </c>
      <c r="J310" s="3">
        <v>1099</v>
      </c>
      <c r="K310" s="3">
        <v>12089</v>
      </c>
      <c r="L310" s="2" t="s">
        <v>22</v>
      </c>
      <c r="M310" s="4">
        <v>45588</v>
      </c>
      <c r="N310" s="2" t="s">
        <v>32</v>
      </c>
      <c r="O310" s="2">
        <f t="shared" si="19"/>
        <v>1</v>
      </c>
      <c r="P310" s="2" t="s">
        <v>23</v>
      </c>
      <c r="Q310" s="2" t="s">
        <v>23</v>
      </c>
      <c r="R310" s="2" t="s">
        <v>23</v>
      </c>
      <c r="S310" s="2" t="s">
        <v>23</v>
      </c>
      <c r="T310" s="2" t="s">
        <v>23</v>
      </c>
      <c r="U310" s="25">
        <f t="shared" si="17"/>
        <v>12089.000309999999</v>
      </c>
    </row>
    <row r="311" spans="1:21">
      <c r="A311" s="2" t="s">
        <v>617</v>
      </c>
      <c r="B311" s="2" t="s">
        <v>138</v>
      </c>
      <c r="C311" s="2" t="s">
        <v>19</v>
      </c>
      <c r="D311" s="2">
        <v>62</v>
      </c>
      <c r="E311" s="2" t="str">
        <f t="shared" si="18"/>
        <v>60+</v>
      </c>
      <c r="F311" s="2" t="s">
        <v>26</v>
      </c>
      <c r="G311" s="2" t="s">
        <v>27</v>
      </c>
      <c r="H311" s="2">
        <v>17</v>
      </c>
      <c r="I311" s="2" t="str">
        <f t="shared" si="16"/>
        <v>13-24 months</v>
      </c>
      <c r="J311" s="3"/>
      <c r="K311" s="3"/>
      <c r="L311" s="2" t="s">
        <v>22</v>
      </c>
      <c r="M311" s="4">
        <v>45417</v>
      </c>
      <c r="N311" s="2" t="s">
        <v>23</v>
      </c>
      <c r="O311" s="2">
        <f t="shared" si="19"/>
        <v>0</v>
      </c>
      <c r="P311" s="2" t="s">
        <v>23</v>
      </c>
      <c r="Q311" s="2" t="s">
        <v>23</v>
      </c>
      <c r="R311" s="2" t="s">
        <v>23</v>
      </c>
      <c r="S311" s="2" t="s">
        <v>23</v>
      </c>
      <c r="T311" s="2" t="s">
        <v>553</v>
      </c>
      <c r="U311" s="25" t="str">
        <f t="shared" si="17"/>
        <v/>
      </c>
    </row>
    <row r="312" spans="1:21">
      <c r="A312" s="2" t="s">
        <v>618</v>
      </c>
      <c r="B312" s="2" t="s">
        <v>104</v>
      </c>
      <c r="C312" s="2" t="s">
        <v>35</v>
      </c>
      <c r="D312" s="2">
        <v>71</v>
      </c>
      <c r="E312" s="2" t="str">
        <f t="shared" si="18"/>
        <v>60+</v>
      </c>
      <c r="F312" s="2" t="s">
        <v>60</v>
      </c>
      <c r="G312" s="2" t="s">
        <v>21</v>
      </c>
      <c r="H312" s="2">
        <v>14</v>
      </c>
      <c r="I312" s="2" t="str">
        <f t="shared" si="16"/>
        <v>13-24 months</v>
      </c>
      <c r="J312" s="3">
        <v>1049</v>
      </c>
      <c r="K312" s="3">
        <v>14686</v>
      </c>
      <c r="L312" s="2" t="s">
        <v>22</v>
      </c>
      <c r="M312" s="4">
        <v>45505</v>
      </c>
      <c r="N312" s="2" t="s">
        <v>23</v>
      </c>
      <c r="O312" s="2">
        <f t="shared" si="19"/>
        <v>0</v>
      </c>
      <c r="P312" s="2" t="s">
        <v>23</v>
      </c>
      <c r="Q312" s="2" t="s">
        <v>23</v>
      </c>
      <c r="R312" s="2" t="s">
        <v>23</v>
      </c>
      <c r="S312" s="2" t="s">
        <v>23</v>
      </c>
      <c r="T312" s="2" t="s">
        <v>23</v>
      </c>
      <c r="U312" s="25">
        <f t="shared" si="17"/>
        <v>14686.000312</v>
      </c>
    </row>
    <row r="313" spans="1:21">
      <c r="A313" s="2" t="s">
        <v>619</v>
      </c>
      <c r="B313" s="2" t="s">
        <v>620</v>
      </c>
      <c r="C313" s="2" t="s">
        <v>19</v>
      </c>
      <c r="D313" s="2">
        <v>58</v>
      </c>
      <c r="E313" s="2" t="str">
        <f t="shared" si="18"/>
        <v>46-60</v>
      </c>
      <c r="F313" s="2" t="s">
        <v>46</v>
      </c>
      <c r="G313" s="2" t="s">
        <v>47</v>
      </c>
      <c r="H313" s="2">
        <v>15</v>
      </c>
      <c r="I313" s="2" t="str">
        <f t="shared" si="16"/>
        <v>13-24 months</v>
      </c>
      <c r="J313" s="3">
        <v>1299</v>
      </c>
      <c r="K313" s="3">
        <v>19485</v>
      </c>
      <c r="L313" s="2" t="s">
        <v>22</v>
      </c>
      <c r="M313" s="4">
        <v>45450</v>
      </c>
      <c r="N313" s="2" t="s">
        <v>23</v>
      </c>
      <c r="O313" s="2">
        <f t="shared" si="19"/>
        <v>0</v>
      </c>
      <c r="P313" s="2" t="s">
        <v>23</v>
      </c>
      <c r="Q313" s="2" t="s">
        <v>23</v>
      </c>
      <c r="R313" s="2" t="s">
        <v>23</v>
      </c>
      <c r="S313" s="2" t="s">
        <v>23</v>
      </c>
      <c r="T313" s="2" t="s">
        <v>23</v>
      </c>
      <c r="U313" s="25">
        <f t="shared" si="17"/>
        <v>19485.000313</v>
      </c>
    </row>
    <row r="314" spans="1:21">
      <c r="A314" s="2" t="s">
        <v>621</v>
      </c>
      <c r="B314" s="2" t="s">
        <v>622</v>
      </c>
      <c r="C314" s="2" t="s">
        <v>35</v>
      </c>
      <c r="D314" s="2">
        <v>52</v>
      </c>
      <c r="E314" s="2" t="str">
        <f t="shared" si="18"/>
        <v>46-60</v>
      </c>
      <c r="F314" s="2" t="s">
        <v>105</v>
      </c>
      <c r="G314" s="2" t="s">
        <v>21</v>
      </c>
      <c r="H314" s="2">
        <v>12</v>
      </c>
      <c r="I314" s="2" t="str">
        <f t="shared" si="16"/>
        <v>7-12 months</v>
      </c>
      <c r="J314" s="3">
        <v>349</v>
      </c>
      <c r="K314" s="3">
        <v>4188</v>
      </c>
      <c r="L314" s="2" t="s">
        <v>66</v>
      </c>
      <c r="M314" s="4">
        <v>45554</v>
      </c>
      <c r="N314" s="2" t="s">
        <v>32</v>
      </c>
      <c r="O314" s="2">
        <f t="shared" si="19"/>
        <v>1</v>
      </c>
      <c r="P314" s="2" t="s">
        <v>23</v>
      </c>
      <c r="Q314" s="2" t="s">
        <v>23</v>
      </c>
      <c r="R314" s="2" t="s">
        <v>23</v>
      </c>
      <c r="S314" s="2" t="s">
        <v>23</v>
      </c>
      <c r="T314" s="2" t="s">
        <v>23</v>
      </c>
      <c r="U314" s="25">
        <f t="shared" si="17"/>
        <v>4188.0003139999999</v>
      </c>
    </row>
    <row r="315" spans="1:21">
      <c r="A315" s="2" t="s">
        <v>623</v>
      </c>
      <c r="B315" s="2" t="s">
        <v>109</v>
      </c>
      <c r="C315" s="2" t="s">
        <v>35</v>
      </c>
      <c r="D315" s="2">
        <v>54</v>
      </c>
      <c r="E315" s="2" t="str">
        <f t="shared" si="18"/>
        <v>46-60</v>
      </c>
      <c r="F315" s="2" t="s">
        <v>36</v>
      </c>
      <c r="G315" s="2" t="s">
        <v>21</v>
      </c>
      <c r="H315" s="2">
        <v>4</v>
      </c>
      <c r="I315" s="2" t="str">
        <f t="shared" si="16"/>
        <v>0-6 months</v>
      </c>
      <c r="J315" s="3">
        <v>1199</v>
      </c>
      <c r="K315" s="3">
        <v>4796</v>
      </c>
      <c r="L315" s="2" t="s">
        <v>22</v>
      </c>
      <c r="M315" s="4">
        <v>45795</v>
      </c>
      <c r="N315" s="2" t="s">
        <v>23</v>
      </c>
      <c r="O315" s="2">
        <f t="shared" si="19"/>
        <v>0</v>
      </c>
      <c r="P315" s="2" t="s">
        <v>23</v>
      </c>
      <c r="Q315" s="2" t="s">
        <v>23</v>
      </c>
      <c r="R315" s="2" t="s">
        <v>23</v>
      </c>
      <c r="S315" s="2" t="s">
        <v>23</v>
      </c>
      <c r="T315" s="2" t="s">
        <v>23</v>
      </c>
      <c r="U315" s="25">
        <f t="shared" si="17"/>
        <v>4796.0003150000002</v>
      </c>
    </row>
    <row r="316" spans="1:21">
      <c r="A316" s="2" t="s">
        <v>624</v>
      </c>
      <c r="B316" s="2" t="s">
        <v>625</v>
      </c>
      <c r="C316" s="2" t="s">
        <v>19</v>
      </c>
      <c r="D316" s="2">
        <v>71</v>
      </c>
      <c r="E316" s="2" t="str">
        <f t="shared" si="18"/>
        <v>60+</v>
      </c>
      <c r="F316" s="2" t="s">
        <v>105</v>
      </c>
      <c r="G316" s="2" t="s">
        <v>47</v>
      </c>
      <c r="H316" s="2">
        <v>69</v>
      </c>
      <c r="I316" s="2" t="str">
        <f t="shared" si="16"/>
        <v>49+ months</v>
      </c>
      <c r="J316" s="3">
        <v>1299</v>
      </c>
      <c r="K316" s="3">
        <v>89631</v>
      </c>
      <c r="L316" s="2" t="s">
        <v>22</v>
      </c>
      <c r="M316" s="4">
        <v>43851</v>
      </c>
      <c r="N316" s="2" t="s">
        <v>23</v>
      </c>
      <c r="O316" s="2">
        <f t="shared" si="19"/>
        <v>0</v>
      </c>
      <c r="P316" s="2" t="s">
        <v>23</v>
      </c>
      <c r="Q316" s="2" t="s">
        <v>23</v>
      </c>
      <c r="R316" s="2" t="s">
        <v>23</v>
      </c>
      <c r="S316" s="2" t="s">
        <v>23</v>
      </c>
      <c r="T316" s="2" t="s">
        <v>23</v>
      </c>
      <c r="U316" s="25">
        <f t="shared" si="17"/>
        <v>89631.000316000005</v>
      </c>
    </row>
    <row r="317" spans="1:21">
      <c r="A317" s="2" t="s">
        <v>626</v>
      </c>
      <c r="B317" s="2" t="s">
        <v>627</v>
      </c>
      <c r="C317" s="2" t="s">
        <v>37</v>
      </c>
      <c r="D317" s="2">
        <v>43</v>
      </c>
      <c r="E317" s="2" t="str">
        <f t="shared" si="18"/>
        <v>36-45</v>
      </c>
      <c r="F317" s="2" t="s">
        <v>57</v>
      </c>
      <c r="G317" s="2" t="s">
        <v>27</v>
      </c>
      <c r="H317" s="2">
        <v>34</v>
      </c>
      <c r="I317" s="2" t="str">
        <f t="shared" si="16"/>
        <v>25-48 months</v>
      </c>
      <c r="J317" s="3">
        <v>1149</v>
      </c>
      <c r="K317" s="3">
        <v>39066</v>
      </c>
      <c r="L317" s="2" t="s">
        <v>22</v>
      </c>
      <c r="M317" s="4">
        <v>44884</v>
      </c>
      <c r="N317" s="2" t="s">
        <v>32</v>
      </c>
      <c r="O317" s="2">
        <f t="shared" si="19"/>
        <v>1</v>
      </c>
      <c r="P317" s="2" t="s">
        <v>23</v>
      </c>
      <c r="Q317" s="2" t="s">
        <v>23</v>
      </c>
      <c r="R317" s="2" t="s">
        <v>23</v>
      </c>
      <c r="S317" s="2" t="s">
        <v>23</v>
      </c>
      <c r="T317" s="2" t="s">
        <v>23</v>
      </c>
      <c r="U317" s="25">
        <f t="shared" si="17"/>
        <v>39066.000316999998</v>
      </c>
    </row>
    <row r="318" spans="1:21">
      <c r="A318" s="2" t="s">
        <v>628</v>
      </c>
      <c r="B318" s="2" t="s">
        <v>629</v>
      </c>
      <c r="C318" s="2" t="s">
        <v>35</v>
      </c>
      <c r="D318" s="2">
        <v>31</v>
      </c>
      <c r="E318" s="2" t="str">
        <f t="shared" si="18"/>
        <v>26-35</v>
      </c>
      <c r="F318" s="2" t="s">
        <v>110</v>
      </c>
      <c r="G318" s="2" t="s">
        <v>21</v>
      </c>
      <c r="H318" s="2">
        <v>3</v>
      </c>
      <c r="I318" s="2" t="str">
        <f t="shared" si="16"/>
        <v>0-6 months</v>
      </c>
      <c r="J318" s="3">
        <v>849</v>
      </c>
      <c r="K318" s="3">
        <v>2547</v>
      </c>
      <c r="L318" s="2" t="s">
        <v>31</v>
      </c>
      <c r="M318" s="4">
        <v>45818</v>
      </c>
      <c r="N318" s="2" t="s">
        <v>23</v>
      </c>
      <c r="O318" s="2">
        <f t="shared" si="19"/>
        <v>0</v>
      </c>
      <c r="P318" s="2" t="s">
        <v>23</v>
      </c>
      <c r="Q318" s="2" t="s">
        <v>23</v>
      </c>
      <c r="R318" s="2" t="s">
        <v>23</v>
      </c>
      <c r="S318" s="2" t="s">
        <v>23</v>
      </c>
      <c r="T318" s="2" t="s">
        <v>23</v>
      </c>
      <c r="U318" s="25">
        <f t="shared" si="17"/>
        <v>2547.0003179999999</v>
      </c>
    </row>
    <row r="319" spans="1:21">
      <c r="A319" s="2" t="s">
        <v>630</v>
      </c>
      <c r="B319" s="2" t="s">
        <v>631</v>
      </c>
      <c r="C319" s="2" t="s">
        <v>19</v>
      </c>
      <c r="D319" s="2">
        <v>38</v>
      </c>
      <c r="E319" s="2" t="str">
        <f t="shared" si="18"/>
        <v>36-45</v>
      </c>
      <c r="F319" s="2" t="s">
        <v>141</v>
      </c>
      <c r="G319" s="2" t="s">
        <v>47</v>
      </c>
      <c r="H319" s="2">
        <v>50</v>
      </c>
      <c r="I319" s="2" t="str">
        <f t="shared" si="16"/>
        <v>49+ months</v>
      </c>
      <c r="J319" s="3">
        <v>799</v>
      </c>
      <c r="K319" s="3">
        <v>39950</v>
      </c>
      <c r="L319" s="2" t="s">
        <v>31</v>
      </c>
      <c r="M319" s="4">
        <v>44420</v>
      </c>
      <c r="N319" s="2" t="s">
        <v>23</v>
      </c>
      <c r="O319" s="2">
        <f t="shared" si="19"/>
        <v>0</v>
      </c>
      <c r="P319" s="2" t="s">
        <v>23</v>
      </c>
      <c r="Q319" s="2" t="s">
        <v>23</v>
      </c>
      <c r="R319" s="2" t="s">
        <v>23</v>
      </c>
      <c r="S319" s="2" t="s">
        <v>23</v>
      </c>
      <c r="T319" s="2" t="s">
        <v>23</v>
      </c>
      <c r="U319" s="25">
        <f t="shared" si="17"/>
        <v>39950.000318999999</v>
      </c>
    </row>
    <row r="320" spans="1:21">
      <c r="A320" s="2" t="s">
        <v>632</v>
      </c>
      <c r="B320" s="2" t="s">
        <v>172</v>
      </c>
      <c r="C320" s="2" t="s">
        <v>35</v>
      </c>
      <c r="D320" s="2">
        <v>57</v>
      </c>
      <c r="E320" s="2" t="str">
        <f t="shared" si="18"/>
        <v>46-60</v>
      </c>
      <c r="F320" s="2" t="s">
        <v>91</v>
      </c>
      <c r="G320" s="2" t="s">
        <v>21</v>
      </c>
      <c r="H320" s="2">
        <v>14</v>
      </c>
      <c r="I320" s="2" t="str">
        <f t="shared" si="16"/>
        <v>13-24 months</v>
      </c>
      <c r="J320" s="3">
        <v>999</v>
      </c>
      <c r="K320" s="3">
        <v>13986</v>
      </c>
      <c r="L320" s="2" t="s">
        <v>22</v>
      </c>
      <c r="M320" s="4">
        <v>45484</v>
      </c>
      <c r="N320" s="2" t="s">
        <v>23</v>
      </c>
      <c r="O320" s="2">
        <f t="shared" si="19"/>
        <v>0</v>
      </c>
      <c r="P320" s="2" t="s">
        <v>23</v>
      </c>
      <c r="Q320" s="2" t="s">
        <v>23</v>
      </c>
      <c r="R320" s="2" t="s">
        <v>23</v>
      </c>
      <c r="S320" s="2" t="s">
        <v>23</v>
      </c>
      <c r="T320" s="2" t="s">
        <v>23</v>
      </c>
      <c r="U320" s="25">
        <f t="shared" si="17"/>
        <v>13986.000319999999</v>
      </c>
    </row>
    <row r="321" spans="1:21">
      <c r="A321" s="2" t="s">
        <v>633</v>
      </c>
      <c r="B321" s="2" t="s">
        <v>634</v>
      </c>
      <c r="C321" s="2" t="s">
        <v>19</v>
      </c>
      <c r="D321" s="2">
        <v>67</v>
      </c>
      <c r="E321" s="2" t="str">
        <f t="shared" si="18"/>
        <v>60+</v>
      </c>
      <c r="F321" s="2" t="s">
        <v>41</v>
      </c>
      <c r="G321" s="2" t="s">
        <v>27</v>
      </c>
      <c r="H321" s="2">
        <v>23</v>
      </c>
      <c r="I321" s="2" t="str">
        <f t="shared" si="16"/>
        <v>13-24 months</v>
      </c>
      <c r="J321" s="3">
        <v>499</v>
      </c>
      <c r="K321" s="3">
        <v>11477</v>
      </c>
      <c r="L321" s="2" t="s">
        <v>66</v>
      </c>
      <c r="M321" s="4">
        <v>45220</v>
      </c>
      <c r="N321" s="2" t="s">
        <v>23</v>
      </c>
      <c r="O321" s="2">
        <f t="shared" si="19"/>
        <v>0</v>
      </c>
      <c r="P321" s="2" t="s">
        <v>23</v>
      </c>
      <c r="Q321" s="2" t="s">
        <v>23</v>
      </c>
      <c r="R321" s="2" t="s">
        <v>23</v>
      </c>
      <c r="S321" s="2" t="s">
        <v>23</v>
      </c>
      <c r="T321" s="2" t="s">
        <v>23</v>
      </c>
      <c r="U321" s="25">
        <f t="shared" si="17"/>
        <v>11477.000321</v>
      </c>
    </row>
    <row r="322" spans="1:21">
      <c r="A322" s="2" t="s">
        <v>635</v>
      </c>
      <c r="B322" s="2" t="s">
        <v>636</v>
      </c>
      <c r="C322" s="2" t="s">
        <v>35</v>
      </c>
      <c r="D322" s="2">
        <v>35</v>
      </c>
      <c r="E322" s="2" t="str">
        <f t="shared" si="18"/>
        <v>26-35</v>
      </c>
      <c r="F322" s="2" t="s">
        <v>105</v>
      </c>
      <c r="G322" s="2" t="s">
        <v>21</v>
      </c>
      <c r="H322" s="2">
        <v>23</v>
      </c>
      <c r="I322" s="2" t="str">
        <f t="shared" ref="I322:I385" si="20">IF(H322="","Unknown",IF(H322&lt;=6,"0-6 months",IF(H322&lt;=12,"7-12 months",IF(H322&lt;=24,"13-24 months",IF(H322&lt;=48,"25-48 months","49+ months")))))</f>
        <v>13-24 months</v>
      </c>
      <c r="J322" s="3">
        <v>899</v>
      </c>
      <c r="K322" s="3">
        <v>20677</v>
      </c>
      <c r="L322" s="2" t="s">
        <v>22</v>
      </c>
      <c r="M322" s="4">
        <v>45228</v>
      </c>
      <c r="N322" s="2" t="s">
        <v>23</v>
      </c>
      <c r="O322" s="2">
        <f t="shared" si="19"/>
        <v>0</v>
      </c>
      <c r="P322" s="2" t="s">
        <v>23</v>
      </c>
      <c r="Q322" s="2" t="s">
        <v>23</v>
      </c>
      <c r="R322" s="2" t="s">
        <v>23</v>
      </c>
      <c r="S322" s="2" t="s">
        <v>23</v>
      </c>
      <c r="T322" s="2" t="s">
        <v>23</v>
      </c>
      <c r="U322" s="25">
        <f t="shared" ref="U322:U385" si="21">IF(K322="","",K322+ROW()/1000000)</f>
        <v>20677.000322</v>
      </c>
    </row>
    <row r="323" spans="1:21">
      <c r="A323" s="2" t="s">
        <v>637</v>
      </c>
      <c r="B323" s="2" t="s">
        <v>638</v>
      </c>
      <c r="C323" s="2" t="s">
        <v>19</v>
      </c>
      <c r="D323" s="2">
        <v>48</v>
      </c>
      <c r="E323" s="2" t="str">
        <f t="shared" ref="E323:E386" si="22">IF(D323&lt;=25,"18-25",IF(D323&lt;=35,"26-35",IF(D323&lt;=45,"36-45",IF(D323&lt;=60,"46-60","60+"))))</f>
        <v>46-60</v>
      </c>
      <c r="F323" s="2" t="s">
        <v>46</v>
      </c>
      <c r="G323" s="2" t="s">
        <v>47</v>
      </c>
      <c r="H323" s="2">
        <v>39</v>
      </c>
      <c r="I323" s="2" t="str">
        <f t="shared" si="20"/>
        <v>25-48 months</v>
      </c>
      <c r="J323" s="3">
        <v>699</v>
      </c>
      <c r="K323" s="3">
        <v>27261</v>
      </c>
      <c r="L323" s="2" t="s">
        <v>31</v>
      </c>
      <c r="M323" s="4">
        <v>44737</v>
      </c>
      <c r="N323" s="2" t="s">
        <v>23</v>
      </c>
      <c r="O323" s="2">
        <f t="shared" ref="O323:O386" si="23">IF(N323="Yes",1,IF(N323="No",0,""))</f>
        <v>0</v>
      </c>
      <c r="P323" s="2" t="s">
        <v>23</v>
      </c>
      <c r="Q323" s="2" t="s">
        <v>23</v>
      </c>
      <c r="R323" s="2" t="s">
        <v>23</v>
      </c>
      <c r="S323" s="2" t="s">
        <v>23</v>
      </c>
      <c r="T323" s="2" t="s">
        <v>23</v>
      </c>
      <c r="U323" s="25">
        <f t="shared" si="21"/>
        <v>27261.000323</v>
      </c>
    </row>
    <row r="324" spans="1:21">
      <c r="A324" s="2" t="s">
        <v>639</v>
      </c>
      <c r="B324" s="2" t="s">
        <v>640</v>
      </c>
      <c r="C324" s="2" t="s">
        <v>19</v>
      </c>
      <c r="D324" s="2">
        <v>37</v>
      </c>
      <c r="E324" s="2" t="str">
        <f t="shared" si="22"/>
        <v>36-45</v>
      </c>
      <c r="F324" s="2" t="s">
        <v>141</v>
      </c>
      <c r="G324" s="2" t="s">
        <v>21</v>
      </c>
      <c r="H324" s="2">
        <v>9</v>
      </c>
      <c r="I324" s="2" t="str">
        <f t="shared" si="20"/>
        <v>7-12 months</v>
      </c>
      <c r="J324" s="3">
        <v>549</v>
      </c>
      <c r="K324" s="3">
        <v>4941</v>
      </c>
      <c r="L324" s="2" t="s">
        <v>37</v>
      </c>
      <c r="M324" s="4">
        <v>45652</v>
      </c>
      <c r="N324" s="2" t="s">
        <v>23</v>
      </c>
      <c r="O324" s="2">
        <f t="shared" si="23"/>
        <v>0</v>
      </c>
      <c r="P324" s="2" t="s">
        <v>23</v>
      </c>
      <c r="Q324" s="2" t="s">
        <v>23</v>
      </c>
      <c r="R324" s="2" t="s">
        <v>23</v>
      </c>
      <c r="S324" s="2" t="s">
        <v>32</v>
      </c>
      <c r="T324" s="2" t="s">
        <v>23</v>
      </c>
      <c r="U324" s="25">
        <f t="shared" si="21"/>
        <v>4941.0003239999996</v>
      </c>
    </row>
    <row r="325" spans="1:21">
      <c r="A325" s="2" t="s">
        <v>641</v>
      </c>
      <c r="B325" s="2" t="s">
        <v>533</v>
      </c>
      <c r="C325" s="2" t="s">
        <v>35</v>
      </c>
      <c r="D325" s="2">
        <v>65</v>
      </c>
      <c r="E325" s="2" t="str">
        <f t="shared" si="22"/>
        <v>60+</v>
      </c>
      <c r="F325" s="2" t="s">
        <v>60</v>
      </c>
      <c r="G325" s="2" t="s">
        <v>37</v>
      </c>
      <c r="H325" s="2">
        <v>4</v>
      </c>
      <c r="I325" s="2" t="str">
        <f t="shared" si="20"/>
        <v>0-6 months</v>
      </c>
      <c r="J325" s="3">
        <v>399</v>
      </c>
      <c r="K325" s="3">
        <v>1596</v>
      </c>
      <c r="L325" s="2" t="s">
        <v>66</v>
      </c>
      <c r="M325" s="4">
        <v>45786</v>
      </c>
      <c r="N325" s="2" t="s">
        <v>32</v>
      </c>
      <c r="O325" s="2">
        <f t="shared" si="23"/>
        <v>1</v>
      </c>
      <c r="P325" s="2" t="s">
        <v>23</v>
      </c>
      <c r="Q325" s="2" t="s">
        <v>23</v>
      </c>
      <c r="R325" s="2" t="s">
        <v>23</v>
      </c>
      <c r="S325" s="2" t="s">
        <v>23</v>
      </c>
      <c r="T325" s="2" t="s">
        <v>23</v>
      </c>
      <c r="U325" s="25">
        <f t="shared" si="21"/>
        <v>1596.000325</v>
      </c>
    </row>
    <row r="326" spans="1:21">
      <c r="A326" s="2" t="s">
        <v>642</v>
      </c>
      <c r="B326" s="2" t="s">
        <v>37</v>
      </c>
      <c r="C326" s="2" t="s">
        <v>35</v>
      </c>
      <c r="D326" s="2">
        <v>74</v>
      </c>
      <c r="E326" s="2" t="str">
        <f t="shared" si="22"/>
        <v>60+</v>
      </c>
      <c r="F326" s="2" t="s">
        <v>91</v>
      </c>
      <c r="G326" s="2" t="s">
        <v>21</v>
      </c>
      <c r="H326" s="2">
        <v>7</v>
      </c>
      <c r="I326" s="2" t="str">
        <f t="shared" si="20"/>
        <v>7-12 months</v>
      </c>
      <c r="J326" s="3">
        <v>899</v>
      </c>
      <c r="K326" s="3">
        <v>6293</v>
      </c>
      <c r="L326" s="2" t="s">
        <v>31</v>
      </c>
      <c r="M326" s="4">
        <v>45717</v>
      </c>
      <c r="N326" s="2" t="s">
        <v>32</v>
      </c>
      <c r="O326" s="2">
        <f t="shared" si="23"/>
        <v>1</v>
      </c>
      <c r="P326" s="2" t="s">
        <v>23</v>
      </c>
      <c r="Q326" s="2" t="s">
        <v>23</v>
      </c>
      <c r="R326" s="2" t="s">
        <v>23</v>
      </c>
      <c r="S326" s="2" t="s">
        <v>32</v>
      </c>
      <c r="T326" s="2" t="s">
        <v>23</v>
      </c>
      <c r="U326" s="25">
        <f t="shared" si="21"/>
        <v>6293.0003260000003</v>
      </c>
    </row>
    <row r="327" spans="1:21">
      <c r="A327" s="2" t="s">
        <v>643</v>
      </c>
      <c r="B327" s="2" t="s">
        <v>644</v>
      </c>
      <c r="C327" s="2" t="s">
        <v>35</v>
      </c>
      <c r="D327" s="2">
        <v>41</v>
      </c>
      <c r="E327" s="2" t="str">
        <f t="shared" si="22"/>
        <v>36-45</v>
      </c>
      <c r="F327" s="2" t="s">
        <v>57</v>
      </c>
      <c r="G327" s="2" t="s">
        <v>21</v>
      </c>
      <c r="H327" s="2">
        <v>4</v>
      </c>
      <c r="I327" s="2" t="str">
        <f t="shared" si="20"/>
        <v>0-6 months</v>
      </c>
      <c r="J327" s="3">
        <v>899</v>
      </c>
      <c r="K327" s="3">
        <v>3596</v>
      </c>
      <c r="L327" s="2" t="s">
        <v>22</v>
      </c>
      <c r="M327" s="4">
        <v>45789</v>
      </c>
      <c r="N327" s="2" t="s">
        <v>32</v>
      </c>
      <c r="O327" s="2">
        <f t="shared" si="23"/>
        <v>1</v>
      </c>
      <c r="P327" s="2" t="s">
        <v>23</v>
      </c>
      <c r="Q327" s="2" t="s">
        <v>23</v>
      </c>
      <c r="R327" s="2" t="s">
        <v>23</v>
      </c>
      <c r="S327" s="2" t="s">
        <v>32</v>
      </c>
      <c r="T327" s="2" t="s">
        <v>23</v>
      </c>
      <c r="U327" s="25">
        <f t="shared" si="21"/>
        <v>3596.0003270000002</v>
      </c>
    </row>
    <row r="328" spans="1:21">
      <c r="A328" s="2" t="s">
        <v>645</v>
      </c>
      <c r="B328" s="2" t="s">
        <v>646</v>
      </c>
      <c r="C328" s="2" t="s">
        <v>35</v>
      </c>
      <c r="D328" s="2">
        <v>55</v>
      </c>
      <c r="E328" s="2" t="str">
        <f t="shared" si="22"/>
        <v>46-60</v>
      </c>
      <c r="F328" s="2" t="s">
        <v>26</v>
      </c>
      <c r="G328" s="2" t="s">
        <v>21</v>
      </c>
      <c r="H328" s="2">
        <v>9</v>
      </c>
      <c r="I328" s="2" t="str">
        <f t="shared" si="20"/>
        <v>7-12 months</v>
      </c>
      <c r="J328" s="3">
        <v>849</v>
      </c>
      <c r="K328" s="3">
        <v>7641</v>
      </c>
      <c r="L328" s="2" t="s">
        <v>31</v>
      </c>
      <c r="M328" s="4">
        <v>45646</v>
      </c>
      <c r="N328" s="2" t="s">
        <v>32</v>
      </c>
      <c r="O328" s="2">
        <f t="shared" si="23"/>
        <v>1</v>
      </c>
      <c r="P328" s="2" t="s">
        <v>23</v>
      </c>
      <c r="Q328" s="2" t="s">
        <v>23</v>
      </c>
      <c r="R328" s="2" t="s">
        <v>23</v>
      </c>
      <c r="S328" s="2" t="s">
        <v>23</v>
      </c>
      <c r="T328" s="2" t="s">
        <v>23</v>
      </c>
      <c r="U328" s="25">
        <f t="shared" si="21"/>
        <v>7641.0003280000001</v>
      </c>
    </row>
    <row r="329" spans="1:21">
      <c r="A329" s="2" t="s">
        <v>647</v>
      </c>
      <c r="B329" s="2" t="s">
        <v>648</v>
      </c>
      <c r="C329" s="2" t="s">
        <v>19</v>
      </c>
      <c r="D329" s="2">
        <v>67</v>
      </c>
      <c r="E329" s="2" t="str">
        <f t="shared" si="22"/>
        <v>60+</v>
      </c>
      <c r="F329" s="2" t="s">
        <v>20</v>
      </c>
      <c r="G329" s="2" t="s">
        <v>47</v>
      </c>
      <c r="H329" s="2">
        <v>27</v>
      </c>
      <c r="I329" s="2" t="str">
        <f t="shared" si="20"/>
        <v>25-48 months</v>
      </c>
      <c r="J329" s="3">
        <v>1199</v>
      </c>
      <c r="K329" s="3">
        <v>32373</v>
      </c>
      <c r="L329" s="2" t="s">
        <v>22</v>
      </c>
      <c r="M329" s="4">
        <v>45091</v>
      </c>
      <c r="N329" s="2" t="s">
        <v>23</v>
      </c>
      <c r="O329" s="2">
        <f t="shared" si="23"/>
        <v>0</v>
      </c>
      <c r="P329" s="2" t="s">
        <v>23</v>
      </c>
      <c r="Q329" s="2" t="s">
        <v>23</v>
      </c>
      <c r="R329" s="2" t="s">
        <v>23</v>
      </c>
      <c r="S329" s="2" t="s">
        <v>23</v>
      </c>
      <c r="T329" s="2" t="s">
        <v>23</v>
      </c>
      <c r="U329" s="25">
        <f t="shared" si="21"/>
        <v>32373.000328999999</v>
      </c>
    </row>
    <row r="330" spans="1:21">
      <c r="A330" s="2" t="s">
        <v>649</v>
      </c>
      <c r="B330" s="2" t="s">
        <v>650</v>
      </c>
      <c r="C330" s="2" t="s">
        <v>19</v>
      </c>
      <c r="D330" s="2">
        <v>59</v>
      </c>
      <c r="E330" s="2" t="str">
        <f t="shared" si="22"/>
        <v>46-60</v>
      </c>
      <c r="F330" s="2" t="s">
        <v>63</v>
      </c>
      <c r="G330" s="2" t="s">
        <v>27</v>
      </c>
      <c r="H330" s="2">
        <v>17</v>
      </c>
      <c r="I330" s="2" t="str">
        <f t="shared" si="20"/>
        <v>13-24 months</v>
      </c>
      <c r="J330" s="3">
        <v>799</v>
      </c>
      <c r="K330" s="3">
        <v>13583</v>
      </c>
      <c r="L330" s="2" t="s">
        <v>31</v>
      </c>
      <c r="M330" s="4">
        <v>45396</v>
      </c>
      <c r="N330" s="2" t="s">
        <v>23</v>
      </c>
      <c r="O330" s="2">
        <f t="shared" si="23"/>
        <v>0</v>
      </c>
      <c r="P330" s="2" t="s">
        <v>23</v>
      </c>
      <c r="Q330" s="2" t="s">
        <v>23</v>
      </c>
      <c r="R330" s="2" t="s">
        <v>23</v>
      </c>
      <c r="S330" s="2" t="s">
        <v>23</v>
      </c>
      <c r="T330" s="2" t="s">
        <v>23</v>
      </c>
      <c r="U330" s="25">
        <f t="shared" si="21"/>
        <v>13583.000330000001</v>
      </c>
    </row>
    <row r="331" spans="1:21">
      <c r="A331" s="2" t="s">
        <v>651</v>
      </c>
      <c r="B331" s="2" t="s">
        <v>338</v>
      </c>
      <c r="C331" s="2" t="s">
        <v>35</v>
      </c>
      <c r="D331" s="2">
        <v>72</v>
      </c>
      <c r="E331" s="2" t="str">
        <f t="shared" si="22"/>
        <v>60+</v>
      </c>
      <c r="F331" s="2" t="s">
        <v>30</v>
      </c>
      <c r="G331" s="2" t="s">
        <v>21</v>
      </c>
      <c r="H331" s="2">
        <v>10</v>
      </c>
      <c r="I331" s="2" t="str">
        <f t="shared" si="20"/>
        <v>7-12 months</v>
      </c>
      <c r="J331" s="3">
        <v>849</v>
      </c>
      <c r="K331" s="3">
        <v>8490</v>
      </c>
      <c r="L331" s="2" t="s">
        <v>31</v>
      </c>
      <c r="M331" s="4">
        <v>45625</v>
      </c>
      <c r="N331" s="2" t="s">
        <v>37</v>
      </c>
      <c r="O331" s="2" t="str">
        <f t="shared" si="23"/>
        <v/>
      </c>
      <c r="P331" s="2" t="s">
        <v>23</v>
      </c>
      <c r="Q331" s="2" t="s">
        <v>23</v>
      </c>
      <c r="R331" s="2" t="s">
        <v>23</v>
      </c>
      <c r="S331" s="2" t="s">
        <v>23</v>
      </c>
      <c r="T331" s="2" t="s">
        <v>38</v>
      </c>
      <c r="U331" s="25">
        <f t="shared" si="21"/>
        <v>8490.0003309999993</v>
      </c>
    </row>
    <row r="332" spans="1:21">
      <c r="A332" s="2" t="s">
        <v>652</v>
      </c>
      <c r="B332" s="2" t="s">
        <v>653</v>
      </c>
      <c r="C332" s="2" t="s">
        <v>19</v>
      </c>
      <c r="D332" s="2">
        <v>71</v>
      </c>
      <c r="E332" s="2" t="str">
        <f t="shared" si="22"/>
        <v>60+</v>
      </c>
      <c r="F332" s="2" t="s">
        <v>57</v>
      </c>
      <c r="G332" s="2" t="s">
        <v>21</v>
      </c>
      <c r="H332" s="2">
        <v>20</v>
      </c>
      <c r="I332" s="2" t="str">
        <f t="shared" si="20"/>
        <v>13-24 months</v>
      </c>
      <c r="J332" s="3">
        <v>1049</v>
      </c>
      <c r="K332" s="3">
        <v>20980</v>
      </c>
      <c r="L332" s="2" t="s">
        <v>22</v>
      </c>
      <c r="M332" s="4">
        <v>45318</v>
      </c>
      <c r="N332" s="2" t="s">
        <v>23</v>
      </c>
      <c r="O332" s="2">
        <f t="shared" si="23"/>
        <v>0</v>
      </c>
      <c r="P332" s="2" t="s">
        <v>23</v>
      </c>
      <c r="Q332" s="2" t="s">
        <v>23</v>
      </c>
      <c r="R332" s="2" t="s">
        <v>23</v>
      </c>
      <c r="S332" s="2" t="s">
        <v>23</v>
      </c>
      <c r="T332" s="2" t="s">
        <v>23</v>
      </c>
      <c r="U332" s="25">
        <f t="shared" si="21"/>
        <v>20980.000332</v>
      </c>
    </row>
    <row r="333" spans="1:21">
      <c r="A333" s="2" t="s">
        <v>654</v>
      </c>
      <c r="B333" s="2" t="s">
        <v>568</v>
      </c>
      <c r="C333" s="2" t="s">
        <v>35</v>
      </c>
      <c r="D333" s="2">
        <v>34</v>
      </c>
      <c r="E333" s="2" t="str">
        <f t="shared" si="22"/>
        <v>26-35</v>
      </c>
      <c r="F333" s="2" t="s">
        <v>71</v>
      </c>
      <c r="G333" s="2" t="s">
        <v>27</v>
      </c>
      <c r="H333" s="2">
        <v>20</v>
      </c>
      <c r="I333" s="2" t="str">
        <f t="shared" si="20"/>
        <v>13-24 months</v>
      </c>
      <c r="J333" s="3">
        <v>549</v>
      </c>
      <c r="K333" s="3">
        <v>10980</v>
      </c>
      <c r="L333" s="2" t="s">
        <v>66</v>
      </c>
      <c r="M333" s="4"/>
      <c r="N333" s="2" t="s">
        <v>23</v>
      </c>
      <c r="O333" s="2">
        <f t="shared" si="23"/>
        <v>0</v>
      </c>
      <c r="P333" s="2" t="s">
        <v>23</v>
      </c>
      <c r="Q333" s="2" t="s">
        <v>23</v>
      </c>
      <c r="R333" s="2" t="s">
        <v>23</v>
      </c>
      <c r="S333" s="2" t="s">
        <v>23</v>
      </c>
      <c r="T333" s="2" t="s">
        <v>54</v>
      </c>
      <c r="U333" s="25">
        <f t="shared" si="21"/>
        <v>10980.000333</v>
      </c>
    </row>
    <row r="334" spans="1:21">
      <c r="A334" s="2" t="s">
        <v>655</v>
      </c>
      <c r="B334" s="2" t="s">
        <v>656</v>
      </c>
      <c r="C334" s="2" t="s">
        <v>19</v>
      </c>
      <c r="D334" s="2">
        <v>60</v>
      </c>
      <c r="E334" s="2" t="str">
        <f t="shared" si="22"/>
        <v>46-60</v>
      </c>
      <c r="F334" s="2" t="s">
        <v>30</v>
      </c>
      <c r="G334" s="2" t="s">
        <v>27</v>
      </c>
      <c r="H334" s="2">
        <v>32</v>
      </c>
      <c r="I334" s="2" t="str">
        <f t="shared" si="20"/>
        <v>25-48 months</v>
      </c>
      <c r="J334" s="3">
        <v>1049</v>
      </c>
      <c r="K334" s="3">
        <v>33568</v>
      </c>
      <c r="L334" s="2" t="s">
        <v>22</v>
      </c>
      <c r="M334" s="4">
        <v>44945</v>
      </c>
      <c r="N334" s="2" t="s">
        <v>23</v>
      </c>
      <c r="O334" s="2">
        <f t="shared" si="23"/>
        <v>0</v>
      </c>
      <c r="P334" s="2" t="s">
        <v>23</v>
      </c>
      <c r="Q334" s="2" t="s">
        <v>23</v>
      </c>
      <c r="R334" s="2" t="s">
        <v>23</v>
      </c>
      <c r="S334" s="2" t="s">
        <v>23</v>
      </c>
      <c r="T334" s="2" t="s">
        <v>23</v>
      </c>
      <c r="U334" s="25">
        <f t="shared" si="21"/>
        <v>33568.000333999997</v>
      </c>
    </row>
    <row r="335" spans="1:21">
      <c r="A335" s="2" t="s">
        <v>657</v>
      </c>
      <c r="B335" s="2" t="s">
        <v>658</v>
      </c>
      <c r="C335" s="2" t="s">
        <v>19</v>
      </c>
      <c r="D335" s="2">
        <v>54</v>
      </c>
      <c r="E335" s="2" t="str">
        <f t="shared" si="22"/>
        <v>46-60</v>
      </c>
      <c r="F335" s="2" t="s">
        <v>57</v>
      </c>
      <c r="G335" s="2" t="s">
        <v>21</v>
      </c>
      <c r="H335" s="2">
        <v>8</v>
      </c>
      <c r="I335" s="2" t="str">
        <f t="shared" si="20"/>
        <v>7-12 months</v>
      </c>
      <c r="J335" s="3">
        <v>1149</v>
      </c>
      <c r="K335" s="3">
        <v>9192</v>
      </c>
      <c r="L335" s="2" t="s">
        <v>22</v>
      </c>
      <c r="M335" s="4">
        <v>45667</v>
      </c>
      <c r="N335" s="2" t="s">
        <v>23</v>
      </c>
      <c r="O335" s="2">
        <f t="shared" si="23"/>
        <v>0</v>
      </c>
      <c r="P335" s="2" t="s">
        <v>23</v>
      </c>
      <c r="Q335" s="2" t="s">
        <v>23</v>
      </c>
      <c r="R335" s="2" t="s">
        <v>32</v>
      </c>
      <c r="S335" s="2" t="s">
        <v>23</v>
      </c>
      <c r="T335" s="2" t="s">
        <v>23</v>
      </c>
      <c r="U335" s="25">
        <f t="shared" si="21"/>
        <v>9192.0003350000006</v>
      </c>
    </row>
    <row r="336" spans="1:21">
      <c r="A336" s="2" t="s">
        <v>659</v>
      </c>
      <c r="B336" s="2" t="s">
        <v>37</v>
      </c>
      <c r="C336" s="2" t="s">
        <v>35</v>
      </c>
      <c r="D336" s="2">
        <v>72</v>
      </c>
      <c r="E336" s="2" t="str">
        <f t="shared" si="22"/>
        <v>60+</v>
      </c>
      <c r="F336" s="2" t="s">
        <v>63</v>
      </c>
      <c r="G336" s="2" t="s">
        <v>47</v>
      </c>
      <c r="H336" s="2">
        <v>24</v>
      </c>
      <c r="I336" s="2" t="str">
        <f t="shared" si="20"/>
        <v>13-24 months</v>
      </c>
      <c r="J336" s="3">
        <v>499</v>
      </c>
      <c r="K336" s="3">
        <v>11976</v>
      </c>
      <c r="L336" s="2" t="s">
        <v>66</v>
      </c>
      <c r="M336" s="4">
        <v>45200</v>
      </c>
      <c r="N336" s="2" t="s">
        <v>23</v>
      </c>
      <c r="O336" s="2">
        <f t="shared" si="23"/>
        <v>0</v>
      </c>
      <c r="P336" s="2" t="s">
        <v>23</v>
      </c>
      <c r="Q336" s="2" t="s">
        <v>23</v>
      </c>
      <c r="R336" s="2" t="s">
        <v>23</v>
      </c>
      <c r="S336" s="2" t="s">
        <v>23</v>
      </c>
      <c r="T336" s="2" t="s">
        <v>23</v>
      </c>
      <c r="U336" s="25">
        <f t="shared" si="21"/>
        <v>11976.000335999999</v>
      </c>
    </row>
    <row r="337" spans="1:21">
      <c r="A337" s="2" t="s">
        <v>660</v>
      </c>
      <c r="B337" s="2" t="s">
        <v>661</v>
      </c>
      <c r="C337" s="2" t="s">
        <v>19</v>
      </c>
      <c r="D337" s="2">
        <v>23</v>
      </c>
      <c r="E337" s="2" t="str">
        <f t="shared" si="22"/>
        <v>18-25</v>
      </c>
      <c r="F337" s="2" t="s">
        <v>20</v>
      </c>
      <c r="G337" s="2" t="s">
        <v>21</v>
      </c>
      <c r="H337" s="2">
        <v>10</v>
      </c>
      <c r="I337" s="2" t="str">
        <f t="shared" si="20"/>
        <v>7-12 months</v>
      </c>
      <c r="J337" s="3">
        <v>1299</v>
      </c>
      <c r="K337" s="3">
        <v>12990</v>
      </c>
      <c r="L337" s="2" t="s">
        <v>22</v>
      </c>
      <c r="M337" s="4">
        <v>45610</v>
      </c>
      <c r="N337" s="2" t="s">
        <v>32</v>
      </c>
      <c r="O337" s="2">
        <f t="shared" si="23"/>
        <v>1</v>
      </c>
      <c r="P337" s="2" t="s">
        <v>23</v>
      </c>
      <c r="Q337" s="2" t="s">
        <v>23</v>
      </c>
      <c r="R337" s="2" t="s">
        <v>23</v>
      </c>
      <c r="S337" s="2" t="s">
        <v>23</v>
      </c>
      <c r="T337" s="2" t="s">
        <v>23</v>
      </c>
      <c r="U337" s="25">
        <f t="shared" si="21"/>
        <v>12990.000336999999</v>
      </c>
    </row>
    <row r="338" spans="1:21">
      <c r="A338" s="2" t="s">
        <v>662</v>
      </c>
      <c r="B338" s="2" t="s">
        <v>663</v>
      </c>
      <c r="C338" s="2" t="s">
        <v>35</v>
      </c>
      <c r="D338" s="2">
        <v>48</v>
      </c>
      <c r="E338" s="2" t="str">
        <f t="shared" si="22"/>
        <v>46-60</v>
      </c>
      <c r="F338" s="2" t="s">
        <v>36</v>
      </c>
      <c r="G338" s="2" t="s">
        <v>47</v>
      </c>
      <c r="H338" s="2">
        <v>10</v>
      </c>
      <c r="I338" s="2" t="str">
        <f t="shared" si="20"/>
        <v>7-12 months</v>
      </c>
      <c r="J338" s="3">
        <v>999</v>
      </c>
      <c r="K338" s="3">
        <v>9990</v>
      </c>
      <c r="L338" s="2" t="s">
        <v>22</v>
      </c>
      <c r="M338" s="4"/>
      <c r="N338" s="2" t="s">
        <v>32</v>
      </c>
      <c r="O338" s="2">
        <f t="shared" si="23"/>
        <v>1</v>
      </c>
      <c r="P338" s="2" t="s">
        <v>23</v>
      </c>
      <c r="Q338" s="2" t="s">
        <v>23</v>
      </c>
      <c r="R338" s="2" t="s">
        <v>23</v>
      </c>
      <c r="S338" s="2" t="s">
        <v>23</v>
      </c>
      <c r="T338" s="2" t="s">
        <v>54</v>
      </c>
      <c r="U338" s="25">
        <f t="shared" si="21"/>
        <v>9990.0003379999998</v>
      </c>
    </row>
    <row r="339" spans="1:21">
      <c r="A339" s="2" t="s">
        <v>664</v>
      </c>
      <c r="B339" s="2" t="s">
        <v>665</v>
      </c>
      <c r="C339" s="2" t="s">
        <v>35</v>
      </c>
      <c r="D339" s="2">
        <v>44</v>
      </c>
      <c r="E339" s="2" t="str">
        <f t="shared" si="22"/>
        <v>36-45</v>
      </c>
      <c r="F339" s="2" t="s">
        <v>36</v>
      </c>
      <c r="G339" s="2" t="s">
        <v>47</v>
      </c>
      <c r="H339" s="2">
        <v>26</v>
      </c>
      <c r="I339" s="2" t="str">
        <f t="shared" si="20"/>
        <v>25-48 months</v>
      </c>
      <c r="J339" s="3">
        <v>699</v>
      </c>
      <c r="K339" s="3">
        <v>18174</v>
      </c>
      <c r="L339" s="2" t="s">
        <v>31</v>
      </c>
      <c r="M339" s="4">
        <v>45134</v>
      </c>
      <c r="N339" s="2" t="s">
        <v>23</v>
      </c>
      <c r="O339" s="2">
        <f t="shared" si="23"/>
        <v>0</v>
      </c>
      <c r="P339" s="2" t="s">
        <v>23</v>
      </c>
      <c r="Q339" s="2" t="s">
        <v>23</v>
      </c>
      <c r="R339" s="2" t="s">
        <v>23</v>
      </c>
      <c r="S339" s="2" t="s">
        <v>23</v>
      </c>
      <c r="T339" s="2" t="s">
        <v>23</v>
      </c>
      <c r="U339" s="25">
        <f t="shared" si="21"/>
        <v>18174.000338999998</v>
      </c>
    </row>
    <row r="340" spans="1:21">
      <c r="A340" s="2" t="s">
        <v>666</v>
      </c>
      <c r="B340" s="2" t="s">
        <v>527</v>
      </c>
      <c r="C340" s="2" t="s">
        <v>19</v>
      </c>
      <c r="D340" s="2">
        <v>29</v>
      </c>
      <c r="E340" s="2" t="str">
        <f t="shared" si="22"/>
        <v>26-35</v>
      </c>
      <c r="F340" s="2" t="s">
        <v>110</v>
      </c>
      <c r="G340" s="2" t="s">
        <v>21</v>
      </c>
      <c r="H340" s="2">
        <v>6</v>
      </c>
      <c r="I340" s="2" t="str">
        <f t="shared" si="20"/>
        <v>0-6 months</v>
      </c>
      <c r="J340" s="3">
        <v>699</v>
      </c>
      <c r="K340" s="3">
        <v>4194</v>
      </c>
      <c r="L340" s="2" t="s">
        <v>31</v>
      </c>
      <c r="M340" s="4">
        <v>45740</v>
      </c>
      <c r="N340" s="2" t="s">
        <v>32</v>
      </c>
      <c r="O340" s="2">
        <f t="shared" si="23"/>
        <v>1</v>
      </c>
      <c r="P340" s="2" t="s">
        <v>23</v>
      </c>
      <c r="Q340" s="2" t="s">
        <v>32</v>
      </c>
      <c r="R340" s="2" t="s">
        <v>23</v>
      </c>
      <c r="S340" s="2" t="s">
        <v>23</v>
      </c>
      <c r="T340" s="2" t="s">
        <v>23</v>
      </c>
      <c r="U340" s="25">
        <f t="shared" si="21"/>
        <v>4194.0003399999996</v>
      </c>
    </row>
    <row r="341" spans="1:21">
      <c r="A341" s="2" t="s">
        <v>667</v>
      </c>
      <c r="B341" s="2" t="s">
        <v>648</v>
      </c>
      <c r="C341" s="2" t="s">
        <v>19</v>
      </c>
      <c r="D341" s="2">
        <v>66</v>
      </c>
      <c r="E341" s="2" t="str">
        <f t="shared" si="22"/>
        <v>60+</v>
      </c>
      <c r="F341" s="2" t="s">
        <v>63</v>
      </c>
      <c r="G341" s="2" t="s">
        <v>21</v>
      </c>
      <c r="H341" s="2">
        <v>3</v>
      </c>
      <c r="I341" s="2" t="str">
        <f t="shared" si="20"/>
        <v>0-6 months</v>
      </c>
      <c r="J341" s="3">
        <v>1149</v>
      </c>
      <c r="K341" s="3">
        <v>3447</v>
      </c>
      <c r="L341" s="2" t="s">
        <v>22</v>
      </c>
      <c r="M341" s="4">
        <v>45826</v>
      </c>
      <c r="N341" s="2" t="s">
        <v>23</v>
      </c>
      <c r="O341" s="2">
        <f t="shared" si="23"/>
        <v>0</v>
      </c>
      <c r="P341" s="2" t="s">
        <v>23</v>
      </c>
      <c r="Q341" s="2" t="s">
        <v>23</v>
      </c>
      <c r="R341" s="2" t="s">
        <v>23</v>
      </c>
      <c r="S341" s="2" t="s">
        <v>23</v>
      </c>
      <c r="T341" s="2" t="s">
        <v>23</v>
      </c>
      <c r="U341" s="25">
        <f t="shared" si="21"/>
        <v>3447.0003409999999</v>
      </c>
    </row>
    <row r="342" spans="1:21">
      <c r="A342" s="2" t="s">
        <v>668</v>
      </c>
      <c r="B342" s="2" t="s">
        <v>130</v>
      </c>
      <c r="C342" s="2" t="s">
        <v>35</v>
      </c>
      <c r="D342" s="2">
        <v>18</v>
      </c>
      <c r="E342" s="2" t="str">
        <f t="shared" si="22"/>
        <v>18-25</v>
      </c>
      <c r="F342" s="2" t="s">
        <v>36</v>
      </c>
      <c r="G342" s="2" t="s">
        <v>21</v>
      </c>
      <c r="H342" s="2">
        <v>1</v>
      </c>
      <c r="I342" s="2" t="str">
        <f t="shared" si="20"/>
        <v>0-6 months</v>
      </c>
      <c r="J342" s="3">
        <v>1299</v>
      </c>
      <c r="K342" s="3">
        <v>1299</v>
      </c>
      <c r="L342" s="2" t="s">
        <v>22</v>
      </c>
      <c r="M342" s="4">
        <v>45877</v>
      </c>
      <c r="N342" s="2" t="s">
        <v>32</v>
      </c>
      <c r="O342" s="2">
        <f t="shared" si="23"/>
        <v>1</v>
      </c>
      <c r="P342" s="2" t="s">
        <v>23</v>
      </c>
      <c r="Q342" s="2" t="s">
        <v>23</v>
      </c>
      <c r="R342" s="2" t="s">
        <v>23</v>
      </c>
      <c r="S342" s="2" t="s">
        <v>23</v>
      </c>
      <c r="T342" s="2" t="s">
        <v>23</v>
      </c>
      <c r="U342" s="25">
        <f t="shared" si="21"/>
        <v>1299.000342</v>
      </c>
    </row>
    <row r="343" spans="1:21">
      <c r="A343" s="2" t="s">
        <v>669</v>
      </c>
      <c r="B343" s="2" t="s">
        <v>670</v>
      </c>
      <c r="C343" s="2" t="s">
        <v>19</v>
      </c>
      <c r="D343" s="2">
        <v>62</v>
      </c>
      <c r="E343" s="2" t="str">
        <f t="shared" si="22"/>
        <v>60+</v>
      </c>
      <c r="F343" s="2" t="s">
        <v>30</v>
      </c>
      <c r="G343" s="2" t="s">
        <v>21</v>
      </c>
      <c r="H343" s="2">
        <v>17</v>
      </c>
      <c r="I343" s="2" t="str">
        <f t="shared" si="20"/>
        <v>13-24 months</v>
      </c>
      <c r="J343" s="3">
        <v>799</v>
      </c>
      <c r="K343" s="3">
        <v>13583</v>
      </c>
      <c r="L343" s="2" t="s">
        <v>31</v>
      </c>
      <c r="M343" s="4">
        <v>45417</v>
      </c>
      <c r="N343" s="2" t="s">
        <v>32</v>
      </c>
      <c r="O343" s="2">
        <f t="shared" si="23"/>
        <v>1</v>
      </c>
      <c r="P343" s="2" t="s">
        <v>23</v>
      </c>
      <c r="Q343" s="2" t="s">
        <v>23</v>
      </c>
      <c r="R343" s="2" t="s">
        <v>23</v>
      </c>
      <c r="S343" s="2" t="s">
        <v>23</v>
      </c>
      <c r="T343" s="2" t="s">
        <v>23</v>
      </c>
      <c r="U343" s="25">
        <f t="shared" si="21"/>
        <v>13583.000343</v>
      </c>
    </row>
    <row r="344" spans="1:21">
      <c r="A344" s="2" t="s">
        <v>671</v>
      </c>
      <c r="B344" s="2" t="s">
        <v>342</v>
      </c>
      <c r="C344" s="2" t="s">
        <v>35</v>
      </c>
      <c r="D344" s="2">
        <v>64</v>
      </c>
      <c r="E344" s="2" t="str">
        <f t="shared" si="22"/>
        <v>60+</v>
      </c>
      <c r="F344" s="2" t="s">
        <v>26</v>
      </c>
      <c r="G344" s="2" t="s">
        <v>27</v>
      </c>
      <c r="H344" s="2">
        <v>9</v>
      </c>
      <c r="I344" s="2" t="str">
        <f t="shared" si="20"/>
        <v>7-12 months</v>
      </c>
      <c r="J344" s="3">
        <v>699</v>
      </c>
      <c r="K344" s="3">
        <v>6291</v>
      </c>
      <c r="L344" s="2" t="s">
        <v>31</v>
      </c>
      <c r="M344" s="4">
        <v>45653</v>
      </c>
      <c r="N344" s="2" t="s">
        <v>23</v>
      </c>
      <c r="O344" s="2">
        <f t="shared" si="23"/>
        <v>0</v>
      </c>
      <c r="P344" s="2" t="s">
        <v>23</v>
      </c>
      <c r="Q344" s="2" t="s">
        <v>23</v>
      </c>
      <c r="R344" s="2" t="s">
        <v>23</v>
      </c>
      <c r="S344" s="2" t="s">
        <v>23</v>
      </c>
      <c r="T344" s="2" t="s">
        <v>23</v>
      </c>
      <c r="U344" s="25">
        <f t="shared" si="21"/>
        <v>6291.000344</v>
      </c>
    </row>
    <row r="345" spans="1:21">
      <c r="A345" s="2" t="s">
        <v>672</v>
      </c>
      <c r="B345" s="2" t="s">
        <v>573</v>
      </c>
      <c r="C345" s="2" t="s">
        <v>35</v>
      </c>
      <c r="D345" s="2">
        <v>32</v>
      </c>
      <c r="E345" s="2" t="str">
        <f t="shared" si="22"/>
        <v>26-35</v>
      </c>
      <c r="F345" s="2" t="s">
        <v>141</v>
      </c>
      <c r="G345" s="2" t="s">
        <v>47</v>
      </c>
      <c r="H345" s="2">
        <v>3</v>
      </c>
      <c r="I345" s="2" t="str">
        <f t="shared" si="20"/>
        <v>0-6 months</v>
      </c>
      <c r="J345" s="3">
        <v>799</v>
      </c>
      <c r="K345" s="3">
        <v>2397</v>
      </c>
      <c r="L345" s="2" t="s">
        <v>31</v>
      </c>
      <c r="M345" s="4">
        <v>45816</v>
      </c>
      <c r="N345" s="2" t="s">
        <v>32</v>
      </c>
      <c r="O345" s="2">
        <f t="shared" si="23"/>
        <v>1</v>
      </c>
      <c r="P345" s="2" t="s">
        <v>23</v>
      </c>
      <c r="Q345" s="2" t="s">
        <v>23</v>
      </c>
      <c r="R345" s="2" t="s">
        <v>23</v>
      </c>
      <c r="S345" s="2" t="s">
        <v>23</v>
      </c>
      <c r="T345" s="2" t="s">
        <v>23</v>
      </c>
      <c r="U345" s="25">
        <f t="shared" si="21"/>
        <v>2397.0003449999999</v>
      </c>
    </row>
    <row r="346" spans="1:21">
      <c r="A346" s="2" t="s">
        <v>673</v>
      </c>
      <c r="B346" s="2" t="s">
        <v>674</v>
      </c>
      <c r="C346" s="2" t="s">
        <v>19</v>
      </c>
      <c r="D346" s="2">
        <v>34</v>
      </c>
      <c r="E346" s="2" t="str">
        <f t="shared" si="22"/>
        <v>26-35</v>
      </c>
      <c r="F346" s="2" t="s">
        <v>110</v>
      </c>
      <c r="G346" s="2" t="s">
        <v>21</v>
      </c>
      <c r="H346" s="2">
        <v>2</v>
      </c>
      <c r="I346" s="2" t="str">
        <f t="shared" si="20"/>
        <v>0-6 months</v>
      </c>
      <c r="J346" s="3">
        <v>849</v>
      </c>
      <c r="K346" s="3">
        <v>1698</v>
      </c>
      <c r="L346" s="2" t="s">
        <v>31</v>
      </c>
      <c r="M346" s="4">
        <v>45865</v>
      </c>
      <c r="N346" s="2" t="s">
        <v>32</v>
      </c>
      <c r="O346" s="2">
        <f t="shared" si="23"/>
        <v>1</v>
      </c>
      <c r="P346" s="2" t="s">
        <v>23</v>
      </c>
      <c r="Q346" s="2" t="s">
        <v>23</v>
      </c>
      <c r="R346" s="2" t="s">
        <v>23</v>
      </c>
      <c r="S346" s="2" t="s">
        <v>23</v>
      </c>
      <c r="T346" s="2" t="s">
        <v>23</v>
      </c>
      <c r="U346" s="25">
        <f t="shared" si="21"/>
        <v>1698.000346</v>
      </c>
    </row>
    <row r="347" spans="1:21">
      <c r="A347" s="2" t="s">
        <v>675</v>
      </c>
      <c r="B347" s="2" t="s">
        <v>676</v>
      </c>
      <c r="C347" s="2" t="s">
        <v>35</v>
      </c>
      <c r="D347" s="2">
        <v>25</v>
      </c>
      <c r="E347" s="2" t="str">
        <f t="shared" si="22"/>
        <v>18-25</v>
      </c>
      <c r="F347" s="2" t="s">
        <v>37</v>
      </c>
      <c r="G347" s="2" t="s">
        <v>21</v>
      </c>
      <c r="H347" s="2">
        <v>7</v>
      </c>
      <c r="I347" s="2" t="str">
        <f t="shared" si="20"/>
        <v>7-12 months</v>
      </c>
      <c r="J347" s="3">
        <v>1199</v>
      </c>
      <c r="K347" s="3">
        <v>8393</v>
      </c>
      <c r="L347" s="2" t="s">
        <v>22</v>
      </c>
      <c r="M347" s="4">
        <v>45697</v>
      </c>
      <c r="N347" s="2" t="s">
        <v>32</v>
      </c>
      <c r="O347" s="2">
        <f t="shared" si="23"/>
        <v>1</v>
      </c>
      <c r="P347" s="2" t="s">
        <v>23</v>
      </c>
      <c r="Q347" s="2" t="s">
        <v>23</v>
      </c>
      <c r="R347" s="2" t="s">
        <v>23</v>
      </c>
      <c r="S347" s="2" t="s">
        <v>23</v>
      </c>
      <c r="T347" s="2" t="s">
        <v>23</v>
      </c>
      <c r="U347" s="25">
        <f t="shared" si="21"/>
        <v>8393.0003469999992</v>
      </c>
    </row>
    <row r="348" spans="1:21">
      <c r="A348" s="2" t="s">
        <v>677</v>
      </c>
      <c r="B348" s="2" t="s">
        <v>678</v>
      </c>
      <c r="C348" s="2" t="s">
        <v>19</v>
      </c>
      <c r="D348" s="2">
        <v>57</v>
      </c>
      <c r="E348" s="2" t="str">
        <f t="shared" si="22"/>
        <v>46-60</v>
      </c>
      <c r="F348" s="2" t="s">
        <v>91</v>
      </c>
      <c r="G348" s="2" t="s">
        <v>27</v>
      </c>
      <c r="H348" s="2">
        <v>7</v>
      </c>
      <c r="I348" s="2" t="str">
        <f t="shared" si="20"/>
        <v>7-12 months</v>
      </c>
      <c r="J348" s="3">
        <v>1199</v>
      </c>
      <c r="K348" s="3">
        <v>8393</v>
      </c>
      <c r="L348" s="2" t="s">
        <v>22</v>
      </c>
      <c r="M348" s="4">
        <v>45715</v>
      </c>
      <c r="N348" s="2" t="s">
        <v>32</v>
      </c>
      <c r="O348" s="2">
        <f t="shared" si="23"/>
        <v>1</v>
      </c>
      <c r="P348" s="2" t="s">
        <v>23</v>
      </c>
      <c r="Q348" s="2" t="s">
        <v>23</v>
      </c>
      <c r="R348" s="2" t="s">
        <v>23</v>
      </c>
      <c r="S348" s="2" t="s">
        <v>23</v>
      </c>
      <c r="T348" s="2" t="s">
        <v>23</v>
      </c>
      <c r="U348" s="25">
        <f t="shared" si="21"/>
        <v>8393.0003479999996</v>
      </c>
    </row>
    <row r="349" spans="1:21">
      <c r="A349" s="2" t="s">
        <v>679</v>
      </c>
      <c r="B349" s="2" t="s">
        <v>680</v>
      </c>
      <c r="C349" s="2" t="s">
        <v>19</v>
      </c>
      <c r="D349" s="2">
        <v>56</v>
      </c>
      <c r="E349" s="2" t="str">
        <f t="shared" si="22"/>
        <v>46-60</v>
      </c>
      <c r="F349" s="2" t="s">
        <v>20</v>
      </c>
      <c r="G349" s="2" t="s">
        <v>27</v>
      </c>
      <c r="H349" s="2">
        <v>13</v>
      </c>
      <c r="I349" s="2" t="str">
        <f t="shared" si="20"/>
        <v>13-24 months</v>
      </c>
      <c r="J349" s="3">
        <v>499</v>
      </c>
      <c r="K349" s="3">
        <v>6487</v>
      </c>
      <c r="L349" s="2" t="s">
        <v>66</v>
      </c>
      <c r="M349" s="4">
        <v>45537</v>
      </c>
      <c r="N349" s="2" t="s">
        <v>23</v>
      </c>
      <c r="O349" s="2">
        <f t="shared" si="23"/>
        <v>0</v>
      </c>
      <c r="P349" s="2" t="s">
        <v>23</v>
      </c>
      <c r="Q349" s="2" t="s">
        <v>23</v>
      </c>
      <c r="R349" s="2" t="s">
        <v>23</v>
      </c>
      <c r="S349" s="2" t="s">
        <v>23</v>
      </c>
      <c r="T349" s="2" t="s">
        <v>23</v>
      </c>
      <c r="U349" s="25">
        <f t="shared" si="21"/>
        <v>6487.0003489999999</v>
      </c>
    </row>
    <row r="350" spans="1:21">
      <c r="A350" s="2" t="s">
        <v>681</v>
      </c>
      <c r="B350" s="2" t="s">
        <v>536</v>
      </c>
      <c r="C350" s="2" t="s">
        <v>35</v>
      </c>
      <c r="D350" s="2">
        <v>48</v>
      </c>
      <c r="E350" s="2" t="str">
        <f t="shared" si="22"/>
        <v>46-60</v>
      </c>
      <c r="F350" s="2" t="s">
        <v>30</v>
      </c>
      <c r="G350" s="2" t="s">
        <v>21</v>
      </c>
      <c r="H350" s="2">
        <v>3</v>
      </c>
      <c r="I350" s="2" t="str">
        <f t="shared" si="20"/>
        <v>0-6 months</v>
      </c>
      <c r="J350" s="3">
        <v>599</v>
      </c>
      <c r="K350" s="3">
        <v>1797</v>
      </c>
      <c r="L350" s="2" t="s">
        <v>31</v>
      </c>
      <c r="M350" s="4">
        <v>45834</v>
      </c>
      <c r="N350" s="2" t="s">
        <v>23</v>
      </c>
      <c r="O350" s="2">
        <f t="shared" si="23"/>
        <v>0</v>
      </c>
      <c r="P350" s="2" t="s">
        <v>23</v>
      </c>
      <c r="Q350" s="2" t="s">
        <v>23</v>
      </c>
      <c r="R350" s="2" t="s">
        <v>23</v>
      </c>
      <c r="S350" s="2" t="s">
        <v>23</v>
      </c>
      <c r="T350" s="2" t="s">
        <v>23</v>
      </c>
      <c r="U350" s="25">
        <f t="shared" si="21"/>
        <v>1797.00035</v>
      </c>
    </row>
    <row r="351" spans="1:21">
      <c r="A351" s="2" t="s">
        <v>682</v>
      </c>
      <c r="B351" s="2" t="s">
        <v>304</v>
      </c>
      <c r="C351" s="2" t="s">
        <v>19</v>
      </c>
      <c r="D351" s="2">
        <v>64</v>
      </c>
      <c r="E351" s="2" t="str">
        <f t="shared" si="22"/>
        <v>60+</v>
      </c>
      <c r="F351" s="2" t="s">
        <v>141</v>
      </c>
      <c r="G351" s="2" t="s">
        <v>21</v>
      </c>
      <c r="H351" s="2">
        <v>8</v>
      </c>
      <c r="I351" s="2" t="str">
        <f t="shared" si="20"/>
        <v>7-12 months</v>
      </c>
      <c r="J351" s="3">
        <v>749</v>
      </c>
      <c r="K351" s="3">
        <v>5992</v>
      </c>
      <c r="L351" s="2" t="s">
        <v>31</v>
      </c>
      <c r="M351" s="4">
        <v>45685</v>
      </c>
      <c r="N351" s="2" t="s">
        <v>23</v>
      </c>
      <c r="O351" s="2">
        <f t="shared" si="23"/>
        <v>0</v>
      </c>
      <c r="P351" s="2" t="s">
        <v>23</v>
      </c>
      <c r="Q351" s="2" t="s">
        <v>23</v>
      </c>
      <c r="R351" s="2" t="s">
        <v>23</v>
      </c>
      <c r="S351" s="2" t="s">
        <v>23</v>
      </c>
      <c r="T351" s="2" t="s">
        <v>23</v>
      </c>
      <c r="U351" s="25">
        <f t="shared" si="21"/>
        <v>5992.0003509999997</v>
      </c>
    </row>
    <row r="352" spans="1:21">
      <c r="A352" s="2" t="s">
        <v>683</v>
      </c>
      <c r="B352" s="2" t="s">
        <v>373</v>
      </c>
      <c r="C352" s="2" t="s">
        <v>19</v>
      </c>
      <c r="D352" s="2">
        <v>41</v>
      </c>
      <c r="E352" s="2" t="str">
        <f t="shared" si="22"/>
        <v>36-45</v>
      </c>
      <c r="F352" s="2" t="s">
        <v>37</v>
      </c>
      <c r="G352" s="2" t="s">
        <v>27</v>
      </c>
      <c r="H352" s="2">
        <v>8</v>
      </c>
      <c r="I352" s="2" t="str">
        <f t="shared" si="20"/>
        <v>7-12 months</v>
      </c>
      <c r="J352" s="3">
        <v>1299</v>
      </c>
      <c r="K352" s="3">
        <v>10392</v>
      </c>
      <c r="L352" s="2" t="s">
        <v>22</v>
      </c>
      <c r="M352" s="4">
        <v>45684</v>
      </c>
      <c r="N352" s="2" t="s">
        <v>32</v>
      </c>
      <c r="O352" s="2">
        <f t="shared" si="23"/>
        <v>1</v>
      </c>
      <c r="P352" s="2" t="s">
        <v>23</v>
      </c>
      <c r="Q352" s="2" t="s">
        <v>23</v>
      </c>
      <c r="R352" s="2" t="s">
        <v>23</v>
      </c>
      <c r="S352" s="2" t="s">
        <v>23</v>
      </c>
      <c r="T352" s="2" t="s">
        <v>23</v>
      </c>
      <c r="U352" s="25">
        <f t="shared" si="21"/>
        <v>10392.000351999999</v>
      </c>
    </row>
    <row r="353" spans="1:21">
      <c r="A353" s="2" t="s">
        <v>684</v>
      </c>
      <c r="B353" s="2" t="s">
        <v>685</v>
      </c>
      <c r="C353" s="2" t="s">
        <v>19</v>
      </c>
      <c r="D353" s="2">
        <v>75</v>
      </c>
      <c r="E353" s="2" t="str">
        <f t="shared" si="22"/>
        <v>60+</v>
      </c>
      <c r="F353" s="2" t="s">
        <v>60</v>
      </c>
      <c r="G353" s="2" t="s">
        <v>47</v>
      </c>
      <c r="H353" s="2">
        <v>12</v>
      </c>
      <c r="I353" s="2" t="str">
        <f t="shared" si="20"/>
        <v>7-12 months</v>
      </c>
      <c r="J353" s="3">
        <v>699</v>
      </c>
      <c r="K353" s="3">
        <v>8388</v>
      </c>
      <c r="L353" s="2" t="s">
        <v>31</v>
      </c>
      <c r="M353" s="4">
        <v>45556</v>
      </c>
      <c r="N353" s="2" t="s">
        <v>23</v>
      </c>
      <c r="O353" s="2">
        <f t="shared" si="23"/>
        <v>0</v>
      </c>
      <c r="P353" s="2" t="s">
        <v>23</v>
      </c>
      <c r="Q353" s="2" t="s">
        <v>23</v>
      </c>
      <c r="R353" s="2" t="s">
        <v>23</v>
      </c>
      <c r="S353" s="2" t="s">
        <v>23</v>
      </c>
      <c r="T353" s="2" t="s">
        <v>23</v>
      </c>
      <c r="U353" s="25">
        <f t="shared" si="21"/>
        <v>8388.0003529999994</v>
      </c>
    </row>
    <row r="354" spans="1:21">
      <c r="A354" s="2" t="s">
        <v>686</v>
      </c>
      <c r="B354" s="2" t="s">
        <v>687</v>
      </c>
      <c r="C354" s="2" t="s">
        <v>35</v>
      </c>
      <c r="D354" s="2">
        <v>71</v>
      </c>
      <c r="E354" s="2" t="str">
        <f t="shared" si="22"/>
        <v>60+</v>
      </c>
      <c r="F354" s="2" t="s">
        <v>105</v>
      </c>
      <c r="G354" s="2" t="s">
        <v>27</v>
      </c>
      <c r="H354" s="2">
        <v>27</v>
      </c>
      <c r="I354" s="2" t="str">
        <f t="shared" si="20"/>
        <v>25-48 months</v>
      </c>
      <c r="J354" s="3">
        <v>1299</v>
      </c>
      <c r="K354" s="3">
        <v>35073</v>
      </c>
      <c r="L354" s="2" t="s">
        <v>22</v>
      </c>
      <c r="M354" s="4">
        <v>45096</v>
      </c>
      <c r="N354" s="2" t="s">
        <v>32</v>
      </c>
      <c r="O354" s="2">
        <f t="shared" si="23"/>
        <v>1</v>
      </c>
      <c r="P354" s="2" t="s">
        <v>23</v>
      </c>
      <c r="Q354" s="2" t="s">
        <v>23</v>
      </c>
      <c r="R354" s="2" t="s">
        <v>23</v>
      </c>
      <c r="S354" s="2" t="s">
        <v>23</v>
      </c>
      <c r="T354" s="2" t="s">
        <v>23</v>
      </c>
      <c r="U354" s="25">
        <f t="shared" si="21"/>
        <v>35073.000354000003</v>
      </c>
    </row>
    <row r="355" spans="1:21">
      <c r="A355" s="2" t="s">
        <v>688</v>
      </c>
      <c r="B355" s="2" t="s">
        <v>689</v>
      </c>
      <c r="C355" s="2" t="s">
        <v>19</v>
      </c>
      <c r="D355" s="2">
        <v>44</v>
      </c>
      <c r="E355" s="2" t="str">
        <f t="shared" si="22"/>
        <v>36-45</v>
      </c>
      <c r="F355" s="2" t="s">
        <v>91</v>
      </c>
      <c r="G355" s="2" t="s">
        <v>21</v>
      </c>
      <c r="H355" s="2">
        <v>15</v>
      </c>
      <c r="I355" s="2" t="str">
        <f t="shared" si="20"/>
        <v>13-24 months</v>
      </c>
      <c r="J355" s="3">
        <v>1149</v>
      </c>
      <c r="K355" s="3">
        <v>17235</v>
      </c>
      <c r="L355" s="2" t="s">
        <v>22</v>
      </c>
      <c r="M355" s="4">
        <v>45459</v>
      </c>
      <c r="N355" s="2" t="s">
        <v>23</v>
      </c>
      <c r="O355" s="2">
        <f t="shared" si="23"/>
        <v>0</v>
      </c>
      <c r="P355" s="2" t="s">
        <v>23</v>
      </c>
      <c r="Q355" s="2" t="s">
        <v>23</v>
      </c>
      <c r="R355" s="2" t="s">
        <v>23</v>
      </c>
      <c r="S355" s="2" t="s">
        <v>23</v>
      </c>
      <c r="T355" s="2" t="s">
        <v>23</v>
      </c>
      <c r="U355" s="25">
        <f t="shared" si="21"/>
        <v>17235.000355</v>
      </c>
    </row>
    <row r="356" spans="1:21">
      <c r="A356" s="2" t="s">
        <v>690</v>
      </c>
      <c r="B356" s="2" t="s">
        <v>691</v>
      </c>
      <c r="C356" s="2" t="s">
        <v>19</v>
      </c>
      <c r="D356" s="2">
        <v>49</v>
      </c>
      <c r="E356" s="2" t="str">
        <f t="shared" si="22"/>
        <v>46-60</v>
      </c>
      <c r="F356" s="2" t="s">
        <v>41</v>
      </c>
      <c r="G356" s="2" t="s">
        <v>47</v>
      </c>
      <c r="H356" s="2">
        <v>9</v>
      </c>
      <c r="I356" s="2" t="str">
        <f t="shared" si="20"/>
        <v>7-12 months</v>
      </c>
      <c r="J356" s="3">
        <v>1199</v>
      </c>
      <c r="K356" s="3">
        <v>10791</v>
      </c>
      <c r="L356" s="2" t="s">
        <v>22</v>
      </c>
      <c r="M356" s="4"/>
      <c r="N356" s="2" t="s">
        <v>32</v>
      </c>
      <c r="O356" s="2">
        <f t="shared" si="23"/>
        <v>1</v>
      </c>
      <c r="P356" s="2" t="s">
        <v>23</v>
      </c>
      <c r="Q356" s="2" t="s">
        <v>23</v>
      </c>
      <c r="R356" s="2" t="s">
        <v>23</v>
      </c>
      <c r="S356" s="2" t="s">
        <v>32</v>
      </c>
      <c r="T356" s="2" t="s">
        <v>54</v>
      </c>
      <c r="U356" s="25">
        <f t="shared" si="21"/>
        <v>10791.000356</v>
      </c>
    </row>
    <row r="357" spans="1:21">
      <c r="A357" s="2" t="s">
        <v>692</v>
      </c>
      <c r="B357" s="2" t="s">
        <v>693</v>
      </c>
      <c r="C357" s="2" t="s">
        <v>19</v>
      </c>
      <c r="D357" s="2">
        <v>51</v>
      </c>
      <c r="E357" s="2" t="str">
        <f t="shared" si="22"/>
        <v>46-60</v>
      </c>
      <c r="F357" s="2" t="s">
        <v>37</v>
      </c>
      <c r="G357" s="2" t="s">
        <v>27</v>
      </c>
      <c r="H357" s="2">
        <v>16</v>
      </c>
      <c r="I357" s="2" t="str">
        <f t="shared" si="20"/>
        <v>13-24 months</v>
      </c>
      <c r="J357" s="3">
        <v>749</v>
      </c>
      <c r="K357" s="3">
        <v>11984</v>
      </c>
      <c r="L357" s="2" t="s">
        <v>31</v>
      </c>
      <c r="M357" s="4">
        <v>45422</v>
      </c>
      <c r="N357" s="2" t="s">
        <v>32</v>
      </c>
      <c r="O357" s="2">
        <f t="shared" si="23"/>
        <v>1</v>
      </c>
      <c r="P357" s="2" t="s">
        <v>23</v>
      </c>
      <c r="Q357" s="2" t="s">
        <v>23</v>
      </c>
      <c r="R357" s="2" t="s">
        <v>23</v>
      </c>
      <c r="S357" s="2" t="s">
        <v>23</v>
      </c>
      <c r="T357" s="2" t="s">
        <v>23</v>
      </c>
      <c r="U357" s="25">
        <f t="shared" si="21"/>
        <v>11984.000357000001</v>
      </c>
    </row>
    <row r="358" spans="1:21">
      <c r="A358" s="2" t="s">
        <v>694</v>
      </c>
      <c r="B358" s="2" t="s">
        <v>695</v>
      </c>
      <c r="C358" s="2" t="s">
        <v>19</v>
      </c>
      <c r="D358" s="2">
        <v>28</v>
      </c>
      <c r="E358" s="2" t="str">
        <f t="shared" si="22"/>
        <v>26-35</v>
      </c>
      <c r="F358" s="2" t="s">
        <v>26</v>
      </c>
      <c r="G358" s="2" t="s">
        <v>47</v>
      </c>
      <c r="H358" s="2">
        <v>22</v>
      </c>
      <c r="I358" s="2" t="str">
        <f t="shared" si="20"/>
        <v>13-24 months</v>
      </c>
      <c r="J358" s="3">
        <v>499</v>
      </c>
      <c r="K358" s="3">
        <v>10978</v>
      </c>
      <c r="L358" s="2" t="s">
        <v>66</v>
      </c>
      <c r="M358" s="4">
        <v>45258</v>
      </c>
      <c r="N358" s="2" t="s">
        <v>23</v>
      </c>
      <c r="O358" s="2">
        <f t="shared" si="23"/>
        <v>0</v>
      </c>
      <c r="P358" s="2" t="s">
        <v>23</v>
      </c>
      <c r="Q358" s="2" t="s">
        <v>23</v>
      </c>
      <c r="R358" s="2" t="s">
        <v>23</v>
      </c>
      <c r="S358" s="2" t="s">
        <v>23</v>
      </c>
      <c r="T358" s="2" t="s">
        <v>23</v>
      </c>
      <c r="U358" s="25">
        <f t="shared" si="21"/>
        <v>10978.000357999999</v>
      </c>
    </row>
    <row r="359" spans="1:21">
      <c r="A359" s="2" t="s">
        <v>696</v>
      </c>
      <c r="B359" s="2" t="s">
        <v>697</v>
      </c>
      <c r="C359" s="2" t="s">
        <v>35</v>
      </c>
      <c r="D359" s="2">
        <v>32</v>
      </c>
      <c r="E359" s="2" t="str">
        <f t="shared" si="22"/>
        <v>26-35</v>
      </c>
      <c r="F359" s="2" t="s">
        <v>26</v>
      </c>
      <c r="G359" s="2" t="s">
        <v>27</v>
      </c>
      <c r="H359" s="2">
        <v>16</v>
      </c>
      <c r="I359" s="2" t="str">
        <f t="shared" si="20"/>
        <v>13-24 months</v>
      </c>
      <c r="J359" s="3">
        <v>1099</v>
      </c>
      <c r="K359" s="3">
        <v>17584</v>
      </c>
      <c r="L359" s="2" t="s">
        <v>22</v>
      </c>
      <c r="M359" s="4">
        <v>45434</v>
      </c>
      <c r="N359" s="2" t="s">
        <v>23</v>
      </c>
      <c r="O359" s="2">
        <f t="shared" si="23"/>
        <v>0</v>
      </c>
      <c r="P359" s="2" t="s">
        <v>23</v>
      </c>
      <c r="Q359" s="2" t="s">
        <v>23</v>
      </c>
      <c r="R359" s="2" t="s">
        <v>23</v>
      </c>
      <c r="S359" s="2" t="s">
        <v>23</v>
      </c>
      <c r="T359" s="2" t="s">
        <v>23</v>
      </c>
      <c r="U359" s="25">
        <f t="shared" si="21"/>
        <v>17584.000359000001</v>
      </c>
    </row>
    <row r="360" spans="1:21">
      <c r="A360" s="2" t="s">
        <v>698</v>
      </c>
      <c r="B360" s="2" t="s">
        <v>699</v>
      </c>
      <c r="C360" s="2" t="s">
        <v>19</v>
      </c>
      <c r="D360" s="2">
        <v>38</v>
      </c>
      <c r="E360" s="2" t="str">
        <f t="shared" si="22"/>
        <v>36-45</v>
      </c>
      <c r="F360" s="2" t="s">
        <v>41</v>
      </c>
      <c r="G360" s="2" t="s">
        <v>47</v>
      </c>
      <c r="H360" s="2">
        <v>3</v>
      </c>
      <c r="I360" s="2" t="str">
        <f t="shared" si="20"/>
        <v>0-6 months</v>
      </c>
      <c r="J360" s="3">
        <v>1099</v>
      </c>
      <c r="K360" s="3">
        <v>3297</v>
      </c>
      <c r="L360" s="2" t="s">
        <v>22</v>
      </c>
      <c r="M360" s="4">
        <v>45821</v>
      </c>
      <c r="N360" s="2" t="s">
        <v>32</v>
      </c>
      <c r="O360" s="2">
        <f t="shared" si="23"/>
        <v>1</v>
      </c>
      <c r="P360" s="2" t="s">
        <v>23</v>
      </c>
      <c r="Q360" s="2" t="s">
        <v>23</v>
      </c>
      <c r="R360" s="2" t="s">
        <v>23</v>
      </c>
      <c r="S360" s="2" t="s">
        <v>23</v>
      </c>
      <c r="T360" s="2" t="s">
        <v>23</v>
      </c>
      <c r="U360" s="25">
        <f t="shared" si="21"/>
        <v>3297.00036</v>
      </c>
    </row>
    <row r="361" spans="1:21">
      <c r="A361" s="2" t="s">
        <v>700</v>
      </c>
      <c r="B361" s="2" t="s">
        <v>701</v>
      </c>
      <c r="C361" s="2" t="s">
        <v>19</v>
      </c>
      <c r="D361" s="2">
        <v>57</v>
      </c>
      <c r="E361" s="2" t="str">
        <f t="shared" si="22"/>
        <v>46-60</v>
      </c>
      <c r="F361" s="2" t="s">
        <v>71</v>
      </c>
      <c r="G361" s="2" t="s">
        <v>21</v>
      </c>
      <c r="H361" s="2">
        <v>7</v>
      </c>
      <c r="I361" s="2" t="str">
        <f t="shared" si="20"/>
        <v>7-12 months</v>
      </c>
      <c r="J361" s="3">
        <v>1199</v>
      </c>
      <c r="K361" s="3">
        <v>8393</v>
      </c>
      <c r="L361" s="2" t="s">
        <v>22</v>
      </c>
      <c r="M361" s="4">
        <v>45707</v>
      </c>
      <c r="N361" s="2" t="s">
        <v>23</v>
      </c>
      <c r="O361" s="2">
        <f t="shared" si="23"/>
        <v>0</v>
      </c>
      <c r="P361" s="2" t="s">
        <v>23</v>
      </c>
      <c r="Q361" s="2" t="s">
        <v>23</v>
      </c>
      <c r="R361" s="2" t="s">
        <v>23</v>
      </c>
      <c r="S361" s="2" t="s">
        <v>23</v>
      </c>
      <c r="T361" s="2" t="s">
        <v>23</v>
      </c>
      <c r="U361" s="25">
        <f t="shared" si="21"/>
        <v>8393.0003610000003</v>
      </c>
    </row>
    <row r="362" spans="1:21">
      <c r="A362" s="2" t="s">
        <v>702</v>
      </c>
      <c r="B362" s="2" t="s">
        <v>703</v>
      </c>
      <c r="C362" s="2" t="s">
        <v>19</v>
      </c>
      <c r="D362" s="2">
        <v>39</v>
      </c>
      <c r="E362" s="2" t="str">
        <f t="shared" si="22"/>
        <v>36-45</v>
      </c>
      <c r="F362" s="2" t="s">
        <v>26</v>
      </c>
      <c r="G362" s="2" t="s">
        <v>27</v>
      </c>
      <c r="H362" s="2">
        <v>24</v>
      </c>
      <c r="I362" s="2" t="str">
        <f t="shared" si="20"/>
        <v>13-24 months</v>
      </c>
      <c r="J362" s="3">
        <v>1099</v>
      </c>
      <c r="K362" s="3">
        <v>26376</v>
      </c>
      <c r="L362" s="2" t="s">
        <v>22</v>
      </c>
      <c r="M362" s="4">
        <v>45187</v>
      </c>
      <c r="N362" s="2" t="s">
        <v>32</v>
      </c>
      <c r="O362" s="2">
        <f t="shared" si="23"/>
        <v>1</v>
      </c>
      <c r="P362" s="2" t="s">
        <v>23</v>
      </c>
      <c r="Q362" s="2" t="s">
        <v>23</v>
      </c>
      <c r="R362" s="2" t="s">
        <v>23</v>
      </c>
      <c r="S362" s="2" t="s">
        <v>23</v>
      </c>
      <c r="T362" s="2" t="s">
        <v>23</v>
      </c>
      <c r="U362" s="25">
        <f t="shared" si="21"/>
        <v>26376.000361999999</v>
      </c>
    </row>
    <row r="363" spans="1:21">
      <c r="A363" s="2" t="s">
        <v>704</v>
      </c>
      <c r="B363" s="2" t="s">
        <v>505</v>
      </c>
      <c r="C363" s="2" t="s">
        <v>19</v>
      </c>
      <c r="D363" s="2">
        <v>40</v>
      </c>
      <c r="E363" s="2" t="str">
        <f t="shared" si="22"/>
        <v>36-45</v>
      </c>
      <c r="F363" s="2" t="s">
        <v>57</v>
      </c>
      <c r="G363" s="2" t="s">
        <v>27</v>
      </c>
      <c r="H363" s="2">
        <v>36</v>
      </c>
      <c r="I363" s="2" t="str">
        <f t="shared" si="20"/>
        <v>25-48 months</v>
      </c>
      <c r="J363" s="3">
        <v>1049</v>
      </c>
      <c r="K363" s="3">
        <v>37764</v>
      </c>
      <c r="L363" s="2" t="s">
        <v>22</v>
      </c>
      <c r="M363" s="4">
        <v>44843</v>
      </c>
      <c r="N363" s="2" t="s">
        <v>32</v>
      </c>
      <c r="O363" s="2">
        <f t="shared" si="23"/>
        <v>1</v>
      </c>
      <c r="P363" s="2" t="s">
        <v>23</v>
      </c>
      <c r="Q363" s="2" t="s">
        <v>23</v>
      </c>
      <c r="R363" s="2" t="s">
        <v>23</v>
      </c>
      <c r="S363" s="2" t="s">
        <v>23</v>
      </c>
      <c r="T363" s="2" t="s">
        <v>23</v>
      </c>
      <c r="U363" s="25">
        <f t="shared" si="21"/>
        <v>37764.000362999999</v>
      </c>
    </row>
    <row r="364" spans="1:21">
      <c r="A364" s="2" t="s">
        <v>705</v>
      </c>
      <c r="B364" s="2" t="s">
        <v>706</v>
      </c>
      <c r="C364" s="2" t="s">
        <v>35</v>
      </c>
      <c r="D364" s="2">
        <v>65</v>
      </c>
      <c r="E364" s="2" t="str">
        <f t="shared" si="22"/>
        <v>60+</v>
      </c>
      <c r="F364" s="2" t="s">
        <v>141</v>
      </c>
      <c r="G364" s="2" t="s">
        <v>21</v>
      </c>
      <c r="H364" s="2">
        <v>7</v>
      </c>
      <c r="I364" s="2" t="str">
        <f t="shared" si="20"/>
        <v>7-12 months</v>
      </c>
      <c r="J364" s="3">
        <v>649</v>
      </c>
      <c r="K364" s="3">
        <v>4543</v>
      </c>
      <c r="L364" s="2" t="s">
        <v>31</v>
      </c>
      <c r="M364" s="4">
        <v>45692</v>
      </c>
      <c r="N364" s="2" t="s">
        <v>32</v>
      </c>
      <c r="O364" s="2">
        <f t="shared" si="23"/>
        <v>1</v>
      </c>
      <c r="P364" s="2" t="s">
        <v>23</v>
      </c>
      <c r="Q364" s="2" t="s">
        <v>23</v>
      </c>
      <c r="R364" s="2" t="s">
        <v>23</v>
      </c>
      <c r="S364" s="2" t="s">
        <v>23</v>
      </c>
      <c r="T364" s="2" t="s">
        <v>23</v>
      </c>
      <c r="U364" s="25">
        <f t="shared" si="21"/>
        <v>4543.0003640000004</v>
      </c>
    </row>
    <row r="365" spans="1:21">
      <c r="A365" s="2" t="s">
        <v>707</v>
      </c>
      <c r="B365" s="2" t="s">
        <v>708</v>
      </c>
      <c r="C365" s="2" t="s">
        <v>19</v>
      </c>
      <c r="D365" s="2">
        <v>66</v>
      </c>
      <c r="E365" s="2" t="str">
        <f t="shared" si="22"/>
        <v>60+</v>
      </c>
      <c r="F365" s="2" t="s">
        <v>105</v>
      </c>
      <c r="G365" s="2" t="s">
        <v>21</v>
      </c>
      <c r="H365" s="2">
        <v>22</v>
      </c>
      <c r="I365" s="2" t="str">
        <f t="shared" si="20"/>
        <v>13-24 months</v>
      </c>
      <c r="J365" s="3">
        <v>899</v>
      </c>
      <c r="K365" s="3">
        <v>19778</v>
      </c>
      <c r="L365" s="2" t="s">
        <v>22</v>
      </c>
      <c r="M365" s="4">
        <v>45250</v>
      </c>
      <c r="N365" s="2" t="s">
        <v>32</v>
      </c>
      <c r="O365" s="2">
        <f t="shared" si="23"/>
        <v>1</v>
      </c>
      <c r="P365" s="2" t="s">
        <v>23</v>
      </c>
      <c r="Q365" s="2" t="s">
        <v>23</v>
      </c>
      <c r="R365" s="2" t="s">
        <v>23</v>
      </c>
      <c r="S365" s="2" t="s">
        <v>23</v>
      </c>
      <c r="T365" s="2" t="s">
        <v>23</v>
      </c>
      <c r="U365" s="25">
        <f t="shared" si="21"/>
        <v>19778.000365</v>
      </c>
    </row>
    <row r="366" spans="1:21">
      <c r="A366" s="2" t="s">
        <v>709</v>
      </c>
      <c r="B366" s="2" t="s">
        <v>710</v>
      </c>
      <c r="C366" s="2" t="s">
        <v>19</v>
      </c>
      <c r="D366" s="2">
        <v>51</v>
      </c>
      <c r="E366" s="2" t="str">
        <f t="shared" si="22"/>
        <v>46-60</v>
      </c>
      <c r="F366" s="2" t="s">
        <v>141</v>
      </c>
      <c r="G366" s="2" t="s">
        <v>21</v>
      </c>
      <c r="H366" s="2">
        <v>19</v>
      </c>
      <c r="I366" s="2" t="str">
        <f t="shared" si="20"/>
        <v>13-24 months</v>
      </c>
      <c r="J366" s="3">
        <v>399</v>
      </c>
      <c r="K366" s="3">
        <v>7581</v>
      </c>
      <c r="L366" s="2" t="s">
        <v>66</v>
      </c>
      <c r="M366" s="4">
        <v>45353</v>
      </c>
      <c r="N366" s="2" t="s">
        <v>23</v>
      </c>
      <c r="O366" s="2">
        <f t="shared" si="23"/>
        <v>0</v>
      </c>
      <c r="P366" s="2" t="s">
        <v>23</v>
      </c>
      <c r="Q366" s="2" t="s">
        <v>23</v>
      </c>
      <c r="R366" s="2" t="s">
        <v>23</v>
      </c>
      <c r="S366" s="2" t="s">
        <v>23</v>
      </c>
      <c r="T366" s="2" t="s">
        <v>23</v>
      </c>
      <c r="U366" s="25">
        <f t="shared" si="21"/>
        <v>7581.0003660000002</v>
      </c>
    </row>
    <row r="367" spans="1:21">
      <c r="A367" s="2" t="s">
        <v>711</v>
      </c>
      <c r="B367" s="2" t="s">
        <v>712</v>
      </c>
      <c r="C367" s="2" t="s">
        <v>19</v>
      </c>
      <c r="D367" s="2">
        <v>60</v>
      </c>
      <c r="E367" s="2" t="str">
        <f t="shared" si="22"/>
        <v>46-60</v>
      </c>
      <c r="F367" s="2" t="s">
        <v>91</v>
      </c>
      <c r="G367" s="2" t="s">
        <v>27</v>
      </c>
      <c r="H367" s="2">
        <v>25</v>
      </c>
      <c r="I367" s="2" t="str">
        <f t="shared" si="20"/>
        <v>25-48 months</v>
      </c>
      <c r="J367" s="3">
        <v>749</v>
      </c>
      <c r="K367" s="3">
        <v>18725</v>
      </c>
      <c r="L367" s="2" t="s">
        <v>31</v>
      </c>
      <c r="M367" s="4">
        <v>45168</v>
      </c>
      <c r="N367" s="2" t="s">
        <v>23</v>
      </c>
      <c r="O367" s="2">
        <f t="shared" si="23"/>
        <v>0</v>
      </c>
      <c r="P367" s="2" t="s">
        <v>23</v>
      </c>
      <c r="Q367" s="2" t="s">
        <v>23</v>
      </c>
      <c r="R367" s="2" t="s">
        <v>23</v>
      </c>
      <c r="S367" s="2" t="s">
        <v>23</v>
      </c>
      <c r="T367" s="2" t="s">
        <v>23</v>
      </c>
      <c r="U367" s="25">
        <f t="shared" si="21"/>
        <v>18725.000367000001</v>
      </c>
    </row>
    <row r="368" spans="1:21">
      <c r="A368" s="2" t="s">
        <v>713</v>
      </c>
      <c r="B368" s="2" t="s">
        <v>714</v>
      </c>
      <c r="C368" s="2" t="s">
        <v>35</v>
      </c>
      <c r="D368" s="2">
        <v>26</v>
      </c>
      <c r="E368" s="2" t="str">
        <f t="shared" si="22"/>
        <v>26-35</v>
      </c>
      <c r="F368" s="2" t="s">
        <v>105</v>
      </c>
      <c r="G368" s="2" t="s">
        <v>27</v>
      </c>
      <c r="H368" s="2">
        <v>33</v>
      </c>
      <c r="I368" s="2" t="str">
        <f t="shared" si="20"/>
        <v>25-48 months</v>
      </c>
      <c r="J368" s="3">
        <v>549</v>
      </c>
      <c r="K368" s="3">
        <v>18117</v>
      </c>
      <c r="L368" s="2" t="s">
        <v>66</v>
      </c>
      <c r="M368" s="4">
        <v>44916</v>
      </c>
      <c r="N368" s="2" t="s">
        <v>23</v>
      </c>
      <c r="O368" s="2">
        <f t="shared" si="23"/>
        <v>0</v>
      </c>
      <c r="P368" s="2" t="s">
        <v>23</v>
      </c>
      <c r="Q368" s="2" t="s">
        <v>23</v>
      </c>
      <c r="R368" s="2" t="s">
        <v>23</v>
      </c>
      <c r="S368" s="2" t="s">
        <v>32</v>
      </c>
      <c r="T368" s="2" t="s">
        <v>23</v>
      </c>
      <c r="U368" s="25">
        <f t="shared" si="21"/>
        <v>18117.000368000001</v>
      </c>
    </row>
    <row r="369" spans="1:21">
      <c r="A369" s="2" t="s">
        <v>715</v>
      </c>
      <c r="B369" s="2" t="s">
        <v>716</v>
      </c>
      <c r="C369" s="2" t="s">
        <v>19</v>
      </c>
      <c r="D369" s="2">
        <v>57</v>
      </c>
      <c r="E369" s="2" t="str">
        <f t="shared" si="22"/>
        <v>46-60</v>
      </c>
      <c r="F369" s="2" t="s">
        <v>141</v>
      </c>
      <c r="G369" s="2" t="s">
        <v>21</v>
      </c>
      <c r="H369" s="2">
        <v>22</v>
      </c>
      <c r="I369" s="2" t="str">
        <f t="shared" si="20"/>
        <v>13-24 months</v>
      </c>
      <c r="J369" s="3">
        <v>649</v>
      </c>
      <c r="K369" s="3">
        <v>14278</v>
      </c>
      <c r="L369" s="2" t="s">
        <v>37</v>
      </c>
      <c r="M369" s="4">
        <v>45246</v>
      </c>
      <c r="N369" s="2" t="s">
        <v>23</v>
      </c>
      <c r="O369" s="2">
        <f t="shared" si="23"/>
        <v>0</v>
      </c>
      <c r="P369" s="2" t="s">
        <v>23</v>
      </c>
      <c r="Q369" s="2" t="s">
        <v>23</v>
      </c>
      <c r="R369" s="2" t="s">
        <v>23</v>
      </c>
      <c r="S369" s="2" t="s">
        <v>32</v>
      </c>
      <c r="T369" s="2" t="s">
        <v>23</v>
      </c>
      <c r="U369" s="25">
        <f t="shared" si="21"/>
        <v>14278.000368999999</v>
      </c>
    </row>
    <row r="370" spans="1:21">
      <c r="A370" s="2" t="s">
        <v>717</v>
      </c>
      <c r="B370" s="2" t="s">
        <v>718</v>
      </c>
      <c r="C370" s="2" t="s">
        <v>35</v>
      </c>
      <c r="D370" s="2">
        <v>53</v>
      </c>
      <c r="E370" s="2" t="str">
        <f t="shared" si="22"/>
        <v>46-60</v>
      </c>
      <c r="F370" s="2" t="s">
        <v>60</v>
      </c>
      <c r="G370" s="2" t="s">
        <v>27</v>
      </c>
      <c r="H370" s="2">
        <v>27</v>
      </c>
      <c r="I370" s="2" t="str">
        <f t="shared" si="20"/>
        <v>25-48 months</v>
      </c>
      <c r="J370" s="3">
        <v>549</v>
      </c>
      <c r="K370" s="3">
        <v>14823</v>
      </c>
      <c r="L370" s="2" t="s">
        <v>66</v>
      </c>
      <c r="M370" s="4">
        <v>45091</v>
      </c>
      <c r="N370" s="2" t="s">
        <v>23</v>
      </c>
      <c r="O370" s="2">
        <f t="shared" si="23"/>
        <v>0</v>
      </c>
      <c r="P370" s="2" t="s">
        <v>23</v>
      </c>
      <c r="Q370" s="2" t="s">
        <v>23</v>
      </c>
      <c r="R370" s="2" t="s">
        <v>23</v>
      </c>
      <c r="S370" s="2" t="s">
        <v>23</v>
      </c>
      <c r="T370" s="2" t="s">
        <v>23</v>
      </c>
      <c r="U370" s="25">
        <f t="shared" si="21"/>
        <v>14823.00037</v>
      </c>
    </row>
    <row r="371" spans="1:21">
      <c r="A371" s="2" t="s">
        <v>719</v>
      </c>
      <c r="B371" s="2" t="s">
        <v>720</v>
      </c>
      <c r="C371" s="2" t="s">
        <v>35</v>
      </c>
      <c r="D371" s="2">
        <v>24</v>
      </c>
      <c r="E371" s="2" t="str">
        <f t="shared" si="22"/>
        <v>18-25</v>
      </c>
      <c r="F371" s="2" t="s">
        <v>36</v>
      </c>
      <c r="G371" s="2" t="s">
        <v>21</v>
      </c>
      <c r="H371" s="2">
        <v>2</v>
      </c>
      <c r="I371" s="2" t="str">
        <f t="shared" si="20"/>
        <v>0-6 months</v>
      </c>
      <c r="J371" s="3">
        <v>649</v>
      </c>
      <c r="K371" s="3">
        <v>1298</v>
      </c>
      <c r="L371" s="2" t="s">
        <v>31</v>
      </c>
      <c r="M371" s="4">
        <v>45847</v>
      </c>
      <c r="N371" s="2" t="s">
        <v>23</v>
      </c>
      <c r="O371" s="2">
        <f t="shared" si="23"/>
        <v>0</v>
      </c>
      <c r="P371" s="2" t="s">
        <v>23</v>
      </c>
      <c r="Q371" s="2" t="s">
        <v>23</v>
      </c>
      <c r="R371" s="2" t="s">
        <v>23</v>
      </c>
      <c r="S371" s="2" t="s">
        <v>23</v>
      </c>
      <c r="T371" s="2" t="s">
        <v>23</v>
      </c>
      <c r="U371" s="25">
        <f t="shared" si="21"/>
        <v>1298.0003710000001</v>
      </c>
    </row>
    <row r="372" spans="1:21">
      <c r="A372" s="2" t="s">
        <v>721</v>
      </c>
      <c r="B372" s="2" t="s">
        <v>722</v>
      </c>
      <c r="C372" s="2" t="s">
        <v>35</v>
      </c>
      <c r="D372" s="2">
        <v>62</v>
      </c>
      <c r="E372" s="2" t="str">
        <f t="shared" si="22"/>
        <v>60+</v>
      </c>
      <c r="F372" s="2" t="s">
        <v>110</v>
      </c>
      <c r="G372" s="2" t="s">
        <v>21</v>
      </c>
      <c r="H372" s="2">
        <v>2</v>
      </c>
      <c r="I372" s="2" t="str">
        <f t="shared" si="20"/>
        <v>0-6 months</v>
      </c>
      <c r="J372" s="3">
        <v>1299</v>
      </c>
      <c r="K372" s="3">
        <v>2598</v>
      </c>
      <c r="L372" s="2" t="s">
        <v>22</v>
      </c>
      <c r="M372" s="4">
        <v>45841</v>
      </c>
      <c r="N372" s="2" t="s">
        <v>32</v>
      </c>
      <c r="O372" s="2">
        <f t="shared" si="23"/>
        <v>1</v>
      </c>
      <c r="P372" s="2" t="s">
        <v>23</v>
      </c>
      <c r="Q372" s="2" t="s">
        <v>23</v>
      </c>
      <c r="R372" s="2" t="s">
        <v>23</v>
      </c>
      <c r="S372" s="2" t="s">
        <v>23</v>
      </c>
      <c r="T372" s="2" t="s">
        <v>23</v>
      </c>
      <c r="U372" s="25">
        <f t="shared" si="21"/>
        <v>2598.000372</v>
      </c>
    </row>
    <row r="373" spans="1:21">
      <c r="A373" s="2" t="s">
        <v>723</v>
      </c>
      <c r="B373" s="2" t="s">
        <v>724</v>
      </c>
      <c r="C373" s="2" t="s">
        <v>19</v>
      </c>
      <c r="D373" s="2">
        <v>33</v>
      </c>
      <c r="E373" s="2" t="str">
        <f t="shared" si="22"/>
        <v>26-35</v>
      </c>
      <c r="F373" s="2" t="s">
        <v>26</v>
      </c>
      <c r="G373" s="2" t="s">
        <v>27</v>
      </c>
      <c r="H373" s="2">
        <v>19</v>
      </c>
      <c r="I373" s="2" t="str">
        <f t="shared" si="20"/>
        <v>13-24 months</v>
      </c>
      <c r="J373" s="3">
        <v>1199</v>
      </c>
      <c r="K373" s="3">
        <v>22781</v>
      </c>
      <c r="L373" s="2" t="s">
        <v>22</v>
      </c>
      <c r="M373" s="4">
        <v>45346</v>
      </c>
      <c r="N373" s="2" t="s">
        <v>23</v>
      </c>
      <c r="O373" s="2">
        <f t="shared" si="23"/>
        <v>0</v>
      </c>
      <c r="P373" s="2" t="s">
        <v>23</v>
      </c>
      <c r="Q373" s="2" t="s">
        <v>23</v>
      </c>
      <c r="R373" s="2" t="s">
        <v>23</v>
      </c>
      <c r="S373" s="2" t="s">
        <v>23</v>
      </c>
      <c r="T373" s="2" t="s">
        <v>23</v>
      </c>
      <c r="U373" s="25">
        <f t="shared" si="21"/>
        <v>22781.000372999999</v>
      </c>
    </row>
    <row r="374" spans="1:21">
      <c r="A374" s="2" t="s">
        <v>725</v>
      </c>
      <c r="B374" s="2" t="s">
        <v>726</v>
      </c>
      <c r="C374" s="2" t="s">
        <v>37</v>
      </c>
      <c r="D374" s="2">
        <v>21</v>
      </c>
      <c r="E374" s="2" t="str">
        <f t="shared" si="22"/>
        <v>18-25</v>
      </c>
      <c r="F374" s="2" t="s">
        <v>36</v>
      </c>
      <c r="G374" s="2" t="s">
        <v>37</v>
      </c>
      <c r="H374" s="2">
        <v>29</v>
      </c>
      <c r="I374" s="2" t="str">
        <f t="shared" si="20"/>
        <v>25-48 months</v>
      </c>
      <c r="J374" s="3">
        <v>899</v>
      </c>
      <c r="K374" s="3">
        <v>26071</v>
      </c>
      <c r="L374" s="2" t="s">
        <v>31</v>
      </c>
      <c r="M374" s="4">
        <v>45041</v>
      </c>
      <c r="N374" s="2" t="s">
        <v>23</v>
      </c>
      <c r="O374" s="2">
        <f t="shared" si="23"/>
        <v>0</v>
      </c>
      <c r="P374" s="2" t="s">
        <v>23</v>
      </c>
      <c r="Q374" s="2" t="s">
        <v>23</v>
      </c>
      <c r="R374" s="2" t="s">
        <v>23</v>
      </c>
      <c r="S374" s="2" t="s">
        <v>23</v>
      </c>
      <c r="T374" s="2" t="s">
        <v>23</v>
      </c>
      <c r="U374" s="25">
        <f t="shared" si="21"/>
        <v>26071.000373999999</v>
      </c>
    </row>
    <row r="375" spans="1:21">
      <c r="A375" s="2" t="s">
        <v>727</v>
      </c>
      <c r="B375" s="2" t="s">
        <v>728</v>
      </c>
      <c r="C375" s="2" t="s">
        <v>19</v>
      </c>
      <c r="D375" s="2">
        <v>46</v>
      </c>
      <c r="E375" s="2" t="str">
        <f t="shared" si="22"/>
        <v>46-60</v>
      </c>
      <c r="F375" s="2" t="s">
        <v>63</v>
      </c>
      <c r="G375" s="2" t="s">
        <v>47</v>
      </c>
      <c r="H375" s="2">
        <v>23</v>
      </c>
      <c r="I375" s="2" t="str">
        <f t="shared" si="20"/>
        <v>13-24 months</v>
      </c>
      <c r="J375" s="3">
        <v>849</v>
      </c>
      <c r="K375" s="3">
        <v>19527</v>
      </c>
      <c r="L375" s="2" t="s">
        <v>31</v>
      </c>
      <c r="M375" s="4"/>
      <c r="N375" s="2" t="s">
        <v>23</v>
      </c>
      <c r="O375" s="2">
        <f t="shared" si="23"/>
        <v>0</v>
      </c>
      <c r="P375" s="2" t="s">
        <v>23</v>
      </c>
      <c r="Q375" s="2" t="s">
        <v>23</v>
      </c>
      <c r="R375" s="2" t="s">
        <v>23</v>
      </c>
      <c r="S375" s="2" t="s">
        <v>23</v>
      </c>
      <c r="T375" s="2" t="s">
        <v>54</v>
      </c>
      <c r="U375" s="25">
        <f t="shared" si="21"/>
        <v>19527.000375</v>
      </c>
    </row>
    <row r="376" spans="1:21">
      <c r="A376" s="2" t="s">
        <v>729</v>
      </c>
      <c r="B376" s="2" t="s">
        <v>730</v>
      </c>
      <c r="C376" s="2" t="s">
        <v>35</v>
      </c>
      <c r="D376" s="2">
        <v>26</v>
      </c>
      <c r="E376" s="2" t="str">
        <f t="shared" si="22"/>
        <v>26-35</v>
      </c>
      <c r="F376" s="2" t="s">
        <v>63</v>
      </c>
      <c r="G376" s="2" t="s">
        <v>27</v>
      </c>
      <c r="H376" s="2">
        <v>22</v>
      </c>
      <c r="I376" s="2" t="str">
        <f t="shared" si="20"/>
        <v>13-24 months</v>
      </c>
      <c r="J376" s="3">
        <v>749</v>
      </c>
      <c r="K376" s="3">
        <v>16478</v>
      </c>
      <c r="L376" s="2" t="s">
        <v>31</v>
      </c>
      <c r="M376" s="4">
        <v>45239</v>
      </c>
      <c r="N376" s="2" t="s">
        <v>32</v>
      </c>
      <c r="O376" s="2">
        <f t="shared" si="23"/>
        <v>1</v>
      </c>
      <c r="P376" s="2" t="s">
        <v>23</v>
      </c>
      <c r="Q376" s="2" t="s">
        <v>23</v>
      </c>
      <c r="R376" s="2" t="s">
        <v>23</v>
      </c>
      <c r="S376" s="2" t="s">
        <v>23</v>
      </c>
      <c r="T376" s="2" t="s">
        <v>23</v>
      </c>
      <c r="U376" s="25">
        <f t="shared" si="21"/>
        <v>16478.000376</v>
      </c>
    </row>
    <row r="377" spans="1:21">
      <c r="A377" s="2" t="s">
        <v>731</v>
      </c>
      <c r="B377" s="2" t="s">
        <v>732</v>
      </c>
      <c r="C377" s="2" t="s">
        <v>35</v>
      </c>
      <c r="D377" s="2">
        <v>67</v>
      </c>
      <c r="E377" s="2" t="str">
        <f t="shared" si="22"/>
        <v>60+</v>
      </c>
      <c r="F377" s="2" t="s">
        <v>71</v>
      </c>
      <c r="G377" s="2" t="s">
        <v>27</v>
      </c>
      <c r="H377" s="2">
        <v>32</v>
      </c>
      <c r="I377" s="2" t="str">
        <f t="shared" si="20"/>
        <v>25-48 months</v>
      </c>
      <c r="J377" s="3">
        <v>1149</v>
      </c>
      <c r="K377" s="3">
        <v>36768</v>
      </c>
      <c r="L377" s="2" t="s">
        <v>22</v>
      </c>
      <c r="M377" s="4">
        <v>44943</v>
      </c>
      <c r="N377" s="2" t="s">
        <v>23</v>
      </c>
      <c r="O377" s="2">
        <f t="shared" si="23"/>
        <v>0</v>
      </c>
      <c r="P377" s="2" t="s">
        <v>23</v>
      </c>
      <c r="Q377" s="2" t="s">
        <v>23</v>
      </c>
      <c r="R377" s="2" t="s">
        <v>23</v>
      </c>
      <c r="S377" s="2" t="s">
        <v>23</v>
      </c>
      <c r="T377" s="2" t="s">
        <v>23</v>
      </c>
      <c r="U377" s="25">
        <f t="shared" si="21"/>
        <v>36768.000376999997</v>
      </c>
    </row>
    <row r="378" spans="1:21">
      <c r="A378" s="2" t="s">
        <v>733</v>
      </c>
      <c r="B378" s="2" t="s">
        <v>734</v>
      </c>
      <c r="C378" s="2" t="s">
        <v>35</v>
      </c>
      <c r="D378" s="2">
        <v>29</v>
      </c>
      <c r="E378" s="2" t="str">
        <f t="shared" si="22"/>
        <v>26-35</v>
      </c>
      <c r="F378" s="2" t="s">
        <v>26</v>
      </c>
      <c r="G378" s="2" t="s">
        <v>21</v>
      </c>
      <c r="H378" s="2">
        <v>14</v>
      </c>
      <c r="I378" s="2" t="str">
        <f t="shared" si="20"/>
        <v>13-24 months</v>
      </c>
      <c r="J378" s="3">
        <v>1149</v>
      </c>
      <c r="K378" s="3">
        <v>16086</v>
      </c>
      <c r="L378" s="2" t="s">
        <v>22</v>
      </c>
      <c r="M378" s="4">
        <v>45501</v>
      </c>
      <c r="N378" s="2" t="s">
        <v>32</v>
      </c>
      <c r="O378" s="2">
        <f t="shared" si="23"/>
        <v>1</v>
      </c>
      <c r="P378" s="2" t="s">
        <v>23</v>
      </c>
      <c r="Q378" s="2" t="s">
        <v>23</v>
      </c>
      <c r="R378" s="2" t="s">
        <v>23</v>
      </c>
      <c r="S378" s="2" t="s">
        <v>23</v>
      </c>
      <c r="T378" s="2" t="s">
        <v>23</v>
      </c>
      <c r="U378" s="25">
        <f t="shared" si="21"/>
        <v>16086.000378000001</v>
      </c>
    </row>
    <row r="379" spans="1:21">
      <c r="A379" s="2" t="s">
        <v>735</v>
      </c>
      <c r="B379" s="2" t="s">
        <v>736</v>
      </c>
      <c r="C379" s="2" t="s">
        <v>19</v>
      </c>
      <c r="D379" s="2">
        <v>41</v>
      </c>
      <c r="E379" s="2" t="str">
        <f t="shared" si="22"/>
        <v>36-45</v>
      </c>
      <c r="F379" s="2" t="s">
        <v>46</v>
      </c>
      <c r="G379" s="2" t="s">
        <v>21</v>
      </c>
      <c r="H379" s="2">
        <v>17</v>
      </c>
      <c r="I379" s="2" t="str">
        <f t="shared" si="20"/>
        <v>13-24 months</v>
      </c>
      <c r="J379" s="3">
        <v>1149</v>
      </c>
      <c r="K379" s="3">
        <v>19533</v>
      </c>
      <c r="L379" s="2" t="s">
        <v>22</v>
      </c>
      <c r="M379" s="4">
        <v>45407</v>
      </c>
      <c r="N379" s="2" t="s">
        <v>32</v>
      </c>
      <c r="O379" s="2">
        <f t="shared" si="23"/>
        <v>1</v>
      </c>
      <c r="P379" s="2" t="s">
        <v>23</v>
      </c>
      <c r="Q379" s="2" t="s">
        <v>23</v>
      </c>
      <c r="R379" s="2" t="s">
        <v>23</v>
      </c>
      <c r="S379" s="2" t="s">
        <v>23</v>
      </c>
      <c r="T379" s="2" t="s">
        <v>23</v>
      </c>
      <c r="U379" s="25">
        <f t="shared" si="21"/>
        <v>19533.000379000001</v>
      </c>
    </row>
    <row r="380" spans="1:21">
      <c r="A380" s="2" t="s">
        <v>737</v>
      </c>
      <c r="B380" s="2" t="s">
        <v>738</v>
      </c>
      <c r="C380" s="2" t="s">
        <v>35</v>
      </c>
      <c r="D380" s="2">
        <v>57</v>
      </c>
      <c r="E380" s="2" t="str">
        <f t="shared" si="22"/>
        <v>46-60</v>
      </c>
      <c r="F380" s="2" t="s">
        <v>91</v>
      </c>
      <c r="G380" s="2" t="s">
        <v>21</v>
      </c>
      <c r="H380" s="2">
        <v>11</v>
      </c>
      <c r="I380" s="2" t="str">
        <f t="shared" si="20"/>
        <v>7-12 months</v>
      </c>
      <c r="J380" s="3">
        <v>749</v>
      </c>
      <c r="K380" s="3">
        <v>8239</v>
      </c>
      <c r="L380" s="2" t="s">
        <v>31</v>
      </c>
      <c r="M380" s="4">
        <v>45581</v>
      </c>
      <c r="N380" s="2" t="s">
        <v>32</v>
      </c>
      <c r="O380" s="2">
        <f t="shared" si="23"/>
        <v>1</v>
      </c>
      <c r="P380" s="2" t="s">
        <v>23</v>
      </c>
      <c r="Q380" s="2" t="s">
        <v>23</v>
      </c>
      <c r="R380" s="2" t="s">
        <v>23</v>
      </c>
      <c r="S380" s="2" t="s">
        <v>23</v>
      </c>
      <c r="T380" s="2" t="s">
        <v>23</v>
      </c>
      <c r="U380" s="25">
        <f t="shared" si="21"/>
        <v>8239.0003799999995</v>
      </c>
    </row>
    <row r="381" spans="1:21">
      <c r="A381" s="2" t="s">
        <v>739</v>
      </c>
      <c r="B381" s="2" t="s">
        <v>720</v>
      </c>
      <c r="C381" s="2" t="s">
        <v>35</v>
      </c>
      <c r="D381" s="2">
        <v>70</v>
      </c>
      <c r="E381" s="2" t="str">
        <f t="shared" si="22"/>
        <v>60+</v>
      </c>
      <c r="F381" s="2" t="s">
        <v>110</v>
      </c>
      <c r="G381" s="2" t="s">
        <v>21</v>
      </c>
      <c r="H381" s="2">
        <v>15</v>
      </c>
      <c r="I381" s="2" t="str">
        <f t="shared" si="20"/>
        <v>13-24 months</v>
      </c>
      <c r="J381" s="3">
        <v>449</v>
      </c>
      <c r="K381" s="3">
        <v>6735</v>
      </c>
      <c r="L381" s="2" t="s">
        <v>66</v>
      </c>
      <c r="M381" s="4">
        <v>45472</v>
      </c>
      <c r="N381" s="2" t="s">
        <v>23</v>
      </c>
      <c r="O381" s="2">
        <f t="shared" si="23"/>
        <v>0</v>
      </c>
      <c r="P381" s="2" t="s">
        <v>23</v>
      </c>
      <c r="Q381" s="2" t="s">
        <v>23</v>
      </c>
      <c r="R381" s="2" t="s">
        <v>23</v>
      </c>
      <c r="S381" s="2" t="s">
        <v>23</v>
      </c>
      <c r="T381" s="2" t="s">
        <v>23</v>
      </c>
      <c r="U381" s="25">
        <f t="shared" si="21"/>
        <v>6735.0003809999998</v>
      </c>
    </row>
    <row r="382" spans="1:21">
      <c r="A382" s="2" t="s">
        <v>740</v>
      </c>
      <c r="B382" s="2" t="s">
        <v>285</v>
      </c>
      <c r="C382" s="2" t="s">
        <v>35</v>
      </c>
      <c r="D382" s="2">
        <v>47</v>
      </c>
      <c r="E382" s="2" t="str">
        <f t="shared" si="22"/>
        <v>46-60</v>
      </c>
      <c r="F382" s="2" t="s">
        <v>37</v>
      </c>
      <c r="G382" s="2" t="s">
        <v>47</v>
      </c>
      <c r="H382" s="2">
        <v>69</v>
      </c>
      <c r="I382" s="2" t="str">
        <f t="shared" si="20"/>
        <v>49+ months</v>
      </c>
      <c r="J382" s="3">
        <v>1199</v>
      </c>
      <c r="K382" s="3">
        <v>82731</v>
      </c>
      <c r="L382" s="2" t="s">
        <v>22</v>
      </c>
      <c r="M382" s="4">
        <v>43838</v>
      </c>
      <c r="N382" s="2" t="s">
        <v>23</v>
      </c>
      <c r="O382" s="2">
        <f t="shared" si="23"/>
        <v>0</v>
      </c>
      <c r="P382" s="2" t="s">
        <v>32</v>
      </c>
      <c r="Q382" s="2" t="s">
        <v>23</v>
      </c>
      <c r="R382" s="2" t="s">
        <v>23</v>
      </c>
      <c r="S382" s="2" t="s">
        <v>23</v>
      </c>
      <c r="T382" s="2" t="s">
        <v>23</v>
      </c>
      <c r="U382" s="25">
        <f t="shared" si="21"/>
        <v>82731.000381999998</v>
      </c>
    </row>
    <row r="383" spans="1:21">
      <c r="A383" s="2" t="s">
        <v>741</v>
      </c>
      <c r="B383" s="2" t="s">
        <v>218</v>
      </c>
      <c r="C383" s="2" t="s">
        <v>19</v>
      </c>
      <c r="D383" s="2">
        <v>31</v>
      </c>
      <c r="E383" s="2" t="str">
        <f t="shared" si="22"/>
        <v>26-35</v>
      </c>
      <c r="F383" s="2" t="s">
        <v>26</v>
      </c>
      <c r="G383" s="2" t="s">
        <v>47</v>
      </c>
      <c r="H383" s="2">
        <v>56</v>
      </c>
      <c r="I383" s="2" t="str">
        <f t="shared" si="20"/>
        <v>49+ months</v>
      </c>
      <c r="J383" s="3">
        <v>349</v>
      </c>
      <c r="K383" s="3">
        <v>19544</v>
      </c>
      <c r="L383" s="2" t="s">
        <v>66</v>
      </c>
      <c r="M383" s="4">
        <v>44244</v>
      </c>
      <c r="N383" s="2" t="s">
        <v>23</v>
      </c>
      <c r="O383" s="2">
        <f t="shared" si="23"/>
        <v>0</v>
      </c>
      <c r="P383" s="2" t="s">
        <v>23</v>
      </c>
      <c r="Q383" s="2" t="s">
        <v>23</v>
      </c>
      <c r="R383" s="2" t="s">
        <v>23</v>
      </c>
      <c r="S383" s="2" t="s">
        <v>23</v>
      </c>
      <c r="T383" s="2" t="s">
        <v>23</v>
      </c>
      <c r="U383" s="25">
        <f t="shared" si="21"/>
        <v>19544.000382999999</v>
      </c>
    </row>
    <row r="384" spans="1:21">
      <c r="A384" s="2" t="s">
        <v>742</v>
      </c>
      <c r="B384" s="2" t="s">
        <v>492</v>
      </c>
      <c r="C384" s="2" t="s">
        <v>19</v>
      </c>
      <c r="D384" s="2">
        <v>39</v>
      </c>
      <c r="E384" s="2" t="str">
        <f t="shared" si="22"/>
        <v>36-45</v>
      </c>
      <c r="F384" s="2" t="s">
        <v>36</v>
      </c>
      <c r="G384" s="2" t="s">
        <v>21</v>
      </c>
      <c r="H384" s="2">
        <v>9</v>
      </c>
      <c r="I384" s="2" t="str">
        <f t="shared" si="20"/>
        <v>7-12 months</v>
      </c>
      <c r="J384" s="3">
        <v>799</v>
      </c>
      <c r="K384" s="3">
        <v>7191</v>
      </c>
      <c r="L384" s="2" t="s">
        <v>31</v>
      </c>
      <c r="M384" s="4"/>
      <c r="N384" s="2" t="s">
        <v>23</v>
      </c>
      <c r="O384" s="2">
        <f t="shared" si="23"/>
        <v>0</v>
      </c>
      <c r="P384" s="2" t="s">
        <v>23</v>
      </c>
      <c r="Q384" s="2" t="s">
        <v>23</v>
      </c>
      <c r="R384" s="2" t="s">
        <v>23</v>
      </c>
      <c r="S384" s="2" t="s">
        <v>23</v>
      </c>
      <c r="T384" s="2" t="s">
        <v>54</v>
      </c>
      <c r="U384" s="25">
        <f t="shared" si="21"/>
        <v>7191.0003839999999</v>
      </c>
    </row>
    <row r="385" spans="1:21">
      <c r="A385" s="2" t="s">
        <v>743</v>
      </c>
      <c r="B385" s="2" t="s">
        <v>338</v>
      </c>
      <c r="C385" s="2" t="s">
        <v>35</v>
      </c>
      <c r="D385" s="2">
        <v>46</v>
      </c>
      <c r="E385" s="2" t="str">
        <f t="shared" si="22"/>
        <v>46-60</v>
      </c>
      <c r="F385" s="2" t="s">
        <v>71</v>
      </c>
      <c r="G385" s="2" t="s">
        <v>21</v>
      </c>
      <c r="H385" s="2">
        <v>13</v>
      </c>
      <c r="I385" s="2" t="str">
        <f t="shared" si="20"/>
        <v>13-24 months</v>
      </c>
      <c r="J385" s="3">
        <v>849</v>
      </c>
      <c r="K385" s="3">
        <v>11037</v>
      </c>
      <c r="L385" s="2" t="s">
        <v>31</v>
      </c>
      <c r="M385" s="4">
        <v>45515</v>
      </c>
      <c r="N385" s="2" t="s">
        <v>32</v>
      </c>
      <c r="O385" s="2">
        <f t="shared" si="23"/>
        <v>1</v>
      </c>
      <c r="P385" s="2" t="s">
        <v>23</v>
      </c>
      <c r="Q385" s="2" t="s">
        <v>23</v>
      </c>
      <c r="R385" s="2" t="s">
        <v>23</v>
      </c>
      <c r="S385" s="2" t="s">
        <v>23</v>
      </c>
      <c r="T385" s="2" t="s">
        <v>23</v>
      </c>
      <c r="U385" s="25">
        <f t="shared" si="21"/>
        <v>11037.000384999999</v>
      </c>
    </row>
    <row r="386" spans="1:21">
      <c r="A386" s="2" t="s">
        <v>744</v>
      </c>
      <c r="B386" s="2" t="s">
        <v>745</v>
      </c>
      <c r="C386" s="2" t="s">
        <v>19</v>
      </c>
      <c r="D386" s="2">
        <v>62</v>
      </c>
      <c r="E386" s="2" t="str">
        <f t="shared" si="22"/>
        <v>60+</v>
      </c>
      <c r="F386" s="2" t="s">
        <v>57</v>
      </c>
      <c r="G386" s="2" t="s">
        <v>21</v>
      </c>
      <c r="H386" s="2">
        <v>4</v>
      </c>
      <c r="I386" s="2" t="str">
        <f t="shared" ref="I386:I449" si="24">IF(H386="","Unknown",IF(H386&lt;=6,"0-6 months",IF(H386&lt;=12,"7-12 months",IF(H386&lt;=24,"13-24 months",IF(H386&lt;=48,"25-48 months","49+ months")))))</f>
        <v>0-6 months</v>
      </c>
      <c r="J386" s="3">
        <v>449</v>
      </c>
      <c r="K386" s="3">
        <v>1796</v>
      </c>
      <c r="L386" s="2" t="s">
        <v>66</v>
      </c>
      <c r="M386" s="4">
        <v>45799</v>
      </c>
      <c r="N386" s="2" t="s">
        <v>23</v>
      </c>
      <c r="O386" s="2">
        <f t="shared" si="23"/>
        <v>0</v>
      </c>
      <c r="P386" s="2" t="s">
        <v>23</v>
      </c>
      <c r="Q386" s="2" t="s">
        <v>23</v>
      </c>
      <c r="R386" s="2" t="s">
        <v>23</v>
      </c>
      <c r="S386" s="2" t="s">
        <v>23</v>
      </c>
      <c r="T386" s="2" t="s">
        <v>23</v>
      </c>
      <c r="U386" s="25">
        <f t="shared" ref="U386:U449" si="25">IF(K386="","",K386+ROW()/1000000)</f>
        <v>1796.0003859999999</v>
      </c>
    </row>
    <row r="387" spans="1:21">
      <c r="A387" s="2" t="s">
        <v>746</v>
      </c>
      <c r="B387" s="2" t="s">
        <v>747</v>
      </c>
      <c r="C387" s="2" t="s">
        <v>35</v>
      </c>
      <c r="D387" s="2">
        <v>47</v>
      </c>
      <c r="E387" s="2" t="str">
        <f t="shared" ref="E387:E450" si="26">IF(D387&lt;=25,"18-25",IF(D387&lt;=35,"26-35",IF(D387&lt;=45,"36-45",IF(D387&lt;=60,"46-60","60+"))))</f>
        <v>46-60</v>
      </c>
      <c r="F387" s="2" t="s">
        <v>71</v>
      </c>
      <c r="G387" s="2" t="s">
        <v>21</v>
      </c>
      <c r="H387" s="2">
        <v>8</v>
      </c>
      <c r="I387" s="2" t="str">
        <f t="shared" si="24"/>
        <v>7-12 months</v>
      </c>
      <c r="J387" s="3">
        <v>649</v>
      </c>
      <c r="K387" s="3">
        <v>5192</v>
      </c>
      <c r="L387" s="2" t="s">
        <v>31</v>
      </c>
      <c r="M387" s="4">
        <v>45661</v>
      </c>
      <c r="N387" s="2" t="s">
        <v>23</v>
      </c>
      <c r="O387" s="2">
        <f t="shared" ref="O387:O450" si="27">IF(N387="Yes",1,IF(N387="No",0,""))</f>
        <v>0</v>
      </c>
      <c r="P387" s="2" t="s">
        <v>32</v>
      </c>
      <c r="Q387" s="2" t="s">
        <v>23</v>
      </c>
      <c r="R387" s="2" t="s">
        <v>23</v>
      </c>
      <c r="S387" s="2" t="s">
        <v>23</v>
      </c>
      <c r="T387" s="2" t="s">
        <v>23</v>
      </c>
      <c r="U387" s="25">
        <f t="shared" si="25"/>
        <v>5192.000387</v>
      </c>
    </row>
    <row r="388" spans="1:21">
      <c r="A388" s="2" t="s">
        <v>748</v>
      </c>
      <c r="B388" s="2" t="s">
        <v>37</v>
      </c>
      <c r="C388" s="2" t="s">
        <v>35</v>
      </c>
      <c r="D388" s="2">
        <v>61</v>
      </c>
      <c r="E388" s="2" t="str">
        <f t="shared" si="26"/>
        <v>60+</v>
      </c>
      <c r="F388" s="2" t="s">
        <v>110</v>
      </c>
      <c r="G388" s="2" t="s">
        <v>47</v>
      </c>
      <c r="H388" s="2">
        <v>2</v>
      </c>
      <c r="I388" s="2" t="str">
        <f t="shared" si="24"/>
        <v>0-6 months</v>
      </c>
      <c r="J388" s="3">
        <v>1299</v>
      </c>
      <c r="K388" s="3">
        <v>2598</v>
      </c>
      <c r="L388" s="2" t="s">
        <v>22</v>
      </c>
      <c r="M388" s="4">
        <v>45867</v>
      </c>
      <c r="N388" s="2" t="s">
        <v>32</v>
      </c>
      <c r="O388" s="2">
        <f t="shared" si="27"/>
        <v>1</v>
      </c>
      <c r="P388" s="2" t="s">
        <v>23</v>
      </c>
      <c r="Q388" s="2" t="s">
        <v>23</v>
      </c>
      <c r="R388" s="2" t="s">
        <v>23</v>
      </c>
      <c r="S388" s="2" t="s">
        <v>23</v>
      </c>
      <c r="T388" s="2" t="s">
        <v>23</v>
      </c>
      <c r="U388" s="25">
        <f t="shared" si="25"/>
        <v>2598.0003879999999</v>
      </c>
    </row>
    <row r="389" spans="1:21">
      <c r="A389" s="2" t="s">
        <v>749</v>
      </c>
      <c r="B389" s="2" t="s">
        <v>750</v>
      </c>
      <c r="C389" s="2" t="s">
        <v>19</v>
      </c>
      <c r="D389" s="2">
        <v>43</v>
      </c>
      <c r="E389" s="2" t="str">
        <f t="shared" si="26"/>
        <v>36-45</v>
      </c>
      <c r="F389" s="2" t="s">
        <v>26</v>
      </c>
      <c r="G389" s="2" t="s">
        <v>21</v>
      </c>
      <c r="H389" s="2">
        <v>7</v>
      </c>
      <c r="I389" s="2" t="str">
        <f t="shared" si="24"/>
        <v>7-12 months</v>
      </c>
      <c r="J389" s="3">
        <v>849</v>
      </c>
      <c r="K389" s="3">
        <v>5943</v>
      </c>
      <c r="L389" s="2" t="s">
        <v>31</v>
      </c>
      <c r="M389" s="4">
        <v>45690</v>
      </c>
      <c r="N389" s="2" t="s">
        <v>32</v>
      </c>
      <c r="O389" s="2">
        <f t="shared" si="27"/>
        <v>1</v>
      </c>
      <c r="P389" s="2" t="s">
        <v>23</v>
      </c>
      <c r="Q389" s="2" t="s">
        <v>23</v>
      </c>
      <c r="R389" s="2" t="s">
        <v>23</v>
      </c>
      <c r="S389" s="2" t="s">
        <v>23</v>
      </c>
      <c r="T389" s="2" t="s">
        <v>23</v>
      </c>
      <c r="U389" s="25">
        <f t="shared" si="25"/>
        <v>5943.0003889999998</v>
      </c>
    </row>
    <row r="390" spans="1:21">
      <c r="A390" s="2" t="s">
        <v>751</v>
      </c>
      <c r="B390" s="2" t="s">
        <v>752</v>
      </c>
      <c r="C390" s="2" t="s">
        <v>19</v>
      </c>
      <c r="D390" s="2">
        <v>32</v>
      </c>
      <c r="E390" s="2" t="str">
        <f t="shared" si="26"/>
        <v>26-35</v>
      </c>
      <c r="F390" s="2" t="s">
        <v>91</v>
      </c>
      <c r="G390" s="2" t="s">
        <v>47</v>
      </c>
      <c r="H390" s="2">
        <v>24</v>
      </c>
      <c r="I390" s="2" t="str">
        <f t="shared" si="24"/>
        <v>13-24 months</v>
      </c>
      <c r="J390" s="3">
        <v>849</v>
      </c>
      <c r="K390" s="3">
        <v>20376</v>
      </c>
      <c r="L390" s="2" t="s">
        <v>31</v>
      </c>
      <c r="M390" s="4">
        <v>45181</v>
      </c>
      <c r="N390" s="2" t="s">
        <v>23</v>
      </c>
      <c r="O390" s="2">
        <f t="shared" si="27"/>
        <v>0</v>
      </c>
      <c r="P390" s="2" t="s">
        <v>23</v>
      </c>
      <c r="Q390" s="2" t="s">
        <v>23</v>
      </c>
      <c r="R390" s="2" t="s">
        <v>23</v>
      </c>
      <c r="S390" s="2" t="s">
        <v>23</v>
      </c>
      <c r="T390" s="2" t="s">
        <v>23</v>
      </c>
      <c r="U390" s="25">
        <f t="shared" si="25"/>
        <v>20376.000390000001</v>
      </c>
    </row>
    <row r="391" spans="1:21">
      <c r="A391" s="2" t="s">
        <v>753</v>
      </c>
      <c r="B391" s="2" t="s">
        <v>481</v>
      </c>
      <c r="C391" s="2" t="s">
        <v>35</v>
      </c>
      <c r="D391" s="2">
        <v>36</v>
      </c>
      <c r="E391" s="2" t="str">
        <f t="shared" si="26"/>
        <v>36-45</v>
      </c>
      <c r="F391" s="2" t="s">
        <v>71</v>
      </c>
      <c r="G391" s="2" t="s">
        <v>21</v>
      </c>
      <c r="H391" s="2">
        <v>24</v>
      </c>
      <c r="I391" s="2" t="str">
        <f t="shared" si="24"/>
        <v>13-24 months</v>
      </c>
      <c r="J391" s="3">
        <v>799</v>
      </c>
      <c r="K391" s="3">
        <v>19176</v>
      </c>
      <c r="L391" s="2" t="s">
        <v>31</v>
      </c>
      <c r="M391" s="4">
        <v>45187</v>
      </c>
      <c r="N391" s="2" t="s">
        <v>32</v>
      </c>
      <c r="O391" s="2">
        <f t="shared" si="27"/>
        <v>1</v>
      </c>
      <c r="P391" s="2" t="s">
        <v>23</v>
      </c>
      <c r="Q391" s="2" t="s">
        <v>23</v>
      </c>
      <c r="R391" s="2" t="s">
        <v>23</v>
      </c>
      <c r="S391" s="2" t="s">
        <v>23</v>
      </c>
      <c r="T391" s="2" t="s">
        <v>23</v>
      </c>
      <c r="U391" s="25">
        <f t="shared" si="25"/>
        <v>19176.000391000001</v>
      </c>
    </row>
    <row r="392" spans="1:21">
      <c r="A392" s="2" t="s">
        <v>754</v>
      </c>
      <c r="B392" s="2" t="s">
        <v>755</v>
      </c>
      <c r="C392" s="2" t="s">
        <v>19</v>
      </c>
      <c r="D392" s="2">
        <v>57</v>
      </c>
      <c r="E392" s="2" t="str">
        <f t="shared" si="26"/>
        <v>46-60</v>
      </c>
      <c r="F392" s="2" t="s">
        <v>41</v>
      </c>
      <c r="G392" s="2" t="s">
        <v>47</v>
      </c>
      <c r="H392" s="2">
        <v>58</v>
      </c>
      <c r="I392" s="2" t="str">
        <f t="shared" si="24"/>
        <v>49+ months</v>
      </c>
      <c r="J392" s="3">
        <v>699</v>
      </c>
      <c r="K392" s="3">
        <v>40542</v>
      </c>
      <c r="L392" s="2" t="s">
        <v>31</v>
      </c>
      <c r="M392" s="4">
        <v>44184</v>
      </c>
      <c r="N392" s="2" t="s">
        <v>23</v>
      </c>
      <c r="O392" s="2">
        <f t="shared" si="27"/>
        <v>0</v>
      </c>
      <c r="P392" s="2" t="s">
        <v>23</v>
      </c>
      <c r="Q392" s="2" t="s">
        <v>23</v>
      </c>
      <c r="R392" s="2" t="s">
        <v>23</v>
      </c>
      <c r="S392" s="2" t="s">
        <v>23</v>
      </c>
      <c r="T392" s="2" t="s">
        <v>23</v>
      </c>
      <c r="U392" s="25">
        <f t="shared" si="25"/>
        <v>40542.000392000002</v>
      </c>
    </row>
    <row r="393" spans="1:21">
      <c r="A393" s="2" t="s">
        <v>756</v>
      </c>
      <c r="B393" s="2" t="s">
        <v>757</v>
      </c>
      <c r="C393" s="2" t="s">
        <v>35</v>
      </c>
      <c r="D393" s="2">
        <v>28</v>
      </c>
      <c r="E393" s="2" t="str">
        <f t="shared" si="26"/>
        <v>26-35</v>
      </c>
      <c r="F393" s="2" t="s">
        <v>36</v>
      </c>
      <c r="G393" s="2" t="s">
        <v>21</v>
      </c>
      <c r="H393" s="2">
        <v>23</v>
      </c>
      <c r="I393" s="2" t="str">
        <f t="shared" si="24"/>
        <v>13-24 months</v>
      </c>
      <c r="J393" s="3">
        <v>1199</v>
      </c>
      <c r="K393" s="3">
        <v>27577</v>
      </c>
      <c r="L393" s="2" t="s">
        <v>22</v>
      </c>
      <c r="M393" s="4">
        <v>45227</v>
      </c>
      <c r="N393" s="2" t="s">
        <v>32</v>
      </c>
      <c r="O393" s="2">
        <f t="shared" si="27"/>
        <v>1</v>
      </c>
      <c r="P393" s="2" t="s">
        <v>23</v>
      </c>
      <c r="Q393" s="2" t="s">
        <v>23</v>
      </c>
      <c r="R393" s="2" t="s">
        <v>23</v>
      </c>
      <c r="S393" s="2" t="s">
        <v>23</v>
      </c>
      <c r="T393" s="2" t="s">
        <v>23</v>
      </c>
      <c r="U393" s="25">
        <f t="shared" si="25"/>
        <v>27577.000392999998</v>
      </c>
    </row>
    <row r="394" spans="1:21">
      <c r="A394" s="2" t="s">
        <v>758</v>
      </c>
      <c r="B394" s="2" t="s">
        <v>759</v>
      </c>
      <c r="C394" s="2" t="s">
        <v>19</v>
      </c>
      <c r="D394" s="2">
        <v>47</v>
      </c>
      <c r="E394" s="2" t="str">
        <f t="shared" si="26"/>
        <v>46-60</v>
      </c>
      <c r="F394" s="2" t="s">
        <v>60</v>
      </c>
      <c r="G394" s="2" t="s">
        <v>21</v>
      </c>
      <c r="H394" s="2">
        <v>18</v>
      </c>
      <c r="I394" s="2" t="str">
        <f t="shared" si="24"/>
        <v>13-24 months</v>
      </c>
      <c r="J394" s="3">
        <v>599</v>
      </c>
      <c r="K394" s="3">
        <v>10782</v>
      </c>
      <c r="L394" s="2" t="s">
        <v>31</v>
      </c>
      <c r="M394" s="4">
        <v>45380</v>
      </c>
      <c r="N394" s="2" t="s">
        <v>32</v>
      </c>
      <c r="O394" s="2">
        <f t="shared" si="27"/>
        <v>1</v>
      </c>
      <c r="P394" s="2" t="s">
        <v>23</v>
      </c>
      <c r="Q394" s="2" t="s">
        <v>23</v>
      </c>
      <c r="R394" s="2" t="s">
        <v>23</v>
      </c>
      <c r="S394" s="2" t="s">
        <v>23</v>
      </c>
      <c r="T394" s="2" t="s">
        <v>23</v>
      </c>
      <c r="U394" s="25">
        <f t="shared" si="25"/>
        <v>10782.000394000001</v>
      </c>
    </row>
    <row r="395" spans="1:21">
      <c r="A395" s="2" t="s">
        <v>760</v>
      </c>
      <c r="B395" s="2" t="s">
        <v>761</v>
      </c>
      <c r="C395" s="2" t="s">
        <v>37</v>
      </c>
      <c r="D395" s="2">
        <v>34</v>
      </c>
      <c r="E395" s="2" t="str">
        <f t="shared" si="26"/>
        <v>26-35</v>
      </c>
      <c r="F395" s="2" t="s">
        <v>141</v>
      </c>
      <c r="G395" s="2" t="s">
        <v>47</v>
      </c>
      <c r="H395" s="2">
        <v>10</v>
      </c>
      <c r="I395" s="2" t="str">
        <f t="shared" si="24"/>
        <v>7-12 months</v>
      </c>
      <c r="J395" s="3">
        <v>599</v>
      </c>
      <c r="K395" s="3">
        <v>5990</v>
      </c>
      <c r="L395" s="2" t="s">
        <v>31</v>
      </c>
      <c r="M395" s="4">
        <v>45602</v>
      </c>
      <c r="N395" s="2" t="s">
        <v>23</v>
      </c>
      <c r="O395" s="2">
        <f t="shared" si="27"/>
        <v>0</v>
      </c>
      <c r="P395" s="2" t="s">
        <v>23</v>
      </c>
      <c r="Q395" s="2" t="s">
        <v>23</v>
      </c>
      <c r="R395" s="2" t="s">
        <v>23</v>
      </c>
      <c r="S395" s="2" t="s">
        <v>23</v>
      </c>
      <c r="T395" s="2" t="s">
        <v>23</v>
      </c>
      <c r="U395" s="25">
        <f t="shared" si="25"/>
        <v>5990.000395</v>
      </c>
    </row>
    <row r="396" spans="1:21">
      <c r="A396" s="2" t="s">
        <v>762</v>
      </c>
      <c r="B396" s="2" t="s">
        <v>40</v>
      </c>
      <c r="C396" s="2" t="s">
        <v>35</v>
      </c>
      <c r="D396" s="2">
        <v>20</v>
      </c>
      <c r="E396" s="2" t="str">
        <f t="shared" si="26"/>
        <v>18-25</v>
      </c>
      <c r="F396" s="2" t="s">
        <v>26</v>
      </c>
      <c r="G396" s="2" t="s">
        <v>21</v>
      </c>
      <c r="H396" s="2">
        <v>18</v>
      </c>
      <c r="I396" s="2" t="str">
        <f t="shared" si="24"/>
        <v>13-24 months</v>
      </c>
      <c r="J396" s="3">
        <v>399</v>
      </c>
      <c r="K396" s="3">
        <v>7182</v>
      </c>
      <c r="L396" s="2" t="s">
        <v>66</v>
      </c>
      <c r="M396" s="4">
        <v>45381</v>
      </c>
      <c r="N396" s="2" t="s">
        <v>32</v>
      </c>
      <c r="O396" s="2">
        <f t="shared" si="27"/>
        <v>1</v>
      </c>
      <c r="P396" s="2" t="s">
        <v>23</v>
      </c>
      <c r="Q396" s="2" t="s">
        <v>23</v>
      </c>
      <c r="R396" s="2" t="s">
        <v>23</v>
      </c>
      <c r="S396" s="2" t="s">
        <v>23</v>
      </c>
      <c r="T396" s="2" t="s">
        <v>23</v>
      </c>
      <c r="U396" s="25">
        <f t="shared" si="25"/>
        <v>7182.0003960000004</v>
      </c>
    </row>
    <row r="397" spans="1:21">
      <c r="A397" s="2" t="s">
        <v>763</v>
      </c>
      <c r="B397" s="2" t="s">
        <v>291</v>
      </c>
      <c r="C397" s="2" t="s">
        <v>35</v>
      </c>
      <c r="D397" s="2">
        <v>50</v>
      </c>
      <c r="E397" s="2" t="str">
        <f t="shared" si="26"/>
        <v>46-60</v>
      </c>
      <c r="F397" s="2" t="s">
        <v>26</v>
      </c>
      <c r="G397" s="2" t="s">
        <v>21</v>
      </c>
      <c r="H397" s="2">
        <v>1</v>
      </c>
      <c r="I397" s="2" t="str">
        <f t="shared" si="24"/>
        <v>0-6 months</v>
      </c>
      <c r="J397" s="3">
        <v>999</v>
      </c>
      <c r="K397" s="3">
        <v>999</v>
      </c>
      <c r="L397" s="2" t="s">
        <v>22</v>
      </c>
      <c r="M397" s="4">
        <v>45874</v>
      </c>
      <c r="N397" s="2" t="s">
        <v>23</v>
      </c>
      <c r="O397" s="2">
        <f t="shared" si="27"/>
        <v>0</v>
      </c>
      <c r="P397" s="2" t="s">
        <v>23</v>
      </c>
      <c r="Q397" s="2" t="s">
        <v>23</v>
      </c>
      <c r="R397" s="2" t="s">
        <v>23</v>
      </c>
      <c r="S397" s="2" t="s">
        <v>23</v>
      </c>
      <c r="T397" s="2" t="s">
        <v>23</v>
      </c>
      <c r="U397" s="25">
        <f t="shared" si="25"/>
        <v>999.00039700000002</v>
      </c>
    </row>
    <row r="398" spans="1:21">
      <c r="A398" s="2" t="s">
        <v>764</v>
      </c>
      <c r="B398" s="2" t="s">
        <v>765</v>
      </c>
      <c r="C398" s="2" t="s">
        <v>19</v>
      </c>
      <c r="D398" s="2">
        <v>29</v>
      </c>
      <c r="E398" s="2" t="str">
        <f t="shared" si="26"/>
        <v>26-35</v>
      </c>
      <c r="F398" s="2" t="s">
        <v>91</v>
      </c>
      <c r="G398" s="2" t="s">
        <v>47</v>
      </c>
      <c r="H398" s="2">
        <v>19</v>
      </c>
      <c r="I398" s="2" t="str">
        <f t="shared" si="24"/>
        <v>13-24 months</v>
      </c>
      <c r="J398" s="3">
        <v>1199</v>
      </c>
      <c r="K398" s="3">
        <v>22781</v>
      </c>
      <c r="L398" s="2" t="s">
        <v>22</v>
      </c>
      <c r="M398" s="4">
        <v>45357</v>
      </c>
      <c r="N398" s="2" t="s">
        <v>23</v>
      </c>
      <c r="O398" s="2">
        <f t="shared" si="27"/>
        <v>0</v>
      </c>
      <c r="P398" s="2" t="s">
        <v>23</v>
      </c>
      <c r="Q398" s="2" t="s">
        <v>23</v>
      </c>
      <c r="R398" s="2" t="s">
        <v>23</v>
      </c>
      <c r="S398" s="2" t="s">
        <v>23</v>
      </c>
      <c r="T398" s="2" t="s">
        <v>23</v>
      </c>
      <c r="U398" s="25">
        <f t="shared" si="25"/>
        <v>22781.000398</v>
      </c>
    </row>
    <row r="399" spans="1:21">
      <c r="A399" s="2" t="s">
        <v>766</v>
      </c>
      <c r="B399" s="2" t="s">
        <v>446</v>
      </c>
      <c r="C399" s="2" t="s">
        <v>19</v>
      </c>
      <c r="D399" s="2">
        <v>22</v>
      </c>
      <c r="E399" s="2" t="str">
        <f t="shared" si="26"/>
        <v>18-25</v>
      </c>
      <c r="F399" s="2" t="s">
        <v>46</v>
      </c>
      <c r="G399" s="2" t="s">
        <v>21</v>
      </c>
      <c r="H399" s="2">
        <v>7</v>
      </c>
      <c r="I399" s="2" t="str">
        <f t="shared" si="24"/>
        <v>7-12 months</v>
      </c>
      <c r="J399" s="3">
        <v>799</v>
      </c>
      <c r="K399" s="3">
        <v>5593</v>
      </c>
      <c r="L399" s="2" t="s">
        <v>31</v>
      </c>
      <c r="M399" s="4">
        <v>45689</v>
      </c>
      <c r="N399" s="2" t="s">
        <v>32</v>
      </c>
      <c r="O399" s="2">
        <f t="shared" si="27"/>
        <v>1</v>
      </c>
      <c r="P399" s="2" t="s">
        <v>23</v>
      </c>
      <c r="Q399" s="2" t="s">
        <v>23</v>
      </c>
      <c r="R399" s="2" t="s">
        <v>23</v>
      </c>
      <c r="S399" s="2" t="s">
        <v>32</v>
      </c>
      <c r="T399" s="2" t="s">
        <v>23</v>
      </c>
      <c r="U399" s="25">
        <f t="shared" si="25"/>
        <v>5593.0003989999996</v>
      </c>
    </row>
    <row r="400" spans="1:21">
      <c r="A400" s="2" t="s">
        <v>767</v>
      </c>
      <c r="B400" s="2" t="s">
        <v>377</v>
      </c>
      <c r="C400" s="2" t="s">
        <v>35</v>
      </c>
      <c r="D400" s="2">
        <v>59</v>
      </c>
      <c r="E400" s="2" t="str">
        <f t="shared" si="26"/>
        <v>46-60</v>
      </c>
      <c r="F400" s="2" t="s">
        <v>30</v>
      </c>
      <c r="G400" s="2" t="s">
        <v>21</v>
      </c>
      <c r="H400" s="2">
        <v>21</v>
      </c>
      <c r="I400" s="2" t="str">
        <f t="shared" si="24"/>
        <v>13-24 months</v>
      </c>
      <c r="J400" s="3">
        <v>449</v>
      </c>
      <c r="K400" s="3">
        <v>9429</v>
      </c>
      <c r="L400" s="2" t="s">
        <v>66</v>
      </c>
      <c r="M400" s="4">
        <v>45280</v>
      </c>
      <c r="N400" s="2" t="s">
        <v>23</v>
      </c>
      <c r="O400" s="2">
        <f t="shared" si="27"/>
        <v>0</v>
      </c>
      <c r="P400" s="2" t="s">
        <v>23</v>
      </c>
      <c r="Q400" s="2" t="s">
        <v>23</v>
      </c>
      <c r="R400" s="2" t="s">
        <v>23</v>
      </c>
      <c r="S400" s="2" t="s">
        <v>23</v>
      </c>
      <c r="T400" s="2" t="s">
        <v>23</v>
      </c>
      <c r="U400" s="25">
        <f t="shared" si="25"/>
        <v>9429.0004000000008</v>
      </c>
    </row>
    <row r="401" spans="1:21">
      <c r="A401" s="2" t="s">
        <v>768</v>
      </c>
      <c r="B401" s="2" t="s">
        <v>674</v>
      </c>
      <c r="C401" s="2" t="s">
        <v>19</v>
      </c>
      <c r="D401" s="2">
        <v>42</v>
      </c>
      <c r="E401" s="2" t="str">
        <f t="shared" si="26"/>
        <v>36-45</v>
      </c>
      <c r="F401" s="2" t="s">
        <v>30</v>
      </c>
      <c r="G401" s="2" t="s">
        <v>27</v>
      </c>
      <c r="H401" s="2">
        <v>5</v>
      </c>
      <c r="I401" s="2" t="str">
        <f t="shared" si="24"/>
        <v>0-6 months</v>
      </c>
      <c r="J401" s="3">
        <v>499</v>
      </c>
      <c r="K401" s="3">
        <v>2495</v>
      </c>
      <c r="L401" s="2" t="s">
        <v>66</v>
      </c>
      <c r="M401" s="4">
        <v>45771</v>
      </c>
      <c r="N401" s="2" t="s">
        <v>23</v>
      </c>
      <c r="O401" s="2">
        <f t="shared" si="27"/>
        <v>0</v>
      </c>
      <c r="P401" s="2" t="s">
        <v>23</v>
      </c>
      <c r="Q401" s="2" t="s">
        <v>23</v>
      </c>
      <c r="R401" s="2" t="s">
        <v>23</v>
      </c>
      <c r="S401" s="2" t="s">
        <v>23</v>
      </c>
      <c r="T401" s="2" t="s">
        <v>23</v>
      </c>
      <c r="U401" s="25">
        <f t="shared" si="25"/>
        <v>2495.0004009999998</v>
      </c>
    </row>
    <row r="402" spans="1:21">
      <c r="A402" s="2" t="s">
        <v>769</v>
      </c>
      <c r="B402" s="2" t="s">
        <v>770</v>
      </c>
      <c r="C402" s="2" t="s">
        <v>35</v>
      </c>
      <c r="D402" s="2">
        <v>49</v>
      </c>
      <c r="E402" s="2" t="str">
        <f t="shared" si="26"/>
        <v>46-60</v>
      </c>
      <c r="F402" s="2" t="s">
        <v>110</v>
      </c>
      <c r="G402" s="2" t="s">
        <v>21</v>
      </c>
      <c r="H402" s="2">
        <v>17</v>
      </c>
      <c r="I402" s="2" t="str">
        <f t="shared" si="24"/>
        <v>13-24 months</v>
      </c>
      <c r="J402" s="3">
        <v>1099</v>
      </c>
      <c r="K402" s="3">
        <v>18683</v>
      </c>
      <c r="L402" s="2" t="s">
        <v>22</v>
      </c>
      <c r="M402" s="4">
        <v>45402</v>
      </c>
      <c r="N402" s="2" t="s">
        <v>32</v>
      </c>
      <c r="O402" s="2">
        <f t="shared" si="27"/>
        <v>1</v>
      </c>
      <c r="P402" s="2" t="s">
        <v>23</v>
      </c>
      <c r="Q402" s="2" t="s">
        <v>23</v>
      </c>
      <c r="R402" s="2" t="s">
        <v>23</v>
      </c>
      <c r="S402" s="2" t="s">
        <v>32</v>
      </c>
      <c r="T402" s="2" t="s">
        <v>23</v>
      </c>
      <c r="U402" s="25">
        <f t="shared" si="25"/>
        <v>18683.000402000001</v>
      </c>
    </row>
    <row r="403" spans="1:21">
      <c r="A403" s="2" t="s">
        <v>771</v>
      </c>
      <c r="B403" s="2" t="s">
        <v>772</v>
      </c>
      <c r="C403" s="2" t="s">
        <v>35</v>
      </c>
      <c r="D403" s="2">
        <v>29</v>
      </c>
      <c r="E403" s="2" t="str">
        <f t="shared" si="26"/>
        <v>26-35</v>
      </c>
      <c r="F403" s="2" t="s">
        <v>63</v>
      </c>
      <c r="G403" s="2" t="s">
        <v>21</v>
      </c>
      <c r="H403" s="2">
        <v>4</v>
      </c>
      <c r="I403" s="2" t="str">
        <f t="shared" si="24"/>
        <v>0-6 months</v>
      </c>
      <c r="J403" s="3">
        <v>999</v>
      </c>
      <c r="K403" s="3">
        <v>3996</v>
      </c>
      <c r="L403" s="2" t="s">
        <v>22</v>
      </c>
      <c r="M403" s="4">
        <v>45785</v>
      </c>
      <c r="N403" s="2" t="s">
        <v>23</v>
      </c>
      <c r="O403" s="2">
        <f t="shared" si="27"/>
        <v>0</v>
      </c>
      <c r="P403" s="2" t="s">
        <v>23</v>
      </c>
      <c r="Q403" s="2" t="s">
        <v>23</v>
      </c>
      <c r="R403" s="2" t="s">
        <v>23</v>
      </c>
      <c r="S403" s="2" t="s">
        <v>23</v>
      </c>
      <c r="T403" s="2" t="s">
        <v>23</v>
      </c>
      <c r="U403" s="25">
        <f t="shared" si="25"/>
        <v>3996.000403</v>
      </c>
    </row>
    <row r="404" spans="1:21">
      <c r="A404" s="2" t="s">
        <v>773</v>
      </c>
      <c r="B404" s="2" t="s">
        <v>774</v>
      </c>
      <c r="C404" s="2" t="s">
        <v>19</v>
      </c>
      <c r="D404" s="2">
        <v>48</v>
      </c>
      <c r="E404" s="2" t="str">
        <f t="shared" si="26"/>
        <v>46-60</v>
      </c>
      <c r="F404" s="2" t="s">
        <v>60</v>
      </c>
      <c r="G404" s="2" t="s">
        <v>21</v>
      </c>
      <c r="H404" s="2">
        <v>14</v>
      </c>
      <c r="I404" s="2" t="str">
        <f t="shared" si="24"/>
        <v>13-24 months</v>
      </c>
      <c r="J404" s="3">
        <v>599</v>
      </c>
      <c r="K404" s="3">
        <v>8386</v>
      </c>
      <c r="L404" s="2" t="s">
        <v>31</v>
      </c>
      <c r="M404" s="4">
        <v>45490</v>
      </c>
      <c r="N404" s="2" t="s">
        <v>32</v>
      </c>
      <c r="O404" s="2">
        <f t="shared" si="27"/>
        <v>1</v>
      </c>
      <c r="P404" s="2" t="s">
        <v>23</v>
      </c>
      <c r="Q404" s="2" t="s">
        <v>32</v>
      </c>
      <c r="R404" s="2" t="s">
        <v>23</v>
      </c>
      <c r="S404" s="2" t="s">
        <v>23</v>
      </c>
      <c r="T404" s="2" t="s">
        <v>23</v>
      </c>
      <c r="U404" s="25">
        <f t="shared" si="25"/>
        <v>8386.0004040000003</v>
      </c>
    </row>
    <row r="405" spans="1:21">
      <c r="A405" s="2" t="s">
        <v>775</v>
      </c>
      <c r="B405" s="2" t="s">
        <v>776</v>
      </c>
      <c r="C405" s="2" t="s">
        <v>19</v>
      </c>
      <c r="D405" s="2">
        <v>50</v>
      </c>
      <c r="E405" s="2" t="str">
        <f t="shared" si="26"/>
        <v>46-60</v>
      </c>
      <c r="F405" s="2" t="s">
        <v>36</v>
      </c>
      <c r="G405" s="2" t="s">
        <v>37</v>
      </c>
      <c r="H405" s="2">
        <v>22</v>
      </c>
      <c r="I405" s="2" t="str">
        <f t="shared" si="24"/>
        <v>13-24 months</v>
      </c>
      <c r="J405" s="3">
        <v>699</v>
      </c>
      <c r="K405" s="3">
        <v>15378</v>
      </c>
      <c r="L405" s="2" t="s">
        <v>31</v>
      </c>
      <c r="M405" s="4">
        <v>45249</v>
      </c>
      <c r="N405" s="2" t="s">
        <v>37</v>
      </c>
      <c r="O405" s="2" t="str">
        <f t="shared" si="27"/>
        <v/>
      </c>
      <c r="P405" s="2" t="s">
        <v>23</v>
      </c>
      <c r="Q405" s="2" t="s">
        <v>23</v>
      </c>
      <c r="R405" s="2" t="s">
        <v>23</v>
      </c>
      <c r="S405" s="2" t="s">
        <v>23</v>
      </c>
      <c r="T405" s="2" t="s">
        <v>38</v>
      </c>
      <c r="U405" s="25">
        <f t="shared" si="25"/>
        <v>15378.000405000001</v>
      </c>
    </row>
    <row r="406" spans="1:21">
      <c r="A406" s="2" t="s">
        <v>777</v>
      </c>
      <c r="B406" s="2" t="s">
        <v>778</v>
      </c>
      <c r="C406" s="2" t="s">
        <v>19</v>
      </c>
      <c r="D406" s="2">
        <v>31</v>
      </c>
      <c r="E406" s="2" t="str">
        <f t="shared" si="26"/>
        <v>26-35</v>
      </c>
      <c r="F406" s="2" t="s">
        <v>60</v>
      </c>
      <c r="G406" s="2" t="s">
        <v>27</v>
      </c>
      <c r="H406" s="2">
        <v>31</v>
      </c>
      <c r="I406" s="2" t="str">
        <f t="shared" si="24"/>
        <v>25-48 months</v>
      </c>
      <c r="J406" s="3">
        <v>999</v>
      </c>
      <c r="K406" s="3">
        <v>30969</v>
      </c>
      <c r="L406" s="2" t="s">
        <v>22</v>
      </c>
      <c r="M406" s="4">
        <v>44973</v>
      </c>
      <c r="N406" s="2" t="s">
        <v>23</v>
      </c>
      <c r="O406" s="2">
        <f t="shared" si="27"/>
        <v>0</v>
      </c>
      <c r="P406" s="2" t="s">
        <v>23</v>
      </c>
      <c r="Q406" s="2" t="s">
        <v>23</v>
      </c>
      <c r="R406" s="2" t="s">
        <v>23</v>
      </c>
      <c r="S406" s="2" t="s">
        <v>23</v>
      </c>
      <c r="T406" s="2" t="s">
        <v>23</v>
      </c>
      <c r="U406" s="25">
        <f t="shared" si="25"/>
        <v>30969.000405999999</v>
      </c>
    </row>
    <row r="407" spans="1:21">
      <c r="A407" s="2" t="s">
        <v>779</v>
      </c>
      <c r="B407" s="2" t="s">
        <v>780</v>
      </c>
      <c r="C407" s="2" t="s">
        <v>19</v>
      </c>
      <c r="D407" s="2">
        <v>50</v>
      </c>
      <c r="E407" s="2" t="str">
        <f t="shared" si="26"/>
        <v>46-60</v>
      </c>
      <c r="F407" s="2" t="s">
        <v>46</v>
      </c>
      <c r="G407" s="2" t="s">
        <v>21</v>
      </c>
      <c r="H407" s="2">
        <v>15</v>
      </c>
      <c r="I407" s="2" t="str">
        <f t="shared" si="24"/>
        <v>13-24 months</v>
      </c>
      <c r="J407" s="3">
        <v>1149</v>
      </c>
      <c r="K407" s="3">
        <v>17235</v>
      </c>
      <c r="L407" s="2" t="s">
        <v>22</v>
      </c>
      <c r="M407" s="4">
        <v>45466</v>
      </c>
      <c r="N407" s="2" t="s">
        <v>32</v>
      </c>
      <c r="O407" s="2">
        <f t="shared" si="27"/>
        <v>1</v>
      </c>
      <c r="P407" s="2" t="s">
        <v>23</v>
      </c>
      <c r="Q407" s="2" t="s">
        <v>23</v>
      </c>
      <c r="R407" s="2" t="s">
        <v>23</v>
      </c>
      <c r="S407" s="2" t="s">
        <v>23</v>
      </c>
      <c r="T407" s="2" t="s">
        <v>23</v>
      </c>
      <c r="U407" s="25">
        <f t="shared" si="25"/>
        <v>17235.000407</v>
      </c>
    </row>
    <row r="408" spans="1:21">
      <c r="A408" s="2" t="s">
        <v>781</v>
      </c>
      <c r="B408" s="2" t="s">
        <v>782</v>
      </c>
      <c r="C408" s="2" t="s">
        <v>19</v>
      </c>
      <c r="D408" s="2">
        <v>30</v>
      </c>
      <c r="E408" s="2" t="str">
        <f t="shared" si="26"/>
        <v>26-35</v>
      </c>
      <c r="F408" s="2" t="s">
        <v>26</v>
      </c>
      <c r="G408" s="2" t="s">
        <v>47</v>
      </c>
      <c r="H408" s="2">
        <v>54</v>
      </c>
      <c r="I408" s="2" t="str">
        <f t="shared" si="24"/>
        <v>49+ months</v>
      </c>
      <c r="J408" s="3">
        <v>999</v>
      </c>
      <c r="K408" s="3">
        <v>53946</v>
      </c>
      <c r="L408" s="2" t="s">
        <v>22</v>
      </c>
      <c r="M408" s="4">
        <v>44293</v>
      </c>
      <c r="N408" s="2" t="s">
        <v>32</v>
      </c>
      <c r="O408" s="2">
        <f t="shared" si="27"/>
        <v>1</v>
      </c>
      <c r="P408" s="2" t="s">
        <v>23</v>
      </c>
      <c r="Q408" s="2" t="s">
        <v>23</v>
      </c>
      <c r="R408" s="2" t="s">
        <v>23</v>
      </c>
      <c r="S408" s="2" t="s">
        <v>23</v>
      </c>
      <c r="T408" s="2" t="s">
        <v>23</v>
      </c>
      <c r="U408" s="25">
        <f t="shared" si="25"/>
        <v>53946.000408</v>
      </c>
    </row>
    <row r="409" spans="1:21">
      <c r="A409" s="2" t="s">
        <v>783</v>
      </c>
      <c r="B409" s="2" t="s">
        <v>784</v>
      </c>
      <c r="C409" s="2" t="s">
        <v>19</v>
      </c>
      <c r="D409" s="2">
        <v>66</v>
      </c>
      <c r="E409" s="2" t="str">
        <f t="shared" si="26"/>
        <v>60+</v>
      </c>
      <c r="F409" s="2" t="s">
        <v>41</v>
      </c>
      <c r="G409" s="2" t="s">
        <v>21</v>
      </c>
      <c r="H409" s="2">
        <v>20</v>
      </c>
      <c r="I409" s="2" t="str">
        <f t="shared" si="24"/>
        <v>13-24 months</v>
      </c>
      <c r="J409" s="3">
        <v>1299</v>
      </c>
      <c r="K409" s="3">
        <v>25980</v>
      </c>
      <c r="L409" s="2" t="s">
        <v>22</v>
      </c>
      <c r="M409" s="4">
        <v>45304</v>
      </c>
      <c r="N409" s="2" t="s">
        <v>23</v>
      </c>
      <c r="O409" s="2">
        <f t="shared" si="27"/>
        <v>0</v>
      </c>
      <c r="P409" s="2" t="s">
        <v>23</v>
      </c>
      <c r="Q409" s="2" t="s">
        <v>23</v>
      </c>
      <c r="R409" s="2" t="s">
        <v>23</v>
      </c>
      <c r="S409" s="2" t="s">
        <v>23</v>
      </c>
      <c r="T409" s="2" t="s">
        <v>23</v>
      </c>
      <c r="U409" s="25">
        <f t="shared" si="25"/>
        <v>25980.000409</v>
      </c>
    </row>
    <row r="410" spans="1:21">
      <c r="A410" s="2" t="s">
        <v>785</v>
      </c>
      <c r="B410" s="2" t="s">
        <v>358</v>
      </c>
      <c r="C410" s="2" t="s">
        <v>35</v>
      </c>
      <c r="D410" s="2">
        <v>41</v>
      </c>
      <c r="E410" s="2" t="str">
        <f t="shared" si="26"/>
        <v>36-45</v>
      </c>
      <c r="F410" s="2" t="s">
        <v>57</v>
      </c>
      <c r="G410" s="2" t="s">
        <v>21</v>
      </c>
      <c r="H410" s="2">
        <v>8</v>
      </c>
      <c r="I410" s="2" t="str">
        <f t="shared" si="24"/>
        <v>7-12 months</v>
      </c>
      <c r="J410" s="3">
        <v>1099</v>
      </c>
      <c r="K410" s="3">
        <v>8792</v>
      </c>
      <c r="L410" s="2" t="s">
        <v>22</v>
      </c>
      <c r="M410" s="4">
        <v>45663</v>
      </c>
      <c r="N410" s="2" t="s">
        <v>32</v>
      </c>
      <c r="O410" s="2">
        <f t="shared" si="27"/>
        <v>1</v>
      </c>
      <c r="P410" s="2" t="s">
        <v>23</v>
      </c>
      <c r="Q410" s="2" t="s">
        <v>23</v>
      </c>
      <c r="R410" s="2" t="s">
        <v>23</v>
      </c>
      <c r="S410" s="2" t="s">
        <v>23</v>
      </c>
      <c r="T410" s="2" t="s">
        <v>23</v>
      </c>
      <c r="U410" s="25">
        <f t="shared" si="25"/>
        <v>8792.0004100000006</v>
      </c>
    </row>
    <row r="411" spans="1:21">
      <c r="A411" s="2" t="s">
        <v>786</v>
      </c>
      <c r="B411" s="2" t="s">
        <v>787</v>
      </c>
      <c r="C411" s="2" t="s">
        <v>19</v>
      </c>
      <c r="D411" s="2">
        <v>34</v>
      </c>
      <c r="E411" s="2" t="str">
        <f t="shared" si="26"/>
        <v>26-35</v>
      </c>
      <c r="F411" s="2" t="s">
        <v>60</v>
      </c>
      <c r="G411" s="2" t="s">
        <v>27</v>
      </c>
      <c r="H411" s="2">
        <v>6</v>
      </c>
      <c r="I411" s="2" t="str">
        <f t="shared" si="24"/>
        <v>0-6 months</v>
      </c>
      <c r="J411" s="3">
        <v>549</v>
      </c>
      <c r="K411" s="3">
        <v>3294</v>
      </c>
      <c r="L411" s="2" t="s">
        <v>66</v>
      </c>
      <c r="M411" s="4">
        <v>45742</v>
      </c>
      <c r="N411" s="2" t="s">
        <v>23</v>
      </c>
      <c r="O411" s="2">
        <f t="shared" si="27"/>
        <v>0</v>
      </c>
      <c r="P411" s="2" t="s">
        <v>23</v>
      </c>
      <c r="Q411" s="2" t="s">
        <v>23</v>
      </c>
      <c r="R411" s="2" t="s">
        <v>23</v>
      </c>
      <c r="S411" s="2" t="s">
        <v>23</v>
      </c>
      <c r="T411" s="2" t="s">
        <v>23</v>
      </c>
      <c r="U411" s="25">
        <f t="shared" si="25"/>
        <v>3294.000411</v>
      </c>
    </row>
    <row r="412" spans="1:21">
      <c r="A412" s="2" t="s">
        <v>788</v>
      </c>
      <c r="B412" s="2" t="s">
        <v>789</v>
      </c>
      <c r="C412" s="2" t="s">
        <v>19</v>
      </c>
      <c r="D412" s="2">
        <v>51</v>
      </c>
      <c r="E412" s="2" t="str">
        <f t="shared" si="26"/>
        <v>46-60</v>
      </c>
      <c r="F412" s="2" t="s">
        <v>41</v>
      </c>
      <c r="G412" s="2" t="s">
        <v>21</v>
      </c>
      <c r="H412" s="2">
        <v>7</v>
      </c>
      <c r="I412" s="2" t="str">
        <f t="shared" si="24"/>
        <v>7-12 months</v>
      </c>
      <c r="J412" s="3">
        <v>1299</v>
      </c>
      <c r="K412" s="3">
        <v>9093</v>
      </c>
      <c r="L412" s="2" t="s">
        <v>22</v>
      </c>
      <c r="M412" s="4">
        <v>45715</v>
      </c>
      <c r="N412" s="2" t="s">
        <v>32</v>
      </c>
      <c r="O412" s="2">
        <f t="shared" si="27"/>
        <v>1</v>
      </c>
      <c r="P412" s="2" t="s">
        <v>23</v>
      </c>
      <c r="Q412" s="2" t="s">
        <v>32</v>
      </c>
      <c r="R412" s="2" t="s">
        <v>23</v>
      </c>
      <c r="S412" s="2" t="s">
        <v>23</v>
      </c>
      <c r="T412" s="2" t="s">
        <v>23</v>
      </c>
      <c r="U412" s="25">
        <f t="shared" si="25"/>
        <v>9093.0004119999994</v>
      </c>
    </row>
    <row r="413" spans="1:21">
      <c r="A413" s="2" t="s">
        <v>790</v>
      </c>
      <c r="B413" s="2" t="s">
        <v>240</v>
      </c>
      <c r="C413" s="2" t="s">
        <v>19</v>
      </c>
      <c r="D413" s="2">
        <v>55</v>
      </c>
      <c r="E413" s="2" t="str">
        <f t="shared" si="26"/>
        <v>46-60</v>
      </c>
      <c r="F413" s="2" t="s">
        <v>46</v>
      </c>
      <c r="G413" s="2" t="s">
        <v>21</v>
      </c>
      <c r="H413" s="2">
        <v>19</v>
      </c>
      <c r="I413" s="2" t="str">
        <f t="shared" si="24"/>
        <v>13-24 months</v>
      </c>
      <c r="J413" s="3">
        <v>1149</v>
      </c>
      <c r="K413" s="3">
        <v>21831</v>
      </c>
      <c r="L413" s="2" t="s">
        <v>22</v>
      </c>
      <c r="M413" s="4">
        <v>45346</v>
      </c>
      <c r="N413" s="2" t="s">
        <v>23</v>
      </c>
      <c r="O413" s="2">
        <f t="shared" si="27"/>
        <v>0</v>
      </c>
      <c r="P413" s="2" t="s">
        <v>23</v>
      </c>
      <c r="Q413" s="2" t="s">
        <v>23</v>
      </c>
      <c r="R413" s="2" t="s">
        <v>23</v>
      </c>
      <c r="S413" s="2" t="s">
        <v>23</v>
      </c>
      <c r="T413" s="2" t="s">
        <v>23</v>
      </c>
      <c r="U413" s="25">
        <f t="shared" si="25"/>
        <v>21831.000413000002</v>
      </c>
    </row>
    <row r="414" spans="1:21">
      <c r="A414" s="2" t="s">
        <v>791</v>
      </c>
      <c r="B414" s="2" t="s">
        <v>792</v>
      </c>
      <c r="C414" s="2" t="s">
        <v>19</v>
      </c>
      <c r="D414" s="2">
        <v>68</v>
      </c>
      <c r="E414" s="2" t="str">
        <f t="shared" si="26"/>
        <v>60+</v>
      </c>
      <c r="F414" s="2" t="s">
        <v>26</v>
      </c>
      <c r="G414" s="2" t="s">
        <v>21</v>
      </c>
      <c r="H414" s="2">
        <v>18</v>
      </c>
      <c r="I414" s="2" t="str">
        <f t="shared" si="24"/>
        <v>13-24 months</v>
      </c>
      <c r="J414" s="3">
        <v>1049</v>
      </c>
      <c r="K414" s="3">
        <v>18882</v>
      </c>
      <c r="L414" s="2" t="s">
        <v>22</v>
      </c>
      <c r="M414" s="4">
        <v>45364</v>
      </c>
      <c r="N414" s="2" t="s">
        <v>23</v>
      </c>
      <c r="O414" s="2">
        <f t="shared" si="27"/>
        <v>0</v>
      </c>
      <c r="P414" s="2" t="s">
        <v>23</v>
      </c>
      <c r="Q414" s="2" t="s">
        <v>23</v>
      </c>
      <c r="R414" s="2" t="s">
        <v>23</v>
      </c>
      <c r="S414" s="2" t="s">
        <v>23</v>
      </c>
      <c r="T414" s="2" t="s">
        <v>23</v>
      </c>
      <c r="U414" s="25">
        <f t="shared" si="25"/>
        <v>18882.000413999998</v>
      </c>
    </row>
    <row r="415" spans="1:21">
      <c r="A415" s="2" t="s">
        <v>793</v>
      </c>
      <c r="B415" s="2" t="s">
        <v>794</v>
      </c>
      <c r="C415" s="2" t="s">
        <v>35</v>
      </c>
      <c r="D415" s="2">
        <v>25</v>
      </c>
      <c r="E415" s="2" t="str">
        <f t="shared" si="26"/>
        <v>18-25</v>
      </c>
      <c r="F415" s="2" t="s">
        <v>141</v>
      </c>
      <c r="G415" s="2" t="s">
        <v>21</v>
      </c>
      <c r="H415" s="2">
        <v>6</v>
      </c>
      <c r="I415" s="2" t="str">
        <f t="shared" si="24"/>
        <v>0-6 months</v>
      </c>
      <c r="J415" s="3">
        <v>999</v>
      </c>
      <c r="K415" s="3">
        <v>5994</v>
      </c>
      <c r="L415" s="2" t="s">
        <v>22</v>
      </c>
      <c r="M415" s="4">
        <v>45738</v>
      </c>
      <c r="N415" s="2" t="s">
        <v>32</v>
      </c>
      <c r="O415" s="2">
        <f t="shared" si="27"/>
        <v>1</v>
      </c>
      <c r="P415" s="2" t="s">
        <v>23</v>
      </c>
      <c r="Q415" s="2" t="s">
        <v>23</v>
      </c>
      <c r="R415" s="2" t="s">
        <v>23</v>
      </c>
      <c r="S415" s="2" t="s">
        <v>32</v>
      </c>
      <c r="T415" s="2" t="s">
        <v>23</v>
      </c>
      <c r="U415" s="25">
        <f t="shared" si="25"/>
        <v>5994.0004150000004</v>
      </c>
    </row>
    <row r="416" spans="1:21">
      <c r="A416" s="2" t="s">
        <v>795</v>
      </c>
      <c r="B416" s="2" t="s">
        <v>796</v>
      </c>
      <c r="C416" s="2" t="s">
        <v>19</v>
      </c>
      <c r="D416" s="2">
        <v>58</v>
      </c>
      <c r="E416" s="2" t="str">
        <f t="shared" si="26"/>
        <v>46-60</v>
      </c>
      <c r="F416" s="2" t="s">
        <v>36</v>
      </c>
      <c r="G416" s="2" t="s">
        <v>47</v>
      </c>
      <c r="H416" s="2">
        <v>61</v>
      </c>
      <c r="I416" s="2" t="str">
        <f t="shared" si="24"/>
        <v>49+ months</v>
      </c>
      <c r="J416" s="3">
        <v>349</v>
      </c>
      <c r="K416" s="3">
        <v>21289</v>
      </c>
      <c r="L416" s="2" t="s">
        <v>66</v>
      </c>
      <c r="M416" s="4">
        <v>44091</v>
      </c>
      <c r="N416" s="2" t="s">
        <v>32</v>
      </c>
      <c r="O416" s="2">
        <f t="shared" si="27"/>
        <v>1</v>
      </c>
      <c r="P416" s="2" t="s">
        <v>23</v>
      </c>
      <c r="Q416" s="2" t="s">
        <v>23</v>
      </c>
      <c r="R416" s="2" t="s">
        <v>23</v>
      </c>
      <c r="S416" s="2" t="s">
        <v>23</v>
      </c>
      <c r="T416" s="2" t="s">
        <v>23</v>
      </c>
      <c r="U416" s="25">
        <f t="shared" si="25"/>
        <v>21289.000415999999</v>
      </c>
    </row>
    <row r="417" spans="1:21">
      <c r="A417" s="2" t="s">
        <v>797</v>
      </c>
      <c r="B417" s="2" t="s">
        <v>798</v>
      </c>
      <c r="C417" s="2" t="s">
        <v>35</v>
      </c>
      <c r="D417" s="2">
        <v>20</v>
      </c>
      <c r="E417" s="2" t="str">
        <f t="shared" si="26"/>
        <v>18-25</v>
      </c>
      <c r="F417" s="2" t="s">
        <v>141</v>
      </c>
      <c r="G417" s="2" t="s">
        <v>21</v>
      </c>
      <c r="H417" s="2">
        <v>20</v>
      </c>
      <c r="I417" s="2" t="str">
        <f t="shared" si="24"/>
        <v>13-24 months</v>
      </c>
      <c r="J417" s="3">
        <v>449</v>
      </c>
      <c r="K417" s="3">
        <v>8980</v>
      </c>
      <c r="L417" s="2" t="s">
        <v>66</v>
      </c>
      <c r="M417" s="4">
        <v>45309</v>
      </c>
      <c r="N417" s="2" t="s">
        <v>23</v>
      </c>
      <c r="O417" s="2">
        <f t="shared" si="27"/>
        <v>0</v>
      </c>
      <c r="P417" s="2" t="s">
        <v>23</v>
      </c>
      <c r="Q417" s="2" t="s">
        <v>23</v>
      </c>
      <c r="R417" s="2" t="s">
        <v>23</v>
      </c>
      <c r="S417" s="2" t="s">
        <v>23</v>
      </c>
      <c r="T417" s="2" t="s">
        <v>23</v>
      </c>
      <c r="U417" s="25">
        <f t="shared" si="25"/>
        <v>8980.0004169999993</v>
      </c>
    </row>
    <row r="418" spans="1:21">
      <c r="A418" s="2" t="s">
        <v>799</v>
      </c>
      <c r="B418" s="2" t="s">
        <v>289</v>
      </c>
      <c r="C418" s="2" t="s">
        <v>19</v>
      </c>
      <c r="D418" s="2">
        <v>49</v>
      </c>
      <c r="E418" s="2" t="str">
        <f t="shared" si="26"/>
        <v>46-60</v>
      </c>
      <c r="F418" s="2" t="s">
        <v>60</v>
      </c>
      <c r="G418" s="2" t="s">
        <v>21</v>
      </c>
      <c r="H418" s="2"/>
      <c r="I418" s="2" t="str">
        <f t="shared" si="24"/>
        <v>Unknown</v>
      </c>
      <c r="J418" s="3">
        <v>349</v>
      </c>
      <c r="K418" s="3"/>
      <c r="L418" s="2" t="s">
        <v>66</v>
      </c>
      <c r="M418" s="4"/>
      <c r="N418" s="2" t="s">
        <v>23</v>
      </c>
      <c r="O418" s="2">
        <f t="shared" si="27"/>
        <v>0</v>
      </c>
      <c r="P418" s="2" t="s">
        <v>23</v>
      </c>
      <c r="Q418" s="2" t="s">
        <v>23</v>
      </c>
      <c r="R418" s="2" t="s">
        <v>23</v>
      </c>
      <c r="S418" s="2" t="s">
        <v>23</v>
      </c>
      <c r="T418" s="2" t="s">
        <v>800</v>
      </c>
      <c r="U418" s="25" t="str">
        <f t="shared" si="25"/>
        <v/>
      </c>
    </row>
    <row r="419" spans="1:21">
      <c r="A419" s="2" t="s">
        <v>801</v>
      </c>
      <c r="B419" s="2" t="s">
        <v>802</v>
      </c>
      <c r="C419" s="2" t="s">
        <v>19</v>
      </c>
      <c r="D419" s="2">
        <v>61</v>
      </c>
      <c r="E419" s="2" t="str">
        <f t="shared" si="26"/>
        <v>60+</v>
      </c>
      <c r="F419" s="2" t="s">
        <v>36</v>
      </c>
      <c r="G419" s="2" t="s">
        <v>21</v>
      </c>
      <c r="H419" s="2">
        <v>6</v>
      </c>
      <c r="I419" s="2" t="str">
        <f t="shared" si="24"/>
        <v>0-6 months</v>
      </c>
      <c r="J419" s="3">
        <v>1049</v>
      </c>
      <c r="K419" s="3">
        <v>6294</v>
      </c>
      <c r="L419" s="2" t="s">
        <v>22</v>
      </c>
      <c r="M419" s="4">
        <v>45736</v>
      </c>
      <c r="N419" s="2" t="s">
        <v>32</v>
      </c>
      <c r="O419" s="2">
        <f t="shared" si="27"/>
        <v>1</v>
      </c>
      <c r="P419" s="2" t="s">
        <v>23</v>
      </c>
      <c r="Q419" s="2" t="s">
        <v>23</v>
      </c>
      <c r="R419" s="2" t="s">
        <v>23</v>
      </c>
      <c r="S419" s="2" t="s">
        <v>23</v>
      </c>
      <c r="T419" s="2" t="s">
        <v>23</v>
      </c>
      <c r="U419" s="25">
        <f t="shared" si="25"/>
        <v>6294.000419</v>
      </c>
    </row>
    <row r="420" spans="1:21">
      <c r="A420" s="2" t="s">
        <v>803</v>
      </c>
      <c r="B420" s="2" t="s">
        <v>40</v>
      </c>
      <c r="C420" s="2" t="s">
        <v>35</v>
      </c>
      <c r="D420" s="2">
        <v>51</v>
      </c>
      <c r="E420" s="2" t="str">
        <f t="shared" si="26"/>
        <v>46-60</v>
      </c>
      <c r="F420" s="2" t="s">
        <v>36</v>
      </c>
      <c r="G420" s="2" t="s">
        <v>27</v>
      </c>
      <c r="H420" s="2">
        <v>6</v>
      </c>
      <c r="I420" s="2" t="str">
        <f t="shared" si="24"/>
        <v>0-6 months</v>
      </c>
      <c r="J420" s="3">
        <v>799</v>
      </c>
      <c r="K420" s="3">
        <v>4794</v>
      </c>
      <c r="L420" s="2" t="s">
        <v>31</v>
      </c>
      <c r="M420" s="4">
        <v>45737</v>
      </c>
      <c r="N420" s="2" t="s">
        <v>23</v>
      </c>
      <c r="O420" s="2">
        <f t="shared" si="27"/>
        <v>0</v>
      </c>
      <c r="P420" s="2" t="s">
        <v>23</v>
      </c>
      <c r="Q420" s="2" t="s">
        <v>23</v>
      </c>
      <c r="R420" s="2" t="s">
        <v>23</v>
      </c>
      <c r="S420" s="2" t="s">
        <v>23</v>
      </c>
      <c r="T420" s="2" t="s">
        <v>23</v>
      </c>
      <c r="U420" s="25">
        <f t="shared" si="25"/>
        <v>4794.0004200000003</v>
      </c>
    </row>
    <row r="421" spans="1:21">
      <c r="A421" s="2" t="s">
        <v>804</v>
      </c>
      <c r="B421" s="2" t="s">
        <v>168</v>
      </c>
      <c r="C421" s="2" t="s">
        <v>35</v>
      </c>
      <c r="D421" s="2">
        <v>56</v>
      </c>
      <c r="E421" s="2" t="str">
        <f t="shared" si="26"/>
        <v>46-60</v>
      </c>
      <c r="F421" s="2" t="s">
        <v>20</v>
      </c>
      <c r="G421" s="2" t="s">
        <v>21</v>
      </c>
      <c r="H421" s="2">
        <v>1</v>
      </c>
      <c r="I421" s="2" t="str">
        <f t="shared" si="24"/>
        <v>0-6 months</v>
      </c>
      <c r="J421" s="3">
        <v>999</v>
      </c>
      <c r="K421" s="3">
        <v>999</v>
      </c>
      <c r="L421" s="2" t="s">
        <v>22</v>
      </c>
      <c r="M421" s="4">
        <v>45881</v>
      </c>
      <c r="N421" s="2" t="s">
        <v>32</v>
      </c>
      <c r="O421" s="2">
        <f t="shared" si="27"/>
        <v>1</v>
      </c>
      <c r="P421" s="2" t="s">
        <v>23</v>
      </c>
      <c r="Q421" s="2" t="s">
        <v>23</v>
      </c>
      <c r="R421" s="2" t="s">
        <v>23</v>
      </c>
      <c r="S421" s="2" t="s">
        <v>23</v>
      </c>
      <c r="T421" s="2" t="s">
        <v>23</v>
      </c>
      <c r="U421" s="25">
        <f t="shared" si="25"/>
        <v>999.00042099999996</v>
      </c>
    </row>
    <row r="422" spans="1:21">
      <c r="A422" s="2" t="s">
        <v>805</v>
      </c>
      <c r="B422" s="2" t="s">
        <v>37</v>
      </c>
      <c r="C422" s="2" t="s">
        <v>19</v>
      </c>
      <c r="D422" s="2">
        <v>39</v>
      </c>
      <c r="E422" s="2" t="str">
        <f t="shared" si="26"/>
        <v>36-45</v>
      </c>
      <c r="F422" s="2" t="s">
        <v>41</v>
      </c>
      <c r="G422" s="2" t="s">
        <v>47</v>
      </c>
      <c r="H422" s="2">
        <v>69</v>
      </c>
      <c r="I422" s="2" t="str">
        <f t="shared" si="24"/>
        <v>49+ months</v>
      </c>
      <c r="J422" s="3">
        <v>549</v>
      </c>
      <c r="K422" s="3">
        <v>37881</v>
      </c>
      <c r="L422" s="2" t="s">
        <v>66</v>
      </c>
      <c r="M422" s="4">
        <v>43844</v>
      </c>
      <c r="N422" s="2" t="s">
        <v>23</v>
      </c>
      <c r="O422" s="2">
        <f t="shared" si="27"/>
        <v>0</v>
      </c>
      <c r="P422" s="2" t="s">
        <v>23</v>
      </c>
      <c r="Q422" s="2" t="s">
        <v>23</v>
      </c>
      <c r="R422" s="2" t="s">
        <v>23</v>
      </c>
      <c r="S422" s="2" t="s">
        <v>23</v>
      </c>
      <c r="T422" s="2" t="s">
        <v>23</v>
      </c>
      <c r="U422" s="25">
        <f t="shared" si="25"/>
        <v>37881.000421999997</v>
      </c>
    </row>
    <row r="423" spans="1:21">
      <c r="A423" s="2" t="s">
        <v>806</v>
      </c>
      <c r="B423" s="2" t="s">
        <v>807</v>
      </c>
      <c r="C423" s="2" t="s">
        <v>35</v>
      </c>
      <c r="D423" s="2">
        <v>67</v>
      </c>
      <c r="E423" s="2" t="str">
        <f t="shared" si="26"/>
        <v>60+</v>
      </c>
      <c r="F423" s="2" t="s">
        <v>20</v>
      </c>
      <c r="G423" s="2" t="s">
        <v>27</v>
      </c>
      <c r="H423" s="2">
        <v>30</v>
      </c>
      <c r="I423" s="2" t="str">
        <f t="shared" si="24"/>
        <v>25-48 months</v>
      </c>
      <c r="J423" s="3">
        <v>549</v>
      </c>
      <c r="K423" s="3">
        <v>16470</v>
      </c>
      <c r="L423" s="2" t="s">
        <v>66</v>
      </c>
      <c r="M423" s="4">
        <v>45013</v>
      </c>
      <c r="N423" s="2" t="s">
        <v>23</v>
      </c>
      <c r="O423" s="2">
        <f t="shared" si="27"/>
        <v>0</v>
      </c>
      <c r="P423" s="2" t="s">
        <v>23</v>
      </c>
      <c r="Q423" s="2" t="s">
        <v>23</v>
      </c>
      <c r="R423" s="2" t="s">
        <v>23</v>
      </c>
      <c r="S423" s="2" t="s">
        <v>23</v>
      </c>
      <c r="T423" s="2" t="s">
        <v>23</v>
      </c>
      <c r="U423" s="25">
        <f t="shared" si="25"/>
        <v>16470.000423000001</v>
      </c>
    </row>
    <row r="424" spans="1:21">
      <c r="A424" s="2" t="s">
        <v>808</v>
      </c>
      <c r="B424" s="2" t="s">
        <v>556</v>
      </c>
      <c r="C424" s="2" t="s">
        <v>19</v>
      </c>
      <c r="D424" s="2">
        <v>42</v>
      </c>
      <c r="E424" s="2" t="str">
        <f t="shared" si="26"/>
        <v>36-45</v>
      </c>
      <c r="F424" s="2" t="s">
        <v>71</v>
      </c>
      <c r="G424" s="2" t="s">
        <v>27</v>
      </c>
      <c r="H424" s="2">
        <v>15</v>
      </c>
      <c r="I424" s="2" t="str">
        <f t="shared" si="24"/>
        <v>13-24 months</v>
      </c>
      <c r="J424" s="3">
        <v>899</v>
      </c>
      <c r="K424" s="3">
        <v>13485</v>
      </c>
      <c r="L424" s="2" t="s">
        <v>31</v>
      </c>
      <c r="M424" s="4">
        <v>45462</v>
      </c>
      <c r="N424" s="2" t="s">
        <v>23</v>
      </c>
      <c r="O424" s="2">
        <f t="shared" si="27"/>
        <v>0</v>
      </c>
      <c r="P424" s="2" t="s">
        <v>23</v>
      </c>
      <c r="Q424" s="2" t="s">
        <v>23</v>
      </c>
      <c r="R424" s="2" t="s">
        <v>23</v>
      </c>
      <c r="S424" s="2" t="s">
        <v>23</v>
      </c>
      <c r="T424" s="2" t="s">
        <v>23</v>
      </c>
      <c r="U424" s="25">
        <f t="shared" si="25"/>
        <v>13485.000424</v>
      </c>
    </row>
    <row r="425" spans="1:21">
      <c r="A425" s="2" t="s">
        <v>809</v>
      </c>
      <c r="B425" s="2" t="s">
        <v>810</v>
      </c>
      <c r="C425" s="2" t="s">
        <v>19</v>
      </c>
      <c r="D425" s="2">
        <v>36</v>
      </c>
      <c r="E425" s="2" t="str">
        <f t="shared" si="26"/>
        <v>36-45</v>
      </c>
      <c r="F425" s="2" t="s">
        <v>41</v>
      </c>
      <c r="G425" s="2" t="s">
        <v>21</v>
      </c>
      <c r="H425" s="2">
        <v>11</v>
      </c>
      <c r="I425" s="2" t="str">
        <f t="shared" si="24"/>
        <v>7-12 months</v>
      </c>
      <c r="J425" s="3">
        <v>1149</v>
      </c>
      <c r="K425" s="3">
        <v>12639</v>
      </c>
      <c r="L425" s="2" t="s">
        <v>22</v>
      </c>
      <c r="M425" s="4">
        <v>45587</v>
      </c>
      <c r="N425" s="2" t="s">
        <v>23</v>
      </c>
      <c r="O425" s="2">
        <f t="shared" si="27"/>
        <v>0</v>
      </c>
      <c r="P425" s="2" t="s">
        <v>23</v>
      </c>
      <c r="Q425" s="2" t="s">
        <v>23</v>
      </c>
      <c r="R425" s="2" t="s">
        <v>23</v>
      </c>
      <c r="S425" s="2" t="s">
        <v>23</v>
      </c>
      <c r="T425" s="2" t="s">
        <v>23</v>
      </c>
      <c r="U425" s="25">
        <f t="shared" si="25"/>
        <v>12639.000425</v>
      </c>
    </row>
    <row r="426" spans="1:21">
      <c r="A426" s="2" t="s">
        <v>811</v>
      </c>
      <c r="B426" s="2" t="s">
        <v>812</v>
      </c>
      <c r="C426" s="2" t="s">
        <v>19</v>
      </c>
      <c r="D426" s="2">
        <v>29</v>
      </c>
      <c r="E426" s="2" t="str">
        <f t="shared" si="26"/>
        <v>26-35</v>
      </c>
      <c r="F426" s="2" t="s">
        <v>141</v>
      </c>
      <c r="G426" s="2" t="s">
        <v>27</v>
      </c>
      <c r="H426" s="2">
        <v>32</v>
      </c>
      <c r="I426" s="2" t="str">
        <f t="shared" si="24"/>
        <v>25-48 months</v>
      </c>
      <c r="J426" s="3">
        <v>399</v>
      </c>
      <c r="K426" s="3">
        <v>12768</v>
      </c>
      <c r="L426" s="2" t="s">
        <v>66</v>
      </c>
      <c r="M426" s="4">
        <v>44941</v>
      </c>
      <c r="N426" s="2" t="s">
        <v>23</v>
      </c>
      <c r="O426" s="2">
        <f t="shared" si="27"/>
        <v>0</v>
      </c>
      <c r="P426" s="2" t="s">
        <v>23</v>
      </c>
      <c r="Q426" s="2" t="s">
        <v>23</v>
      </c>
      <c r="R426" s="2" t="s">
        <v>23</v>
      </c>
      <c r="S426" s="2" t="s">
        <v>23</v>
      </c>
      <c r="T426" s="2" t="s">
        <v>23</v>
      </c>
      <c r="U426" s="25">
        <f t="shared" si="25"/>
        <v>12768.000426000001</v>
      </c>
    </row>
    <row r="427" spans="1:21">
      <c r="A427" s="2" t="s">
        <v>813</v>
      </c>
      <c r="B427" s="2" t="s">
        <v>306</v>
      </c>
      <c r="C427" s="2" t="s">
        <v>37</v>
      </c>
      <c r="D427" s="2">
        <v>30</v>
      </c>
      <c r="E427" s="2" t="str">
        <f t="shared" si="26"/>
        <v>26-35</v>
      </c>
      <c r="F427" s="2" t="s">
        <v>57</v>
      </c>
      <c r="G427" s="2" t="s">
        <v>21</v>
      </c>
      <c r="H427" s="2">
        <v>5</v>
      </c>
      <c r="I427" s="2" t="str">
        <f t="shared" si="24"/>
        <v>0-6 months</v>
      </c>
      <c r="J427" s="3">
        <v>899</v>
      </c>
      <c r="K427" s="3">
        <v>4495</v>
      </c>
      <c r="L427" s="2" t="s">
        <v>22</v>
      </c>
      <c r="M427" s="4">
        <v>45757</v>
      </c>
      <c r="N427" s="2" t="s">
        <v>23</v>
      </c>
      <c r="O427" s="2">
        <f t="shared" si="27"/>
        <v>0</v>
      </c>
      <c r="P427" s="2" t="s">
        <v>23</v>
      </c>
      <c r="Q427" s="2" t="s">
        <v>23</v>
      </c>
      <c r="R427" s="2" t="s">
        <v>23</v>
      </c>
      <c r="S427" s="2" t="s">
        <v>23</v>
      </c>
      <c r="T427" s="2" t="s">
        <v>23</v>
      </c>
      <c r="U427" s="25">
        <f t="shared" si="25"/>
        <v>4495.0004269999999</v>
      </c>
    </row>
    <row r="428" spans="1:21">
      <c r="A428" s="2" t="s">
        <v>814</v>
      </c>
      <c r="B428" s="2" t="s">
        <v>433</v>
      </c>
      <c r="C428" s="2" t="s">
        <v>35</v>
      </c>
      <c r="D428" s="2">
        <v>66</v>
      </c>
      <c r="E428" s="2" t="str">
        <f t="shared" si="26"/>
        <v>60+</v>
      </c>
      <c r="F428" s="2" t="s">
        <v>57</v>
      </c>
      <c r="G428" s="2" t="s">
        <v>21</v>
      </c>
      <c r="H428" s="2">
        <v>16</v>
      </c>
      <c r="I428" s="2" t="str">
        <f t="shared" si="24"/>
        <v>13-24 months</v>
      </c>
      <c r="J428" s="3">
        <v>699</v>
      </c>
      <c r="K428" s="3">
        <v>11184</v>
      </c>
      <c r="L428" s="2" t="s">
        <v>31</v>
      </c>
      <c r="M428" s="4">
        <v>45420</v>
      </c>
      <c r="N428" s="2" t="s">
        <v>23</v>
      </c>
      <c r="O428" s="2">
        <f t="shared" si="27"/>
        <v>0</v>
      </c>
      <c r="P428" s="2" t="s">
        <v>23</v>
      </c>
      <c r="Q428" s="2" t="s">
        <v>23</v>
      </c>
      <c r="R428" s="2" t="s">
        <v>23</v>
      </c>
      <c r="S428" s="2" t="s">
        <v>23</v>
      </c>
      <c r="T428" s="2" t="s">
        <v>23</v>
      </c>
      <c r="U428" s="25">
        <f t="shared" si="25"/>
        <v>11184.000427999999</v>
      </c>
    </row>
    <row r="429" spans="1:21">
      <c r="A429" s="2" t="s">
        <v>815</v>
      </c>
      <c r="B429" s="2" t="s">
        <v>816</v>
      </c>
      <c r="C429" s="2" t="s">
        <v>35</v>
      </c>
      <c r="D429" s="2">
        <v>66</v>
      </c>
      <c r="E429" s="2" t="str">
        <f t="shared" si="26"/>
        <v>60+</v>
      </c>
      <c r="F429" s="2" t="s">
        <v>26</v>
      </c>
      <c r="G429" s="2" t="s">
        <v>21</v>
      </c>
      <c r="H429" s="2">
        <v>19</v>
      </c>
      <c r="I429" s="2" t="str">
        <f t="shared" si="24"/>
        <v>13-24 months</v>
      </c>
      <c r="J429" s="3">
        <v>649</v>
      </c>
      <c r="K429" s="3">
        <v>12331</v>
      </c>
      <c r="L429" s="2" t="s">
        <v>31</v>
      </c>
      <c r="M429" s="4">
        <v>45343</v>
      </c>
      <c r="N429" s="2" t="s">
        <v>23</v>
      </c>
      <c r="O429" s="2">
        <f t="shared" si="27"/>
        <v>0</v>
      </c>
      <c r="P429" s="2" t="s">
        <v>23</v>
      </c>
      <c r="Q429" s="2" t="s">
        <v>23</v>
      </c>
      <c r="R429" s="2" t="s">
        <v>23</v>
      </c>
      <c r="S429" s="2" t="s">
        <v>23</v>
      </c>
      <c r="T429" s="2" t="s">
        <v>23</v>
      </c>
      <c r="U429" s="25">
        <f t="shared" si="25"/>
        <v>12331.000429</v>
      </c>
    </row>
    <row r="430" spans="1:21">
      <c r="A430" s="2" t="s">
        <v>817</v>
      </c>
      <c r="B430" s="2" t="s">
        <v>198</v>
      </c>
      <c r="C430" s="2" t="s">
        <v>19</v>
      </c>
      <c r="D430" s="2">
        <v>43</v>
      </c>
      <c r="E430" s="2" t="str">
        <f t="shared" si="26"/>
        <v>36-45</v>
      </c>
      <c r="F430" s="2" t="s">
        <v>57</v>
      </c>
      <c r="G430" s="2" t="s">
        <v>27</v>
      </c>
      <c r="H430" s="2">
        <v>8</v>
      </c>
      <c r="I430" s="2" t="str">
        <f t="shared" si="24"/>
        <v>7-12 months</v>
      </c>
      <c r="J430" s="3">
        <v>849</v>
      </c>
      <c r="K430" s="3">
        <v>6792</v>
      </c>
      <c r="L430" s="2" t="s">
        <v>31</v>
      </c>
      <c r="M430" s="4">
        <v>45688</v>
      </c>
      <c r="N430" s="2" t="s">
        <v>23</v>
      </c>
      <c r="O430" s="2">
        <f t="shared" si="27"/>
        <v>0</v>
      </c>
      <c r="P430" s="2" t="s">
        <v>23</v>
      </c>
      <c r="Q430" s="2" t="s">
        <v>23</v>
      </c>
      <c r="R430" s="2" t="s">
        <v>23</v>
      </c>
      <c r="S430" s="2" t="s">
        <v>23</v>
      </c>
      <c r="T430" s="2" t="s">
        <v>23</v>
      </c>
      <c r="U430" s="25">
        <f t="shared" si="25"/>
        <v>6792.0004300000001</v>
      </c>
    </row>
    <row r="431" spans="1:21">
      <c r="A431" s="2" t="s">
        <v>818</v>
      </c>
      <c r="B431" s="2" t="s">
        <v>819</v>
      </c>
      <c r="C431" s="2" t="s">
        <v>19</v>
      </c>
      <c r="D431" s="2">
        <v>55</v>
      </c>
      <c r="E431" s="2" t="str">
        <f t="shared" si="26"/>
        <v>46-60</v>
      </c>
      <c r="F431" s="2" t="s">
        <v>41</v>
      </c>
      <c r="G431" s="2" t="s">
        <v>21</v>
      </c>
      <c r="H431" s="2">
        <v>9</v>
      </c>
      <c r="I431" s="2" t="str">
        <f t="shared" si="24"/>
        <v>7-12 months</v>
      </c>
      <c r="J431" s="3">
        <v>1149</v>
      </c>
      <c r="K431" s="3">
        <v>10341</v>
      </c>
      <c r="L431" s="2" t="s">
        <v>22</v>
      </c>
      <c r="M431" s="4">
        <v>45643</v>
      </c>
      <c r="N431" s="2" t="s">
        <v>32</v>
      </c>
      <c r="O431" s="2">
        <f t="shared" si="27"/>
        <v>1</v>
      </c>
      <c r="P431" s="2" t="s">
        <v>23</v>
      </c>
      <c r="Q431" s="2" t="s">
        <v>23</v>
      </c>
      <c r="R431" s="2" t="s">
        <v>23</v>
      </c>
      <c r="S431" s="2" t="s">
        <v>23</v>
      </c>
      <c r="T431" s="2" t="s">
        <v>23</v>
      </c>
      <c r="U431" s="25">
        <f t="shared" si="25"/>
        <v>10341.000431</v>
      </c>
    </row>
    <row r="432" spans="1:21">
      <c r="A432" s="2" t="s">
        <v>820</v>
      </c>
      <c r="B432" s="2" t="s">
        <v>821</v>
      </c>
      <c r="C432" s="2" t="s">
        <v>35</v>
      </c>
      <c r="D432" s="2">
        <v>49</v>
      </c>
      <c r="E432" s="2" t="str">
        <f t="shared" si="26"/>
        <v>46-60</v>
      </c>
      <c r="F432" s="2" t="s">
        <v>105</v>
      </c>
      <c r="G432" s="2" t="s">
        <v>21</v>
      </c>
      <c r="H432" s="2">
        <v>12</v>
      </c>
      <c r="I432" s="2" t="str">
        <f t="shared" si="24"/>
        <v>7-12 months</v>
      </c>
      <c r="J432" s="3">
        <v>1299</v>
      </c>
      <c r="K432" s="3">
        <v>15588</v>
      </c>
      <c r="L432" s="2" t="s">
        <v>22</v>
      </c>
      <c r="M432" s="4">
        <v>45563</v>
      </c>
      <c r="N432" s="2" t="s">
        <v>32</v>
      </c>
      <c r="O432" s="2">
        <f t="shared" si="27"/>
        <v>1</v>
      </c>
      <c r="P432" s="2" t="s">
        <v>23</v>
      </c>
      <c r="Q432" s="2" t="s">
        <v>23</v>
      </c>
      <c r="R432" s="2" t="s">
        <v>23</v>
      </c>
      <c r="S432" s="2" t="s">
        <v>23</v>
      </c>
      <c r="T432" s="2" t="s">
        <v>23</v>
      </c>
      <c r="U432" s="25">
        <f t="shared" si="25"/>
        <v>15588.000432000001</v>
      </c>
    </row>
    <row r="433" spans="1:21">
      <c r="A433" s="2" t="s">
        <v>822</v>
      </c>
      <c r="B433" s="2" t="s">
        <v>823</v>
      </c>
      <c r="C433" s="2" t="s">
        <v>19</v>
      </c>
      <c r="D433" s="2">
        <v>32</v>
      </c>
      <c r="E433" s="2" t="str">
        <f t="shared" si="26"/>
        <v>26-35</v>
      </c>
      <c r="F433" s="2" t="s">
        <v>57</v>
      </c>
      <c r="G433" s="2" t="s">
        <v>21</v>
      </c>
      <c r="H433" s="2">
        <v>8</v>
      </c>
      <c r="I433" s="2" t="str">
        <f t="shared" si="24"/>
        <v>7-12 months</v>
      </c>
      <c r="J433" s="3">
        <v>799</v>
      </c>
      <c r="K433" s="3">
        <v>6392</v>
      </c>
      <c r="L433" s="2" t="s">
        <v>31</v>
      </c>
      <c r="M433" s="4">
        <v>45663</v>
      </c>
      <c r="N433" s="2" t="s">
        <v>32</v>
      </c>
      <c r="O433" s="2">
        <f t="shared" si="27"/>
        <v>1</v>
      </c>
      <c r="P433" s="2" t="s">
        <v>23</v>
      </c>
      <c r="Q433" s="2" t="s">
        <v>23</v>
      </c>
      <c r="R433" s="2" t="s">
        <v>23</v>
      </c>
      <c r="S433" s="2" t="s">
        <v>23</v>
      </c>
      <c r="T433" s="2" t="s">
        <v>23</v>
      </c>
      <c r="U433" s="25">
        <f t="shared" si="25"/>
        <v>6392.0004330000002</v>
      </c>
    </row>
    <row r="434" spans="1:21">
      <c r="A434" s="2" t="s">
        <v>824</v>
      </c>
      <c r="B434" s="2" t="s">
        <v>710</v>
      </c>
      <c r="C434" s="2" t="s">
        <v>19</v>
      </c>
      <c r="D434" s="2">
        <v>29</v>
      </c>
      <c r="E434" s="2" t="str">
        <f t="shared" si="26"/>
        <v>26-35</v>
      </c>
      <c r="F434" s="2" t="s">
        <v>105</v>
      </c>
      <c r="G434" s="2" t="s">
        <v>21</v>
      </c>
      <c r="H434" s="2">
        <v>21</v>
      </c>
      <c r="I434" s="2" t="str">
        <f t="shared" si="24"/>
        <v>13-24 months</v>
      </c>
      <c r="J434" s="3">
        <v>449</v>
      </c>
      <c r="K434" s="3">
        <v>9429</v>
      </c>
      <c r="L434" s="2" t="s">
        <v>66</v>
      </c>
      <c r="M434" s="4">
        <v>45289</v>
      </c>
      <c r="N434" s="2" t="s">
        <v>23</v>
      </c>
      <c r="O434" s="2">
        <f t="shared" si="27"/>
        <v>0</v>
      </c>
      <c r="P434" s="2" t="s">
        <v>23</v>
      </c>
      <c r="Q434" s="2" t="s">
        <v>23</v>
      </c>
      <c r="R434" s="2" t="s">
        <v>23</v>
      </c>
      <c r="S434" s="2" t="s">
        <v>23</v>
      </c>
      <c r="T434" s="2" t="s">
        <v>23</v>
      </c>
      <c r="U434" s="25">
        <f t="shared" si="25"/>
        <v>9429.0004339999996</v>
      </c>
    </row>
    <row r="435" spans="1:21">
      <c r="A435" s="2" t="s">
        <v>825</v>
      </c>
      <c r="B435" s="2" t="s">
        <v>826</v>
      </c>
      <c r="C435" s="2" t="s">
        <v>35</v>
      </c>
      <c r="D435" s="2">
        <v>21</v>
      </c>
      <c r="E435" s="2" t="str">
        <f t="shared" si="26"/>
        <v>18-25</v>
      </c>
      <c r="F435" s="2" t="s">
        <v>105</v>
      </c>
      <c r="G435" s="2" t="s">
        <v>21</v>
      </c>
      <c r="H435" s="2">
        <v>7</v>
      </c>
      <c r="I435" s="2" t="str">
        <f t="shared" si="24"/>
        <v>7-12 months</v>
      </c>
      <c r="J435" s="3">
        <v>899</v>
      </c>
      <c r="K435" s="3">
        <v>6293</v>
      </c>
      <c r="L435" s="2" t="s">
        <v>31</v>
      </c>
      <c r="M435" s="4">
        <v>45715</v>
      </c>
      <c r="N435" s="2" t="s">
        <v>23</v>
      </c>
      <c r="O435" s="2">
        <f t="shared" si="27"/>
        <v>0</v>
      </c>
      <c r="P435" s="2" t="s">
        <v>23</v>
      </c>
      <c r="Q435" s="2" t="s">
        <v>23</v>
      </c>
      <c r="R435" s="2" t="s">
        <v>23</v>
      </c>
      <c r="S435" s="2" t="s">
        <v>32</v>
      </c>
      <c r="T435" s="2" t="s">
        <v>23</v>
      </c>
      <c r="U435" s="25">
        <f t="shared" si="25"/>
        <v>6293.0004349999999</v>
      </c>
    </row>
    <row r="436" spans="1:21">
      <c r="A436" s="2" t="s">
        <v>827</v>
      </c>
      <c r="B436" s="2" t="s">
        <v>568</v>
      </c>
      <c r="C436" s="2" t="s">
        <v>35</v>
      </c>
      <c r="D436" s="2">
        <v>41</v>
      </c>
      <c r="E436" s="2" t="str">
        <f t="shared" si="26"/>
        <v>36-45</v>
      </c>
      <c r="F436" s="2" t="s">
        <v>30</v>
      </c>
      <c r="G436" s="2" t="s">
        <v>27</v>
      </c>
      <c r="H436" s="2">
        <v>17</v>
      </c>
      <c r="I436" s="2" t="str">
        <f t="shared" si="24"/>
        <v>13-24 months</v>
      </c>
      <c r="J436" s="3">
        <v>499</v>
      </c>
      <c r="K436" s="3">
        <v>8483</v>
      </c>
      <c r="L436" s="2" t="s">
        <v>66</v>
      </c>
      <c r="M436" s="4">
        <v>45391</v>
      </c>
      <c r="N436" s="2" t="s">
        <v>32</v>
      </c>
      <c r="O436" s="2">
        <f t="shared" si="27"/>
        <v>1</v>
      </c>
      <c r="P436" s="2" t="s">
        <v>23</v>
      </c>
      <c r="Q436" s="2" t="s">
        <v>23</v>
      </c>
      <c r="R436" s="2" t="s">
        <v>23</v>
      </c>
      <c r="S436" s="2" t="s">
        <v>32</v>
      </c>
      <c r="T436" s="2" t="s">
        <v>23</v>
      </c>
      <c r="U436" s="25">
        <f t="shared" si="25"/>
        <v>8483.0004360000003</v>
      </c>
    </row>
    <row r="437" spans="1:21">
      <c r="A437" s="2" t="s">
        <v>828</v>
      </c>
      <c r="B437" s="2" t="s">
        <v>190</v>
      </c>
      <c r="C437" s="2" t="s">
        <v>19</v>
      </c>
      <c r="D437" s="2">
        <v>59</v>
      </c>
      <c r="E437" s="2" t="str">
        <f t="shared" si="26"/>
        <v>46-60</v>
      </c>
      <c r="F437" s="2" t="s">
        <v>71</v>
      </c>
      <c r="G437" s="2" t="s">
        <v>21</v>
      </c>
      <c r="H437" s="2">
        <v>10</v>
      </c>
      <c r="I437" s="2" t="str">
        <f t="shared" si="24"/>
        <v>7-12 months</v>
      </c>
      <c r="J437" s="3">
        <v>549</v>
      </c>
      <c r="K437" s="3">
        <v>5490</v>
      </c>
      <c r="L437" s="2" t="s">
        <v>66</v>
      </c>
      <c r="M437" s="4">
        <v>45605</v>
      </c>
      <c r="N437" s="2" t="s">
        <v>23</v>
      </c>
      <c r="O437" s="2">
        <f t="shared" si="27"/>
        <v>0</v>
      </c>
      <c r="P437" s="2" t="s">
        <v>23</v>
      </c>
      <c r="Q437" s="2" t="s">
        <v>23</v>
      </c>
      <c r="R437" s="2" t="s">
        <v>23</v>
      </c>
      <c r="S437" s="2" t="s">
        <v>23</v>
      </c>
      <c r="T437" s="2" t="s">
        <v>23</v>
      </c>
      <c r="U437" s="25">
        <f t="shared" si="25"/>
        <v>5490.0004369999997</v>
      </c>
    </row>
    <row r="438" spans="1:21">
      <c r="A438" s="2" t="s">
        <v>829</v>
      </c>
      <c r="B438" s="2" t="s">
        <v>830</v>
      </c>
      <c r="C438" s="2" t="s">
        <v>35</v>
      </c>
      <c r="D438" s="2">
        <v>57</v>
      </c>
      <c r="E438" s="2" t="str">
        <f t="shared" si="26"/>
        <v>46-60</v>
      </c>
      <c r="F438" s="2" t="s">
        <v>46</v>
      </c>
      <c r="G438" s="2" t="s">
        <v>21</v>
      </c>
      <c r="H438" s="2">
        <v>6</v>
      </c>
      <c r="I438" s="2" t="str">
        <f t="shared" si="24"/>
        <v>0-6 months</v>
      </c>
      <c r="J438" s="3">
        <v>449</v>
      </c>
      <c r="K438" s="3">
        <v>2694</v>
      </c>
      <c r="L438" s="2" t="s">
        <v>66</v>
      </c>
      <c r="M438" s="4">
        <v>45729</v>
      </c>
      <c r="N438" s="2" t="s">
        <v>23</v>
      </c>
      <c r="O438" s="2">
        <f t="shared" si="27"/>
        <v>0</v>
      </c>
      <c r="P438" s="2" t="s">
        <v>23</v>
      </c>
      <c r="Q438" s="2" t="s">
        <v>23</v>
      </c>
      <c r="R438" s="2" t="s">
        <v>23</v>
      </c>
      <c r="S438" s="2" t="s">
        <v>23</v>
      </c>
      <c r="T438" s="2" t="s">
        <v>23</v>
      </c>
      <c r="U438" s="25">
        <f t="shared" si="25"/>
        <v>2694.000438</v>
      </c>
    </row>
    <row r="439" spans="1:21">
      <c r="A439" s="2" t="s">
        <v>831</v>
      </c>
      <c r="B439" s="2" t="s">
        <v>832</v>
      </c>
      <c r="C439" s="2" t="s">
        <v>37</v>
      </c>
      <c r="D439" s="2">
        <v>28</v>
      </c>
      <c r="E439" s="2" t="str">
        <f t="shared" si="26"/>
        <v>26-35</v>
      </c>
      <c r="F439" s="2" t="s">
        <v>30</v>
      </c>
      <c r="G439" s="2" t="s">
        <v>21</v>
      </c>
      <c r="H439" s="2">
        <v>10</v>
      </c>
      <c r="I439" s="2" t="str">
        <f t="shared" si="24"/>
        <v>7-12 months</v>
      </c>
      <c r="J439" s="3">
        <v>849</v>
      </c>
      <c r="K439" s="3">
        <v>8490</v>
      </c>
      <c r="L439" s="2" t="s">
        <v>31</v>
      </c>
      <c r="M439" s="4">
        <v>45620</v>
      </c>
      <c r="N439" s="2" t="s">
        <v>23</v>
      </c>
      <c r="O439" s="2">
        <f t="shared" si="27"/>
        <v>0</v>
      </c>
      <c r="P439" s="2" t="s">
        <v>23</v>
      </c>
      <c r="Q439" s="2" t="s">
        <v>23</v>
      </c>
      <c r="R439" s="2" t="s">
        <v>23</v>
      </c>
      <c r="S439" s="2" t="s">
        <v>32</v>
      </c>
      <c r="T439" s="2" t="s">
        <v>23</v>
      </c>
      <c r="U439" s="25">
        <f t="shared" si="25"/>
        <v>8490.0004389999995</v>
      </c>
    </row>
    <row r="440" spans="1:21">
      <c r="A440" s="2" t="s">
        <v>833</v>
      </c>
      <c r="B440" s="2" t="s">
        <v>834</v>
      </c>
      <c r="C440" s="2" t="s">
        <v>35</v>
      </c>
      <c r="D440" s="2">
        <v>55</v>
      </c>
      <c r="E440" s="2" t="str">
        <f t="shared" si="26"/>
        <v>46-60</v>
      </c>
      <c r="F440" s="2" t="s">
        <v>26</v>
      </c>
      <c r="G440" s="2" t="s">
        <v>47</v>
      </c>
      <c r="H440" s="2">
        <v>24</v>
      </c>
      <c r="I440" s="2" t="str">
        <f t="shared" si="24"/>
        <v>13-24 months</v>
      </c>
      <c r="J440" s="3">
        <v>899</v>
      </c>
      <c r="K440" s="3">
        <v>21576</v>
      </c>
      <c r="L440" s="2" t="s">
        <v>22</v>
      </c>
      <c r="M440" s="4">
        <v>45187</v>
      </c>
      <c r="N440" s="2" t="s">
        <v>23</v>
      </c>
      <c r="O440" s="2">
        <f t="shared" si="27"/>
        <v>0</v>
      </c>
      <c r="P440" s="2" t="s">
        <v>23</v>
      </c>
      <c r="Q440" s="2" t="s">
        <v>23</v>
      </c>
      <c r="R440" s="2" t="s">
        <v>23</v>
      </c>
      <c r="S440" s="2" t="s">
        <v>23</v>
      </c>
      <c r="T440" s="2" t="s">
        <v>23</v>
      </c>
      <c r="U440" s="25">
        <f t="shared" si="25"/>
        <v>21576.00044</v>
      </c>
    </row>
    <row r="441" spans="1:21">
      <c r="A441" s="2" t="s">
        <v>835</v>
      </c>
      <c r="B441" s="2" t="s">
        <v>836</v>
      </c>
      <c r="C441" s="2" t="s">
        <v>35</v>
      </c>
      <c r="D441" s="2">
        <v>28</v>
      </c>
      <c r="E441" s="2" t="str">
        <f t="shared" si="26"/>
        <v>26-35</v>
      </c>
      <c r="F441" s="2" t="s">
        <v>105</v>
      </c>
      <c r="G441" s="2" t="s">
        <v>21</v>
      </c>
      <c r="H441" s="2">
        <v>16</v>
      </c>
      <c r="I441" s="2" t="str">
        <f t="shared" si="24"/>
        <v>13-24 months</v>
      </c>
      <c r="J441" s="3">
        <v>799</v>
      </c>
      <c r="K441" s="3">
        <v>12784</v>
      </c>
      <c r="L441" s="2" t="s">
        <v>31</v>
      </c>
      <c r="M441" s="4">
        <v>45432</v>
      </c>
      <c r="N441" s="2" t="s">
        <v>23</v>
      </c>
      <c r="O441" s="2">
        <f t="shared" si="27"/>
        <v>0</v>
      </c>
      <c r="P441" s="2" t="s">
        <v>23</v>
      </c>
      <c r="Q441" s="2" t="s">
        <v>23</v>
      </c>
      <c r="R441" s="2" t="s">
        <v>23</v>
      </c>
      <c r="S441" s="2" t="s">
        <v>23</v>
      </c>
      <c r="T441" s="2" t="s">
        <v>23</v>
      </c>
      <c r="U441" s="25">
        <f t="shared" si="25"/>
        <v>12784.000441</v>
      </c>
    </row>
    <row r="442" spans="1:21">
      <c r="A442" s="2" t="s">
        <v>837</v>
      </c>
      <c r="B442" s="2" t="s">
        <v>838</v>
      </c>
      <c r="C442" s="2" t="s">
        <v>19</v>
      </c>
      <c r="D442" s="2">
        <v>57</v>
      </c>
      <c r="E442" s="2" t="str">
        <f t="shared" si="26"/>
        <v>46-60</v>
      </c>
      <c r="F442" s="2" t="s">
        <v>63</v>
      </c>
      <c r="G442" s="2" t="s">
        <v>21</v>
      </c>
      <c r="H442" s="2">
        <v>13</v>
      </c>
      <c r="I442" s="2" t="str">
        <f t="shared" si="24"/>
        <v>13-24 months</v>
      </c>
      <c r="J442" s="3">
        <v>399</v>
      </c>
      <c r="K442" s="3">
        <v>5187</v>
      </c>
      <c r="L442" s="2" t="s">
        <v>66</v>
      </c>
      <c r="M442" s="4">
        <v>45524</v>
      </c>
      <c r="N442" s="2" t="s">
        <v>23</v>
      </c>
      <c r="O442" s="2">
        <f t="shared" si="27"/>
        <v>0</v>
      </c>
      <c r="P442" s="2" t="s">
        <v>23</v>
      </c>
      <c r="Q442" s="2" t="s">
        <v>23</v>
      </c>
      <c r="R442" s="2" t="s">
        <v>23</v>
      </c>
      <c r="S442" s="2" t="s">
        <v>32</v>
      </c>
      <c r="T442" s="2" t="s">
        <v>23</v>
      </c>
      <c r="U442" s="25">
        <f t="shared" si="25"/>
        <v>5187.0004419999996</v>
      </c>
    </row>
    <row r="443" spans="1:21">
      <c r="A443" s="2" t="s">
        <v>839</v>
      </c>
      <c r="B443" s="2" t="s">
        <v>393</v>
      </c>
      <c r="C443" s="2" t="s">
        <v>19</v>
      </c>
      <c r="D443" s="2">
        <v>71</v>
      </c>
      <c r="E443" s="2" t="str">
        <f t="shared" si="26"/>
        <v>60+</v>
      </c>
      <c r="F443" s="2" t="s">
        <v>63</v>
      </c>
      <c r="G443" s="2" t="s">
        <v>21</v>
      </c>
      <c r="H443" s="2">
        <v>11</v>
      </c>
      <c r="I443" s="2" t="str">
        <f t="shared" si="24"/>
        <v>7-12 months</v>
      </c>
      <c r="J443" s="3">
        <v>1099</v>
      </c>
      <c r="K443" s="3">
        <v>12089</v>
      </c>
      <c r="L443" s="2" t="s">
        <v>22</v>
      </c>
      <c r="M443" s="4">
        <v>45581</v>
      </c>
      <c r="N443" s="2" t="s">
        <v>23</v>
      </c>
      <c r="O443" s="2">
        <f t="shared" si="27"/>
        <v>0</v>
      </c>
      <c r="P443" s="2" t="s">
        <v>23</v>
      </c>
      <c r="Q443" s="2" t="s">
        <v>23</v>
      </c>
      <c r="R443" s="2" t="s">
        <v>23</v>
      </c>
      <c r="S443" s="2" t="s">
        <v>23</v>
      </c>
      <c r="T443" s="2" t="s">
        <v>23</v>
      </c>
      <c r="U443" s="25">
        <f t="shared" si="25"/>
        <v>12089.000443000001</v>
      </c>
    </row>
    <row r="444" spans="1:21">
      <c r="A444" s="2" t="s">
        <v>840</v>
      </c>
      <c r="B444" s="2" t="s">
        <v>841</v>
      </c>
      <c r="C444" s="2" t="s">
        <v>35</v>
      </c>
      <c r="D444" s="2">
        <v>26</v>
      </c>
      <c r="E444" s="2" t="str">
        <f t="shared" si="26"/>
        <v>26-35</v>
      </c>
      <c r="F444" s="2" t="s">
        <v>141</v>
      </c>
      <c r="G444" s="2" t="s">
        <v>21</v>
      </c>
      <c r="H444" s="2">
        <v>15</v>
      </c>
      <c r="I444" s="2" t="str">
        <f t="shared" si="24"/>
        <v>13-24 months</v>
      </c>
      <c r="J444" s="3">
        <v>1199</v>
      </c>
      <c r="K444" s="3">
        <v>17985</v>
      </c>
      <c r="L444" s="2" t="s">
        <v>22</v>
      </c>
      <c r="M444" s="4">
        <v>45458</v>
      </c>
      <c r="N444" s="2" t="s">
        <v>32</v>
      </c>
      <c r="O444" s="2">
        <f t="shared" si="27"/>
        <v>1</v>
      </c>
      <c r="P444" s="2" t="s">
        <v>23</v>
      </c>
      <c r="Q444" s="2" t="s">
        <v>23</v>
      </c>
      <c r="R444" s="2" t="s">
        <v>23</v>
      </c>
      <c r="S444" s="2" t="s">
        <v>23</v>
      </c>
      <c r="T444" s="2" t="s">
        <v>23</v>
      </c>
      <c r="U444" s="25">
        <f t="shared" si="25"/>
        <v>17985.000444000001</v>
      </c>
    </row>
    <row r="445" spans="1:21">
      <c r="A445" s="2" t="s">
        <v>842</v>
      </c>
      <c r="B445" s="2" t="s">
        <v>843</v>
      </c>
      <c r="C445" s="2" t="s">
        <v>35</v>
      </c>
      <c r="D445" s="2">
        <v>52</v>
      </c>
      <c r="E445" s="2" t="str">
        <f t="shared" si="26"/>
        <v>46-60</v>
      </c>
      <c r="F445" s="2" t="s">
        <v>20</v>
      </c>
      <c r="G445" s="2" t="s">
        <v>47</v>
      </c>
      <c r="H445" s="2"/>
      <c r="I445" s="2" t="str">
        <f t="shared" si="24"/>
        <v>Unknown</v>
      </c>
      <c r="J445" s="3">
        <v>1049</v>
      </c>
      <c r="K445" s="3"/>
      <c r="L445" s="2" t="s">
        <v>22</v>
      </c>
      <c r="M445" s="4">
        <v>44518</v>
      </c>
      <c r="N445" s="2" t="s">
        <v>23</v>
      </c>
      <c r="O445" s="2">
        <f t="shared" si="27"/>
        <v>0</v>
      </c>
      <c r="P445" s="2" t="s">
        <v>23</v>
      </c>
      <c r="Q445" s="2" t="s">
        <v>23</v>
      </c>
      <c r="R445" s="2" t="s">
        <v>23</v>
      </c>
      <c r="S445" s="2" t="s">
        <v>23</v>
      </c>
      <c r="T445" s="2" t="s">
        <v>214</v>
      </c>
      <c r="U445" s="25" t="str">
        <f t="shared" si="25"/>
        <v/>
      </c>
    </row>
    <row r="446" spans="1:21">
      <c r="A446" s="2" t="s">
        <v>844</v>
      </c>
      <c r="B446" s="2" t="s">
        <v>845</v>
      </c>
      <c r="C446" s="2" t="s">
        <v>19</v>
      </c>
      <c r="D446" s="2">
        <v>48</v>
      </c>
      <c r="E446" s="2" t="str">
        <f t="shared" si="26"/>
        <v>46-60</v>
      </c>
      <c r="F446" s="2" t="s">
        <v>26</v>
      </c>
      <c r="G446" s="2" t="s">
        <v>21</v>
      </c>
      <c r="H446" s="2">
        <v>16</v>
      </c>
      <c r="I446" s="2" t="str">
        <f t="shared" si="24"/>
        <v>13-24 months</v>
      </c>
      <c r="J446" s="3">
        <v>499</v>
      </c>
      <c r="K446" s="3">
        <v>7984</v>
      </c>
      <c r="L446" s="2" t="s">
        <v>66</v>
      </c>
      <c r="M446" s="4">
        <v>45429</v>
      </c>
      <c r="N446" s="2" t="s">
        <v>23</v>
      </c>
      <c r="O446" s="2">
        <f t="shared" si="27"/>
        <v>0</v>
      </c>
      <c r="P446" s="2" t="s">
        <v>23</v>
      </c>
      <c r="Q446" s="2" t="s">
        <v>23</v>
      </c>
      <c r="R446" s="2" t="s">
        <v>23</v>
      </c>
      <c r="S446" s="2" t="s">
        <v>23</v>
      </c>
      <c r="T446" s="2" t="s">
        <v>23</v>
      </c>
      <c r="U446" s="25">
        <f t="shared" si="25"/>
        <v>7984.000446</v>
      </c>
    </row>
    <row r="447" spans="1:21">
      <c r="A447" s="2" t="s">
        <v>846</v>
      </c>
      <c r="B447" s="2" t="s">
        <v>404</v>
      </c>
      <c r="C447" s="2" t="s">
        <v>37</v>
      </c>
      <c r="D447" s="2">
        <v>47</v>
      </c>
      <c r="E447" s="2" t="str">
        <f t="shared" si="26"/>
        <v>46-60</v>
      </c>
      <c r="F447" s="2" t="s">
        <v>20</v>
      </c>
      <c r="G447" s="2" t="s">
        <v>21</v>
      </c>
      <c r="H447" s="2">
        <v>13</v>
      </c>
      <c r="I447" s="2" t="str">
        <f t="shared" si="24"/>
        <v>13-24 months</v>
      </c>
      <c r="J447" s="3">
        <v>999</v>
      </c>
      <c r="K447" s="3">
        <v>12987</v>
      </c>
      <c r="L447" s="2" t="s">
        <v>22</v>
      </c>
      <c r="M447" s="4">
        <v>45531</v>
      </c>
      <c r="N447" s="2" t="s">
        <v>23</v>
      </c>
      <c r="O447" s="2">
        <f t="shared" si="27"/>
        <v>0</v>
      </c>
      <c r="P447" s="2" t="s">
        <v>32</v>
      </c>
      <c r="Q447" s="2" t="s">
        <v>23</v>
      </c>
      <c r="R447" s="2" t="s">
        <v>23</v>
      </c>
      <c r="S447" s="2" t="s">
        <v>23</v>
      </c>
      <c r="T447" s="2" t="s">
        <v>23</v>
      </c>
      <c r="U447" s="25">
        <f t="shared" si="25"/>
        <v>12987.000447</v>
      </c>
    </row>
    <row r="448" spans="1:21">
      <c r="A448" s="2" t="s">
        <v>847</v>
      </c>
      <c r="B448" s="2" t="s">
        <v>848</v>
      </c>
      <c r="C448" s="2" t="s">
        <v>35</v>
      </c>
      <c r="D448" s="2">
        <v>58</v>
      </c>
      <c r="E448" s="2" t="str">
        <f t="shared" si="26"/>
        <v>46-60</v>
      </c>
      <c r="F448" s="2" t="s">
        <v>37</v>
      </c>
      <c r="G448" s="2" t="s">
        <v>21</v>
      </c>
      <c r="H448" s="2">
        <v>20</v>
      </c>
      <c r="I448" s="2" t="str">
        <f t="shared" si="24"/>
        <v>13-24 months</v>
      </c>
      <c r="J448" s="3">
        <v>1199</v>
      </c>
      <c r="K448" s="3">
        <v>23980</v>
      </c>
      <c r="L448" s="2" t="s">
        <v>22</v>
      </c>
      <c r="M448" s="4">
        <v>45305</v>
      </c>
      <c r="N448" s="2" t="s">
        <v>32</v>
      </c>
      <c r="O448" s="2">
        <f t="shared" si="27"/>
        <v>1</v>
      </c>
      <c r="P448" s="2" t="s">
        <v>23</v>
      </c>
      <c r="Q448" s="2" t="s">
        <v>23</v>
      </c>
      <c r="R448" s="2" t="s">
        <v>23</v>
      </c>
      <c r="S448" s="2" t="s">
        <v>32</v>
      </c>
      <c r="T448" s="2" t="s">
        <v>23</v>
      </c>
      <c r="U448" s="25">
        <f t="shared" si="25"/>
        <v>23980.000447999999</v>
      </c>
    </row>
    <row r="449" spans="1:21">
      <c r="A449" s="2" t="s">
        <v>849</v>
      </c>
      <c r="B449" s="2" t="s">
        <v>850</v>
      </c>
      <c r="C449" s="2" t="s">
        <v>35</v>
      </c>
      <c r="D449" s="2">
        <v>72</v>
      </c>
      <c r="E449" s="2" t="str">
        <f t="shared" si="26"/>
        <v>60+</v>
      </c>
      <c r="F449" s="2" t="s">
        <v>41</v>
      </c>
      <c r="G449" s="2" t="s">
        <v>21</v>
      </c>
      <c r="H449" s="2">
        <v>21</v>
      </c>
      <c r="I449" s="2" t="str">
        <f t="shared" si="24"/>
        <v>13-24 months</v>
      </c>
      <c r="J449" s="3">
        <v>749</v>
      </c>
      <c r="K449" s="3">
        <v>15729</v>
      </c>
      <c r="L449" s="2" t="s">
        <v>31</v>
      </c>
      <c r="M449" s="4">
        <v>45279</v>
      </c>
      <c r="N449" s="2" t="s">
        <v>32</v>
      </c>
      <c r="O449" s="2">
        <f t="shared" si="27"/>
        <v>1</v>
      </c>
      <c r="P449" s="2" t="s">
        <v>23</v>
      </c>
      <c r="Q449" s="2" t="s">
        <v>23</v>
      </c>
      <c r="R449" s="2" t="s">
        <v>23</v>
      </c>
      <c r="S449" s="2" t="s">
        <v>23</v>
      </c>
      <c r="T449" s="2" t="s">
        <v>23</v>
      </c>
      <c r="U449" s="25">
        <f t="shared" si="25"/>
        <v>15729.000448999999</v>
      </c>
    </row>
    <row r="450" spans="1:21">
      <c r="A450" s="2" t="s">
        <v>851</v>
      </c>
      <c r="B450" s="2" t="s">
        <v>852</v>
      </c>
      <c r="C450" s="2" t="s">
        <v>35</v>
      </c>
      <c r="D450" s="2">
        <v>19</v>
      </c>
      <c r="E450" s="2" t="str">
        <f t="shared" si="26"/>
        <v>18-25</v>
      </c>
      <c r="F450" s="2" t="s">
        <v>63</v>
      </c>
      <c r="G450" s="2" t="s">
        <v>21</v>
      </c>
      <c r="H450" s="2">
        <v>6</v>
      </c>
      <c r="I450" s="2" t="str">
        <f t="shared" ref="I450:I513" si="28">IF(H450="","Unknown",IF(H450&lt;=6,"0-6 months",IF(H450&lt;=12,"7-12 months",IF(H450&lt;=24,"13-24 months",IF(H450&lt;=48,"25-48 months","49+ months")))))</f>
        <v>0-6 months</v>
      </c>
      <c r="J450" s="3">
        <v>1049</v>
      </c>
      <c r="K450" s="3">
        <v>6294</v>
      </c>
      <c r="L450" s="2" t="s">
        <v>22</v>
      </c>
      <c r="M450" s="4">
        <v>45734</v>
      </c>
      <c r="N450" s="2" t="s">
        <v>32</v>
      </c>
      <c r="O450" s="2">
        <f t="shared" si="27"/>
        <v>1</v>
      </c>
      <c r="P450" s="2" t="s">
        <v>23</v>
      </c>
      <c r="Q450" s="2" t="s">
        <v>23</v>
      </c>
      <c r="R450" s="2" t="s">
        <v>23</v>
      </c>
      <c r="S450" s="2" t="s">
        <v>23</v>
      </c>
      <c r="T450" s="2" t="s">
        <v>23</v>
      </c>
      <c r="U450" s="25">
        <f t="shared" ref="U450:U513" si="29">IF(K450="","",K450+ROW()/1000000)</f>
        <v>6294.0004499999995</v>
      </c>
    </row>
    <row r="451" spans="1:21">
      <c r="A451" s="2" t="s">
        <v>853</v>
      </c>
      <c r="B451" s="2" t="s">
        <v>854</v>
      </c>
      <c r="C451" s="2" t="s">
        <v>19</v>
      </c>
      <c r="D451" s="2">
        <v>27</v>
      </c>
      <c r="E451" s="2" t="str">
        <f t="shared" ref="E451:E514" si="30">IF(D451&lt;=25,"18-25",IF(D451&lt;=35,"26-35",IF(D451&lt;=45,"36-45",IF(D451&lt;=60,"46-60","60+"))))</f>
        <v>26-35</v>
      </c>
      <c r="F451" s="2" t="s">
        <v>36</v>
      </c>
      <c r="G451" s="2" t="s">
        <v>21</v>
      </c>
      <c r="H451" s="2">
        <v>10</v>
      </c>
      <c r="I451" s="2" t="str">
        <f t="shared" si="28"/>
        <v>7-12 months</v>
      </c>
      <c r="J451" s="3">
        <v>899</v>
      </c>
      <c r="K451" s="3">
        <v>8990</v>
      </c>
      <c r="L451" s="2" t="s">
        <v>31</v>
      </c>
      <c r="M451" s="4">
        <v>45614</v>
      </c>
      <c r="N451" s="2" t="s">
        <v>23</v>
      </c>
      <c r="O451" s="2">
        <f t="shared" ref="O451:O514" si="31">IF(N451="Yes",1,IF(N451="No",0,""))</f>
        <v>0</v>
      </c>
      <c r="P451" s="2" t="s">
        <v>23</v>
      </c>
      <c r="Q451" s="2" t="s">
        <v>23</v>
      </c>
      <c r="R451" s="2" t="s">
        <v>23</v>
      </c>
      <c r="S451" s="2" t="s">
        <v>23</v>
      </c>
      <c r="T451" s="2" t="s">
        <v>23</v>
      </c>
      <c r="U451" s="25">
        <f t="shared" si="29"/>
        <v>8990.0004509999999</v>
      </c>
    </row>
    <row r="452" spans="1:21">
      <c r="A452" s="2" t="s">
        <v>855</v>
      </c>
      <c r="B452" s="2" t="s">
        <v>856</v>
      </c>
      <c r="C452" s="2" t="s">
        <v>19</v>
      </c>
      <c r="D452" s="2">
        <v>71</v>
      </c>
      <c r="E452" s="2" t="str">
        <f t="shared" si="30"/>
        <v>60+</v>
      </c>
      <c r="F452" s="2" t="s">
        <v>110</v>
      </c>
      <c r="G452" s="2" t="s">
        <v>47</v>
      </c>
      <c r="H452" s="2">
        <v>51</v>
      </c>
      <c r="I452" s="2" t="str">
        <f t="shared" si="28"/>
        <v>49+ months</v>
      </c>
      <c r="J452" s="3">
        <v>599</v>
      </c>
      <c r="K452" s="3">
        <v>30549</v>
      </c>
      <c r="L452" s="2" t="s">
        <v>31</v>
      </c>
      <c r="M452" s="4">
        <v>44370</v>
      </c>
      <c r="N452" s="2" t="s">
        <v>23</v>
      </c>
      <c r="O452" s="2">
        <f t="shared" si="31"/>
        <v>0</v>
      </c>
      <c r="P452" s="2" t="s">
        <v>23</v>
      </c>
      <c r="Q452" s="2" t="s">
        <v>23</v>
      </c>
      <c r="R452" s="2" t="s">
        <v>23</v>
      </c>
      <c r="S452" s="2" t="s">
        <v>23</v>
      </c>
      <c r="T452" s="2" t="s">
        <v>23</v>
      </c>
      <c r="U452" s="25">
        <f t="shared" si="29"/>
        <v>30549.000452</v>
      </c>
    </row>
    <row r="453" spans="1:21">
      <c r="A453" s="2" t="s">
        <v>857</v>
      </c>
      <c r="B453" s="2" t="s">
        <v>508</v>
      </c>
      <c r="C453" s="2" t="s">
        <v>37</v>
      </c>
      <c r="D453" s="2">
        <v>25</v>
      </c>
      <c r="E453" s="2" t="str">
        <f t="shared" si="30"/>
        <v>18-25</v>
      </c>
      <c r="F453" s="2" t="s">
        <v>110</v>
      </c>
      <c r="G453" s="2" t="s">
        <v>27</v>
      </c>
      <c r="H453" s="2">
        <v>29</v>
      </c>
      <c r="I453" s="2" t="str">
        <f t="shared" si="28"/>
        <v>25-48 months</v>
      </c>
      <c r="J453" s="3">
        <v>1199</v>
      </c>
      <c r="K453" s="3">
        <v>34771</v>
      </c>
      <c r="L453" s="2" t="s">
        <v>37</v>
      </c>
      <c r="M453" s="4">
        <v>45035</v>
      </c>
      <c r="N453" s="2" t="s">
        <v>32</v>
      </c>
      <c r="O453" s="2">
        <f t="shared" si="31"/>
        <v>1</v>
      </c>
      <c r="P453" s="2" t="s">
        <v>23</v>
      </c>
      <c r="Q453" s="2" t="s">
        <v>23</v>
      </c>
      <c r="R453" s="2" t="s">
        <v>23</v>
      </c>
      <c r="S453" s="2" t="s">
        <v>23</v>
      </c>
      <c r="T453" s="2" t="s">
        <v>23</v>
      </c>
      <c r="U453" s="25">
        <f t="shared" si="29"/>
        <v>34771.000453000001</v>
      </c>
    </row>
    <row r="454" spans="1:21">
      <c r="A454" s="2" t="s">
        <v>858</v>
      </c>
      <c r="B454" s="2" t="s">
        <v>653</v>
      </c>
      <c r="C454" s="2" t="s">
        <v>19</v>
      </c>
      <c r="D454" s="2">
        <v>31</v>
      </c>
      <c r="E454" s="2" t="str">
        <f t="shared" si="30"/>
        <v>26-35</v>
      </c>
      <c r="F454" s="2" t="s">
        <v>60</v>
      </c>
      <c r="G454" s="2" t="s">
        <v>21</v>
      </c>
      <c r="H454" s="2">
        <v>11</v>
      </c>
      <c r="I454" s="2" t="str">
        <f t="shared" si="28"/>
        <v>7-12 months</v>
      </c>
      <c r="J454" s="3">
        <v>349</v>
      </c>
      <c r="K454" s="3">
        <v>3839</v>
      </c>
      <c r="L454" s="2" t="s">
        <v>66</v>
      </c>
      <c r="M454" s="4"/>
      <c r="N454" s="2" t="s">
        <v>23</v>
      </c>
      <c r="O454" s="2">
        <f t="shared" si="31"/>
        <v>0</v>
      </c>
      <c r="P454" s="2" t="s">
        <v>23</v>
      </c>
      <c r="Q454" s="2" t="s">
        <v>32</v>
      </c>
      <c r="R454" s="2" t="s">
        <v>23</v>
      </c>
      <c r="S454" s="2" t="s">
        <v>23</v>
      </c>
      <c r="T454" s="2" t="s">
        <v>54</v>
      </c>
      <c r="U454" s="25">
        <f t="shared" si="29"/>
        <v>3839.000454</v>
      </c>
    </row>
    <row r="455" spans="1:21">
      <c r="A455" s="2" t="s">
        <v>859</v>
      </c>
      <c r="B455" s="2" t="s">
        <v>860</v>
      </c>
      <c r="C455" s="2" t="s">
        <v>19</v>
      </c>
      <c r="D455" s="2">
        <v>58</v>
      </c>
      <c r="E455" s="2" t="str">
        <f t="shared" si="30"/>
        <v>46-60</v>
      </c>
      <c r="F455" s="2" t="s">
        <v>46</v>
      </c>
      <c r="G455" s="2" t="s">
        <v>21</v>
      </c>
      <c r="H455" s="2">
        <v>22</v>
      </c>
      <c r="I455" s="2" t="str">
        <f t="shared" si="28"/>
        <v>13-24 months</v>
      </c>
      <c r="J455" s="3">
        <v>399</v>
      </c>
      <c r="K455" s="3">
        <v>8778</v>
      </c>
      <c r="L455" s="2" t="s">
        <v>66</v>
      </c>
      <c r="M455" s="4">
        <v>45258</v>
      </c>
      <c r="N455" s="2" t="s">
        <v>23</v>
      </c>
      <c r="O455" s="2">
        <f t="shared" si="31"/>
        <v>0</v>
      </c>
      <c r="P455" s="2" t="s">
        <v>23</v>
      </c>
      <c r="Q455" s="2" t="s">
        <v>23</v>
      </c>
      <c r="R455" s="2" t="s">
        <v>23</v>
      </c>
      <c r="S455" s="2" t="s">
        <v>23</v>
      </c>
      <c r="T455" s="2" t="s">
        <v>23</v>
      </c>
      <c r="U455" s="25">
        <f t="shared" si="29"/>
        <v>8778.0004549999994</v>
      </c>
    </row>
    <row r="456" spans="1:21">
      <c r="A456" s="2" t="s">
        <v>861</v>
      </c>
      <c r="B456" s="2" t="s">
        <v>316</v>
      </c>
      <c r="C456" s="2" t="s">
        <v>19</v>
      </c>
      <c r="D456" s="2">
        <v>55</v>
      </c>
      <c r="E456" s="2" t="str">
        <f t="shared" si="30"/>
        <v>46-60</v>
      </c>
      <c r="F456" s="2" t="s">
        <v>41</v>
      </c>
      <c r="G456" s="2" t="s">
        <v>21</v>
      </c>
      <c r="H456" s="2">
        <v>2</v>
      </c>
      <c r="I456" s="2" t="str">
        <f t="shared" si="28"/>
        <v>0-6 months</v>
      </c>
      <c r="J456" s="3">
        <v>799</v>
      </c>
      <c r="K456" s="3">
        <v>1598</v>
      </c>
      <c r="L456" s="2" t="s">
        <v>31</v>
      </c>
      <c r="M456" s="4">
        <v>45864</v>
      </c>
      <c r="N456" s="2" t="s">
        <v>23</v>
      </c>
      <c r="O456" s="2">
        <f t="shared" si="31"/>
        <v>0</v>
      </c>
      <c r="P456" s="2" t="s">
        <v>23</v>
      </c>
      <c r="Q456" s="2" t="s">
        <v>23</v>
      </c>
      <c r="R456" s="2" t="s">
        <v>23</v>
      </c>
      <c r="S456" s="2" t="s">
        <v>23</v>
      </c>
      <c r="T456" s="2" t="s">
        <v>23</v>
      </c>
      <c r="U456" s="25">
        <f t="shared" si="29"/>
        <v>1598.000456</v>
      </c>
    </row>
    <row r="457" spans="1:21">
      <c r="A457" s="2" t="s">
        <v>862</v>
      </c>
      <c r="B457" s="2" t="s">
        <v>863</v>
      </c>
      <c r="C457" s="2" t="s">
        <v>35</v>
      </c>
      <c r="D457" s="2">
        <v>28</v>
      </c>
      <c r="E457" s="2" t="str">
        <f t="shared" si="30"/>
        <v>26-35</v>
      </c>
      <c r="F457" s="2" t="s">
        <v>60</v>
      </c>
      <c r="G457" s="2" t="s">
        <v>21</v>
      </c>
      <c r="H457" s="2">
        <v>21</v>
      </c>
      <c r="I457" s="2" t="str">
        <f t="shared" si="28"/>
        <v>13-24 months</v>
      </c>
      <c r="J457" s="3">
        <v>899</v>
      </c>
      <c r="K457" s="3">
        <v>18879</v>
      </c>
      <c r="L457" s="2" t="s">
        <v>22</v>
      </c>
      <c r="M457" s="4">
        <v>45276</v>
      </c>
      <c r="N457" s="2" t="s">
        <v>23</v>
      </c>
      <c r="O457" s="2">
        <f t="shared" si="31"/>
        <v>0</v>
      </c>
      <c r="P457" s="2" t="s">
        <v>23</v>
      </c>
      <c r="Q457" s="2" t="s">
        <v>23</v>
      </c>
      <c r="R457" s="2" t="s">
        <v>23</v>
      </c>
      <c r="S457" s="2" t="s">
        <v>23</v>
      </c>
      <c r="T457" s="2" t="s">
        <v>23</v>
      </c>
      <c r="U457" s="25">
        <f t="shared" si="29"/>
        <v>18879.000456999998</v>
      </c>
    </row>
    <row r="458" spans="1:21">
      <c r="A458" s="2" t="s">
        <v>864</v>
      </c>
      <c r="B458" s="2" t="s">
        <v>691</v>
      </c>
      <c r="C458" s="2" t="s">
        <v>19</v>
      </c>
      <c r="D458" s="2">
        <v>32</v>
      </c>
      <c r="E458" s="2" t="str">
        <f t="shared" si="30"/>
        <v>26-35</v>
      </c>
      <c r="F458" s="2" t="s">
        <v>30</v>
      </c>
      <c r="G458" s="2" t="s">
        <v>47</v>
      </c>
      <c r="H458" s="2">
        <v>45</v>
      </c>
      <c r="I458" s="2" t="str">
        <f t="shared" si="28"/>
        <v>25-48 months</v>
      </c>
      <c r="J458" s="3">
        <v>1099</v>
      </c>
      <c r="K458" s="3">
        <v>49455</v>
      </c>
      <c r="L458" s="2" t="s">
        <v>22</v>
      </c>
      <c r="M458" s="4">
        <v>44566</v>
      </c>
      <c r="N458" s="2" t="s">
        <v>32</v>
      </c>
      <c r="O458" s="2">
        <f t="shared" si="31"/>
        <v>1</v>
      </c>
      <c r="P458" s="2" t="s">
        <v>23</v>
      </c>
      <c r="Q458" s="2" t="s">
        <v>23</v>
      </c>
      <c r="R458" s="2" t="s">
        <v>23</v>
      </c>
      <c r="S458" s="2" t="s">
        <v>23</v>
      </c>
      <c r="T458" s="2" t="s">
        <v>23</v>
      </c>
      <c r="U458" s="25">
        <f t="shared" si="29"/>
        <v>49455.000458000002</v>
      </c>
    </row>
    <row r="459" spans="1:21">
      <c r="A459" s="2" t="s">
        <v>865</v>
      </c>
      <c r="B459" s="2" t="s">
        <v>51</v>
      </c>
      <c r="C459" s="2" t="s">
        <v>35</v>
      </c>
      <c r="D459" s="2">
        <v>75</v>
      </c>
      <c r="E459" s="2" t="str">
        <f t="shared" si="30"/>
        <v>60+</v>
      </c>
      <c r="F459" s="2" t="s">
        <v>36</v>
      </c>
      <c r="G459" s="2" t="s">
        <v>21</v>
      </c>
      <c r="H459" s="2">
        <v>10</v>
      </c>
      <c r="I459" s="2" t="str">
        <f t="shared" si="28"/>
        <v>7-12 months</v>
      </c>
      <c r="J459" s="3">
        <v>1199</v>
      </c>
      <c r="K459" s="3">
        <v>11990</v>
      </c>
      <c r="L459" s="2" t="s">
        <v>22</v>
      </c>
      <c r="M459" s="4">
        <v>45623</v>
      </c>
      <c r="N459" s="2" t="s">
        <v>32</v>
      </c>
      <c r="O459" s="2">
        <f t="shared" si="31"/>
        <v>1</v>
      </c>
      <c r="P459" s="2" t="s">
        <v>23</v>
      </c>
      <c r="Q459" s="2" t="s">
        <v>23</v>
      </c>
      <c r="R459" s="2" t="s">
        <v>23</v>
      </c>
      <c r="S459" s="2" t="s">
        <v>32</v>
      </c>
      <c r="T459" s="2" t="s">
        <v>23</v>
      </c>
      <c r="U459" s="25">
        <f t="shared" si="29"/>
        <v>11990.000459000001</v>
      </c>
    </row>
    <row r="460" spans="1:21">
      <c r="A460" s="2" t="s">
        <v>866</v>
      </c>
      <c r="B460" s="2" t="s">
        <v>867</v>
      </c>
      <c r="C460" s="2" t="s">
        <v>35</v>
      </c>
      <c r="D460" s="2">
        <v>47</v>
      </c>
      <c r="E460" s="2" t="str">
        <f t="shared" si="30"/>
        <v>46-60</v>
      </c>
      <c r="F460" s="2" t="s">
        <v>46</v>
      </c>
      <c r="G460" s="2" t="s">
        <v>47</v>
      </c>
      <c r="H460" s="2">
        <v>71</v>
      </c>
      <c r="I460" s="2" t="str">
        <f t="shared" si="28"/>
        <v>49+ months</v>
      </c>
      <c r="J460" s="3">
        <v>899</v>
      </c>
      <c r="K460" s="3">
        <v>63829</v>
      </c>
      <c r="L460" s="2" t="s">
        <v>22</v>
      </c>
      <c r="M460" s="4">
        <v>43789</v>
      </c>
      <c r="N460" s="2" t="s">
        <v>23</v>
      </c>
      <c r="O460" s="2">
        <f t="shared" si="31"/>
        <v>0</v>
      </c>
      <c r="P460" s="2" t="s">
        <v>23</v>
      </c>
      <c r="Q460" s="2" t="s">
        <v>32</v>
      </c>
      <c r="R460" s="2" t="s">
        <v>23</v>
      </c>
      <c r="S460" s="2" t="s">
        <v>23</v>
      </c>
      <c r="T460" s="2" t="s">
        <v>23</v>
      </c>
      <c r="U460" s="25">
        <f t="shared" si="29"/>
        <v>63829.000460000003</v>
      </c>
    </row>
    <row r="461" spans="1:21">
      <c r="A461" s="2" t="s">
        <v>868</v>
      </c>
      <c r="B461" s="2" t="s">
        <v>395</v>
      </c>
      <c r="C461" s="2" t="s">
        <v>35</v>
      </c>
      <c r="D461" s="2">
        <v>47</v>
      </c>
      <c r="E461" s="2" t="str">
        <f t="shared" si="30"/>
        <v>46-60</v>
      </c>
      <c r="F461" s="2" t="s">
        <v>36</v>
      </c>
      <c r="G461" s="2" t="s">
        <v>27</v>
      </c>
      <c r="H461" s="2">
        <v>12</v>
      </c>
      <c r="I461" s="2" t="str">
        <f t="shared" si="28"/>
        <v>7-12 months</v>
      </c>
      <c r="J461" s="3">
        <v>1149</v>
      </c>
      <c r="K461" s="3">
        <v>13788</v>
      </c>
      <c r="L461" s="2" t="s">
        <v>22</v>
      </c>
      <c r="M461" s="4"/>
      <c r="N461" s="2" t="s">
        <v>23</v>
      </c>
      <c r="O461" s="2">
        <f t="shared" si="31"/>
        <v>0</v>
      </c>
      <c r="P461" s="2" t="s">
        <v>23</v>
      </c>
      <c r="Q461" s="2" t="s">
        <v>23</v>
      </c>
      <c r="R461" s="2" t="s">
        <v>23</v>
      </c>
      <c r="S461" s="2" t="s">
        <v>23</v>
      </c>
      <c r="T461" s="2" t="s">
        <v>54</v>
      </c>
      <c r="U461" s="25">
        <f t="shared" si="29"/>
        <v>13788.000461</v>
      </c>
    </row>
    <row r="462" spans="1:21">
      <c r="A462" s="2" t="s">
        <v>869</v>
      </c>
      <c r="B462" s="2" t="s">
        <v>244</v>
      </c>
      <c r="C462" s="2" t="s">
        <v>35</v>
      </c>
      <c r="D462" s="2">
        <v>52</v>
      </c>
      <c r="E462" s="2" t="str">
        <f t="shared" si="30"/>
        <v>46-60</v>
      </c>
      <c r="F462" s="2" t="s">
        <v>57</v>
      </c>
      <c r="G462" s="2" t="s">
        <v>21</v>
      </c>
      <c r="H462" s="2">
        <v>16</v>
      </c>
      <c r="I462" s="2" t="str">
        <f t="shared" si="28"/>
        <v>13-24 months</v>
      </c>
      <c r="J462" s="3">
        <v>1149</v>
      </c>
      <c r="K462" s="3">
        <v>18384</v>
      </c>
      <c r="L462" s="2" t="s">
        <v>22</v>
      </c>
      <c r="M462" s="4">
        <v>45438</v>
      </c>
      <c r="N462" s="2" t="s">
        <v>23</v>
      </c>
      <c r="O462" s="2">
        <f t="shared" si="31"/>
        <v>0</v>
      </c>
      <c r="P462" s="2" t="s">
        <v>23</v>
      </c>
      <c r="Q462" s="2" t="s">
        <v>23</v>
      </c>
      <c r="R462" s="2" t="s">
        <v>23</v>
      </c>
      <c r="S462" s="2" t="s">
        <v>23</v>
      </c>
      <c r="T462" s="2" t="s">
        <v>23</v>
      </c>
      <c r="U462" s="25">
        <f t="shared" si="29"/>
        <v>18384.000462</v>
      </c>
    </row>
    <row r="463" spans="1:21">
      <c r="A463" s="2" t="s">
        <v>870</v>
      </c>
      <c r="B463" s="2" t="s">
        <v>871</v>
      </c>
      <c r="C463" s="2" t="s">
        <v>35</v>
      </c>
      <c r="D463" s="2">
        <v>24</v>
      </c>
      <c r="E463" s="2" t="str">
        <f t="shared" si="30"/>
        <v>18-25</v>
      </c>
      <c r="F463" s="2" t="s">
        <v>26</v>
      </c>
      <c r="G463" s="2" t="s">
        <v>27</v>
      </c>
      <c r="H463" s="2">
        <v>9</v>
      </c>
      <c r="I463" s="2" t="str">
        <f t="shared" si="28"/>
        <v>7-12 months</v>
      </c>
      <c r="J463" s="3">
        <v>649</v>
      </c>
      <c r="K463" s="3">
        <v>5841</v>
      </c>
      <c r="L463" s="2" t="s">
        <v>31</v>
      </c>
      <c r="M463" s="4">
        <v>45643</v>
      </c>
      <c r="N463" s="2" t="s">
        <v>23</v>
      </c>
      <c r="O463" s="2">
        <f t="shared" si="31"/>
        <v>0</v>
      </c>
      <c r="P463" s="2" t="s">
        <v>23</v>
      </c>
      <c r="Q463" s="2" t="s">
        <v>23</v>
      </c>
      <c r="R463" s="2" t="s">
        <v>23</v>
      </c>
      <c r="S463" s="2" t="s">
        <v>32</v>
      </c>
      <c r="T463" s="2" t="s">
        <v>23</v>
      </c>
      <c r="U463" s="25">
        <f t="shared" si="29"/>
        <v>5841.0004630000003</v>
      </c>
    </row>
    <row r="464" spans="1:21">
      <c r="A464" s="2" t="s">
        <v>872</v>
      </c>
      <c r="B464" s="2" t="s">
        <v>873</v>
      </c>
      <c r="C464" s="2" t="s">
        <v>19</v>
      </c>
      <c r="D464" s="2">
        <v>54</v>
      </c>
      <c r="E464" s="2" t="str">
        <f t="shared" si="30"/>
        <v>46-60</v>
      </c>
      <c r="F464" s="2" t="s">
        <v>71</v>
      </c>
      <c r="G464" s="2" t="s">
        <v>47</v>
      </c>
      <c r="H464" s="2">
        <v>68</v>
      </c>
      <c r="I464" s="2" t="str">
        <f t="shared" si="28"/>
        <v>49+ months</v>
      </c>
      <c r="J464" s="3">
        <v>1199</v>
      </c>
      <c r="K464" s="3">
        <v>81532</v>
      </c>
      <c r="L464" s="2" t="s">
        <v>22</v>
      </c>
      <c r="M464" s="4"/>
      <c r="N464" s="2" t="s">
        <v>23</v>
      </c>
      <c r="O464" s="2">
        <f t="shared" si="31"/>
        <v>0</v>
      </c>
      <c r="P464" s="2" t="s">
        <v>23</v>
      </c>
      <c r="Q464" s="2" t="s">
        <v>23</v>
      </c>
      <c r="R464" s="2" t="s">
        <v>23</v>
      </c>
      <c r="S464" s="2" t="s">
        <v>32</v>
      </c>
      <c r="T464" s="2" t="s">
        <v>54</v>
      </c>
      <c r="U464" s="25">
        <f t="shared" si="29"/>
        <v>81532.000463999997</v>
      </c>
    </row>
    <row r="465" spans="1:21">
      <c r="A465" s="2" t="s">
        <v>874</v>
      </c>
      <c r="B465" s="2" t="s">
        <v>875</v>
      </c>
      <c r="C465" s="2" t="s">
        <v>19</v>
      </c>
      <c r="D465" s="2">
        <v>22</v>
      </c>
      <c r="E465" s="2" t="str">
        <f t="shared" si="30"/>
        <v>18-25</v>
      </c>
      <c r="F465" s="2" t="s">
        <v>36</v>
      </c>
      <c r="G465" s="2" t="s">
        <v>47</v>
      </c>
      <c r="H465" s="2">
        <v>63</v>
      </c>
      <c r="I465" s="2" t="str">
        <f t="shared" si="28"/>
        <v>49+ months</v>
      </c>
      <c r="J465" s="3">
        <v>899</v>
      </c>
      <c r="K465" s="3">
        <v>56637</v>
      </c>
      <c r="L465" s="2" t="s">
        <v>31</v>
      </c>
      <c r="M465" s="4">
        <v>44037</v>
      </c>
      <c r="N465" s="2" t="s">
        <v>23</v>
      </c>
      <c r="O465" s="2">
        <f t="shared" si="31"/>
        <v>0</v>
      </c>
      <c r="P465" s="2" t="s">
        <v>23</v>
      </c>
      <c r="Q465" s="2" t="s">
        <v>23</v>
      </c>
      <c r="R465" s="2" t="s">
        <v>23</v>
      </c>
      <c r="S465" s="2" t="s">
        <v>23</v>
      </c>
      <c r="T465" s="2" t="s">
        <v>23</v>
      </c>
      <c r="U465" s="25">
        <f t="shared" si="29"/>
        <v>56637.000464999997</v>
      </c>
    </row>
    <row r="466" spans="1:21">
      <c r="A466" s="2" t="s">
        <v>876</v>
      </c>
      <c r="B466" s="2" t="s">
        <v>877</v>
      </c>
      <c r="C466" s="2" t="s">
        <v>35</v>
      </c>
      <c r="D466" s="2">
        <v>74</v>
      </c>
      <c r="E466" s="2" t="str">
        <f t="shared" si="30"/>
        <v>60+</v>
      </c>
      <c r="F466" s="2" t="s">
        <v>105</v>
      </c>
      <c r="G466" s="2" t="s">
        <v>47</v>
      </c>
      <c r="H466" s="2">
        <v>8</v>
      </c>
      <c r="I466" s="2" t="str">
        <f t="shared" si="28"/>
        <v>7-12 months</v>
      </c>
      <c r="J466" s="3">
        <v>1149</v>
      </c>
      <c r="K466" s="3">
        <v>9192</v>
      </c>
      <c r="L466" s="2" t="s">
        <v>37</v>
      </c>
      <c r="M466" s="4">
        <v>45665</v>
      </c>
      <c r="N466" s="2" t="s">
        <v>23</v>
      </c>
      <c r="O466" s="2">
        <f t="shared" si="31"/>
        <v>0</v>
      </c>
      <c r="P466" s="2" t="s">
        <v>23</v>
      </c>
      <c r="Q466" s="2" t="s">
        <v>23</v>
      </c>
      <c r="R466" s="2" t="s">
        <v>23</v>
      </c>
      <c r="S466" s="2" t="s">
        <v>23</v>
      </c>
      <c r="T466" s="2" t="s">
        <v>23</v>
      </c>
      <c r="U466" s="25">
        <f t="shared" si="29"/>
        <v>9192.0004659999995</v>
      </c>
    </row>
    <row r="467" spans="1:21">
      <c r="A467" s="2" t="s">
        <v>878</v>
      </c>
      <c r="B467" s="2" t="s">
        <v>778</v>
      </c>
      <c r="C467" s="2" t="s">
        <v>19</v>
      </c>
      <c r="D467" s="2">
        <v>31</v>
      </c>
      <c r="E467" s="2" t="str">
        <f t="shared" si="30"/>
        <v>26-35</v>
      </c>
      <c r="F467" s="2" t="s">
        <v>26</v>
      </c>
      <c r="G467" s="2" t="s">
        <v>21</v>
      </c>
      <c r="H467" s="2">
        <v>18</v>
      </c>
      <c r="I467" s="2" t="str">
        <f t="shared" si="28"/>
        <v>13-24 months</v>
      </c>
      <c r="J467" s="3">
        <v>999</v>
      </c>
      <c r="K467" s="3">
        <v>17982</v>
      </c>
      <c r="L467" s="2" t="s">
        <v>22</v>
      </c>
      <c r="M467" s="4">
        <v>45381</v>
      </c>
      <c r="N467" s="2" t="s">
        <v>23</v>
      </c>
      <c r="O467" s="2">
        <f t="shared" si="31"/>
        <v>0</v>
      </c>
      <c r="P467" s="2" t="s">
        <v>23</v>
      </c>
      <c r="Q467" s="2" t="s">
        <v>23</v>
      </c>
      <c r="R467" s="2" t="s">
        <v>23</v>
      </c>
      <c r="S467" s="2" t="s">
        <v>23</v>
      </c>
      <c r="T467" s="2" t="s">
        <v>23</v>
      </c>
      <c r="U467" s="25">
        <f t="shared" si="29"/>
        <v>17982.000467000002</v>
      </c>
    </row>
    <row r="468" spans="1:21">
      <c r="A468" s="2" t="s">
        <v>879</v>
      </c>
      <c r="B468" s="2" t="s">
        <v>880</v>
      </c>
      <c r="C468" s="2" t="s">
        <v>19</v>
      </c>
      <c r="D468" s="2">
        <v>53</v>
      </c>
      <c r="E468" s="2" t="str">
        <f t="shared" si="30"/>
        <v>46-60</v>
      </c>
      <c r="F468" s="2" t="s">
        <v>105</v>
      </c>
      <c r="G468" s="2" t="s">
        <v>27</v>
      </c>
      <c r="H468" s="2">
        <v>37</v>
      </c>
      <c r="I468" s="2" t="str">
        <f t="shared" si="28"/>
        <v>25-48 months</v>
      </c>
      <c r="J468" s="3">
        <v>1199</v>
      </c>
      <c r="K468" s="3">
        <v>44363</v>
      </c>
      <c r="L468" s="2" t="s">
        <v>22</v>
      </c>
      <c r="M468" s="4">
        <v>44805</v>
      </c>
      <c r="N468" s="2" t="s">
        <v>23</v>
      </c>
      <c r="O468" s="2">
        <f t="shared" si="31"/>
        <v>0</v>
      </c>
      <c r="P468" s="2" t="s">
        <v>23</v>
      </c>
      <c r="Q468" s="2" t="s">
        <v>23</v>
      </c>
      <c r="R468" s="2" t="s">
        <v>23</v>
      </c>
      <c r="S468" s="2" t="s">
        <v>32</v>
      </c>
      <c r="T468" s="2" t="s">
        <v>23</v>
      </c>
      <c r="U468" s="25">
        <f t="shared" si="29"/>
        <v>44363.000467999998</v>
      </c>
    </row>
    <row r="469" spans="1:21">
      <c r="A469" s="2" t="s">
        <v>881</v>
      </c>
      <c r="B469" s="2" t="s">
        <v>752</v>
      </c>
      <c r="C469" s="2" t="s">
        <v>19</v>
      </c>
      <c r="D469" s="2">
        <v>53</v>
      </c>
      <c r="E469" s="2" t="str">
        <f t="shared" si="30"/>
        <v>46-60</v>
      </c>
      <c r="F469" s="2" t="s">
        <v>105</v>
      </c>
      <c r="G469" s="2" t="s">
        <v>21</v>
      </c>
      <c r="H469" s="2">
        <v>18</v>
      </c>
      <c r="I469" s="2" t="str">
        <f t="shared" si="28"/>
        <v>13-24 months</v>
      </c>
      <c r="J469" s="3">
        <v>1099</v>
      </c>
      <c r="K469" s="3">
        <v>19782</v>
      </c>
      <c r="L469" s="2" t="s">
        <v>22</v>
      </c>
      <c r="M469" s="4">
        <v>45371</v>
      </c>
      <c r="N469" s="2" t="s">
        <v>23</v>
      </c>
      <c r="O469" s="2">
        <f t="shared" si="31"/>
        <v>0</v>
      </c>
      <c r="P469" s="2" t="s">
        <v>23</v>
      </c>
      <c r="Q469" s="2" t="s">
        <v>23</v>
      </c>
      <c r="R469" s="2" t="s">
        <v>23</v>
      </c>
      <c r="S469" s="2" t="s">
        <v>23</v>
      </c>
      <c r="T469" s="2" t="s">
        <v>23</v>
      </c>
      <c r="U469" s="25">
        <f t="shared" si="29"/>
        <v>19782.000468999999</v>
      </c>
    </row>
    <row r="470" spans="1:21">
      <c r="A470" s="2" t="s">
        <v>882</v>
      </c>
      <c r="B470" s="2" t="s">
        <v>883</v>
      </c>
      <c r="C470" s="2" t="s">
        <v>35</v>
      </c>
      <c r="D470" s="2">
        <v>66</v>
      </c>
      <c r="E470" s="2" t="str">
        <f t="shared" si="30"/>
        <v>60+</v>
      </c>
      <c r="F470" s="2" t="s">
        <v>71</v>
      </c>
      <c r="G470" s="2" t="s">
        <v>21</v>
      </c>
      <c r="H470" s="2">
        <v>20</v>
      </c>
      <c r="I470" s="2" t="str">
        <f t="shared" si="28"/>
        <v>13-24 months</v>
      </c>
      <c r="J470" s="3">
        <v>1149</v>
      </c>
      <c r="K470" s="3">
        <v>22980</v>
      </c>
      <c r="L470" s="2" t="s">
        <v>22</v>
      </c>
      <c r="M470" s="4">
        <v>45304</v>
      </c>
      <c r="N470" s="2" t="s">
        <v>32</v>
      </c>
      <c r="O470" s="2">
        <f t="shared" si="31"/>
        <v>1</v>
      </c>
      <c r="P470" s="2" t="s">
        <v>23</v>
      </c>
      <c r="Q470" s="2" t="s">
        <v>23</v>
      </c>
      <c r="R470" s="2" t="s">
        <v>23</v>
      </c>
      <c r="S470" s="2" t="s">
        <v>23</v>
      </c>
      <c r="T470" s="2" t="s">
        <v>23</v>
      </c>
      <c r="U470" s="25">
        <f t="shared" si="29"/>
        <v>22980.000469999999</v>
      </c>
    </row>
    <row r="471" spans="1:21">
      <c r="A471" s="2" t="s">
        <v>884</v>
      </c>
      <c r="B471" s="2" t="s">
        <v>348</v>
      </c>
      <c r="C471" s="2" t="s">
        <v>35</v>
      </c>
      <c r="D471" s="2">
        <v>46</v>
      </c>
      <c r="E471" s="2" t="str">
        <f t="shared" si="30"/>
        <v>46-60</v>
      </c>
      <c r="F471" s="2" t="s">
        <v>105</v>
      </c>
      <c r="G471" s="2" t="s">
        <v>21</v>
      </c>
      <c r="H471" s="2">
        <v>10</v>
      </c>
      <c r="I471" s="2" t="str">
        <f t="shared" si="28"/>
        <v>7-12 months</v>
      </c>
      <c r="J471" s="3">
        <v>799</v>
      </c>
      <c r="K471" s="3">
        <v>7990</v>
      </c>
      <c r="L471" s="2" t="s">
        <v>31</v>
      </c>
      <c r="M471" s="4">
        <v>45600</v>
      </c>
      <c r="N471" s="2" t="s">
        <v>32</v>
      </c>
      <c r="O471" s="2">
        <f t="shared" si="31"/>
        <v>1</v>
      </c>
      <c r="P471" s="2" t="s">
        <v>23</v>
      </c>
      <c r="Q471" s="2" t="s">
        <v>23</v>
      </c>
      <c r="R471" s="2" t="s">
        <v>23</v>
      </c>
      <c r="S471" s="2" t="s">
        <v>23</v>
      </c>
      <c r="T471" s="2" t="s">
        <v>23</v>
      </c>
      <c r="U471" s="25">
        <f t="shared" si="29"/>
        <v>7990.0004710000003</v>
      </c>
    </row>
    <row r="472" spans="1:21">
      <c r="A472" s="2" t="s">
        <v>885</v>
      </c>
      <c r="B472" s="2" t="s">
        <v>886</v>
      </c>
      <c r="C472" s="2" t="s">
        <v>35</v>
      </c>
      <c r="D472" s="2">
        <v>47</v>
      </c>
      <c r="E472" s="2" t="str">
        <f t="shared" si="30"/>
        <v>46-60</v>
      </c>
      <c r="F472" s="2" t="s">
        <v>20</v>
      </c>
      <c r="G472" s="2" t="s">
        <v>47</v>
      </c>
      <c r="H472" s="2">
        <v>36</v>
      </c>
      <c r="I472" s="2" t="str">
        <f t="shared" si="28"/>
        <v>25-48 months</v>
      </c>
      <c r="J472" s="3">
        <v>799</v>
      </c>
      <c r="K472" s="3">
        <v>28764</v>
      </c>
      <c r="L472" s="2" t="s">
        <v>31</v>
      </c>
      <c r="M472" s="4">
        <v>44830</v>
      </c>
      <c r="N472" s="2" t="s">
        <v>23</v>
      </c>
      <c r="O472" s="2">
        <f t="shared" si="31"/>
        <v>0</v>
      </c>
      <c r="P472" s="2" t="s">
        <v>32</v>
      </c>
      <c r="Q472" s="2" t="s">
        <v>23</v>
      </c>
      <c r="R472" s="2" t="s">
        <v>23</v>
      </c>
      <c r="S472" s="2" t="s">
        <v>23</v>
      </c>
      <c r="T472" s="2" t="s">
        <v>23</v>
      </c>
      <c r="U472" s="25">
        <f t="shared" si="29"/>
        <v>28764.000472</v>
      </c>
    </row>
    <row r="473" spans="1:21">
      <c r="A473" s="2" t="s">
        <v>887</v>
      </c>
      <c r="B473" s="2" t="s">
        <v>873</v>
      </c>
      <c r="C473" s="2" t="s">
        <v>19</v>
      </c>
      <c r="D473" s="2">
        <v>47</v>
      </c>
      <c r="E473" s="2" t="str">
        <f t="shared" si="30"/>
        <v>46-60</v>
      </c>
      <c r="F473" s="2" t="s">
        <v>30</v>
      </c>
      <c r="G473" s="2" t="s">
        <v>21</v>
      </c>
      <c r="H473" s="2">
        <v>19</v>
      </c>
      <c r="I473" s="2" t="str">
        <f t="shared" si="28"/>
        <v>13-24 months</v>
      </c>
      <c r="J473" s="3">
        <v>649</v>
      </c>
      <c r="K473" s="3">
        <v>12331</v>
      </c>
      <c r="L473" s="2" t="s">
        <v>31</v>
      </c>
      <c r="M473" s="4">
        <v>45356</v>
      </c>
      <c r="N473" s="2" t="s">
        <v>23</v>
      </c>
      <c r="O473" s="2">
        <f t="shared" si="31"/>
        <v>0</v>
      </c>
      <c r="P473" s="2" t="s">
        <v>23</v>
      </c>
      <c r="Q473" s="2" t="s">
        <v>23</v>
      </c>
      <c r="R473" s="2" t="s">
        <v>23</v>
      </c>
      <c r="S473" s="2" t="s">
        <v>23</v>
      </c>
      <c r="T473" s="2" t="s">
        <v>23</v>
      </c>
      <c r="U473" s="25">
        <f t="shared" si="29"/>
        <v>12331.000473</v>
      </c>
    </row>
    <row r="474" spans="1:21">
      <c r="A474" s="2" t="s">
        <v>888</v>
      </c>
      <c r="B474" s="2" t="s">
        <v>40</v>
      </c>
      <c r="C474" s="2" t="s">
        <v>35</v>
      </c>
      <c r="D474" s="2">
        <v>64</v>
      </c>
      <c r="E474" s="2" t="str">
        <f t="shared" si="30"/>
        <v>60+</v>
      </c>
      <c r="F474" s="2" t="s">
        <v>41</v>
      </c>
      <c r="G474" s="2" t="s">
        <v>27</v>
      </c>
      <c r="H474" s="2">
        <v>12</v>
      </c>
      <c r="I474" s="2" t="str">
        <f t="shared" si="28"/>
        <v>7-12 months</v>
      </c>
      <c r="J474" s="3">
        <v>1299</v>
      </c>
      <c r="K474" s="3">
        <v>15588</v>
      </c>
      <c r="L474" s="2" t="s">
        <v>22</v>
      </c>
      <c r="M474" s="4">
        <v>45565</v>
      </c>
      <c r="N474" s="2" t="s">
        <v>23</v>
      </c>
      <c r="O474" s="2">
        <f t="shared" si="31"/>
        <v>0</v>
      </c>
      <c r="P474" s="2" t="s">
        <v>23</v>
      </c>
      <c r="Q474" s="2" t="s">
        <v>23</v>
      </c>
      <c r="R474" s="2" t="s">
        <v>23</v>
      </c>
      <c r="S474" s="2" t="s">
        <v>23</v>
      </c>
      <c r="T474" s="2" t="s">
        <v>23</v>
      </c>
      <c r="U474" s="25">
        <f t="shared" si="29"/>
        <v>15588.000474</v>
      </c>
    </row>
    <row r="475" spans="1:21">
      <c r="A475" s="2" t="s">
        <v>889</v>
      </c>
      <c r="B475" s="2" t="s">
        <v>890</v>
      </c>
      <c r="C475" s="2" t="s">
        <v>35</v>
      </c>
      <c r="D475" s="2">
        <v>69</v>
      </c>
      <c r="E475" s="2" t="str">
        <f t="shared" si="30"/>
        <v>60+</v>
      </c>
      <c r="F475" s="2" t="s">
        <v>91</v>
      </c>
      <c r="G475" s="2" t="s">
        <v>21</v>
      </c>
      <c r="H475" s="2">
        <v>11</v>
      </c>
      <c r="I475" s="2" t="str">
        <f t="shared" si="28"/>
        <v>7-12 months</v>
      </c>
      <c r="J475" s="3">
        <v>1299</v>
      </c>
      <c r="K475" s="3">
        <v>14289</v>
      </c>
      <c r="L475" s="2" t="s">
        <v>22</v>
      </c>
      <c r="M475" s="4">
        <v>45571</v>
      </c>
      <c r="N475" s="2" t="s">
        <v>32</v>
      </c>
      <c r="O475" s="2">
        <f t="shared" si="31"/>
        <v>1</v>
      </c>
      <c r="P475" s="2" t="s">
        <v>23</v>
      </c>
      <c r="Q475" s="2" t="s">
        <v>23</v>
      </c>
      <c r="R475" s="2" t="s">
        <v>32</v>
      </c>
      <c r="S475" s="2" t="s">
        <v>23</v>
      </c>
      <c r="T475" s="2" t="s">
        <v>23</v>
      </c>
      <c r="U475" s="25">
        <f t="shared" si="29"/>
        <v>14289.000475000001</v>
      </c>
    </row>
    <row r="476" spans="1:21">
      <c r="A476" s="2" t="s">
        <v>891</v>
      </c>
      <c r="B476" s="2" t="s">
        <v>892</v>
      </c>
      <c r="C476" s="2" t="s">
        <v>19</v>
      </c>
      <c r="D476" s="2">
        <v>59</v>
      </c>
      <c r="E476" s="2" t="str">
        <f t="shared" si="30"/>
        <v>46-60</v>
      </c>
      <c r="F476" s="2" t="s">
        <v>57</v>
      </c>
      <c r="G476" s="2" t="s">
        <v>27</v>
      </c>
      <c r="H476" s="2">
        <v>25</v>
      </c>
      <c r="I476" s="2" t="str">
        <f t="shared" si="28"/>
        <v>25-48 months</v>
      </c>
      <c r="J476" s="3">
        <v>599</v>
      </c>
      <c r="K476" s="3">
        <v>14975</v>
      </c>
      <c r="L476" s="2" t="s">
        <v>31</v>
      </c>
      <c r="M476" s="4">
        <v>45161</v>
      </c>
      <c r="N476" s="2" t="s">
        <v>32</v>
      </c>
      <c r="O476" s="2">
        <f t="shared" si="31"/>
        <v>1</v>
      </c>
      <c r="P476" s="2" t="s">
        <v>23</v>
      </c>
      <c r="Q476" s="2" t="s">
        <v>23</v>
      </c>
      <c r="R476" s="2" t="s">
        <v>23</v>
      </c>
      <c r="S476" s="2" t="s">
        <v>23</v>
      </c>
      <c r="T476" s="2" t="s">
        <v>23</v>
      </c>
      <c r="U476" s="25">
        <f t="shared" si="29"/>
        <v>14975.000475999999</v>
      </c>
    </row>
    <row r="477" spans="1:21">
      <c r="A477" s="2" t="s">
        <v>893</v>
      </c>
      <c r="B477" s="2" t="s">
        <v>693</v>
      </c>
      <c r="C477" s="2" t="s">
        <v>19</v>
      </c>
      <c r="D477" s="2">
        <v>62</v>
      </c>
      <c r="E477" s="2" t="str">
        <f t="shared" si="30"/>
        <v>60+</v>
      </c>
      <c r="F477" s="2" t="s">
        <v>20</v>
      </c>
      <c r="G477" s="2" t="s">
        <v>21</v>
      </c>
      <c r="H477" s="2">
        <v>13</v>
      </c>
      <c r="I477" s="2" t="str">
        <f t="shared" si="28"/>
        <v>13-24 months</v>
      </c>
      <c r="J477" s="3">
        <v>1299</v>
      </c>
      <c r="K477" s="3">
        <v>16887</v>
      </c>
      <c r="L477" s="2" t="s">
        <v>22</v>
      </c>
      <c r="M477" s="4">
        <v>45536</v>
      </c>
      <c r="N477" s="2" t="s">
        <v>23</v>
      </c>
      <c r="O477" s="2">
        <f t="shared" si="31"/>
        <v>0</v>
      </c>
      <c r="P477" s="2" t="s">
        <v>23</v>
      </c>
      <c r="Q477" s="2" t="s">
        <v>23</v>
      </c>
      <c r="R477" s="2" t="s">
        <v>23</v>
      </c>
      <c r="S477" s="2" t="s">
        <v>23</v>
      </c>
      <c r="T477" s="2" t="s">
        <v>23</v>
      </c>
      <c r="U477" s="25">
        <f t="shared" si="29"/>
        <v>16887.000477000001</v>
      </c>
    </row>
    <row r="478" spans="1:21">
      <c r="A478" s="2" t="s">
        <v>894</v>
      </c>
      <c r="B478" s="2" t="s">
        <v>895</v>
      </c>
      <c r="C478" s="2" t="s">
        <v>19</v>
      </c>
      <c r="D478" s="2">
        <v>68</v>
      </c>
      <c r="E478" s="2" t="str">
        <f t="shared" si="30"/>
        <v>60+</v>
      </c>
      <c r="F478" s="2" t="s">
        <v>105</v>
      </c>
      <c r="G478" s="2" t="s">
        <v>21</v>
      </c>
      <c r="H478" s="2">
        <v>16</v>
      </c>
      <c r="I478" s="2" t="str">
        <f t="shared" si="28"/>
        <v>13-24 months</v>
      </c>
      <c r="J478" s="3">
        <v>799</v>
      </c>
      <c r="K478" s="3">
        <v>12784</v>
      </c>
      <c r="L478" s="2" t="s">
        <v>31</v>
      </c>
      <c r="M478" s="4">
        <v>45440</v>
      </c>
      <c r="N478" s="2" t="s">
        <v>23</v>
      </c>
      <c r="O478" s="2">
        <f t="shared" si="31"/>
        <v>0</v>
      </c>
      <c r="P478" s="2" t="s">
        <v>23</v>
      </c>
      <c r="Q478" s="2" t="s">
        <v>23</v>
      </c>
      <c r="R478" s="2" t="s">
        <v>23</v>
      </c>
      <c r="S478" s="2" t="s">
        <v>23</v>
      </c>
      <c r="T478" s="2" t="s">
        <v>23</v>
      </c>
      <c r="U478" s="25">
        <f t="shared" si="29"/>
        <v>12784.000478</v>
      </c>
    </row>
    <row r="479" spans="1:21">
      <c r="A479" s="2" t="s">
        <v>896</v>
      </c>
      <c r="B479" s="2" t="s">
        <v>318</v>
      </c>
      <c r="C479" s="2" t="s">
        <v>19</v>
      </c>
      <c r="D479" s="2">
        <v>45</v>
      </c>
      <c r="E479" s="2" t="str">
        <f t="shared" si="30"/>
        <v>36-45</v>
      </c>
      <c r="F479" s="2" t="s">
        <v>110</v>
      </c>
      <c r="G479" s="2" t="s">
        <v>27</v>
      </c>
      <c r="H479" s="2">
        <v>31</v>
      </c>
      <c r="I479" s="2" t="str">
        <f t="shared" si="28"/>
        <v>25-48 months</v>
      </c>
      <c r="J479" s="3">
        <v>999</v>
      </c>
      <c r="K479" s="3">
        <v>30969</v>
      </c>
      <c r="L479" s="2" t="s">
        <v>22</v>
      </c>
      <c r="M479" s="4">
        <v>44980</v>
      </c>
      <c r="N479" s="2" t="s">
        <v>23</v>
      </c>
      <c r="O479" s="2">
        <f t="shared" si="31"/>
        <v>0</v>
      </c>
      <c r="P479" s="2" t="s">
        <v>23</v>
      </c>
      <c r="Q479" s="2" t="s">
        <v>23</v>
      </c>
      <c r="R479" s="2" t="s">
        <v>23</v>
      </c>
      <c r="S479" s="2" t="s">
        <v>23</v>
      </c>
      <c r="T479" s="2" t="s">
        <v>23</v>
      </c>
      <c r="U479" s="25">
        <f t="shared" si="29"/>
        <v>30969.000478999998</v>
      </c>
    </row>
    <row r="480" spans="1:21">
      <c r="A480" s="2" t="s">
        <v>897</v>
      </c>
      <c r="B480" s="2" t="s">
        <v>898</v>
      </c>
      <c r="C480" s="2" t="s">
        <v>19</v>
      </c>
      <c r="D480" s="2">
        <v>65</v>
      </c>
      <c r="E480" s="2" t="str">
        <f t="shared" si="30"/>
        <v>60+</v>
      </c>
      <c r="F480" s="2" t="s">
        <v>26</v>
      </c>
      <c r="G480" s="2" t="s">
        <v>21</v>
      </c>
      <c r="H480" s="2">
        <v>14</v>
      </c>
      <c r="I480" s="2" t="str">
        <f t="shared" si="28"/>
        <v>13-24 months</v>
      </c>
      <c r="J480" s="3">
        <v>699</v>
      </c>
      <c r="K480" s="3">
        <v>9786</v>
      </c>
      <c r="L480" s="2" t="s">
        <v>31</v>
      </c>
      <c r="M480" s="4">
        <v>45487</v>
      </c>
      <c r="N480" s="2" t="s">
        <v>32</v>
      </c>
      <c r="O480" s="2">
        <f t="shared" si="31"/>
        <v>1</v>
      </c>
      <c r="P480" s="2" t="s">
        <v>23</v>
      </c>
      <c r="Q480" s="2" t="s">
        <v>23</v>
      </c>
      <c r="R480" s="2" t="s">
        <v>23</v>
      </c>
      <c r="S480" s="2" t="s">
        <v>23</v>
      </c>
      <c r="T480" s="2" t="s">
        <v>23</v>
      </c>
      <c r="U480" s="25">
        <f t="shared" si="29"/>
        <v>9786.0004800000006</v>
      </c>
    </row>
    <row r="481" spans="1:21">
      <c r="A481" s="2" t="s">
        <v>899</v>
      </c>
      <c r="B481" s="2" t="s">
        <v>900</v>
      </c>
      <c r="C481" s="2" t="s">
        <v>35</v>
      </c>
      <c r="D481" s="2">
        <v>40</v>
      </c>
      <c r="E481" s="2" t="str">
        <f t="shared" si="30"/>
        <v>36-45</v>
      </c>
      <c r="F481" s="2" t="s">
        <v>20</v>
      </c>
      <c r="G481" s="2" t="s">
        <v>21</v>
      </c>
      <c r="H481" s="2">
        <v>1</v>
      </c>
      <c r="I481" s="2" t="str">
        <f t="shared" si="28"/>
        <v>0-6 months</v>
      </c>
      <c r="J481" s="3">
        <v>1049</v>
      </c>
      <c r="K481" s="3">
        <v>1049</v>
      </c>
      <c r="L481" s="2" t="s">
        <v>22</v>
      </c>
      <c r="M481" s="4">
        <v>45879</v>
      </c>
      <c r="N481" s="2" t="s">
        <v>23</v>
      </c>
      <c r="O481" s="2">
        <f t="shared" si="31"/>
        <v>0</v>
      </c>
      <c r="P481" s="2" t="s">
        <v>23</v>
      </c>
      <c r="Q481" s="2" t="s">
        <v>23</v>
      </c>
      <c r="R481" s="2" t="s">
        <v>23</v>
      </c>
      <c r="S481" s="2" t="s">
        <v>23</v>
      </c>
      <c r="T481" s="2" t="s">
        <v>23</v>
      </c>
      <c r="U481" s="25">
        <f t="shared" si="29"/>
        <v>1049.000481</v>
      </c>
    </row>
    <row r="482" spans="1:21">
      <c r="A482" s="2" t="s">
        <v>901</v>
      </c>
      <c r="B482" s="2" t="s">
        <v>902</v>
      </c>
      <c r="C482" s="2" t="s">
        <v>35</v>
      </c>
      <c r="D482" s="2">
        <v>46</v>
      </c>
      <c r="E482" s="2" t="str">
        <f t="shared" si="30"/>
        <v>46-60</v>
      </c>
      <c r="F482" s="2" t="s">
        <v>36</v>
      </c>
      <c r="G482" s="2" t="s">
        <v>47</v>
      </c>
      <c r="H482" s="2">
        <v>48</v>
      </c>
      <c r="I482" s="2" t="str">
        <f t="shared" si="28"/>
        <v>25-48 months</v>
      </c>
      <c r="J482" s="3">
        <v>649</v>
      </c>
      <c r="K482" s="3">
        <v>31152</v>
      </c>
      <c r="L482" s="2" t="s">
        <v>31</v>
      </c>
      <c r="M482" s="4">
        <v>44487</v>
      </c>
      <c r="N482" s="2" t="s">
        <v>23</v>
      </c>
      <c r="O482" s="2">
        <f t="shared" si="31"/>
        <v>0</v>
      </c>
      <c r="P482" s="2" t="s">
        <v>23</v>
      </c>
      <c r="Q482" s="2" t="s">
        <v>23</v>
      </c>
      <c r="R482" s="2" t="s">
        <v>23</v>
      </c>
      <c r="S482" s="2" t="s">
        <v>23</v>
      </c>
      <c r="T482" s="2" t="s">
        <v>23</v>
      </c>
      <c r="U482" s="25">
        <f t="shared" si="29"/>
        <v>31152.000481999999</v>
      </c>
    </row>
    <row r="483" spans="1:21">
      <c r="A483" s="2" t="s">
        <v>903</v>
      </c>
      <c r="B483" s="2" t="s">
        <v>314</v>
      </c>
      <c r="C483" s="2" t="s">
        <v>19</v>
      </c>
      <c r="D483" s="2">
        <v>73</v>
      </c>
      <c r="E483" s="2" t="str">
        <f t="shared" si="30"/>
        <v>60+</v>
      </c>
      <c r="F483" s="2" t="s">
        <v>57</v>
      </c>
      <c r="G483" s="2" t="s">
        <v>47</v>
      </c>
      <c r="H483" s="2">
        <v>15</v>
      </c>
      <c r="I483" s="2" t="str">
        <f t="shared" si="28"/>
        <v>13-24 months</v>
      </c>
      <c r="J483" s="3">
        <v>699</v>
      </c>
      <c r="K483" s="3">
        <v>10485</v>
      </c>
      <c r="L483" s="2" t="s">
        <v>31</v>
      </c>
      <c r="M483" s="4">
        <v>45472</v>
      </c>
      <c r="N483" s="2" t="s">
        <v>32</v>
      </c>
      <c r="O483" s="2">
        <f t="shared" si="31"/>
        <v>1</v>
      </c>
      <c r="P483" s="2" t="s">
        <v>23</v>
      </c>
      <c r="Q483" s="2" t="s">
        <v>32</v>
      </c>
      <c r="R483" s="2" t="s">
        <v>23</v>
      </c>
      <c r="S483" s="2" t="s">
        <v>23</v>
      </c>
      <c r="T483" s="2" t="s">
        <v>23</v>
      </c>
      <c r="U483" s="25">
        <f t="shared" si="29"/>
        <v>10485.000483</v>
      </c>
    </row>
    <row r="484" spans="1:21">
      <c r="A484" s="2" t="s">
        <v>904</v>
      </c>
      <c r="B484" s="2" t="s">
        <v>905</v>
      </c>
      <c r="C484" s="2" t="s">
        <v>19</v>
      </c>
      <c r="D484" s="2">
        <v>51</v>
      </c>
      <c r="E484" s="2" t="str">
        <f t="shared" si="30"/>
        <v>46-60</v>
      </c>
      <c r="F484" s="2" t="s">
        <v>110</v>
      </c>
      <c r="G484" s="2" t="s">
        <v>21</v>
      </c>
      <c r="H484" s="2">
        <v>24</v>
      </c>
      <c r="I484" s="2" t="str">
        <f t="shared" si="28"/>
        <v>13-24 months</v>
      </c>
      <c r="J484" s="3">
        <v>1199</v>
      </c>
      <c r="K484" s="3">
        <v>28776</v>
      </c>
      <c r="L484" s="2" t="s">
        <v>22</v>
      </c>
      <c r="M484" s="4">
        <v>45180</v>
      </c>
      <c r="N484" s="2" t="s">
        <v>32</v>
      </c>
      <c r="O484" s="2">
        <f t="shared" si="31"/>
        <v>1</v>
      </c>
      <c r="P484" s="2" t="s">
        <v>23</v>
      </c>
      <c r="Q484" s="2" t="s">
        <v>23</v>
      </c>
      <c r="R484" s="2" t="s">
        <v>23</v>
      </c>
      <c r="S484" s="2" t="s">
        <v>23</v>
      </c>
      <c r="T484" s="2" t="s">
        <v>23</v>
      </c>
      <c r="U484" s="25">
        <f t="shared" si="29"/>
        <v>28776.000484</v>
      </c>
    </row>
    <row r="485" spans="1:21">
      <c r="A485" s="2" t="s">
        <v>906</v>
      </c>
      <c r="B485" s="2" t="s">
        <v>102</v>
      </c>
      <c r="C485" s="2" t="s">
        <v>19</v>
      </c>
      <c r="D485" s="2">
        <v>21</v>
      </c>
      <c r="E485" s="2" t="str">
        <f t="shared" si="30"/>
        <v>18-25</v>
      </c>
      <c r="F485" s="2" t="s">
        <v>46</v>
      </c>
      <c r="G485" s="2" t="s">
        <v>21</v>
      </c>
      <c r="H485" s="2">
        <v>9</v>
      </c>
      <c r="I485" s="2" t="str">
        <f t="shared" si="28"/>
        <v>7-12 months</v>
      </c>
      <c r="J485" s="3">
        <v>1099</v>
      </c>
      <c r="K485" s="3">
        <v>9891</v>
      </c>
      <c r="L485" s="2" t="s">
        <v>22</v>
      </c>
      <c r="M485" s="4">
        <v>45637</v>
      </c>
      <c r="N485" s="2" t="s">
        <v>32</v>
      </c>
      <c r="O485" s="2">
        <f t="shared" si="31"/>
        <v>1</v>
      </c>
      <c r="P485" s="2" t="s">
        <v>23</v>
      </c>
      <c r="Q485" s="2" t="s">
        <v>23</v>
      </c>
      <c r="R485" s="2" t="s">
        <v>23</v>
      </c>
      <c r="S485" s="2" t="s">
        <v>23</v>
      </c>
      <c r="T485" s="2" t="s">
        <v>23</v>
      </c>
      <c r="U485" s="25">
        <f t="shared" si="29"/>
        <v>9891.0004850000005</v>
      </c>
    </row>
    <row r="486" spans="1:21">
      <c r="A486" s="2" t="s">
        <v>907</v>
      </c>
      <c r="B486" s="2" t="s">
        <v>908</v>
      </c>
      <c r="C486" s="2" t="s">
        <v>35</v>
      </c>
      <c r="D486" s="2">
        <v>19</v>
      </c>
      <c r="E486" s="2" t="str">
        <f t="shared" si="30"/>
        <v>18-25</v>
      </c>
      <c r="F486" s="2" t="s">
        <v>46</v>
      </c>
      <c r="G486" s="2" t="s">
        <v>47</v>
      </c>
      <c r="H486" s="2">
        <v>30</v>
      </c>
      <c r="I486" s="2" t="str">
        <f t="shared" si="28"/>
        <v>25-48 months</v>
      </c>
      <c r="J486" s="3"/>
      <c r="K486" s="3"/>
      <c r="L486" s="2" t="s">
        <v>22</v>
      </c>
      <c r="M486" s="4">
        <v>45013</v>
      </c>
      <c r="N486" s="2" t="s">
        <v>23</v>
      </c>
      <c r="O486" s="2">
        <f t="shared" si="31"/>
        <v>0</v>
      </c>
      <c r="P486" s="2" t="s">
        <v>23</v>
      </c>
      <c r="Q486" s="2" t="s">
        <v>23</v>
      </c>
      <c r="R486" s="2" t="s">
        <v>23</v>
      </c>
      <c r="S486" s="2" t="s">
        <v>23</v>
      </c>
      <c r="T486" s="2" t="s">
        <v>553</v>
      </c>
      <c r="U486" s="25" t="str">
        <f t="shared" si="29"/>
        <v/>
      </c>
    </row>
    <row r="487" spans="1:21">
      <c r="A487" s="2" t="s">
        <v>909</v>
      </c>
      <c r="B487" s="2" t="s">
        <v>910</v>
      </c>
      <c r="C487" s="2" t="s">
        <v>19</v>
      </c>
      <c r="D487" s="2">
        <v>50</v>
      </c>
      <c r="E487" s="2" t="str">
        <f t="shared" si="30"/>
        <v>46-60</v>
      </c>
      <c r="F487" s="2" t="s">
        <v>60</v>
      </c>
      <c r="G487" s="2" t="s">
        <v>27</v>
      </c>
      <c r="H487" s="2">
        <v>3</v>
      </c>
      <c r="I487" s="2" t="str">
        <f t="shared" si="28"/>
        <v>0-6 months</v>
      </c>
      <c r="J487" s="3">
        <v>1149</v>
      </c>
      <c r="K487" s="3">
        <v>3447</v>
      </c>
      <c r="L487" s="2" t="s">
        <v>22</v>
      </c>
      <c r="M487" s="4">
        <v>45826</v>
      </c>
      <c r="N487" s="2" t="s">
        <v>32</v>
      </c>
      <c r="O487" s="2">
        <f t="shared" si="31"/>
        <v>1</v>
      </c>
      <c r="P487" s="2" t="s">
        <v>23</v>
      </c>
      <c r="Q487" s="2" t="s">
        <v>23</v>
      </c>
      <c r="R487" s="2" t="s">
        <v>23</v>
      </c>
      <c r="S487" s="2" t="s">
        <v>23</v>
      </c>
      <c r="T487" s="2" t="s">
        <v>23</v>
      </c>
      <c r="U487" s="25">
        <f t="shared" si="29"/>
        <v>3447.0004869999998</v>
      </c>
    </row>
    <row r="488" spans="1:21">
      <c r="A488" s="2" t="s">
        <v>911</v>
      </c>
      <c r="B488" s="2" t="s">
        <v>912</v>
      </c>
      <c r="C488" s="2" t="s">
        <v>19</v>
      </c>
      <c r="D488" s="2">
        <v>61</v>
      </c>
      <c r="E488" s="2" t="str">
        <f t="shared" si="30"/>
        <v>60+</v>
      </c>
      <c r="F488" s="2" t="s">
        <v>30</v>
      </c>
      <c r="G488" s="2" t="s">
        <v>21</v>
      </c>
      <c r="H488" s="2">
        <v>17</v>
      </c>
      <c r="I488" s="2" t="str">
        <f t="shared" si="28"/>
        <v>13-24 months</v>
      </c>
      <c r="J488" s="3">
        <v>699</v>
      </c>
      <c r="K488" s="3">
        <v>11883</v>
      </c>
      <c r="L488" s="2" t="s">
        <v>31</v>
      </c>
      <c r="M488" s="4">
        <v>45390</v>
      </c>
      <c r="N488" s="2" t="s">
        <v>23</v>
      </c>
      <c r="O488" s="2">
        <f t="shared" si="31"/>
        <v>0</v>
      </c>
      <c r="P488" s="2" t="s">
        <v>23</v>
      </c>
      <c r="Q488" s="2" t="s">
        <v>23</v>
      </c>
      <c r="R488" s="2" t="s">
        <v>23</v>
      </c>
      <c r="S488" s="2" t="s">
        <v>23</v>
      </c>
      <c r="T488" s="2" t="s">
        <v>23</v>
      </c>
      <c r="U488" s="25">
        <f t="shared" si="29"/>
        <v>11883.000488</v>
      </c>
    </row>
    <row r="489" spans="1:21">
      <c r="A489" s="2" t="s">
        <v>913</v>
      </c>
      <c r="B489" s="2" t="s">
        <v>914</v>
      </c>
      <c r="C489" s="2" t="s">
        <v>35</v>
      </c>
      <c r="D489" s="2">
        <v>35</v>
      </c>
      <c r="E489" s="2" t="str">
        <f t="shared" si="30"/>
        <v>26-35</v>
      </c>
      <c r="F489" s="2" t="s">
        <v>20</v>
      </c>
      <c r="G489" s="2" t="s">
        <v>21</v>
      </c>
      <c r="H489" s="2">
        <v>22</v>
      </c>
      <c r="I489" s="2" t="str">
        <f t="shared" si="28"/>
        <v>13-24 months</v>
      </c>
      <c r="J489" s="3">
        <v>499</v>
      </c>
      <c r="K489" s="3">
        <v>10978</v>
      </c>
      <c r="L489" s="2" t="s">
        <v>66</v>
      </c>
      <c r="M489" s="4">
        <v>45247</v>
      </c>
      <c r="N489" s="2" t="s">
        <v>23</v>
      </c>
      <c r="O489" s="2">
        <f t="shared" si="31"/>
        <v>0</v>
      </c>
      <c r="P489" s="2" t="s">
        <v>23</v>
      </c>
      <c r="Q489" s="2" t="s">
        <v>23</v>
      </c>
      <c r="R489" s="2" t="s">
        <v>23</v>
      </c>
      <c r="S489" s="2" t="s">
        <v>32</v>
      </c>
      <c r="T489" s="2" t="s">
        <v>23</v>
      </c>
      <c r="U489" s="25">
        <f t="shared" si="29"/>
        <v>10978.000489</v>
      </c>
    </row>
    <row r="490" spans="1:21">
      <c r="A490" s="2" t="s">
        <v>915</v>
      </c>
      <c r="B490" s="2" t="s">
        <v>916</v>
      </c>
      <c r="C490" s="2" t="s">
        <v>19</v>
      </c>
      <c r="D490" s="2">
        <v>54</v>
      </c>
      <c r="E490" s="2" t="str">
        <f t="shared" si="30"/>
        <v>46-60</v>
      </c>
      <c r="F490" s="2" t="s">
        <v>63</v>
      </c>
      <c r="G490" s="2" t="s">
        <v>21</v>
      </c>
      <c r="H490" s="2">
        <v>20</v>
      </c>
      <c r="I490" s="2" t="str">
        <f t="shared" si="28"/>
        <v>13-24 months</v>
      </c>
      <c r="J490" s="3">
        <v>699</v>
      </c>
      <c r="K490" s="3">
        <v>13980</v>
      </c>
      <c r="L490" s="2" t="s">
        <v>31</v>
      </c>
      <c r="M490" s="4">
        <v>45308</v>
      </c>
      <c r="N490" s="2" t="s">
        <v>32</v>
      </c>
      <c r="O490" s="2">
        <f t="shared" si="31"/>
        <v>1</v>
      </c>
      <c r="P490" s="2" t="s">
        <v>23</v>
      </c>
      <c r="Q490" s="2" t="s">
        <v>23</v>
      </c>
      <c r="R490" s="2" t="s">
        <v>23</v>
      </c>
      <c r="S490" s="2" t="s">
        <v>32</v>
      </c>
      <c r="T490" s="2" t="s">
        <v>23</v>
      </c>
      <c r="U490" s="25">
        <f t="shared" si="29"/>
        <v>13980.00049</v>
      </c>
    </row>
    <row r="491" spans="1:21">
      <c r="A491" s="2" t="s">
        <v>917</v>
      </c>
      <c r="B491" s="2" t="s">
        <v>918</v>
      </c>
      <c r="C491" s="2" t="s">
        <v>19</v>
      </c>
      <c r="D491" s="2">
        <v>47</v>
      </c>
      <c r="E491" s="2" t="str">
        <f t="shared" si="30"/>
        <v>46-60</v>
      </c>
      <c r="F491" s="2" t="s">
        <v>110</v>
      </c>
      <c r="G491" s="2" t="s">
        <v>21</v>
      </c>
      <c r="H491" s="2">
        <v>23</v>
      </c>
      <c r="I491" s="2" t="str">
        <f t="shared" si="28"/>
        <v>13-24 months</v>
      </c>
      <c r="J491" s="3">
        <v>849</v>
      </c>
      <c r="K491" s="3">
        <v>19527</v>
      </c>
      <c r="L491" s="2" t="s">
        <v>31</v>
      </c>
      <c r="M491" s="4">
        <v>45209</v>
      </c>
      <c r="N491" s="2" t="s">
        <v>23</v>
      </c>
      <c r="O491" s="2">
        <f t="shared" si="31"/>
        <v>0</v>
      </c>
      <c r="P491" s="2" t="s">
        <v>32</v>
      </c>
      <c r="Q491" s="2" t="s">
        <v>23</v>
      </c>
      <c r="R491" s="2" t="s">
        <v>23</v>
      </c>
      <c r="S491" s="2" t="s">
        <v>23</v>
      </c>
      <c r="T491" s="2" t="s">
        <v>23</v>
      </c>
      <c r="U491" s="25">
        <f t="shared" si="29"/>
        <v>19527.000490999999</v>
      </c>
    </row>
    <row r="492" spans="1:21">
      <c r="A492" s="2" t="s">
        <v>919</v>
      </c>
      <c r="B492" s="2" t="s">
        <v>920</v>
      </c>
      <c r="C492" s="2" t="s">
        <v>19</v>
      </c>
      <c r="D492" s="2">
        <v>38</v>
      </c>
      <c r="E492" s="2" t="str">
        <f t="shared" si="30"/>
        <v>36-45</v>
      </c>
      <c r="F492" s="2" t="s">
        <v>41</v>
      </c>
      <c r="G492" s="2" t="s">
        <v>27</v>
      </c>
      <c r="H492" s="2">
        <v>8</v>
      </c>
      <c r="I492" s="2" t="str">
        <f t="shared" si="28"/>
        <v>7-12 months</v>
      </c>
      <c r="J492" s="3">
        <v>399</v>
      </c>
      <c r="K492" s="3">
        <v>3192</v>
      </c>
      <c r="L492" s="2" t="s">
        <v>66</v>
      </c>
      <c r="M492" s="4">
        <v>45664</v>
      </c>
      <c r="N492" s="2" t="s">
        <v>23</v>
      </c>
      <c r="O492" s="2">
        <f t="shared" si="31"/>
        <v>0</v>
      </c>
      <c r="P492" s="2" t="s">
        <v>23</v>
      </c>
      <c r="Q492" s="2" t="s">
        <v>23</v>
      </c>
      <c r="R492" s="2" t="s">
        <v>23</v>
      </c>
      <c r="S492" s="2" t="s">
        <v>23</v>
      </c>
      <c r="T492" s="2" t="s">
        <v>23</v>
      </c>
      <c r="U492" s="25">
        <f t="shared" si="29"/>
        <v>3192.0004920000001</v>
      </c>
    </row>
    <row r="493" spans="1:21">
      <c r="A493" s="2" t="s">
        <v>921</v>
      </c>
      <c r="B493" s="2" t="s">
        <v>922</v>
      </c>
      <c r="C493" s="2" t="s">
        <v>35</v>
      </c>
      <c r="D493" s="2">
        <v>37</v>
      </c>
      <c r="E493" s="2" t="str">
        <f t="shared" si="30"/>
        <v>36-45</v>
      </c>
      <c r="F493" s="2" t="s">
        <v>60</v>
      </c>
      <c r="G493" s="2" t="s">
        <v>27</v>
      </c>
      <c r="H493" s="2">
        <v>18</v>
      </c>
      <c r="I493" s="2" t="str">
        <f t="shared" si="28"/>
        <v>13-24 months</v>
      </c>
      <c r="J493" s="3">
        <v>399</v>
      </c>
      <c r="K493" s="3">
        <v>7182</v>
      </c>
      <c r="L493" s="2" t="s">
        <v>66</v>
      </c>
      <c r="M493" s="4">
        <v>45383</v>
      </c>
      <c r="N493" s="2" t="s">
        <v>32</v>
      </c>
      <c r="O493" s="2">
        <f t="shared" si="31"/>
        <v>1</v>
      </c>
      <c r="P493" s="2" t="s">
        <v>23</v>
      </c>
      <c r="Q493" s="2" t="s">
        <v>23</v>
      </c>
      <c r="R493" s="2" t="s">
        <v>23</v>
      </c>
      <c r="S493" s="2" t="s">
        <v>23</v>
      </c>
      <c r="T493" s="2" t="s">
        <v>23</v>
      </c>
      <c r="U493" s="25">
        <f t="shared" si="29"/>
        <v>7182.0004929999996</v>
      </c>
    </row>
    <row r="494" spans="1:21">
      <c r="A494" s="2" t="s">
        <v>923</v>
      </c>
      <c r="B494" s="2" t="s">
        <v>590</v>
      </c>
      <c r="C494" s="2" t="s">
        <v>19</v>
      </c>
      <c r="D494" s="2">
        <v>35</v>
      </c>
      <c r="E494" s="2" t="str">
        <f t="shared" si="30"/>
        <v>26-35</v>
      </c>
      <c r="F494" s="2" t="s">
        <v>91</v>
      </c>
      <c r="G494" s="2" t="s">
        <v>27</v>
      </c>
      <c r="H494" s="2">
        <v>15</v>
      </c>
      <c r="I494" s="2" t="str">
        <f t="shared" si="28"/>
        <v>13-24 months</v>
      </c>
      <c r="J494" s="3">
        <v>649</v>
      </c>
      <c r="K494" s="3">
        <v>9735</v>
      </c>
      <c r="L494" s="2" t="s">
        <v>31</v>
      </c>
      <c r="M494" s="4">
        <v>45456</v>
      </c>
      <c r="N494" s="2" t="s">
        <v>23</v>
      </c>
      <c r="O494" s="2">
        <f t="shared" si="31"/>
        <v>0</v>
      </c>
      <c r="P494" s="2" t="s">
        <v>23</v>
      </c>
      <c r="Q494" s="2" t="s">
        <v>23</v>
      </c>
      <c r="R494" s="2" t="s">
        <v>23</v>
      </c>
      <c r="S494" s="2" t="s">
        <v>23</v>
      </c>
      <c r="T494" s="2" t="s">
        <v>23</v>
      </c>
      <c r="U494" s="25">
        <f t="shared" si="29"/>
        <v>9735.0004939999999</v>
      </c>
    </row>
    <row r="495" spans="1:21">
      <c r="A495" s="2" t="s">
        <v>924</v>
      </c>
      <c r="B495" s="2" t="s">
        <v>925</v>
      </c>
      <c r="C495" s="2" t="s">
        <v>35</v>
      </c>
      <c r="D495" s="2">
        <v>72</v>
      </c>
      <c r="E495" s="2" t="str">
        <f t="shared" si="30"/>
        <v>60+</v>
      </c>
      <c r="F495" s="2" t="s">
        <v>91</v>
      </c>
      <c r="G495" s="2" t="s">
        <v>21</v>
      </c>
      <c r="H495" s="2">
        <v>6</v>
      </c>
      <c r="I495" s="2" t="str">
        <f t="shared" si="28"/>
        <v>0-6 months</v>
      </c>
      <c r="J495" s="3">
        <v>1099</v>
      </c>
      <c r="K495" s="3">
        <v>6594</v>
      </c>
      <c r="L495" s="2" t="s">
        <v>37</v>
      </c>
      <c r="M495" s="4">
        <v>45743</v>
      </c>
      <c r="N495" s="2" t="s">
        <v>23</v>
      </c>
      <c r="O495" s="2">
        <f t="shared" si="31"/>
        <v>0</v>
      </c>
      <c r="P495" s="2" t="s">
        <v>23</v>
      </c>
      <c r="Q495" s="2" t="s">
        <v>23</v>
      </c>
      <c r="R495" s="2" t="s">
        <v>23</v>
      </c>
      <c r="S495" s="2" t="s">
        <v>23</v>
      </c>
      <c r="T495" s="2" t="s">
        <v>23</v>
      </c>
      <c r="U495" s="25">
        <f t="shared" si="29"/>
        <v>6594.0004950000002</v>
      </c>
    </row>
    <row r="496" spans="1:21">
      <c r="A496" s="2" t="s">
        <v>926</v>
      </c>
      <c r="B496" s="2" t="s">
        <v>49</v>
      </c>
      <c r="C496" s="2" t="s">
        <v>19</v>
      </c>
      <c r="D496" s="2">
        <v>44</v>
      </c>
      <c r="E496" s="2" t="str">
        <f t="shared" si="30"/>
        <v>36-45</v>
      </c>
      <c r="F496" s="2" t="s">
        <v>110</v>
      </c>
      <c r="G496" s="2" t="s">
        <v>47</v>
      </c>
      <c r="H496" s="2">
        <v>53</v>
      </c>
      <c r="I496" s="2" t="str">
        <f t="shared" si="28"/>
        <v>49+ months</v>
      </c>
      <c r="J496" s="3">
        <v>399</v>
      </c>
      <c r="K496" s="3">
        <v>21147</v>
      </c>
      <c r="L496" s="2" t="s">
        <v>66</v>
      </c>
      <c r="M496" s="4">
        <v>44336</v>
      </c>
      <c r="N496" s="2" t="s">
        <v>23</v>
      </c>
      <c r="O496" s="2">
        <f t="shared" si="31"/>
        <v>0</v>
      </c>
      <c r="P496" s="2" t="s">
        <v>23</v>
      </c>
      <c r="Q496" s="2" t="s">
        <v>23</v>
      </c>
      <c r="R496" s="2" t="s">
        <v>23</v>
      </c>
      <c r="S496" s="2" t="s">
        <v>23</v>
      </c>
      <c r="T496" s="2" t="s">
        <v>23</v>
      </c>
      <c r="U496" s="25">
        <f t="shared" si="29"/>
        <v>21147.000496000001</v>
      </c>
    </row>
    <row r="497" spans="1:21">
      <c r="A497" s="2" t="s">
        <v>927</v>
      </c>
      <c r="B497" s="2" t="s">
        <v>928</v>
      </c>
      <c r="C497" s="2" t="s">
        <v>19</v>
      </c>
      <c r="D497" s="2">
        <v>49</v>
      </c>
      <c r="E497" s="2" t="str">
        <f t="shared" si="30"/>
        <v>46-60</v>
      </c>
      <c r="F497" s="2" t="s">
        <v>141</v>
      </c>
      <c r="G497" s="2" t="s">
        <v>21</v>
      </c>
      <c r="H497" s="2">
        <v>8</v>
      </c>
      <c r="I497" s="2" t="str">
        <f t="shared" si="28"/>
        <v>7-12 months</v>
      </c>
      <c r="J497" s="3">
        <v>1099</v>
      </c>
      <c r="K497" s="3">
        <v>8792</v>
      </c>
      <c r="L497" s="2" t="s">
        <v>22</v>
      </c>
      <c r="M497" s="4">
        <v>45662</v>
      </c>
      <c r="N497" s="2" t="s">
        <v>23</v>
      </c>
      <c r="O497" s="2">
        <f t="shared" si="31"/>
        <v>0</v>
      </c>
      <c r="P497" s="2" t="s">
        <v>23</v>
      </c>
      <c r="Q497" s="2" t="s">
        <v>23</v>
      </c>
      <c r="R497" s="2" t="s">
        <v>23</v>
      </c>
      <c r="S497" s="2" t="s">
        <v>23</v>
      </c>
      <c r="T497" s="2" t="s">
        <v>23</v>
      </c>
      <c r="U497" s="25">
        <f t="shared" si="29"/>
        <v>8792.0004970000009</v>
      </c>
    </row>
    <row r="498" spans="1:21">
      <c r="A498" s="2" t="s">
        <v>929</v>
      </c>
      <c r="B498" s="2" t="s">
        <v>930</v>
      </c>
      <c r="C498" s="2" t="s">
        <v>35</v>
      </c>
      <c r="D498" s="2">
        <v>57</v>
      </c>
      <c r="E498" s="2" t="str">
        <f t="shared" si="30"/>
        <v>46-60</v>
      </c>
      <c r="F498" s="2" t="s">
        <v>141</v>
      </c>
      <c r="G498" s="2" t="s">
        <v>27</v>
      </c>
      <c r="H498" s="2">
        <v>3</v>
      </c>
      <c r="I498" s="2" t="str">
        <f t="shared" si="28"/>
        <v>0-6 months</v>
      </c>
      <c r="J498" s="3">
        <v>899</v>
      </c>
      <c r="K498" s="3">
        <v>2697</v>
      </c>
      <c r="L498" s="2" t="s">
        <v>22</v>
      </c>
      <c r="M498" s="4">
        <v>45810</v>
      </c>
      <c r="N498" s="2" t="s">
        <v>23</v>
      </c>
      <c r="O498" s="2">
        <f t="shared" si="31"/>
        <v>0</v>
      </c>
      <c r="P498" s="2" t="s">
        <v>23</v>
      </c>
      <c r="Q498" s="2" t="s">
        <v>23</v>
      </c>
      <c r="R498" s="2" t="s">
        <v>23</v>
      </c>
      <c r="S498" s="2" t="s">
        <v>23</v>
      </c>
      <c r="T498" s="2" t="s">
        <v>23</v>
      </c>
      <c r="U498" s="25">
        <f t="shared" si="29"/>
        <v>2697.0004979999999</v>
      </c>
    </row>
    <row r="499" spans="1:21">
      <c r="A499" s="2" t="s">
        <v>931</v>
      </c>
      <c r="B499" s="2" t="s">
        <v>932</v>
      </c>
      <c r="C499" s="2" t="s">
        <v>19</v>
      </c>
      <c r="D499" s="2">
        <v>52</v>
      </c>
      <c r="E499" s="2" t="str">
        <f t="shared" si="30"/>
        <v>46-60</v>
      </c>
      <c r="F499" s="2" t="s">
        <v>105</v>
      </c>
      <c r="G499" s="2" t="s">
        <v>47</v>
      </c>
      <c r="H499" s="2">
        <v>50</v>
      </c>
      <c r="I499" s="2" t="str">
        <f t="shared" si="28"/>
        <v>49+ months</v>
      </c>
      <c r="J499" s="3">
        <v>799</v>
      </c>
      <c r="K499" s="3">
        <v>39950</v>
      </c>
      <c r="L499" s="2" t="s">
        <v>31</v>
      </c>
      <c r="M499" s="4">
        <v>44414</v>
      </c>
      <c r="N499" s="2" t="s">
        <v>23</v>
      </c>
      <c r="O499" s="2">
        <f t="shared" si="31"/>
        <v>0</v>
      </c>
      <c r="P499" s="2" t="s">
        <v>23</v>
      </c>
      <c r="Q499" s="2" t="s">
        <v>23</v>
      </c>
      <c r="R499" s="2" t="s">
        <v>23</v>
      </c>
      <c r="S499" s="2" t="s">
        <v>23</v>
      </c>
      <c r="T499" s="2" t="s">
        <v>23</v>
      </c>
      <c r="U499" s="25">
        <f t="shared" si="29"/>
        <v>39950.000499000002</v>
      </c>
    </row>
    <row r="500" spans="1:21">
      <c r="A500" s="2" t="s">
        <v>933</v>
      </c>
      <c r="B500" s="2" t="s">
        <v>934</v>
      </c>
      <c r="C500" s="2" t="s">
        <v>35</v>
      </c>
      <c r="D500" s="2">
        <v>47</v>
      </c>
      <c r="E500" s="2" t="str">
        <f t="shared" si="30"/>
        <v>46-60</v>
      </c>
      <c r="F500" s="2" t="s">
        <v>63</v>
      </c>
      <c r="G500" s="2" t="s">
        <v>21</v>
      </c>
      <c r="H500" s="2">
        <v>2</v>
      </c>
      <c r="I500" s="2" t="str">
        <f t="shared" si="28"/>
        <v>0-6 months</v>
      </c>
      <c r="J500" s="3">
        <v>1149</v>
      </c>
      <c r="K500" s="3">
        <v>2298</v>
      </c>
      <c r="L500" s="2" t="s">
        <v>22</v>
      </c>
      <c r="M500" s="4">
        <v>45848</v>
      </c>
      <c r="N500" s="2" t="s">
        <v>32</v>
      </c>
      <c r="O500" s="2">
        <f t="shared" si="31"/>
        <v>1</v>
      </c>
      <c r="P500" s="2" t="s">
        <v>23</v>
      </c>
      <c r="Q500" s="2" t="s">
        <v>23</v>
      </c>
      <c r="R500" s="2" t="s">
        <v>23</v>
      </c>
      <c r="S500" s="2" t="s">
        <v>23</v>
      </c>
      <c r="T500" s="2" t="s">
        <v>23</v>
      </c>
      <c r="U500" s="25">
        <f t="shared" si="29"/>
        <v>2298.0005000000001</v>
      </c>
    </row>
    <row r="501" spans="1:21">
      <c r="A501" s="2" t="s">
        <v>935</v>
      </c>
      <c r="B501" s="2" t="s">
        <v>340</v>
      </c>
      <c r="C501" s="2" t="s">
        <v>35</v>
      </c>
      <c r="D501" s="2">
        <v>50</v>
      </c>
      <c r="E501" s="2" t="str">
        <f t="shared" si="30"/>
        <v>46-60</v>
      </c>
      <c r="F501" s="2" t="s">
        <v>41</v>
      </c>
      <c r="G501" s="2" t="s">
        <v>21</v>
      </c>
      <c r="H501" s="2">
        <v>23</v>
      </c>
      <c r="I501" s="2" t="str">
        <f t="shared" si="28"/>
        <v>13-24 months</v>
      </c>
      <c r="J501" s="3">
        <v>999</v>
      </c>
      <c r="K501" s="3">
        <v>22977</v>
      </c>
      <c r="L501" s="2" t="s">
        <v>22</v>
      </c>
      <c r="M501" s="4">
        <v>45224</v>
      </c>
      <c r="N501" s="2" t="s">
        <v>32</v>
      </c>
      <c r="O501" s="2">
        <f t="shared" si="31"/>
        <v>1</v>
      </c>
      <c r="P501" s="2" t="s">
        <v>23</v>
      </c>
      <c r="Q501" s="2" t="s">
        <v>23</v>
      </c>
      <c r="R501" s="2" t="s">
        <v>23</v>
      </c>
      <c r="S501" s="2" t="s">
        <v>23</v>
      </c>
      <c r="T501" s="2" t="s">
        <v>23</v>
      </c>
      <c r="U501" s="25">
        <f t="shared" si="29"/>
        <v>22977.000500999999</v>
      </c>
    </row>
    <row r="502" spans="1:21">
      <c r="A502" s="2" t="s">
        <v>936</v>
      </c>
      <c r="B502" s="2" t="s">
        <v>45</v>
      </c>
      <c r="C502" s="2" t="s">
        <v>19</v>
      </c>
      <c r="D502" s="2">
        <v>55</v>
      </c>
      <c r="E502" s="2" t="str">
        <f t="shared" si="30"/>
        <v>46-60</v>
      </c>
      <c r="F502" s="2" t="s">
        <v>141</v>
      </c>
      <c r="G502" s="2" t="s">
        <v>47</v>
      </c>
      <c r="H502" s="2">
        <v>12</v>
      </c>
      <c r="I502" s="2" t="str">
        <f t="shared" si="28"/>
        <v>7-12 months</v>
      </c>
      <c r="J502" s="3">
        <v>399</v>
      </c>
      <c r="K502" s="3">
        <v>4788</v>
      </c>
      <c r="L502" s="2" t="s">
        <v>66</v>
      </c>
      <c r="M502" s="4">
        <v>45565</v>
      </c>
      <c r="N502" s="2" t="s">
        <v>23</v>
      </c>
      <c r="O502" s="2">
        <f t="shared" si="31"/>
        <v>0</v>
      </c>
      <c r="P502" s="2" t="s">
        <v>23</v>
      </c>
      <c r="Q502" s="2" t="s">
        <v>23</v>
      </c>
      <c r="R502" s="2" t="s">
        <v>23</v>
      </c>
      <c r="S502" s="2" t="s">
        <v>23</v>
      </c>
      <c r="T502" s="2" t="s">
        <v>23</v>
      </c>
      <c r="U502" s="25">
        <f t="shared" si="29"/>
        <v>4788.0005019999999</v>
      </c>
    </row>
    <row r="503" spans="1:21">
      <c r="A503" s="2" t="s">
        <v>937</v>
      </c>
      <c r="B503" s="2" t="s">
        <v>938</v>
      </c>
      <c r="C503" s="2" t="s">
        <v>19</v>
      </c>
      <c r="D503" s="2">
        <v>46</v>
      </c>
      <c r="E503" s="2" t="str">
        <f t="shared" si="30"/>
        <v>46-60</v>
      </c>
      <c r="F503" s="2" t="s">
        <v>71</v>
      </c>
      <c r="G503" s="2" t="s">
        <v>21</v>
      </c>
      <c r="H503" s="2">
        <v>13</v>
      </c>
      <c r="I503" s="2" t="str">
        <f t="shared" si="28"/>
        <v>13-24 months</v>
      </c>
      <c r="J503" s="3">
        <v>1299</v>
      </c>
      <c r="K503" s="3">
        <v>16887</v>
      </c>
      <c r="L503" s="2" t="s">
        <v>22</v>
      </c>
      <c r="M503" s="4">
        <v>45533</v>
      </c>
      <c r="N503" s="2" t="s">
        <v>23</v>
      </c>
      <c r="O503" s="2">
        <f t="shared" si="31"/>
        <v>0</v>
      </c>
      <c r="P503" s="2" t="s">
        <v>23</v>
      </c>
      <c r="Q503" s="2" t="s">
        <v>23</v>
      </c>
      <c r="R503" s="2" t="s">
        <v>23</v>
      </c>
      <c r="S503" s="2" t="s">
        <v>23</v>
      </c>
      <c r="T503" s="2" t="s">
        <v>23</v>
      </c>
      <c r="U503" s="25">
        <f t="shared" si="29"/>
        <v>16887.000502999999</v>
      </c>
    </row>
    <row r="504" spans="1:21">
      <c r="A504" s="2" t="s">
        <v>939</v>
      </c>
      <c r="B504" s="2" t="s">
        <v>431</v>
      </c>
      <c r="C504" s="2" t="s">
        <v>35</v>
      </c>
      <c r="D504" s="2">
        <v>20</v>
      </c>
      <c r="E504" s="2" t="str">
        <f t="shared" si="30"/>
        <v>18-25</v>
      </c>
      <c r="F504" s="2" t="s">
        <v>110</v>
      </c>
      <c r="G504" s="2" t="s">
        <v>21</v>
      </c>
      <c r="H504" s="2">
        <v>22</v>
      </c>
      <c r="I504" s="2" t="str">
        <f t="shared" si="28"/>
        <v>13-24 months</v>
      </c>
      <c r="J504" s="3">
        <v>899</v>
      </c>
      <c r="K504" s="3">
        <v>19778</v>
      </c>
      <c r="L504" s="2" t="s">
        <v>31</v>
      </c>
      <c r="M504" s="4">
        <v>45263</v>
      </c>
      <c r="N504" s="2" t="s">
        <v>23</v>
      </c>
      <c r="O504" s="2">
        <f t="shared" si="31"/>
        <v>0</v>
      </c>
      <c r="P504" s="2" t="s">
        <v>23</v>
      </c>
      <c r="Q504" s="2" t="s">
        <v>23</v>
      </c>
      <c r="R504" s="2" t="s">
        <v>23</v>
      </c>
      <c r="S504" s="2" t="s">
        <v>23</v>
      </c>
      <c r="T504" s="2" t="s">
        <v>23</v>
      </c>
      <c r="U504" s="25">
        <f t="shared" si="29"/>
        <v>19778.000504</v>
      </c>
    </row>
    <row r="505" spans="1:21">
      <c r="A505" s="2" t="s">
        <v>940</v>
      </c>
      <c r="B505" s="2" t="s">
        <v>895</v>
      </c>
      <c r="C505" s="2" t="s">
        <v>19</v>
      </c>
      <c r="D505" s="2">
        <v>37</v>
      </c>
      <c r="E505" s="2" t="str">
        <f t="shared" si="30"/>
        <v>36-45</v>
      </c>
      <c r="F505" s="2" t="s">
        <v>141</v>
      </c>
      <c r="G505" s="2" t="s">
        <v>27</v>
      </c>
      <c r="H505" s="2">
        <v>12</v>
      </c>
      <c r="I505" s="2" t="str">
        <f t="shared" si="28"/>
        <v>7-12 months</v>
      </c>
      <c r="J505" s="3">
        <v>999</v>
      </c>
      <c r="K505" s="3">
        <v>11988</v>
      </c>
      <c r="L505" s="2" t="s">
        <v>22</v>
      </c>
      <c r="M505" s="4">
        <v>45544</v>
      </c>
      <c r="N505" s="2" t="s">
        <v>32</v>
      </c>
      <c r="O505" s="2">
        <f t="shared" si="31"/>
        <v>1</v>
      </c>
      <c r="P505" s="2" t="s">
        <v>23</v>
      </c>
      <c r="Q505" s="2" t="s">
        <v>23</v>
      </c>
      <c r="R505" s="2" t="s">
        <v>23</v>
      </c>
      <c r="S505" s="2" t="s">
        <v>23</v>
      </c>
      <c r="T505" s="2" t="s">
        <v>23</v>
      </c>
      <c r="U505" s="25">
        <f t="shared" si="29"/>
        <v>11988.000505</v>
      </c>
    </row>
    <row r="506" spans="1:21">
      <c r="A506" s="2" t="s">
        <v>941</v>
      </c>
      <c r="B506" s="2" t="s">
        <v>942</v>
      </c>
      <c r="C506" s="2" t="s">
        <v>35</v>
      </c>
      <c r="D506" s="2">
        <v>49</v>
      </c>
      <c r="E506" s="2" t="str">
        <f t="shared" si="30"/>
        <v>46-60</v>
      </c>
      <c r="F506" s="2" t="s">
        <v>57</v>
      </c>
      <c r="G506" s="2" t="s">
        <v>21</v>
      </c>
      <c r="H506" s="2">
        <v>20</v>
      </c>
      <c r="I506" s="2" t="str">
        <f t="shared" si="28"/>
        <v>13-24 months</v>
      </c>
      <c r="J506" s="3">
        <v>399</v>
      </c>
      <c r="K506" s="3">
        <v>7980</v>
      </c>
      <c r="L506" s="2" t="s">
        <v>66</v>
      </c>
      <c r="M506" s="4">
        <v>45313</v>
      </c>
      <c r="N506" s="2" t="s">
        <v>23</v>
      </c>
      <c r="O506" s="2">
        <f t="shared" si="31"/>
        <v>0</v>
      </c>
      <c r="P506" s="2" t="s">
        <v>23</v>
      </c>
      <c r="Q506" s="2" t="s">
        <v>23</v>
      </c>
      <c r="R506" s="2" t="s">
        <v>23</v>
      </c>
      <c r="S506" s="2" t="s">
        <v>23</v>
      </c>
      <c r="T506" s="2" t="s">
        <v>23</v>
      </c>
      <c r="U506" s="25">
        <f t="shared" si="29"/>
        <v>7980.0005060000003</v>
      </c>
    </row>
    <row r="507" spans="1:21">
      <c r="A507" s="2" t="s">
        <v>943</v>
      </c>
      <c r="B507" s="2" t="s">
        <v>944</v>
      </c>
      <c r="C507" s="2" t="s">
        <v>35</v>
      </c>
      <c r="D507" s="2">
        <v>23</v>
      </c>
      <c r="E507" s="2" t="str">
        <f t="shared" si="30"/>
        <v>18-25</v>
      </c>
      <c r="F507" s="2" t="s">
        <v>91</v>
      </c>
      <c r="G507" s="2" t="s">
        <v>27</v>
      </c>
      <c r="H507" s="2">
        <v>36</v>
      </c>
      <c r="I507" s="2" t="str">
        <f t="shared" si="28"/>
        <v>25-48 months</v>
      </c>
      <c r="J507" s="3">
        <v>699</v>
      </c>
      <c r="K507" s="3">
        <v>25164</v>
      </c>
      <c r="L507" s="2" t="s">
        <v>31</v>
      </c>
      <c r="M507" s="4">
        <v>44842</v>
      </c>
      <c r="N507" s="2" t="s">
        <v>23</v>
      </c>
      <c r="O507" s="2">
        <f t="shared" si="31"/>
        <v>0</v>
      </c>
      <c r="P507" s="2" t="s">
        <v>23</v>
      </c>
      <c r="Q507" s="2" t="s">
        <v>23</v>
      </c>
      <c r="R507" s="2" t="s">
        <v>23</v>
      </c>
      <c r="S507" s="2" t="s">
        <v>23</v>
      </c>
      <c r="T507" s="2" t="s">
        <v>23</v>
      </c>
      <c r="U507" s="25">
        <f t="shared" si="29"/>
        <v>25164.000507000001</v>
      </c>
    </row>
    <row r="508" spans="1:21">
      <c r="A508" s="2" t="s">
        <v>945</v>
      </c>
      <c r="B508" s="2" t="s">
        <v>946</v>
      </c>
      <c r="C508" s="2" t="s">
        <v>19</v>
      </c>
      <c r="D508" s="2">
        <v>21</v>
      </c>
      <c r="E508" s="2" t="str">
        <f t="shared" si="30"/>
        <v>18-25</v>
      </c>
      <c r="F508" s="2" t="s">
        <v>71</v>
      </c>
      <c r="G508" s="2" t="s">
        <v>21</v>
      </c>
      <c r="H508" s="2">
        <v>2</v>
      </c>
      <c r="I508" s="2" t="str">
        <f t="shared" si="28"/>
        <v>0-6 months</v>
      </c>
      <c r="J508" s="3">
        <v>849</v>
      </c>
      <c r="K508" s="3">
        <v>1698</v>
      </c>
      <c r="L508" s="2" t="s">
        <v>31</v>
      </c>
      <c r="M508" s="4">
        <v>45839</v>
      </c>
      <c r="N508" s="2" t="s">
        <v>32</v>
      </c>
      <c r="O508" s="2">
        <f t="shared" si="31"/>
        <v>1</v>
      </c>
      <c r="P508" s="2" t="s">
        <v>23</v>
      </c>
      <c r="Q508" s="2" t="s">
        <v>23</v>
      </c>
      <c r="R508" s="2" t="s">
        <v>32</v>
      </c>
      <c r="S508" s="2" t="s">
        <v>23</v>
      </c>
      <c r="T508" s="2" t="s">
        <v>23</v>
      </c>
      <c r="U508" s="25">
        <f t="shared" si="29"/>
        <v>1698.0005080000001</v>
      </c>
    </row>
    <row r="509" spans="1:21">
      <c r="A509" s="2" t="s">
        <v>947</v>
      </c>
      <c r="B509" s="2" t="s">
        <v>948</v>
      </c>
      <c r="C509" s="2" t="s">
        <v>19</v>
      </c>
      <c r="D509" s="2">
        <v>44</v>
      </c>
      <c r="E509" s="2" t="str">
        <f t="shared" si="30"/>
        <v>36-45</v>
      </c>
      <c r="F509" s="2" t="s">
        <v>63</v>
      </c>
      <c r="G509" s="2" t="s">
        <v>21</v>
      </c>
      <c r="H509" s="2">
        <v>22</v>
      </c>
      <c r="I509" s="2" t="str">
        <f t="shared" si="28"/>
        <v>13-24 months</v>
      </c>
      <c r="J509" s="3">
        <v>849</v>
      </c>
      <c r="K509" s="3">
        <v>18678</v>
      </c>
      <c r="L509" s="2" t="s">
        <v>31</v>
      </c>
      <c r="M509" s="4">
        <v>45251</v>
      </c>
      <c r="N509" s="2" t="s">
        <v>23</v>
      </c>
      <c r="O509" s="2">
        <f t="shared" si="31"/>
        <v>0</v>
      </c>
      <c r="P509" s="2" t="s">
        <v>23</v>
      </c>
      <c r="Q509" s="2" t="s">
        <v>23</v>
      </c>
      <c r="R509" s="2" t="s">
        <v>23</v>
      </c>
      <c r="S509" s="2" t="s">
        <v>23</v>
      </c>
      <c r="T509" s="2" t="s">
        <v>23</v>
      </c>
      <c r="U509" s="25">
        <f t="shared" si="29"/>
        <v>18678.000509000001</v>
      </c>
    </row>
    <row r="510" spans="1:21">
      <c r="A510" s="2" t="s">
        <v>949</v>
      </c>
      <c r="B510" s="2" t="s">
        <v>950</v>
      </c>
      <c r="C510" s="2" t="s">
        <v>19</v>
      </c>
      <c r="D510" s="2">
        <v>55</v>
      </c>
      <c r="E510" s="2" t="str">
        <f t="shared" si="30"/>
        <v>46-60</v>
      </c>
      <c r="F510" s="2" t="s">
        <v>30</v>
      </c>
      <c r="G510" s="2" t="s">
        <v>47</v>
      </c>
      <c r="H510" s="2">
        <v>39</v>
      </c>
      <c r="I510" s="2" t="str">
        <f t="shared" si="28"/>
        <v>25-48 months</v>
      </c>
      <c r="J510" s="3">
        <v>699</v>
      </c>
      <c r="K510" s="3">
        <v>27261</v>
      </c>
      <c r="L510" s="2" t="s">
        <v>31</v>
      </c>
      <c r="M510" s="4">
        <v>44734</v>
      </c>
      <c r="N510" s="2" t="s">
        <v>23</v>
      </c>
      <c r="O510" s="2">
        <f t="shared" si="31"/>
        <v>0</v>
      </c>
      <c r="P510" s="2" t="s">
        <v>23</v>
      </c>
      <c r="Q510" s="2" t="s">
        <v>23</v>
      </c>
      <c r="R510" s="2" t="s">
        <v>23</v>
      </c>
      <c r="S510" s="2" t="s">
        <v>23</v>
      </c>
      <c r="T510" s="2" t="s">
        <v>23</v>
      </c>
      <c r="U510" s="25">
        <f t="shared" si="29"/>
        <v>27261.000510000002</v>
      </c>
    </row>
    <row r="511" spans="1:21">
      <c r="A511" s="2" t="s">
        <v>951</v>
      </c>
      <c r="B511" s="2" t="s">
        <v>481</v>
      </c>
      <c r="C511" s="2" t="s">
        <v>35</v>
      </c>
      <c r="D511" s="2">
        <v>36</v>
      </c>
      <c r="E511" s="2" t="str">
        <f t="shared" si="30"/>
        <v>36-45</v>
      </c>
      <c r="F511" s="2" t="s">
        <v>60</v>
      </c>
      <c r="G511" s="2" t="s">
        <v>21</v>
      </c>
      <c r="H511" s="2">
        <v>9</v>
      </c>
      <c r="I511" s="2" t="str">
        <f t="shared" si="28"/>
        <v>7-12 months</v>
      </c>
      <c r="J511" s="3">
        <v>1149</v>
      </c>
      <c r="K511" s="3">
        <v>10341</v>
      </c>
      <c r="L511" s="2" t="s">
        <v>22</v>
      </c>
      <c r="M511" s="4">
        <v>45636</v>
      </c>
      <c r="N511" s="2" t="s">
        <v>23</v>
      </c>
      <c r="O511" s="2">
        <f t="shared" si="31"/>
        <v>0</v>
      </c>
      <c r="P511" s="2" t="s">
        <v>23</v>
      </c>
      <c r="Q511" s="2" t="s">
        <v>23</v>
      </c>
      <c r="R511" s="2" t="s">
        <v>23</v>
      </c>
      <c r="S511" s="2" t="s">
        <v>23</v>
      </c>
      <c r="T511" s="2" t="s">
        <v>23</v>
      </c>
      <c r="U511" s="25">
        <f t="shared" si="29"/>
        <v>10341.000511</v>
      </c>
    </row>
    <row r="512" spans="1:21">
      <c r="A512" s="2" t="s">
        <v>952</v>
      </c>
      <c r="B512" s="2" t="s">
        <v>953</v>
      </c>
      <c r="C512" s="2" t="s">
        <v>19</v>
      </c>
      <c r="D512" s="2">
        <v>24</v>
      </c>
      <c r="E512" s="2" t="str">
        <f t="shared" si="30"/>
        <v>18-25</v>
      </c>
      <c r="F512" s="2" t="s">
        <v>91</v>
      </c>
      <c r="G512" s="2" t="s">
        <v>27</v>
      </c>
      <c r="H512" s="2">
        <v>6</v>
      </c>
      <c r="I512" s="2" t="str">
        <f t="shared" si="28"/>
        <v>0-6 months</v>
      </c>
      <c r="J512" s="3">
        <v>1199</v>
      </c>
      <c r="K512" s="3">
        <v>7194</v>
      </c>
      <c r="L512" s="2" t="s">
        <v>22</v>
      </c>
      <c r="M512" s="4">
        <v>45726</v>
      </c>
      <c r="N512" s="2" t="s">
        <v>23</v>
      </c>
      <c r="O512" s="2">
        <f t="shared" si="31"/>
        <v>0</v>
      </c>
      <c r="P512" s="2" t="s">
        <v>23</v>
      </c>
      <c r="Q512" s="2" t="s">
        <v>23</v>
      </c>
      <c r="R512" s="2" t="s">
        <v>23</v>
      </c>
      <c r="S512" s="2" t="s">
        <v>23</v>
      </c>
      <c r="T512" s="2" t="s">
        <v>23</v>
      </c>
      <c r="U512" s="25">
        <f t="shared" si="29"/>
        <v>7194.0005119999996</v>
      </c>
    </row>
    <row r="513" spans="1:21">
      <c r="A513" s="2" t="s">
        <v>954</v>
      </c>
      <c r="B513" s="2" t="s">
        <v>955</v>
      </c>
      <c r="C513" s="2" t="s">
        <v>35</v>
      </c>
      <c r="D513" s="2">
        <v>72</v>
      </c>
      <c r="E513" s="2" t="str">
        <f t="shared" si="30"/>
        <v>60+</v>
      </c>
      <c r="F513" s="2" t="s">
        <v>30</v>
      </c>
      <c r="G513" s="2" t="s">
        <v>21</v>
      </c>
      <c r="H513" s="2">
        <v>20</v>
      </c>
      <c r="I513" s="2" t="str">
        <f t="shared" si="28"/>
        <v>13-24 months</v>
      </c>
      <c r="J513" s="3">
        <v>999</v>
      </c>
      <c r="K513" s="3">
        <v>19980</v>
      </c>
      <c r="L513" s="2" t="s">
        <v>22</v>
      </c>
      <c r="M513" s="4">
        <v>45312</v>
      </c>
      <c r="N513" s="2" t="s">
        <v>23</v>
      </c>
      <c r="O513" s="2">
        <f t="shared" si="31"/>
        <v>0</v>
      </c>
      <c r="P513" s="2" t="s">
        <v>23</v>
      </c>
      <c r="Q513" s="2" t="s">
        <v>23</v>
      </c>
      <c r="R513" s="2" t="s">
        <v>32</v>
      </c>
      <c r="S513" s="2" t="s">
        <v>23</v>
      </c>
      <c r="T513" s="2" t="s">
        <v>23</v>
      </c>
      <c r="U513" s="25">
        <f t="shared" si="29"/>
        <v>19980.000512999999</v>
      </c>
    </row>
    <row r="514" spans="1:21">
      <c r="A514" s="2" t="s">
        <v>956</v>
      </c>
      <c r="B514" s="2" t="s">
        <v>816</v>
      </c>
      <c r="C514" s="2" t="s">
        <v>35</v>
      </c>
      <c r="D514" s="2">
        <v>74</v>
      </c>
      <c r="E514" s="2" t="str">
        <f t="shared" si="30"/>
        <v>60+</v>
      </c>
      <c r="F514" s="2" t="s">
        <v>91</v>
      </c>
      <c r="G514" s="2" t="s">
        <v>21</v>
      </c>
      <c r="H514" s="2">
        <v>7</v>
      </c>
      <c r="I514" s="2" t="str">
        <f t="shared" ref="I514:I577" si="32">IF(H514="","Unknown",IF(H514&lt;=6,"0-6 months",IF(H514&lt;=12,"7-12 months",IF(H514&lt;=24,"13-24 months",IF(H514&lt;=48,"25-48 months","49+ months")))))</f>
        <v>7-12 months</v>
      </c>
      <c r="J514" s="3">
        <v>599</v>
      </c>
      <c r="K514" s="3">
        <v>4193</v>
      </c>
      <c r="L514" s="2" t="s">
        <v>31</v>
      </c>
      <c r="M514" s="4">
        <v>45693</v>
      </c>
      <c r="N514" s="2" t="s">
        <v>23</v>
      </c>
      <c r="O514" s="2">
        <f t="shared" si="31"/>
        <v>0</v>
      </c>
      <c r="P514" s="2" t="s">
        <v>23</v>
      </c>
      <c r="Q514" s="2" t="s">
        <v>23</v>
      </c>
      <c r="R514" s="2" t="s">
        <v>23</v>
      </c>
      <c r="S514" s="2" t="s">
        <v>23</v>
      </c>
      <c r="T514" s="2" t="s">
        <v>23</v>
      </c>
      <c r="U514" s="25">
        <f t="shared" ref="U514:U577" si="33">IF(K514="","",K514+ROW()/1000000)</f>
        <v>4193.0005140000003</v>
      </c>
    </row>
    <row r="515" spans="1:21">
      <c r="A515" s="2" t="s">
        <v>957</v>
      </c>
      <c r="B515" s="2" t="s">
        <v>958</v>
      </c>
      <c r="C515" s="2" t="s">
        <v>19</v>
      </c>
      <c r="D515" s="2">
        <v>47</v>
      </c>
      <c r="E515" s="2" t="str">
        <f t="shared" ref="E515:E578" si="34">IF(D515&lt;=25,"18-25",IF(D515&lt;=35,"26-35",IF(D515&lt;=45,"36-45",IF(D515&lt;=60,"46-60","60+"))))</f>
        <v>46-60</v>
      </c>
      <c r="F515" s="2" t="s">
        <v>105</v>
      </c>
      <c r="G515" s="2" t="s">
        <v>21</v>
      </c>
      <c r="H515" s="2">
        <v>21</v>
      </c>
      <c r="I515" s="2" t="str">
        <f t="shared" si="32"/>
        <v>13-24 months</v>
      </c>
      <c r="J515" s="3">
        <v>649</v>
      </c>
      <c r="K515" s="3">
        <v>13629</v>
      </c>
      <c r="L515" s="2" t="s">
        <v>31</v>
      </c>
      <c r="M515" s="4">
        <v>45290</v>
      </c>
      <c r="N515" s="2" t="s">
        <v>23</v>
      </c>
      <c r="O515" s="2">
        <f t="shared" ref="O515:O578" si="35">IF(N515="Yes",1,IF(N515="No",0,""))</f>
        <v>0</v>
      </c>
      <c r="P515" s="2" t="s">
        <v>32</v>
      </c>
      <c r="Q515" s="2" t="s">
        <v>23</v>
      </c>
      <c r="R515" s="2" t="s">
        <v>23</v>
      </c>
      <c r="S515" s="2" t="s">
        <v>23</v>
      </c>
      <c r="T515" s="2" t="s">
        <v>23</v>
      </c>
      <c r="U515" s="25">
        <f t="shared" si="33"/>
        <v>13629.000515</v>
      </c>
    </row>
    <row r="516" spans="1:21">
      <c r="A516" s="2" t="s">
        <v>959</v>
      </c>
      <c r="B516" s="2" t="s">
        <v>124</v>
      </c>
      <c r="C516" s="2" t="s">
        <v>19</v>
      </c>
      <c r="D516" s="2">
        <v>50</v>
      </c>
      <c r="E516" s="2" t="str">
        <f t="shared" si="34"/>
        <v>46-60</v>
      </c>
      <c r="F516" s="2" t="s">
        <v>26</v>
      </c>
      <c r="G516" s="2" t="s">
        <v>21</v>
      </c>
      <c r="H516" s="2">
        <v>22</v>
      </c>
      <c r="I516" s="2" t="str">
        <f t="shared" si="32"/>
        <v>13-24 months</v>
      </c>
      <c r="J516" s="3">
        <v>699</v>
      </c>
      <c r="K516" s="3">
        <v>15378</v>
      </c>
      <c r="L516" s="2" t="s">
        <v>31</v>
      </c>
      <c r="M516" s="4">
        <v>45249</v>
      </c>
      <c r="N516" s="2" t="s">
        <v>23</v>
      </c>
      <c r="O516" s="2">
        <f t="shared" si="35"/>
        <v>0</v>
      </c>
      <c r="P516" s="2" t="s">
        <v>23</v>
      </c>
      <c r="Q516" s="2" t="s">
        <v>23</v>
      </c>
      <c r="R516" s="2" t="s">
        <v>23</v>
      </c>
      <c r="S516" s="2" t="s">
        <v>23</v>
      </c>
      <c r="T516" s="2" t="s">
        <v>23</v>
      </c>
      <c r="U516" s="25">
        <f t="shared" si="33"/>
        <v>15378.000516</v>
      </c>
    </row>
    <row r="517" spans="1:21">
      <c r="A517" s="2" t="s">
        <v>960</v>
      </c>
      <c r="B517" s="2" t="s">
        <v>910</v>
      </c>
      <c r="C517" s="2" t="s">
        <v>19</v>
      </c>
      <c r="D517" s="2">
        <v>39</v>
      </c>
      <c r="E517" s="2" t="str">
        <f t="shared" si="34"/>
        <v>36-45</v>
      </c>
      <c r="F517" s="2" t="s">
        <v>57</v>
      </c>
      <c r="G517" s="2" t="s">
        <v>21</v>
      </c>
      <c r="H517" s="2">
        <v>16</v>
      </c>
      <c r="I517" s="2" t="str">
        <f t="shared" si="32"/>
        <v>13-24 months</v>
      </c>
      <c r="J517" s="3">
        <v>899</v>
      </c>
      <c r="K517" s="3">
        <v>14384</v>
      </c>
      <c r="L517" s="2" t="s">
        <v>22</v>
      </c>
      <c r="M517" s="4">
        <v>45428</v>
      </c>
      <c r="N517" s="2" t="s">
        <v>23</v>
      </c>
      <c r="O517" s="2">
        <f t="shared" si="35"/>
        <v>0</v>
      </c>
      <c r="P517" s="2" t="s">
        <v>23</v>
      </c>
      <c r="Q517" s="2" t="s">
        <v>23</v>
      </c>
      <c r="R517" s="2" t="s">
        <v>32</v>
      </c>
      <c r="S517" s="2" t="s">
        <v>23</v>
      </c>
      <c r="T517" s="2" t="s">
        <v>23</v>
      </c>
      <c r="U517" s="25">
        <f t="shared" si="33"/>
        <v>14384.000517</v>
      </c>
    </row>
    <row r="518" spans="1:21">
      <c r="A518" s="2" t="s">
        <v>961</v>
      </c>
      <c r="B518" s="2" t="s">
        <v>471</v>
      </c>
      <c r="C518" s="2" t="s">
        <v>35</v>
      </c>
      <c r="D518" s="2">
        <v>47</v>
      </c>
      <c r="E518" s="2" t="str">
        <f t="shared" si="34"/>
        <v>46-60</v>
      </c>
      <c r="F518" s="2" t="s">
        <v>110</v>
      </c>
      <c r="G518" s="2" t="s">
        <v>47</v>
      </c>
      <c r="H518" s="2">
        <v>8</v>
      </c>
      <c r="I518" s="2" t="str">
        <f t="shared" si="32"/>
        <v>7-12 months</v>
      </c>
      <c r="J518" s="3">
        <v>449</v>
      </c>
      <c r="K518" s="3">
        <v>3592</v>
      </c>
      <c r="L518" s="2" t="s">
        <v>66</v>
      </c>
      <c r="M518" s="4">
        <v>45667</v>
      </c>
      <c r="N518" s="2" t="s">
        <v>23</v>
      </c>
      <c r="O518" s="2">
        <f t="shared" si="35"/>
        <v>0</v>
      </c>
      <c r="P518" s="2" t="s">
        <v>23</v>
      </c>
      <c r="Q518" s="2" t="s">
        <v>23</v>
      </c>
      <c r="R518" s="2" t="s">
        <v>23</v>
      </c>
      <c r="S518" s="2" t="s">
        <v>23</v>
      </c>
      <c r="T518" s="2" t="s">
        <v>23</v>
      </c>
      <c r="U518" s="25">
        <f t="shared" si="33"/>
        <v>3592.0005179999998</v>
      </c>
    </row>
    <row r="519" spans="1:21">
      <c r="A519" s="2" t="s">
        <v>962</v>
      </c>
      <c r="B519" s="2" t="s">
        <v>963</v>
      </c>
      <c r="C519" s="2" t="s">
        <v>35</v>
      </c>
      <c r="D519" s="2">
        <v>19</v>
      </c>
      <c r="E519" s="2" t="str">
        <f t="shared" si="34"/>
        <v>18-25</v>
      </c>
      <c r="F519" s="2" t="s">
        <v>20</v>
      </c>
      <c r="G519" s="2" t="s">
        <v>27</v>
      </c>
      <c r="H519" s="2">
        <v>23</v>
      </c>
      <c r="I519" s="2" t="str">
        <f t="shared" si="32"/>
        <v>13-24 months</v>
      </c>
      <c r="J519" s="3">
        <v>599</v>
      </c>
      <c r="K519" s="3">
        <v>13777</v>
      </c>
      <c r="L519" s="2" t="s">
        <v>31</v>
      </c>
      <c r="M519" s="4">
        <v>45228</v>
      </c>
      <c r="N519" s="2" t="s">
        <v>23</v>
      </c>
      <c r="O519" s="2">
        <f t="shared" si="35"/>
        <v>0</v>
      </c>
      <c r="P519" s="2" t="s">
        <v>23</v>
      </c>
      <c r="Q519" s="2" t="s">
        <v>23</v>
      </c>
      <c r="R519" s="2" t="s">
        <v>23</v>
      </c>
      <c r="S519" s="2" t="s">
        <v>23</v>
      </c>
      <c r="T519" s="2" t="s">
        <v>23</v>
      </c>
      <c r="U519" s="25">
        <f t="shared" si="33"/>
        <v>13777.000518999999</v>
      </c>
    </row>
    <row r="520" spans="1:21">
      <c r="A520" s="2" t="s">
        <v>964</v>
      </c>
      <c r="B520" s="2" t="s">
        <v>965</v>
      </c>
      <c r="C520" s="2" t="s">
        <v>35</v>
      </c>
      <c r="D520" s="2">
        <v>54</v>
      </c>
      <c r="E520" s="2" t="str">
        <f t="shared" si="34"/>
        <v>46-60</v>
      </c>
      <c r="F520" s="2" t="s">
        <v>91</v>
      </c>
      <c r="G520" s="2" t="s">
        <v>21</v>
      </c>
      <c r="H520" s="2">
        <v>10</v>
      </c>
      <c r="I520" s="2" t="str">
        <f t="shared" si="32"/>
        <v>7-12 months</v>
      </c>
      <c r="J520" s="3">
        <v>1299</v>
      </c>
      <c r="K520" s="3">
        <v>12990</v>
      </c>
      <c r="L520" s="2" t="s">
        <v>22</v>
      </c>
      <c r="M520" s="4">
        <v>45620</v>
      </c>
      <c r="N520" s="2" t="s">
        <v>23</v>
      </c>
      <c r="O520" s="2">
        <f t="shared" si="35"/>
        <v>0</v>
      </c>
      <c r="P520" s="2" t="s">
        <v>23</v>
      </c>
      <c r="Q520" s="2" t="s">
        <v>23</v>
      </c>
      <c r="R520" s="2" t="s">
        <v>23</v>
      </c>
      <c r="S520" s="2" t="s">
        <v>23</v>
      </c>
      <c r="T520" s="2" t="s">
        <v>23</v>
      </c>
      <c r="U520" s="25">
        <f t="shared" si="33"/>
        <v>12990.00052</v>
      </c>
    </row>
    <row r="521" spans="1:21">
      <c r="A521" s="2" t="s">
        <v>966</v>
      </c>
      <c r="B521" s="2" t="s">
        <v>967</v>
      </c>
      <c r="C521" s="2" t="s">
        <v>35</v>
      </c>
      <c r="D521" s="2">
        <v>74</v>
      </c>
      <c r="E521" s="2" t="str">
        <f t="shared" si="34"/>
        <v>60+</v>
      </c>
      <c r="F521" s="2" t="s">
        <v>20</v>
      </c>
      <c r="G521" s="2" t="s">
        <v>21</v>
      </c>
      <c r="H521" s="2"/>
      <c r="I521" s="2" t="str">
        <f t="shared" si="32"/>
        <v>Unknown</v>
      </c>
      <c r="J521" s="3"/>
      <c r="K521" s="3">
        <v>4490</v>
      </c>
      <c r="L521" s="2" t="s">
        <v>66</v>
      </c>
      <c r="M521" s="4">
        <v>45617</v>
      </c>
      <c r="N521" s="2" t="s">
        <v>32</v>
      </c>
      <c r="O521" s="2">
        <f t="shared" si="35"/>
        <v>1</v>
      </c>
      <c r="P521" s="2" t="s">
        <v>23</v>
      </c>
      <c r="Q521" s="2" t="s">
        <v>23</v>
      </c>
      <c r="R521" s="2" t="s">
        <v>23</v>
      </c>
      <c r="S521" s="2" t="s">
        <v>23</v>
      </c>
      <c r="T521" s="2" t="s">
        <v>72</v>
      </c>
      <c r="U521" s="25">
        <f t="shared" si="33"/>
        <v>4490.0005209999999</v>
      </c>
    </row>
    <row r="522" spans="1:21">
      <c r="A522" s="2" t="s">
        <v>968</v>
      </c>
      <c r="B522" s="2" t="s">
        <v>969</v>
      </c>
      <c r="C522" s="2" t="s">
        <v>19</v>
      </c>
      <c r="D522" s="2">
        <v>46</v>
      </c>
      <c r="E522" s="2" t="str">
        <f t="shared" si="34"/>
        <v>46-60</v>
      </c>
      <c r="F522" s="2" t="s">
        <v>26</v>
      </c>
      <c r="G522" s="2" t="s">
        <v>21</v>
      </c>
      <c r="H522" s="2">
        <v>17</v>
      </c>
      <c r="I522" s="2" t="str">
        <f t="shared" si="32"/>
        <v>13-24 months</v>
      </c>
      <c r="J522" s="3">
        <v>999</v>
      </c>
      <c r="K522" s="3">
        <v>16983</v>
      </c>
      <c r="L522" s="2" t="s">
        <v>22</v>
      </c>
      <c r="M522" s="4"/>
      <c r="N522" s="2" t="s">
        <v>23</v>
      </c>
      <c r="O522" s="2">
        <f t="shared" si="35"/>
        <v>0</v>
      </c>
      <c r="P522" s="2" t="s">
        <v>23</v>
      </c>
      <c r="Q522" s="2" t="s">
        <v>23</v>
      </c>
      <c r="R522" s="2" t="s">
        <v>23</v>
      </c>
      <c r="S522" s="2" t="s">
        <v>23</v>
      </c>
      <c r="T522" s="2" t="s">
        <v>54</v>
      </c>
      <c r="U522" s="25">
        <f t="shared" si="33"/>
        <v>16983.000521999998</v>
      </c>
    </row>
    <row r="523" spans="1:21">
      <c r="A523" s="2" t="s">
        <v>970</v>
      </c>
      <c r="B523" s="2" t="s">
        <v>548</v>
      </c>
      <c r="C523" s="2" t="s">
        <v>35</v>
      </c>
      <c r="D523" s="2">
        <v>67</v>
      </c>
      <c r="E523" s="2" t="str">
        <f t="shared" si="34"/>
        <v>60+</v>
      </c>
      <c r="F523" s="2" t="s">
        <v>57</v>
      </c>
      <c r="G523" s="2" t="s">
        <v>21</v>
      </c>
      <c r="H523" s="2">
        <v>17</v>
      </c>
      <c r="I523" s="2" t="str">
        <f t="shared" si="32"/>
        <v>13-24 months</v>
      </c>
      <c r="J523" s="3">
        <v>399</v>
      </c>
      <c r="K523" s="3">
        <v>6783</v>
      </c>
      <c r="L523" s="2" t="s">
        <v>66</v>
      </c>
      <c r="M523" s="4">
        <v>45404</v>
      </c>
      <c r="N523" s="2" t="s">
        <v>23</v>
      </c>
      <c r="O523" s="2">
        <f t="shared" si="35"/>
        <v>0</v>
      </c>
      <c r="P523" s="2" t="s">
        <v>23</v>
      </c>
      <c r="Q523" s="2" t="s">
        <v>23</v>
      </c>
      <c r="R523" s="2" t="s">
        <v>23</v>
      </c>
      <c r="S523" s="2" t="s">
        <v>23</v>
      </c>
      <c r="T523" s="2" t="s">
        <v>23</v>
      </c>
      <c r="U523" s="25">
        <f t="shared" si="33"/>
        <v>6783.0005229999997</v>
      </c>
    </row>
    <row r="524" spans="1:21">
      <c r="A524" s="2" t="s">
        <v>971</v>
      </c>
      <c r="B524" s="2" t="s">
        <v>972</v>
      </c>
      <c r="C524" s="2" t="s">
        <v>35</v>
      </c>
      <c r="D524" s="2">
        <v>18</v>
      </c>
      <c r="E524" s="2" t="str">
        <f t="shared" si="34"/>
        <v>18-25</v>
      </c>
      <c r="F524" s="2" t="s">
        <v>46</v>
      </c>
      <c r="G524" s="2" t="s">
        <v>47</v>
      </c>
      <c r="H524" s="2">
        <v>12</v>
      </c>
      <c r="I524" s="2" t="str">
        <f t="shared" si="32"/>
        <v>7-12 months</v>
      </c>
      <c r="J524" s="3">
        <v>1099</v>
      </c>
      <c r="K524" s="3">
        <v>13188</v>
      </c>
      <c r="L524" s="2" t="s">
        <v>22</v>
      </c>
      <c r="M524" s="4">
        <v>45544</v>
      </c>
      <c r="N524" s="2" t="s">
        <v>32</v>
      </c>
      <c r="O524" s="2">
        <f t="shared" si="35"/>
        <v>1</v>
      </c>
      <c r="P524" s="2" t="s">
        <v>23</v>
      </c>
      <c r="Q524" s="2" t="s">
        <v>23</v>
      </c>
      <c r="R524" s="2" t="s">
        <v>23</v>
      </c>
      <c r="S524" s="2" t="s">
        <v>23</v>
      </c>
      <c r="T524" s="2" t="s">
        <v>23</v>
      </c>
      <c r="U524" s="25">
        <f t="shared" si="33"/>
        <v>13188.000523999999</v>
      </c>
    </row>
    <row r="525" spans="1:21">
      <c r="A525" s="2" t="s">
        <v>973</v>
      </c>
      <c r="B525" s="2" t="s">
        <v>974</v>
      </c>
      <c r="C525" s="2" t="s">
        <v>35</v>
      </c>
      <c r="D525" s="2">
        <v>66</v>
      </c>
      <c r="E525" s="2" t="str">
        <f t="shared" si="34"/>
        <v>60+</v>
      </c>
      <c r="F525" s="2" t="s">
        <v>46</v>
      </c>
      <c r="G525" s="2" t="s">
        <v>27</v>
      </c>
      <c r="H525" s="2">
        <v>13</v>
      </c>
      <c r="I525" s="2" t="str">
        <f t="shared" si="32"/>
        <v>13-24 months</v>
      </c>
      <c r="J525" s="3">
        <v>649</v>
      </c>
      <c r="K525" s="3">
        <v>8437</v>
      </c>
      <c r="L525" s="2" t="s">
        <v>31</v>
      </c>
      <c r="M525" s="4">
        <v>45514</v>
      </c>
      <c r="N525" s="2" t="s">
        <v>23</v>
      </c>
      <c r="O525" s="2">
        <f t="shared" si="35"/>
        <v>0</v>
      </c>
      <c r="P525" s="2" t="s">
        <v>23</v>
      </c>
      <c r="Q525" s="2" t="s">
        <v>23</v>
      </c>
      <c r="R525" s="2" t="s">
        <v>23</v>
      </c>
      <c r="S525" s="2" t="s">
        <v>23</v>
      </c>
      <c r="T525" s="2" t="s">
        <v>23</v>
      </c>
      <c r="U525" s="25">
        <f t="shared" si="33"/>
        <v>8437.0005249999995</v>
      </c>
    </row>
    <row r="526" spans="1:21">
      <c r="A526" s="2" t="s">
        <v>975</v>
      </c>
      <c r="B526" s="2" t="s">
        <v>976</v>
      </c>
      <c r="C526" s="2" t="s">
        <v>35</v>
      </c>
      <c r="D526" s="2">
        <v>47</v>
      </c>
      <c r="E526" s="2" t="str">
        <f t="shared" si="34"/>
        <v>46-60</v>
      </c>
      <c r="F526" s="2" t="s">
        <v>63</v>
      </c>
      <c r="G526" s="2" t="s">
        <v>21</v>
      </c>
      <c r="H526" s="2">
        <v>20</v>
      </c>
      <c r="I526" s="2" t="str">
        <f t="shared" si="32"/>
        <v>13-24 months</v>
      </c>
      <c r="J526" s="3">
        <v>799</v>
      </c>
      <c r="K526" s="3">
        <v>15980</v>
      </c>
      <c r="L526" s="2" t="s">
        <v>31</v>
      </c>
      <c r="M526" s="4">
        <v>45317</v>
      </c>
      <c r="N526" s="2" t="s">
        <v>32</v>
      </c>
      <c r="O526" s="2">
        <f t="shared" si="35"/>
        <v>1</v>
      </c>
      <c r="P526" s="2" t="s">
        <v>32</v>
      </c>
      <c r="Q526" s="2" t="s">
        <v>23</v>
      </c>
      <c r="R526" s="2" t="s">
        <v>23</v>
      </c>
      <c r="S526" s="2" t="s">
        <v>23</v>
      </c>
      <c r="T526" s="2" t="s">
        <v>23</v>
      </c>
      <c r="U526" s="25">
        <f t="shared" si="33"/>
        <v>15980.000526</v>
      </c>
    </row>
    <row r="527" spans="1:21">
      <c r="A527" s="2" t="s">
        <v>977</v>
      </c>
      <c r="B527" s="2" t="s">
        <v>978</v>
      </c>
      <c r="C527" s="2" t="s">
        <v>35</v>
      </c>
      <c r="D527" s="2">
        <v>63</v>
      </c>
      <c r="E527" s="2" t="str">
        <f t="shared" si="34"/>
        <v>60+</v>
      </c>
      <c r="F527" s="2" t="s">
        <v>110</v>
      </c>
      <c r="G527" s="2" t="s">
        <v>21</v>
      </c>
      <c r="H527" s="2">
        <v>3</v>
      </c>
      <c r="I527" s="2" t="str">
        <f t="shared" si="32"/>
        <v>0-6 months</v>
      </c>
      <c r="J527" s="3">
        <v>699</v>
      </c>
      <c r="K527" s="3">
        <v>2097</v>
      </c>
      <c r="L527" s="2" t="s">
        <v>31</v>
      </c>
      <c r="M527" s="4">
        <v>45837</v>
      </c>
      <c r="N527" s="2" t="s">
        <v>32</v>
      </c>
      <c r="O527" s="2">
        <f t="shared" si="35"/>
        <v>1</v>
      </c>
      <c r="P527" s="2" t="s">
        <v>23</v>
      </c>
      <c r="Q527" s="2" t="s">
        <v>23</v>
      </c>
      <c r="R527" s="2" t="s">
        <v>23</v>
      </c>
      <c r="S527" s="2" t="s">
        <v>23</v>
      </c>
      <c r="T527" s="2" t="s">
        <v>23</v>
      </c>
      <c r="U527" s="25">
        <f t="shared" si="33"/>
        <v>2097.0005270000001</v>
      </c>
    </row>
    <row r="528" spans="1:21">
      <c r="A528" s="2" t="s">
        <v>979</v>
      </c>
      <c r="B528" s="2" t="s">
        <v>980</v>
      </c>
      <c r="C528" s="2" t="s">
        <v>19</v>
      </c>
      <c r="D528" s="2">
        <v>75</v>
      </c>
      <c r="E528" s="2" t="str">
        <f t="shared" si="34"/>
        <v>60+</v>
      </c>
      <c r="F528" s="2" t="s">
        <v>71</v>
      </c>
      <c r="G528" s="2" t="s">
        <v>21</v>
      </c>
      <c r="H528" s="2">
        <v>3</v>
      </c>
      <c r="I528" s="2" t="str">
        <f t="shared" si="32"/>
        <v>0-6 months</v>
      </c>
      <c r="J528" s="3">
        <v>1099</v>
      </c>
      <c r="K528" s="3">
        <v>3297</v>
      </c>
      <c r="L528" s="2" t="s">
        <v>22</v>
      </c>
      <c r="M528" s="4">
        <v>45810</v>
      </c>
      <c r="N528" s="2" t="s">
        <v>23</v>
      </c>
      <c r="O528" s="2">
        <f t="shared" si="35"/>
        <v>0</v>
      </c>
      <c r="P528" s="2" t="s">
        <v>23</v>
      </c>
      <c r="Q528" s="2" t="s">
        <v>23</v>
      </c>
      <c r="R528" s="2" t="s">
        <v>23</v>
      </c>
      <c r="S528" s="2" t="s">
        <v>23</v>
      </c>
      <c r="T528" s="2" t="s">
        <v>23</v>
      </c>
      <c r="U528" s="25">
        <f t="shared" si="33"/>
        <v>3297.000528</v>
      </c>
    </row>
    <row r="529" spans="1:21">
      <c r="A529" s="2" t="s">
        <v>981</v>
      </c>
      <c r="B529" s="2" t="s">
        <v>982</v>
      </c>
      <c r="C529" s="2" t="s">
        <v>35</v>
      </c>
      <c r="D529" s="2">
        <v>37</v>
      </c>
      <c r="E529" s="2" t="str">
        <f t="shared" si="34"/>
        <v>36-45</v>
      </c>
      <c r="F529" s="2" t="s">
        <v>30</v>
      </c>
      <c r="G529" s="2" t="s">
        <v>47</v>
      </c>
      <c r="H529" s="2">
        <v>69</v>
      </c>
      <c r="I529" s="2" t="str">
        <f t="shared" si="32"/>
        <v>49+ months</v>
      </c>
      <c r="J529" s="3">
        <v>1299</v>
      </c>
      <c r="K529" s="3">
        <v>89631</v>
      </c>
      <c r="L529" s="2" t="s">
        <v>22</v>
      </c>
      <c r="M529" s="4">
        <v>43856</v>
      </c>
      <c r="N529" s="2" t="s">
        <v>23</v>
      </c>
      <c r="O529" s="2">
        <f t="shared" si="35"/>
        <v>0</v>
      </c>
      <c r="P529" s="2" t="s">
        <v>23</v>
      </c>
      <c r="Q529" s="2" t="s">
        <v>23</v>
      </c>
      <c r="R529" s="2" t="s">
        <v>23</v>
      </c>
      <c r="S529" s="2" t="s">
        <v>23</v>
      </c>
      <c r="T529" s="2" t="s">
        <v>23</v>
      </c>
      <c r="U529" s="25">
        <f t="shared" si="33"/>
        <v>89631.000528999997</v>
      </c>
    </row>
    <row r="530" spans="1:21">
      <c r="A530" s="2" t="s">
        <v>983</v>
      </c>
      <c r="B530" s="2" t="s">
        <v>984</v>
      </c>
      <c r="C530" s="2" t="s">
        <v>35</v>
      </c>
      <c r="D530" s="2">
        <v>37</v>
      </c>
      <c r="E530" s="2" t="str">
        <f t="shared" si="34"/>
        <v>36-45</v>
      </c>
      <c r="F530" s="2" t="s">
        <v>71</v>
      </c>
      <c r="G530" s="2" t="s">
        <v>27</v>
      </c>
      <c r="H530" s="2">
        <v>31</v>
      </c>
      <c r="I530" s="2" t="str">
        <f t="shared" si="32"/>
        <v>25-48 months</v>
      </c>
      <c r="J530" s="3">
        <v>999</v>
      </c>
      <c r="K530" s="3">
        <v>30969</v>
      </c>
      <c r="L530" s="2" t="s">
        <v>22</v>
      </c>
      <c r="M530" s="4">
        <v>44979</v>
      </c>
      <c r="N530" s="2" t="s">
        <v>23</v>
      </c>
      <c r="O530" s="2">
        <f t="shared" si="35"/>
        <v>0</v>
      </c>
      <c r="P530" s="2" t="s">
        <v>23</v>
      </c>
      <c r="Q530" s="2" t="s">
        <v>23</v>
      </c>
      <c r="R530" s="2" t="s">
        <v>23</v>
      </c>
      <c r="S530" s="2" t="s">
        <v>23</v>
      </c>
      <c r="T530" s="2" t="s">
        <v>23</v>
      </c>
      <c r="U530" s="25">
        <f t="shared" si="33"/>
        <v>30969.000530000001</v>
      </c>
    </row>
    <row r="531" spans="1:21">
      <c r="A531" s="2" t="s">
        <v>985</v>
      </c>
      <c r="B531" s="2" t="s">
        <v>986</v>
      </c>
      <c r="C531" s="2" t="s">
        <v>35</v>
      </c>
      <c r="D531" s="2">
        <v>29</v>
      </c>
      <c r="E531" s="2" t="str">
        <f t="shared" si="34"/>
        <v>26-35</v>
      </c>
      <c r="F531" s="2" t="s">
        <v>141</v>
      </c>
      <c r="G531" s="2" t="s">
        <v>47</v>
      </c>
      <c r="H531" s="2">
        <v>42</v>
      </c>
      <c r="I531" s="2" t="str">
        <f t="shared" si="32"/>
        <v>25-48 months</v>
      </c>
      <c r="J531" s="3">
        <v>749</v>
      </c>
      <c r="K531" s="3">
        <v>31458</v>
      </c>
      <c r="L531" s="2" t="s">
        <v>31</v>
      </c>
      <c r="M531" s="4">
        <v>44665</v>
      </c>
      <c r="N531" s="2" t="s">
        <v>32</v>
      </c>
      <c r="O531" s="2">
        <f t="shared" si="35"/>
        <v>1</v>
      </c>
      <c r="P531" s="2" t="s">
        <v>23</v>
      </c>
      <c r="Q531" s="2" t="s">
        <v>23</v>
      </c>
      <c r="R531" s="2" t="s">
        <v>32</v>
      </c>
      <c r="S531" s="2" t="s">
        <v>23</v>
      </c>
      <c r="T531" s="2" t="s">
        <v>23</v>
      </c>
      <c r="U531" s="25">
        <f t="shared" si="33"/>
        <v>31458.000531000002</v>
      </c>
    </row>
    <row r="532" spans="1:21">
      <c r="A532" s="2" t="s">
        <v>987</v>
      </c>
      <c r="B532" s="2" t="s">
        <v>454</v>
      </c>
      <c r="C532" s="2" t="s">
        <v>35</v>
      </c>
      <c r="D532" s="2">
        <v>72</v>
      </c>
      <c r="E532" s="2" t="str">
        <f t="shared" si="34"/>
        <v>60+</v>
      </c>
      <c r="F532" s="2" t="s">
        <v>63</v>
      </c>
      <c r="G532" s="2" t="s">
        <v>21</v>
      </c>
      <c r="H532" s="2">
        <v>19</v>
      </c>
      <c r="I532" s="2" t="str">
        <f t="shared" si="32"/>
        <v>13-24 months</v>
      </c>
      <c r="J532" s="3">
        <v>649</v>
      </c>
      <c r="K532" s="3">
        <v>12331</v>
      </c>
      <c r="L532" s="2" t="s">
        <v>31</v>
      </c>
      <c r="M532" s="4">
        <v>45336</v>
      </c>
      <c r="N532" s="2" t="s">
        <v>32</v>
      </c>
      <c r="O532" s="2">
        <f t="shared" si="35"/>
        <v>1</v>
      </c>
      <c r="P532" s="2" t="s">
        <v>23</v>
      </c>
      <c r="Q532" s="2" t="s">
        <v>23</v>
      </c>
      <c r="R532" s="2" t="s">
        <v>23</v>
      </c>
      <c r="S532" s="2" t="s">
        <v>23</v>
      </c>
      <c r="T532" s="2" t="s">
        <v>23</v>
      </c>
      <c r="U532" s="25">
        <f t="shared" si="33"/>
        <v>12331.000532</v>
      </c>
    </row>
    <row r="533" spans="1:21">
      <c r="A533" s="2" t="s">
        <v>988</v>
      </c>
      <c r="B533" s="2" t="s">
        <v>989</v>
      </c>
      <c r="C533" s="2" t="s">
        <v>19</v>
      </c>
      <c r="D533" s="2">
        <v>59</v>
      </c>
      <c r="E533" s="2" t="str">
        <f t="shared" si="34"/>
        <v>46-60</v>
      </c>
      <c r="F533" s="2" t="s">
        <v>41</v>
      </c>
      <c r="G533" s="2" t="s">
        <v>27</v>
      </c>
      <c r="H533" s="2">
        <v>26</v>
      </c>
      <c r="I533" s="2" t="str">
        <f t="shared" si="32"/>
        <v>25-48 months</v>
      </c>
      <c r="J533" s="3">
        <v>1099</v>
      </c>
      <c r="K533" s="3">
        <v>28574</v>
      </c>
      <c r="L533" s="2" t="s">
        <v>22</v>
      </c>
      <c r="M533" s="4">
        <v>45131</v>
      </c>
      <c r="N533" s="2" t="s">
        <v>23</v>
      </c>
      <c r="O533" s="2">
        <f t="shared" si="35"/>
        <v>0</v>
      </c>
      <c r="P533" s="2" t="s">
        <v>23</v>
      </c>
      <c r="Q533" s="2" t="s">
        <v>23</v>
      </c>
      <c r="R533" s="2" t="s">
        <v>23</v>
      </c>
      <c r="S533" s="2" t="s">
        <v>23</v>
      </c>
      <c r="T533" s="2" t="s">
        <v>23</v>
      </c>
      <c r="U533" s="25">
        <f t="shared" si="33"/>
        <v>28574.000532999999</v>
      </c>
    </row>
    <row r="534" spans="1:21">
      <c r="A534" s="2" t="s">
        <v>990</v>
      </c>
      <c r="B534" s="2" t="s">
        <v>254</v>
      </c>
      <c r="C534" s="2" t="s">
        <v>19</v>
      </c>
      <c r="D534" s="2">
        <v>22</v>
      </c>
      <c r="E534" s="2" t="str">
        <f t="shared" si="34"/>
        <v>18-25</v>
      </c>
      <c r="F534" s="2" t="s">
        <v>30</v>
      </c>
      <c r="G534" s="2" t="s">
        <v>21</v>
      </c>
      <c r="H534" s="2">
        <v>14</v>
      </c>
      <c r="I534" s="2" t="str">
        <f t="shared" si="32"/>
        <v>13-24 months</v>
      </c>
      <c r="J534" s="3">
        <v>1099</v>
      </c>
      <c r="K534" s="3">
        <v>15386</v>
      </c>
      <c r="L534" s="2" t="s">
        <v>22</v>
      </c>
      <c r="M534" s="4">
        <v>45491</v>
      </c>
      <c r="N534" s="2" t="s">
        <v>23</v>
      </c>
      <c r="O534" s="2">
        <f t="shared" si="35"/>
        <v>0</v>
      </c>
      <c r="P534" s="2" t="s">
        <v>23</v>
      </c>
      <c r="Q534" s="2" t="s">
        <v>23</v>
      </c>
      <c r="R534" s="2" t="s">
        <v>23</v>
      </c>
      <c r="S534" s="2" t="s">
        <v>23</v>
      </c>
      <c r="T534" s="2" t="s">
        <v>23</v>
      </c>
      <c r="U534" s="25">
        <f t="shared" si="33"/>
        <v>15386.000534000001</v>
      </c>
    </row>
    <row r="535" spans="1:21">
      <c r="A535" s="2" t="s">
        <v>991</v>
      </c>
      <c r="B535" s="2" t="s">
        <v>992</v>
      </c>
      <c r="C535" s="2" t="s">
        <v>19</v>
      </c>
      <c r="D535" s="2">
        <v>60</v>
      </c>
      <c r="E535" s="2" t="str">
        <f t="shared" si="34"/>
        <v>46-60</v>
      </c>
      <c r="F535" s="2" t="s">
        <v>41</v>
      </c>
      <c r="G535" s="2" t="s">
        <v>27</v>
      </c>
      <c r="H535" s="2">
        <v>32</v>
      </c>
      <c r="I535" s="2" t="str">
        <f t="shared" si="32"/>
        <v>25-48 months</v>
      </c>
      <c r="J535" s="3">
        <v>1149</v>
      </c>
      <c r="K535" s="3">
        <v>36768</v>
      </c>
      <c r="L535" s="2" t="s">
        <v>22</v>
      </c>
      <c r="M535" s="4">
        <v>44951</v>
      </c>
      <c r="N535" s="2" t="s">
        <v>23</v>
      </c>
      <c r="O535" s="2">
        <f t="shared" si="35"/>
        <v>0</v>
      </c>
      <c r="P535" s="2" t="s">
        <v>23</v>
      </c>
      <c r="Q535" s="2" t="s">
        <v>23</v>
      </c>
      <c r="R535" s="2" t="s">
        <v>23</v>
      </c>
      <c r="S535" s="2" t="s">
        <v>23</v>
      </c>
      <c r="T535" s="2" t="s">
        <v>23</v>
      </c>
      <c r="U535" s="25">
        <f t="shared" si="33"/>
        <v>36768.000534999999</v>
      </c>
    </row>
    <row r="536" spans="1:21">
      <c r="A536" s="2" t="s">
        <v>993</v>
      </c>
      <c r="B536" s="2" t="s">
        <v>765</v>
      </c>
      <c r="C536" s="2" t="s">
        <v>19</v>
      </c>
      <c r="D536" s="2">
        <v>37</v>
      </c>
      <c r="E536" s="2" t="str">
        <f t="shared" si="34"/>
        <v>36-45</v>
      </c>
      <c r="F536" s="2" t="s">
        <v>105</v>
      </c>
      <c r="G536" s="2" t="s">
        <v>21</v>
      </c>
      <c r="H536" s="2">
        <v>20</v>
      </c>
      <c r="I536" s="2" t="str">
        <f t="shared" si="32"/>
        <v>13-24 months</v>
      </c>
      <c r="J536" s="3">
        <v>899</v>
      </c>
      <c r="K536" s="3">
        <v>17980</v>
      </c>
      <c r="L536" s="2" t="s">
        <v>37</v>
      </c>
      <c r="M536" s="4">
        <v>45308</v>
      </c>
      <c r="N536" s="2" t="s">
        <v>32</v>
      </c>
      <c r="O536" s="2">
        <f t="shared" si="35"/>
        <v>1</v>
      </c>
      <c r="P536" s="2" t="s">
        <v>23</v>
      </c>
      <c r="Q536" s="2" t="s">
        <v>23</v>
      </c>
      <c r="R536" s="2" t="s">
        <v>23</v>
      </c>
      <c r="S536" s="2" t="s">
        <v>23</v>
      </c>
      <c r="T536" s="2" t="s">
        <v>23</v>
      </c>
      <c r="U536" s="25">
        <f t="shared" si="33"/>
        <v>17980.000536</v>
      </c>
    </row>
    <row r="537" spans="1:21">
      <c r="A537" s="2" t="s">
        <v>994</v>
      </c>
      <c r="B537" s="2" t="s">
        <v>25</v>
      </c>
      <c r="C537" s="2" t="s">
        <v>19</v>
      </c>
      <c r="D537" s="2">
        <v>70</v>
      </c>
      <c r="E537" s="2" t="str">
        <f t="shared" si="34"/>
        <v>60+</v>
      </c>
      <c r="F537" s="2" t="s">
        <v>63</v>
      </c>
      <c r="G537" s="2" t="s">
        <v>47</v>
      </c>
      <c r="H537" s="2">
        <v>1</v>
      </c>
      <c r="I537" s="2" t="str">
        <f t="shared" si="32"/>
        <v>0-6 months</v>
      </c>
      <c r="J537" s="3">
        <v>399</v>
      </c>
      <c r="K537" s="3">
        <v>399</v>
      </c>
      <c r="L537" s="2" t="s">
        <v>66</v>
      </c>
      <c r="M537" s="4">
        <v>45889</v>
      </c>
      <c r="N537" s="2" t="s">
        <v>23</v>
      </c>
      <c r="O537" s="2">
        <f t="shared" si="35"/>
        <v>0</v>
      </c>
      <c r="P537" s="2" t="s">
        <v>23</v>
      </c>
      <c r="Q537" s="2" t="s">
        <v>23</v>
      </c>
      <c r="R537" s="2" t="s">
        <v>23</v>
      </c>
      <c r="S537" s="2" t="s">
        <v>23</v>
      </c>
      <c r="T537" s="2" t="s">
        <v>23</v>
      </c>
      <c r="U537" s="25">
        <f t="shared" si="33"/>
        <v>399.00053700000001</v>
      </c>
    </row>
    <row r="538" spans="1:21">
      <c r="A538" s="2" t="s">
        <v>995</v>
      </c>
      <c r="B538" s="2" t="s">
        <v>996</v>
      </c>
      <c r="C538" s="2" t="s">
        <v>35</v>
      </c>
      <c r="D538" s="2">
        <v>46</v>
      </c>
      <c r="E538" s="2" t="str">
        <f t="shared" si="34"/>
        <v>46-60</v>
      </c>
      <c r="F538" s="2" t="s">
        <v>20</v>
      </c>
      <c r="G538" s="2" t="s">
        <v>21</v>
      </c>
      <c r="H538" s="2">
        <v>10</v>
      </c>
      <c r="I538" s="2" t="str">
        <f t="shared" si="32"/>
        <v>7-12 months</v>
      </c>
      <c r="J538" s="3">
        <v>449</v>
      </c>
      <c r="K538" s="3">
        <v>4490</v>
      </c>
      <c r="L538" s="2" t="s">
        <v>66</v>
      </c>
      <c r="M538" s="4">
        <v>45599</v>
      </c>
      <c r="N538" s="2" t="s">
        <v>23</v>
      </c>
      <c r="O538" s="2">
        <f t="shared" si="35"/>
        <v>0</v>
      </c>
      <c r="P538" s="2" t="s">
        <v>23</v>
      </c>
      <c r="Q538" s="2" t="s">
        <v>23</v>
      </c>
      <c r="R538" s="2" t="s">
        <v>23</v>
      </c>
      <c r="S538" s="2" t="s">
        <v>23</v>
      </c>
      <c r="T538" s="2" t="s">
        <v>23</v>
      </c>
      <c r="U538" s="25">
        <f t="shared" si="33"/>
        <v>4490.0005380000002</v>
      </c>
    </row>
    <row r="539" spans="1:21">
      <c r="A539" s="2" t="s">
        <v>997</v>
      </c>
      <c r="B539" s="2" t="s">
        <v>998</v>
      </c>
      <c r="C539" s="2" t="s">
        <v>35</v>
      </c>
      <c r="D539" s="2">
        <v>55</v>
      </c>
      <c r="E539" s="2" t="str">
        <f t="shared" si="34"/>
        <v>46-60</v>
      </c>
      <c r="F539" s="2" t="s">
        <v>36</v>
      </c>
      <c r="G539" s="2" t="s">
        <v>27</v>
      </c>
      <c r="H539" s="2">
        <v>9</v>
      </c>
      <c r="I539" s="2" t="str">
        <f t="shared" si="32"/>
        <v>7-12 months</v>
      </c>
      <c r="J539" s="3">
        <v>1049</v>
      </c>
      <c r="K539" s="3">
        <v>9441</v>
      </c>
      <c r="L539" s="2" t="s">
        <v>22</v>
      </c>
      <c r="M539" s="4">
        <v>45641</v>
      </c>
      <c r="N539" s="2" t="s">
        <v>23</v>
      </c>
      <c r="O539" s="2">
        <f t="shared" si="35"/>
        <v>0</v>
      </c>
      <c r="P539" s="2" t="s">
        <v>23</v>
      </c>
      <c r="Q539" s="2" t="s">
        <v>23</v>
      </c>
      <c r="R539" s="2" t="s">
        <v>23</v>
      </c>
      <c r="S539" s="2" t="s">
        <v>23</v>
      </c>
      <c r="T539" s="2" t="s">
        <v>23</v>
      </c>
      <c r="U539" s="25">
        <f t="shared" si="33"/>
        <v>9441.0005390000006</v>
      </c>
    </row>
    <row r="540" spans="1:21">
      <c r="A540" s="2" t="s">
        <v>999</v>
      </c>
      <c r="B540" s="2" t="s">
        <v>1000</v>
      </c>
      <c r="C540" s="2" t="s">
        <v>19</v>
      </c>
      <c r="D540" s="2">
        <v>53</v>
      </c>
      <c r="E540" s="2" t="str">
        <f t="shared" si="34"/>
        <v>46-60</v>
      </c>
      <c r="F540" s="2" t="s">
        <v>57</v>
      </c>
      <c r="G540" s="2" t="s">
        <v>47</v>
      </c>
      <c r="H540" s="2">
        <v>37</v>
      </c>
      <c r="I540" s="2" t="str">
        <f t="shared" si="32"/>
        <v>25-48 months</v>
      </c>
      <c r="J540" s="3">
        <v>899</v>
      </c>
      <c r="K540" s="3">
        <v>33263</v>
      </c>
      <c r="L540" s="2" t="s">
        <v>31</v>
      </c>
      <c r="M540" s="4">
        <v>44800</v>
      </c>
      <c r="N540" s="2" t="s">
        <v>23</v>
      </c>
      <c r="O540" s="2">
        <f t="shared" si="35"/>
        <v>0</v>
      </c>
      <c r="P540" s="2" t="s">
        <v>23</v>
      </c>
      <c r="Q540" s="2" t="s">
        <v>23</v>
      </c>
      <c r="R540" s="2" t="s">
        <v>23</v>
      </c>
      <c r="S540" s="2" t="s">
        <v>23</v>
      </c>
      <c r="T540" s="2" t="s">
        <v>23</v>
      </c>
      <c r="U540" s="25">
        <f t="shared" si="33"/>
        <v>33263.000540000001</v>
      </c>
    </row>
    <row r="541" spans="1:21">
      <c r="A541" s="2" t="s">
        <v>1001</v>
      </c>
      <c r="B541" s="2" t="s">
        <v>1002</v>
      </c>
      <c r="C541" s="2" t="s">
        <v>35</v>
      </c>
      <c r="D541" s="2">
        <v>42</v>
      </c>
      <c r="E541" s="2" t="str">
        <f t="shared" si="34"/>
        <v>36-45</v>
      </c>
      <c r="F541" s="2" t="s">
        <v>105</v>
      </c>
      <c r="G541" s="2" t="s">
        <v>21</v>
      </c>
      <c r="H541" s="2">
        <v>22</v>
      </c>
      <c r="I541" s="2" t="str">
        <f t="shared" si="32"/>
        <v>13-24 months</v>
      </c>
      <c r="J541" s="3">
        <v>1099</v>
      </c>
      <c r="K541" s="3">
        <v>24178</v>
      </c>
      <c r="L541" s="2" t="s">
        <v>22</v>
      </c>
      <c r="M541" s="4">
        <v>45256</v>
      </c>
      <c r="N541" s="2" t="s">
        <v>32</v>
      </c>
      <c r="O541" s="2">
        <f t="shared" si="35"/>
        <v>1</v>
      </c>
      <c r="P541" s="2" t="s">
        <v>23</v>
      </c>
      <c r="Q541" s="2" t="s">
        <v>23</v>
      </c>
      <c r="R541" s="2" t="s">
        <v>23</v>
      </c>
      <c r="S541" s="2" t="s">
        <v>23</v>
      </c>
      <c r="T541" s="2" t="s">
        <v>23</v>
      </c>
      <c r="U541" s="25">
        <f t="shared" si="33"/>
        <v>24178.000541000001</v>
      </c>
    </row>
    <row r="542" spans="1:21">
      <c r="A542" s="2" t="s">
        <v>1003</v>
      </c>
      <c r="B542" s="2" t="s">
        <v>1004</v>
      </c>
      <c r="C542" s="2" t="s">
        <v>35</v>
      </c>
      <c r="D542" s="2">
        <v>36</v>
      </c>
      <c r="E542" s="2" t="str">
        <f t="shared" si="34"/>
        <v>36-45</v>
      </c>
      <c r="F542" s="2" t="s">
        <v>57</v>
      </c>
      <c r="G542" s="2" t="s">
        <v>27</v>
      </c>
      <c r="H542" s="2">
        <v>5</v>
      </c>
      <c r="I542" s="2" t="str">
        <f t="shared" si="32"/>
        <v>0-6 months</v>
      </c>
      <c r="J542" s="3">
        <v>849</v>
      </c>
      <c r="K542" s="3">
        <v>4245</v>
      </c>
      <c r="L542" s="2" t="s">
        <v>31</v>
      </c>
      <c r="M542" s="4">
        <v>45763</v>
      </c>
      <c r="N542" s="2" t="s">
        <v>23</v>
      </c>
      <c r="O542" s="2">
        <f t="shared" si="35"/>
        <v>0</v>
      </c>
      <c r="P542" s="2" t="s">
        <v>23</v>
      </c>
      <c r="Q542" s="2" t="s">
        <v>23</v>
      </c>
      <c r="R542" s="2" t="s">
        <v>23</v>
      </c>
      <c r="S542" s="2" t="s">
        <v>23</v>
      </c>
      <c r="T542" s="2" t="s">
        <v>23</v>
      </c>
      <c r="U542" s="25">
        <f t="shared" si="33"/>
        <v>4245.0005419999998</v>
      </c>
    </row>
    <row r="543" spans="1:21">
      <c r="A543" s="2" t="s">
        <v>1005</v>
      </c>
      <c r="B543" s="2" t="s">
        <v>186</v>
      </c>
      <c r="C543" s="2" t="s">
        <v>35</v>
      </c>
      <c r="D543" s="2">
        <v>26</v>
      </c>
      <c r="E543" s="2" t="str">
        <f t="shared" si="34"/>
        <v>26-35</v>
      </c>
      <c r="F543" s="2" t="s">
        <v>71</v>
      </c>
      <c r="G543" s="2" t="s">
        <v>47</v>
      </c>
      <c r="H543" s="2">
        <v>55</v>
      </c>
      <c r="I543" s="2" t="str">
        <f t="shared" si="32"/>
        <v>49+ months</v>
      </c>
      <c r="J543" s="3">
        <v>499</v>
      </c>
      <c r="K543" s="3">
        <v>27445</v>
      </c>
      <c r="L543" s="2" t="s">
        <v>66</v>
      </c>
      <c r="M543" s="4">
        <v>44261</v>
      </c>
      <c r="N543" s="2" t="s">
        <v>23</v>
      </c>
      <c r="O543" s="2">
        <f t="shared" si="35"/>
        <v>0</v>
      </c>
      <c r="P543" s="2" t="s">
        <v>23</v>
      </c>
      <c r="Q543" s="2" t="s">
        <v>23</v>
      </c>
      <c r="R543" s="2" t="s">
        <v>23</v>
      </c>
      <c r="S543" s="2" t="s">
        <v>23</v>
      </c>
      <c r="T543" s="2" t="s">
        <v>23</v>
      </c>
      <c r="U543" s="25">
        <f t="shared" si="33"/>
        <v>27445.000542999998</v>
      </c>
    </row>
    <row r="544" spans="1:21">
      <c r="A544" s="2" t="s">
        <v>1006</v>
      </c>
      <c r="B544" s="2" t="s">
        <v>1007</v>
      </c>
      <c r="C544" s="2" t="s">
        <v>35</v>
      </c>
      <c r="D544" s="2">
        <v>32</v>
      </c>
      <c r="E544" s="2" t="str">
        <f t="shared" si="34"/>
        <v>26-35</v>
      </c>
      <c r="F544" s="2" t="s">
        <v>63</v>
      </c>
      <c r="G544" s="2" t="s">
        <v>21</v>
      </c>
      <c r="H544" s="2">
        <v>16</v>
      </c>
      <c r="I544" s="2" t="str">
        <f t="shared" si="32"/>
        <v>13-24 months</v>
      </c>
      <c r="J544" s="3">
        <v>899</v>
      </c>
      <c r="K544" s="3">
        <v>14384</v>
      </c>
      <c r="L544" s="2" t="s">
        <v>31</v>
      </c>
      <c r="M544" s="4">
        <v>45440</v>
      </c>
      <c r="N544" s="2" t="s">
        <v>23</v>
      </c>
      <c r="O544" s="2">
        <f t="shared" si="35"/>
        <v>0</v>
      </c>
      <c r="P544" s="2" t="s">
        <v>23</v>
      </c>
      <c r="Q544" s="2" t="s">
        <v>23</v>
      </c>
      <c r="R544" s="2" t="s">
        <v>23</v>
      </c>
      <c r="S544" s="2" t="s">
        <v>23</v>
      </c>
      <c r="T544" s="2" t="s">
        <v>23</v>
      </c>
      <c r="U544" s="25">
        <f t="shared" si="33"/>
        <v>14384.000544</v>
      </c>
    </row>
    <row r="545" spans="1:21">
      <c r="A545" s="2" t="s">
        <v>1008</v>
      </c>
      <c r="B545" s="2" t="s">
        <v>826</v>
      </c>
      <c r="C545" s="2" t="s">
        <v>35</v>
      </c>
      <c r="D545" s="2">
        <v>41</v>
      </c>
      <c r="E545" s="2" t="str">
        <f t="shared" si="34"/>
        <v>36-45</v>
      </c>
      <c r="F545" s="2" t="s">
        <v>36</v>
      </c>
      <c r="G545" s="2" t="s">
        <v>47</v>
      </c>
      <c r="H545" s="2">
        <v>48</v>
      </c>
      <c r="I545" s="2" t="str">
        <f t="shared" si="32"/>
        <v>25-48 months</v>
      </c>
      <c r="J545" s="3">
        <v>1149</v>
      </c>
      <c r="K545" s="3">
        <v>55152</v>
      </c>
      <c r="L545" s="2" t="s">
        <v>22</v>
      </c>
      <c r="M545" s="4">
        <v>44486</v>
      </c>
      <c r="N545" s="2" t="s">
        <v>23</v>
      </c>
      <c r="O545" s="2">
        <f t="shared" si="35"/>
        <v>0</v>
      </c>
      <c r="P545" s="2" t="s">
        <v>23</v>
      </c>
      <c r="Q545" s="2" t="s">
        <v>23</v>
      </c>
      <c r="R545" s="2" t="s">
        <v>23</v>
      </c>
      <c r="S545" s="2" t="s">
        <v>23</v>
      </c>
      <c r="T545" s="2" t="s">
        <v>23</v>
      </c>
      <c r="U545" s="25">
        <f t="shared" si="33"/>
        <v>55152.000545000003</v>
      </c>
    </row>
    <row r="546" spans="1:21">
      <c r="A546" s="2" t="s">
        <v>1009</v>
      </c>
      <c r="B546" s="2" t="s">
        <v>678</v>
      </c>
      <c r="C546" s="2" t="s">
        <v>19</v>
      </c>
      <c r="D546" s="2">
        <v>47</v>
      </c>
      <c r="E546" s="2" t="str">
        <f t="shared" si="34"/>
        <v>46-60</v>
      </c>
      <c r="F546" s="2" t="s">
        <v>26</v>
      </c>
      <c r="G546" s="2" t="s">
        <v>21</v>
      </c>
      <c r="H546" s="2">
        <v>3</v>
      </c>
      <c r="I546" s="2" t="str">
        <f t="shared" si="32"/>
        <v>0-6 months</v>
      </c>
      <c r="J546" s="3">
        <v>349</v>
      </c>
      <c r="K546" s="3">
        <v>1047</v>
      </c>
      <c r="L546" s="2" t="s">
        <v>66</v>
      </c>
      <c r="M546" s="4">
        <v>45821</v>
      </c>
      <c r="N546" s="2" t="s">
        <v>23</v>
      </c>
      <c r="O546" s="2">
        <f t="shared" si="35"/>
        <v>0</v>
      </c>
      <c r="P546" s="2" t="s">
        <v>23</v>
      </c>
      <c r="Q546" s="2" t="s">
        <v>23</v>
      </c>
      <c r="R546" s="2" t="s">
        <v>23</v>
      </c>
      <c r="S546" s="2" t="s">
        <v>23</v>
      </c>
      <c r="T546" s="2" t="s">
        <v>23</v>
      </c>
      <c r="U546" s="25">
        <f t="shared" si="33"/>
        <v>1047.000546</v>
      </c>
    </row>
    <row r="547" spans="1:21">
      <c r="A547" s="2" t="s">
        <v>1010</v>
      </c>
      <c r="B547" s="2" t="s">
        <v>732</v>
      </c>
      <c r="C547" s="2" t="s">
        <v>35</v>
      </c>
      <c r="D547" s="2">
        <v>75</v>
      </c>
      <c r="E547" s="2" t="str">
        <f t="shared" si="34"/>
        <v>60+</v>
      </c>
      <c r="F547" s="2" t="s">
        <v>30</v>
      </c>
      <c r="G547" s="2" t="s">
        <v>21</v>
      </c>
      <c r="H547" s="2">
        <v>15</v>
      </c>
      <c r="I547" s="2" t="str">
        <f t="shared" si="32"/>
        <v>13-24 months</v>
      </c>
      <c r="J547" s="3">
        <v>799</v>
      </c>
      <c r="K547" s="3">
        <v>11985</v>
      </c>
      <c r="L547" s="2" t="s">
        <v>31</v>
      </c>
      <c r="M547" s="4">
        <v>45465</v>
      </c>
      <c r="N547" s="2" t="s">
        <v>23</v>
      </c>
      <c r="O547" s="2">
        <f t="shared" si="35"/>
        <v>0</v>
      </c>
      <c r="P547" s="2" t="s">
        <v>23</v>
      </c>
      <c r="Q547" s="2" t="s">
        <v>23</v>
      </c>
      <c r="R547" s="2" t="s">
        <v>23</v>
      </c>
      <c r="S547" s="2" t="s">
        <v>23</v>
      </c>
      <c r="T547" s="2" t="s">
        <v>23</v>
      </c>
      <c r="U547" s="25">
        <f t="shared" si="33"/>
        <v>11985.000547</v>
      </c>
    </row>
    <row r="548" spans="1:21">
      <c r="A548" s="2" t="s">
        <v>1011</v>
      </c>
      <c r="B548" s="2" t="s">
        <v>934</v>
      </c>
      <c r="C548" s="2" t="s">
        <v>35</v>
      </c>
      <c r="D548" s="2">
        <v>28</v>
      </c>
      <c r="E548" s="2" t="str">
        <f t="shared" si="34"/>
        <v>26-35</v>
      </c>
      <c r="F548" s="2" t="s">
        <v>36</v>
      </c>
      <c r="G548" s="2" t="s">
        <v>27</v>
      </c>
      <c r="H548" s="2">
        <v>20</v>
      </c>
      <c r="I548" s="2" t="str">
        <f t="shared" si="32"/>
        <v>13-24 months</v>
      </c>
      <c r="J548" s="3">
        <v>1299</v>
      </c>
      <c r="K548" s="3">
        <v>25980</v>
      </c>
      <c r="L548" s="2" t="s">
        <v>22</v>
      </c>
      <c r="M548" s="4">
        <v>45308</v>
      </c>
      <c r="N548" s="2" t="s">
        <v>23</v>
      </c>
      <c r="O548" s="2">
        <f t="shared" si="35"/>
        <v>0</v>
      </c>
      <c r="P548" s="2" t="s">
        <v>23</v>
      </c>
      <c r="Q548" s="2" t="s">
        <v>23</v>
      </c>
      <c r="R548" s="2" t="s">
        <v>23</v>
      </c>
      <c r="S548" s="2" t="s">
        <v>23</v>
      </c>
      <c r="T548" s="2" t="s">
        <v>23</v>
      </c>
      <c r="U548" s="25">
        <f t="shared" si="33"/>
        <v>25980.000548</v>
      </c>
    </row>
    <row r="549" spans="1:21">
      <c r="A549" s="2" t="s">
        <v>1012</v>
      </c>
      <c r="B549" s="2" t="s">
        <v>1013</v>
      </c>
      <c r="C549" s="2" t="s">
        <v>35</v>
      </c>
      <c r="D549" s="2">
        <v>54</v>
      </c>
      <c r="E549" s="2" t="str">
        <f t="shared" si="34"/>
        <v>46-60</v>
      </c>
      <c r="F549" s="2" t="s">
        <v>36</v>
      </c>
      <c r="G549" s="2" t="s">
        <v>27</v>
      </c>
      <c r="H549" s="2">
        <v>40</v>
      </c>
      <c r="I549" s="2" t="str">
        <f t="shared" si="32"/>
        <v>25-48 months</v>
      </c>
      <c r="J549" s="3">
        <v>599</v>
      </c>
      <c r="K549" s="3">
        <v>23960</v>
      </c>
      <c r="L549" s="2" t="s">
        <v>31</v>
      </c>
      <c r="M549" s="4">
        <v>44712</v>
      </c>
      <c r="N549" s="2" t="s">
        <v>32</v>
      </c>
      <c r="O549" s="2">
        <f t="shared" si="35"/>
        <v>1</v>
      </c>
      <c r="P549" s="2" t="s">
        <v>23</v>
      </c>
      <c r="Q549" s="2" t="s">
        <v>23</v>
      </c>
      <c r="R549" s="2" t="s">
        <v>23</v>
      </c>
      <c r="S549" s="2" t="s">
        <v>23</v>
      </c>
      <c r="T549" s="2" t="s">
        <v>23</v>
      </c>
      <c r="U549" s="25">
        <f t="shared" si="33"/>
        <v>23960.000549</v>
      </c>
    </row>
    <row r="550" spans="1:21">
      <c r="A550" s="2" t="s">
        <v>1014</v>
      </c>
      <c r="B550" s="2" t="s">
        <v>1015</v>
      </c>
      <c r="C550" s="2" t="s">
        <v>19</v>
      </c>
      <c r="D550" s="2">
        <v>26</v>
      </c>
      <c r="E550" s="2" t="str">
        <f t="shared" si="34"/>
        <v>26-35</v>
      </c>
      <c r="F550" s="2" t="s">
        <v>91</v>
      </c>
      <c r="G550" s="2" t="s">
        <v>21</v>
      </c>
      <c r="H550" s="2">
        <v>1</v>
      </c>
      <c r="I550" s="2" t="str">
        <f t="shared" si="32"/>
        <v>0-6 months</v>
      </c>
      <c r="J550" s="3">
        <v>549</v>
      </c>
      <c r="K550" s="3">
        <v>549</v>
      </c>
      <c r="L550" s="2" t="s">
        <v>66</v>
      </c>
      <c r="M550" s="4">
        <v>45880</v>
      </c>
      <c r="N550" s="2" t="s">
        <v>32</v>
      </c>
      <c r="O550" s="2">
        <f t="shared" si="35"/>
        <v>1</v>
      </c>
      <c r="P550" s="2" t="s">
        <v>23</v>
      </c>
      <c r="Q550" s="2" t="s">
        <v>23</v>
      </c>
      <c r="R550" s="2" t="s">
        <v>23</v>
      </c>
      <c r="S550" s="2" t="s">
        <v>23</v>
      </c>
      <c r="T550" s="2" t="s">
        <v>23</v>
      </c>
      <c r="U550" s="25">
        <f t="shared" si="33"/>
        <v>549.00054999999998</v>
      </c>
    </row>
    <row r="551" spans="1:21">
      <c r="A551" s="2" t="s">
        <v>1016</v>
      </c>
      <c r="B551" s="2" t="s">
        <v>235</v>
      </c>
      <c r="C551" s="2" t="s">
        <v>19</v>
      </c>
      <c r="D551" s="2">
        <v>69</v>
      </c>
      <c r="E551" s="2" t="str">
        <f t="shared" si="34"/>
        <v>60+</v>
      </c>
      <c r="F551" s="2" t="s">
        <v>63</v>
      </c>
      <c r="G551" s="2" t="s">
        <v>21</v>
      </c>
      <c r="H551" s="2">
        <v>16</v>
      </c>
      <c r="I551" s="2" t="str">
        <f t="shared" si="32"/>
        <v>13-24 months</v>
      </c>
      <c r="J551" s="3">
        <v>1299</v>
      </c>
      <c r="K551" s="3">
        <v>20784</v>
      </c>
      <c r="L551" s="2" t="s">
        <v>22</v>
      </c>
      <c r="M551" s="4">
        <v>45438</v>
      </c>
      <c r="N551" s="2" t="s">
        <v>23</v>
      </c>
      <c r="O551" s="2">
        <f t="shared" si="35"/>
        <v>0</v>
      </c>
      <c r="P551" s="2" t="s">
        <v>23</v>
      </c>
      <c r="Q551" s="2" t="s">
        <v>23</v>
      </c>
      <c r="R551" s="2" t="s">
        <v>23</v>
      </c>
      <c r="S551" s="2" t="s">
        <v>23</v>
      </c>
      <c r="T551" s="2" t="s">
        <v>23</v>
      </c>
      <c r="U551" s="25">
        <f t="shared" si="33"/>
        <v>20784.000551000001</v>
      </c>
    </row>
    <row r="552" spans="1:21">
      <c r="A552" s="2" t="s">
        <v>1017</v>
      </c>
      <c r="B552" s="2" t="s">
        <v>1018</v>
      </c>
      <c r="C552" s="2" t="s">
        <v>19</v>
      </c>
      <c r="D552" s="2">
        <v>70</v>
      </c>
      <c r="E552" s="2" t="str">
        <f t="shared" si="34"/>
        <v>60+</v>
      </c>
      <c r="F552" s="2" t="s">
        <v>63</v>
      </c>
      <c r="G552" s="2" t="s">
        <v>47</v>
      </c>
      <c r="H552" s="2">
        <v>53</v>
      </c>
      <c r="I552" s="2" t="str">
        <f t="shared" si="32"/>
        <v>49+ months</v>
      </c>
      <c r="J552" s="3">
        <v>1099</v>
      </c>
      <c r="K552" s="3">
        <v>58247</v>
      </c>
      <c r="L552" s="2" t="s">
        <v>22</v>
      </c>
      <c r="M552" s="4">
        <v>44315</v>
      </c>
      <c r="N552" s="2" t="s">
        <v>23</v>
      </c>
      <c r="O552" s="2">
        <f t="shared" si="35"/>
        <v>0</v>
      </c>
      <c r="P552" s="2" t="s">
        <v>23</v>
      </c>
      <c r="Q552" s="2" t="s">
        <v>23</v>
      </c>
      <c r="R552" s="2" t="s">
        <v>23</v>
      </c>
      <c r="S552" s="2" t="s">
        <v>23</v>
      </c>
      <c r="T552" s="2" t="s">
        <v>23</v>
      </c>
      <c r="U552" s="25">
        <f t="shared" si="33"/>
        <v>58247.000551999998</v>
      </c>
    </row>
    <row r="553" spans="1:21">
      <c r="A553" s="2" t="s">
        <v>1019</v>
      </c>
      <c r="B553" s="2" t="s">
        <v>444</v>
      </c>
      <c r="C553" s="2" t="s">
        <v>19</v>
      </c>
      <c r="D553" s="2">
        <v>64</v>
      </c>
      <c r="E553" s="2" t="str">
        <f t="shared" si="34"/>
        <v>60+</v>
      </c>
      <c r="F553" s="2" t="s">
        <v>57</v>
      </c>
      <c r="G553" s="2" t="s">
        <v>21</v>
      </c>
      <c r="H553" s="2">
        <v>4</v>
      </c>
      <c r="I553" s="2" t="str">
        <f t="shared" si="32"/>
        <v>0-6 months</v>
      </c>
      <c r="J553" s="3">
        <v>999</v>
      </c>
      <c r="K553" s="3">
        <v>3996</v>
      </c>
      <c r="L553" s="2" t="s">
        <v>22</v>
      </c>
      <c r="M553" s="4">
        <v>45799</v>
      </c>
      <c r="N553" s="2" t="s">
        <v>32</v>
      </c>
      <c r="O553" s="2">
        <f t="shared" si="35"/>
        <v>1</v>
      </c>
      <c r="P553" s="2" t="s">
        <v>23</v>
      </c>
      <c r="Q553" s="2" t="s">
        <v>23</v>
      </c>
      <c r="R553" s="2" t="s">
        <v>23</v>
      </c>
      <c r="S553" s="2" t="s">
        <v>23</v>
      </c>
      <c r="T553" s="2" t="s">
        <v>23</v>
      </c>
      <c r="U553" s="25">
        <f t="shared" si="33"/>
        <v>3996.0005529999999</v>
      </c>
    </row>
    <row r="554" spans="1:21">
      <c r="A554" s="2" t="s">
        <v>1020</v>
      </c>
      <c r="B554" s="2" t="s">
        <v>164</v>
      </c>
      <c r="C554" s="2" t="s">
        <v>35</v>
      </c>
      <c r="D554" s="2">
        <v>42</v>
      </c>
      <c r="E554" s="2" t="str">
        <f t="shared" si="34"/>
        <v>36-45</v>
      </c>
      <c r="F554" s="2" t="s">
        <v>71</v>
      </c>
      <c r="G554" s="2" t="s">
        <v>27</v>
      </c>
      <c r="H554" s="2">
        <v>10</v>
      </c>
      <c r="I554" s="2" t="str">
        <f t="shared" si="32"/>
        <v>7-12 months</v>
      </c>
      <c r="J554" s="3">
        <v>1299</v>
      </c>
      <c r="K554" s="3">
        <v>12990</v>
      </c>
      <c r="L554" s="2" t="s">
        <v>22</v>
      </c>
      <c r="M554" s="4">
        <v>45599</v>
      </c>
      <c r="N554" s="2" t="s">
        <v>32</v>
      </c>
      <c r="O554" s="2">
        <f t="shared" si="35"/>
        <v>1</v>
      </c>
      <c r="P554" s="2" t="s">
        <v>23</v>
      </c>
      <c r="Q554" s="2" t="s">
        <v>23</v>
      </c>
      <c r="R554" s="2" t="s">
        <v>23</v>
      </c>
      <c r="S554" s="2" t="s">
        <v>23</v>
      </c>
      <c r="T554" s="2" t="s">
        <v>23</v>
      </c>
      <c r="U554" s="25">
        <f t="shared" si="33"/>
        <v>12990.000554</v>
      </c>
    </row>
    <row r="555" spans="1:21">
      <c r="A555" s="2" t="s">
        <v>1021</v>
      </c>
      <c r="B555" s="2" t="s">
        <v>1022</v>
      </c>
      <c r="C555" s="2" t="s">
        <v>35</v>
      </c>
      <c r="D555" s="2">
        <v>38</v>
      </c>
      <c r="E555" s="2" t="str">
        <f t="shared" si="34"/>
        <v>36-45</v>
      </c>
      <c r="F555" s="2" t="s">
        <v>26</v>
      </c>
      <c r="G555" s="2" t="s">
        <v>27</v>
      </c>
      <c r="H555" s="2">
        <v>35</v>
      </c>
      <c r="I555" s="2" t="str">
        <f t="shared" si="32"/>
        <v>25-48 months</v>
      </c>
      <c r="J555" s="3">
        <v>849</v>
      </c>
      <c r="K555" s="3">
        <v>29715</v>
      </c>
      <c r="L555" s="2" t="s">
        <v>31</v>
      </c>
      <c r="M555" s="4">
        <v>44858</v>
      </c>
      <c r="N555" s="2" t="s">
        <v>23</v>
      </c>
      <c r="O555" s="2">
        <f t="shared" si="35"/>
        <v>0</v>
      </c>
      <c r="P555" s="2" t="s">
        <v>23</v>
      </c>
      <c r="Q555" s="2" t="s">
        <v>23</v>
      </c>
      <c r="R555" s="2" t="s">
        <v>23</v>
      </c>
      <c r="S555" s="2" t="s">
        <v>23</v>
      </c>
      <c r="T555" s="2" t="s">
        <v>23</v>
      </c>
      <c r="U555" s="25">
        <f t="shared" si="33"/>
        <v>29715.000554999999</v>
      </c>
    </row>
    <row r="556" spans="1:21">
      <c r="A556" s="2" t="s">
        <v>1023</v>
      </c>
      <c r="B556" s="2" t="s">
        <v>568</v>
      </c>
      <c r="C556" s="2" t="s">
        <v>35</v>
      </c>
      <c r="D556" s="2">
        <v>35</v>
      </c>
      <c r="E556" s="2" t="str">
        <f t="shared" si="34"/>
        <v>26-35</v>
      </c>
      <c r="F556" s="2" t="s">
        <v>110</v>
      </c>
      <c r="G556" s="2" t="s">
        <v>21</v>
      </c>
      <c r="H556" s="2">
        <v>13</v>
      </c>
      <c r="I556" s="2" t="str">
        <f t="shared" si="32"/>
        <v>13-24 months</v>
      </c>
      <c r="J556" s="3">
        <v>1299</v>
      </c>
      <c r="K556" s="3">
        <v>16887</v>
      </c>
      <c r="L556" s="2" t="s">
        <v>22</v>
      </c>
      <c r="M556" s="4">
        <v>45520</v>
      </c>
      <c r="N556" s="2" t="s">
        <v>23</v>
      </c>
      <c r="O556" s="2">
        <f t="shared" si="35"/>
        <v>0</v>
      </c>
      <c r="P556" s="2" t="s">
        <v>23</v>
      </c>
      <c r="Q556" s="2" t="s">
        <v>23</v>
      </c>
      <c r="R556" s="2" t="s">
        <v>32</v>
      </c>
      <c r="S556" s="2" t="s">
        <v>23</v>
      </c>
      <c r="T556" s="2" t="s">
        <v>23</v>
      </c>
      <c r="U556" s="25">
        <f t="shared" si="33"/>
        <v>16887.000555999999</v>
      </c>
    </row>
    <row r="557" spans="1:21">
      <c r="A557" s="2" t="s">
        <v>1024</v>
      </c>
      <c r="B557" s="2" t="s">
        <v>1025</v>
      </c>
      <c r="C557" s="2" t="s">
        <v>19</v>
      </c>
      <c r="D557" s="2">
        <v>61</v>
      </c>
      <c r="E557" s="2" t="str">
        <f t="shared" si="34"/>
        <v>60+</v>
      </c>
      <c r="F557" s="2" t="s">
        <v>141</v>
      </c>
      <c r="G557" s="2" t="s">
        <v>47</v>
      </c>
      <c r="H557" s="2">
        <v>2</v>
      </c>
      <c r="I557" s="2" t="str">
        <f t="shared" si="32"/>
        <v>0-6 months</v>
      </c>
      <c r="J557" s="3">
        <v>849</v>
      </c>
      <c r="K557" s="3">
        <v>1698</v>
      </c>
      <c r="L557" s="2" t="s">
        <v>31</v>
      </c>
      <c r="M557" s="4">
        <v>45865</v>
      </c>
      <c r="N557" s="2" t="s">
        <v>32</v>
      </c>
      <c r="O557" s="2">
        <f t="shared" si="35"/>
        <v>1</v>
      </c>
      <c r="P557" s="2" t="s">
        <v>23</v>
      </c>
      <c r="Q557" s="2" t="s">
        <v>23</v>
      </c>
      <c r="R557" s="2" t="s">
        <v>23</v>
      </c>
      <c r="S557" s="2" t="s">
        <v>23</v>
      </c>
      <c r="T557" s="2" t="s">
        <v>23</v>
      </c>
      <c r="U557" s="25">
        <f t="shared" si="33"/>
        <v>1698.0005570000001</v>
      </c>
    </row>
    <row r="558" spans="1:21">
      <c r="A558" s="2" t="s">
        <v>1026</v>
      </c>
      <c r="B558" s="2" t="s">
        <v>235</v>
      </c>
      <c r="C558" s="2" t="s">
        <v>19</v>
      </c>
      <c r="D558" s="2">
        <v>32</v>
      </c>
      <c r="E558" s="2" t="str">
        <f t="shared" si="34"/>
        <v>26-35</v>
      </c>
      <c r="F558" s="2" t="s">
        <v>141</v>
      </c>
      <c r="G558" s="2" t="s">
        <v>21</v>
      </c>
      <c r="H558" s="2">
        <v>1</v>
      </c>
      <c r="I558" s="2" t="str">
        <f t="shared" si="32"/>
        <v>0-6 months</v>
      </c>
      <c r="J558" s="3"/>
      <c r="K558" s="3"/>
      <c r="L558" s="2" t="s">
        <v>31</v>
      </c>
      <c r="M558" s="4">
        <v>45877</v>
      </c>
      <c r="N558" s="2" t="s">
        <v>23</v>
      </c>
      <c r="O558" s="2">
        <f t="shared" si="35"/>
        <v>0</v>
      </c>
      <c r="P558" s="2" t="s">
        <v>23</v>
      </c>
      <c r="Q558" s="2" t="s">
        <v>23</v>
      </c>
      <c r="R558" s="2" t="s">
        <v>23</v>
      </c>
      <c r="S558" s="2" t="s">
        <v>23</v>
      </c>
      <c r="T558" s="2" t="s">
        <v>553</v>
      </c>
      <c r="U558" s="25" t="str">
        <f t="shared" si="33"/>
        <v/>
      </c>
    </row>
    <row r="559" spans="1:21">
      <c r="A559" s="2" t="s">
        <v>1027</v>
      </c>
      <c r="B559" s="2" t="s">
        <v>1028</v>
      </c>
      <c r="C559" s="2" t="s">
        <v>19</v>
      </c>
      <c r="D559" s="2">
        <v>25</v>
      </c>
      <c r="E559" s="2" t="str">
        <f t="shared" si="34"/>
        <v>18-25</v>
      </c>
      <c r="F559" s="2" t="s">
        <v>141</v>
      </c>
      <c r="G559" s="2" t="s">
        <v>47</v>
      </c>
      <c r="H559" s="2">
        <v>17</v>
      </c>
      <c r="I559" s="2" t="str">
        <f t="shared" si="32"/>
        <v>13-24 months</v>
      </c>
      <c r="J559" s="3">
        <v>749</v>
      </c>
      <c r="K559" s="3">
        <v>12733</v>
      </c>
      <c r="L559" s="2" t="s">
        <v>31</v>
      </c>
      <c r="M559" s="4">
        <v>45413</v>
      </c>
      <c r="N559" s="2" t="s">
        <v>23</v>
      </c>
      <c r="O559" s="2">
        <f t="shared" si="35"/>
        <v>0</v>
      </c>
      <c r="P559" s="2" t="s">
        <v>23</v>
      </c>
      <c r="Q559" s="2" t="s">
        <v>23</v>
      </c>
      <c r="R559" s="2" t="s">
        <v>23</v>
      </c>
      <c r="S559" s="2" t="s">
        <v>23</v>
      </c>
      <c r="T559" s="2" t="s">
        <v>23</v>
      </c>
      <c r="U559" s="25">
        <f t="shared" si="33"/>
        <v>12733.000559</v>
      </c>
    </row>
    <row r="560" spans="1:21">
      <c r="A560" s="2" t="s">
        <v>1029</v>
      </c>
      <c r="B560" s="2" t="s">
        <v>316</v>
      </c>
      <c r="C560" s="2" t="s">
        <v>19</v>
      </c>
      <c r="D560" s="2">
        <v>47</v>
      </c>
      <c r="E560" s="2" t="str">
        <f t="shared" si="34"/>
        <v>46-60</v>
      </c>
      <c r="F560" s="2" t="s">
        <v>60</v>
      </c>
      <c r="G560" s="2" t="s">
        <v>27</v>
      </c>
      <c r="H560" s="2">
        <v>30</v>
      </c>
      <c r="I560" s="2" t="str">
        <f t="shared" si="32"/>
        <v>25-48 months</v>
      </c>
      <c r="J560" s="3">
        <v>699</v>
      </c>
      <c r="K560" s="3">
        <v>20970</v>
      </c>
      <c r="L560" s="2" t="s">
        <v>31</v>
      </c>
      <c r="M560" s="4">
        <v>45007</v>
      </c>
      <c r="N560" s="2" t="s">
        <v>23</v>
      </c>
      <c r="O560" s="2">
        <f t="shared" si="35"/>
        <v>0</v>
      </c>
      <c r="P560" s="2" t="s">
        <v>32</v>
      </c>
      <c r="Q560" s="2" t="s">
        <v>23</v>
      </c>
      <c r="R560" s="2" t="s">
        <v>23</v>
      </c>
      <c r="S560" s="2" t="s">
        <v>23</v>
      </c>
      <c r="T560" s="2" t="s">
        <v>23</v>
      </c>
      <c r="U560" s="25">
        <f t="shared" si="33"/>
        <v>20970.00056</v>
      </c>
    </row>
    <row r="561" spans="1:21">
      <c r="A561" s="2" t="s">
        <v>1030</v>
      </c>
      <c r="B561" s="2" t="s">
        <v>192</v>
      </c>
      <c r="C561" s="2" t="s">
        <v>35</v>
      </c>
      <c r="D561" s="2">
        <v>67</v>
      </c>
      <c r="E561" s="2" t="str">
        <f t="shared" si="34"/>
        <v>60+</v>
      </c>
      <c r="F561" s="2" t="s">
        <v>41</v>
      </c>
      <c r="G561" s="2" t="s">
        <v>21</v>
      </c>
      <c r="H561" s="2">
        <v>13</v>
      </c>
      <c r="I561" s="2" t="str">
        <f t="shared" si="32"/>
        <v>13-24 months</v>
      </c>
      <c r="J561" s="3">
        <v>699</v>
      </c>
      <c r="K561" s="3">
        <v>9087</v>
      </c>
      <c r="L561" s="2" t="s">
        <v>31</v>
      </c>
      <c r="M561" s="4">
        <v>45530</v>
      </c>
      <c r="N561" s="2" t="s">
        <v>23</v>
      </c>
      <c r="O561" s="2">
        <f t="shared" si="35"/>
        <v>0</v>
      </c>
      <c r="P561" s="2" t="s">
        <v>23</v>
      </c>
      <c r="Q561" s="2" t="s">
        <v>23</v>
      </c>
      <c r="R561" s="2" t="s">
        <v>23</v>
      </c>
      <c r="S561" s="2" t="s">
        <v>23</v>
      </c>
      <c r="T561" s="2" t="s">
        <v>23</v>
      </c>
      <c r="U561" s="25">
        <f t="shared" si="33"/>
        <v>9087.0005610000007</v>
      </c>
    </row>
    <row r="562" spans="1:21">
      <c r="A562" s="2" t="s">
        <v>1031</v>
      </c>
      <c r="B562" s="2" t="s">
        <v>1032</v>
      </c>
      <c r="C562" s="2" t="s">
        <v>19</v>
      </c>
      <c r="D562" s="2">
        <v>49</v>
      </c>
      <c r="E562" s="2" t="str">
        <f t="shared" si="34"/>
        <v>46-60</v>
      </c>
      <c r="F562" s="2" t="s">
        <v>20</v>
      </c>
      <c r="G562" s="2" t="s">
        <v>27</v>
      </c>
      <c r="H562" s="2">
        <v>32</v>
      </c>
      <c r="I562" s="2" t="str">
        <f t="shared" si="32"/>
        <v>25-48 months</v>
      </c>
      <c r="J562" s="3">
        <v>599</v>
      </c>
      <c r="K562" s="3">
        <v>19168</v>
      </c>
      <c r="L562" s="2" t="s">
        <v>31</v>
      </c>
      <c r="M562" s="4">
        <v>44962</v>
      </c>
      <c r="N562" s="2" t="s">
        <v>23</v>
      </c>
      <c r="O562" s="2">
        <f t="shared" si="35"/>
        <v>0</v>
      </c>
      <c r="P562" s="2" t="s">
        <v>23</v>
      </c>
      <c r="Q562" s="2" t="s">
        <v>23</v>
      </c>
      <c r="R562" s="2" t="s">
        <v>23</v>
      </c>
      <c r="S562" s="2" t="s">
        <v>23</v>
      </c>
      <c r="T562" s="2" t="s">
        <v>23</v>
      </c>
      <c r="U562" s="25">
        <f t="shared" si="33"/>
        <v>19168.000562000001</v>
      </c>
    </row>
    <row r="563" spans="1:21">
      <c r="A563" s="2" t="s">
        <v>1033</v>
      </c>
      <c r="B563" s="2" t="s">
        <v>492</v>
      </c>
      <c r="C563" s="2" t="s">
        <v>19</v>
      </c>
      <c r="D563" s="2">
        <v>34</v>
      </c>
      <c r="E563" s="2" t="str">
        <f t="shared" si="34"/>
        <v>26-35</v>
      </c>
      <c r="F563" s="2" t="s">
        <v>41</v>
      </c>
      <c r="G563" s="2" t="s">
        <v>21</v>
      </c>
      <c r="H563" s="2">
        <v>24</v>
      </c>
      <c r="I563" s="2" t="str">
        <f t="shared" si="32"/>
        <v>13-24 months</v>
      </c>
      <c r="J563" s="3">
        <v>699</v>
      </c>
      <c r="K563" s="3">
        <v>16776</v>
      </c>
      <c r="L563" s="2" t="s">
        <v>31</v>
      </c>
      <c r="M563" s="4">
        <v>45193</v>
      </c>
      <c r="N563" s="2" t="s">
        <v>32</v>
      </c>
      <c r="O563" s="2">
        <f t="shared" si="35"/>
        <v>1</v>
      </c>
      <c r="P563" s="2" t="s">
        <v>23</v>
      </c>
      <c r="Q563" s="2" t="s">
        <v>23</v>
      </c>
      <c r="R563" s="2" t="s">
        <v>23</v>
      </c>
      <c r="S563" s="2" t="s">
        <v>23</v>
      </c>
      <c r="T563" s="2" t="s">
        <v>23</v>
      </c>
      <c r="U563" s="25">
        <f t="shared" si="33"/>
        <v>16776.000563000001</v>
      </c>
    </row>
    <row r="564" spans="1:21">
      <c r="A564" s="2" t="s">
        <v>1034</v>
      </c>
      <c r="B564" s="2" t="s">
        <v>1035</v>
      </c>
      <c r="C564" s="2" t="s">
        <v>19</v>
      </c>
      <c r="D564" s="2">
        <v>60</v>
      </c>
      <c r="E564" s="2" t="str">
        <f t="shared" si="34"/>
        <v>46-60</v>
      </c>
      <c r="F564" s="2" t="s">
        <v>105</v>
      </c>
      <c r="G564" s="2" t="s">
        <v>21</v>
      </c>
      <c r="H564" s="2">
        <v>13</v>
      </c>
      <c r="I564" s="2" t="str">
        <f t="shared" si="32"/>
        <v>13-24 months</v>
      </c>
      <c r="J564" s="3">
        <v>899</v>
      </c>
      <c r="K564" s="3">
        <v>11687</v>
      </c>
      <c r="L564" s="2" t="s">
        <v>22</v>
      </c>
      <c r="M564" s="4">
        <v>45514</v>
      </c>
      <c r="N564" s="2" t="s">
        <v>23</v>
      </c>
      <c r="O564" s="2">
        <f t="shared" si="35"/>
        <v>0</v>
      </c>
      <c r="P564" s="2" t="s">
        <v>23</v>
      </c>
      <c r="Q564" s="2" t="s">
        <v>23</v>
      </c>
      <c r="R564" s="2" t="s">
        <v>23</v>
      </c>
      <c r="S564" s="2" t="s">
        <v>23</v>
      </c>
      <c r="T564" s="2" t="s">
        <v>23</v>
      </c>
      <c r="U564" s="25">
        <f t="shared" si="33"/>
        <v>11687.000564</v>
      </c>
    </row>
    <row r="565" spans="1:21">
      <c r="A565" s="2" t="s">
        <v>1036</v>
      </c>
      <c r="B565" s="2" t="s">
        <v>1037</v>
      </c>
      <c r="C565" s="2" t="s">
        <v>35</v>
      </c>
      <c r="D565" s="2">
        <v>43</v>
      </c>
      <c r="E565" s="2" t="str">
        <f t="shared" si="34"/>
        <v>36-45</v>
      </c>
      <c r="F565" s="2" t="s">
        <v>57</v>
      </c>
      <c r="G565" s="2" t="s">
        <v>27</v>
      </c>
      <c r="H565" s="2">
        <v>5</v>
      </c>
      <c r="I565" s="2" t="str">
        <f t="shared" si="32"/>
        <v>0-6 months</v>
      </c>
      <c r="J565" s="3">
        <v>349</v>
      </c>
      <c r="K565" s="3">
        <v>1745</v>
      </c>
      <c r="L565" s="2" t="s">
        <v>37</v>
      </c>
      <c r="M565" s="4">
        <v>45756</v>
      </c>
      <c r="N565" s="2" t="s">
        <v>23</v>
      </c>
      <c r="O565" s="2">
        <f t="shared" si="35"/>
        <v>0</v>
      </c>
      <c r="P565" s="2" t="s">
        <v>23</v>
      </c>
      <c r="Q565" s="2" t="s">
        <v>23</v>
      </c>
      <c r="R565" s="2" t="s">
        <v>23</v>
      </c>
      <c r="S565" s="2" t="s">
        <v>23</v>
      </c>
      <c r="T565" s="2" t="s">
        <v>23</v>
      </c>
      <c r="U565" s="25">
        <f t="shared" si="33"/>
        <v>1745.0005650000001</v>
      </c>
    </row>
    <row r="566" spans="1:21">
      <c r="A566" s="2" t="s">
        <v>1038</v>
      </c>
      <c r="B566" s="2" t="s">
        <v>90</v>
      </c>
      <c r="C566" s="2" t="s">
        <v>35</v>
      </c>
      <c r="D566" s="2">
        <v>47</v>
      </c>
      <c r="E566" s="2" t="str">
        <f t="shared" si="34"/>
        <v>46-60</v>
      </c>
      <c r="F566" s="2" t="s">
        <v>37</v>
      </c>
      <c r="G566" s="2" t="s">
        <v>21</v>
      </c>
      <c r="H566" s="2">
        <v>2</v>
      </c>
      <c r="I566" s="2" t="str">
        <f t="shared" si="32"/>
        <v>0-6 months</v>
      </c>
      <c r="J566" s="3">
        <v>849</v>
      </c>
      <c r="K566" s="3">
        <v>1698</v>
      </c>
      <c r="L566" s="2" t="s">
        <v>31</v>
      </c>
      <c r="M566" s="4">
        <v>45841</v>
      </c>
      <c r="N566" s="2" t="s">
        <v>32</v>
      </c>
      <c r="O566" s="2">
        <f t="shared" si="35"/>
        <v>1</v>
      </c>
      <c r="P566" s="2" t="s">
        <v>32</v>
      </c>
      <c r="Q566" s="2" t="s">
        <v>32</v>
      </c>
      <c r="R566" s="2" t="s">
        <v>23</v>
      </c>
      <c r="S566" s="2" t="s">
        <v>23</v>
      </c>
      <c r="T566" s="2" t="s">
        <v>23</v>
      </c>
      <c r="U566" s="25">
        <f t="shared" si="33"/>
        <v>1698.0005659999999</v>
      </c>
    </row>
    <row r="567" spans="1:21">
      <c r="A567" s="2" t="s">
        <v>1039</v>
      </c>
      <c r="B567" s="2" t="s">
        <v>1040</v>
      </c>
      <c r="C567" s="2" t="s">
        <v>35</v>
      </c>
      <c r="D567" s="2">
        <v>66</v>
      </c>
      <c r="E567" s="2" t="str">
        <f t="shared" si="34"/>
        <v>60+</v>
      </c>
      <c r="F567" s="2" t="s">
        <v>110</v>
      </c>
      <c r="G567" s="2" t="s">
        <v>21</v>
      </c>
      <c r="H567" s="2">
        <v>18</v>
      </c>
      <c r="I567" s="2" t="str">
        <f t="shared" si="32"/>
        <v>13-24 months</v>
      </c>
      <c r="J567" s="3">
        <v>599</v>
      </c>
      <c r="K567" s="3">
        <v>10782</v>
      </c>
      <c r="L567" s="2" t="s">
        <v>31</v>
      </c>
      <c r="M567" s="4">
        <v>45376</v>
      </c>
      <c r="N567" s="2" t="s">
        <v>32</v>
      </c>
      <c r="O567" s="2">
        <f t="shared" si="35"/>
        <v>1</v>
      </c>
      <c r="P567" s="2" t="s">
        <v>23</v>
      </c>
      <c r="Q567" s="2" t="s">
        <v>23</v>
      </c>
      <c r="R567" s="2" t="s">
        <v>23</v>
      </c>
      <c r="S567" s="2" t="s">
        <v>23</v>
      </c>
      <c r="T567" s="2" t="s">
        <v>23</v>
      </c>
      <c r="U567" s="25">
        <f t="shared" si="33"/>
        <v>10782.000566999999</v>
      </c>
    </row>
    <row r="568" spans="1:21">
      <c r="A568" s="2" t="s">
        <v>1041</v>
      </c>
      <c r="B568" s="2" t="s">
        <v>1042</v>
      </c>
      <c r="C568" s="2" t="s">
        <v>19</v>
      </c>
      <c r="D568" s="2">
        <v>23</v>
      </c>
      <c r="E568" s="2" t="str">
        <f t="shared" si="34"/>
        <v>18-25</v>
      </c>
      <c r="F568" s="2" t="s">
        <v>71</v>
      </c>
      <c r="G568" s="2" t="s">
        <v>21</v>
      </c>
      <c r="H568" s="2">
        <v>2</v>
      </c>
      <c r="I568" s="2" t="str">
        <f t="shared" si="32"/>
        <v>0-6 months</v>
      </c>
      <c r="J568" s="3">
        <v>649</v>
      </c>
      <c r="K568" s="3">
        <v>1298</v>
      </c>
      <c r="L568" s="2" t="s">
        <v>31</v>
      </c>
      <c r="M568" s="4">
        <v>45856</v>
      </c>
      <c r="N568" s="2" t="s">
        <v>32</v>
      </c>
      <c r="O568" s="2">
        <f t="shared" si="35"/>
        <v>1</v>
      </c>
      <c r="P568" s="2" t="s">
        <v>23</v>
      </c>
      <c r="Q568" s="2" t="s">
        <v>23</v>
      </c>
      <c r="R568" s="2" t="s">
        <v>23</v>
      </c>
      <c r="S568" s="2" t="s">
        <v>23</v>
      </c>
      <c r="T568" s="2" t="s">
        <v>23</v>
      </c>
      <c r="U568" s="25">
        <f t="shared" si="33"/>
        <v>1298.0005679999999</v>
      </c>
    </row>
    <row r="569" spans="1:21">
      <c r="A569" s="2" t="s">
        <v>1043</v>
      </c>
      <c r="B569" s="2" t="s">
        <v>1044</v>
      </c>
      <c r="C569" s="2" t="s">
        <v>19</v>
      </c>
      <c r="D569" s="2">
        <v>37</v>
      </c>
      <c r="E569" s="2" t="str">
        <f t="shared" si="34"/>
        <v>36-45</v>
      </c>
      <c r="F569" s="2" t="s">
        <v>60</v>
      </c>
      <c r="G569" s="2" t="s">
        <v>21</v>
      </c>
      <c r="H569" s="2">
        <v>15</v>
      </c>
      <c r="I569" s="2" t="str">
        <f t="shared" si="32"/>
        <v>13-24 months</v>
      </c>
      <c r="J569" s="3">
        <v>449</v>
      </c>
      <c r="K569" s="3">
        <v>6735</v>
      </c>
      <c r="L569" s="2" t="s">
        <v>37</v>
      </c>
      <c r="M569" s="4">
        <v>45453</v>
      </c>
      <c r="N569" s="2" t="s">
        <v>32</v>
      </c>
      <c r="O569" s="2">
        <f t="shared" si="35"/>
        <v>1</v>
      </c>
      <c r="P569" s="2" t="s">
        <v>23</v>
      </c>
      <c r="Q569" s="2" t="s">
        <v>23</v>
      </c>
      <c r="R569" s="2" t="s">
        <v>23</v>
      </c>
      <c r="S569" s="2" t="s">
        <v>32</v>
      </c>
      <c r="T569" s="2" t="s">
        <v>23</v>
      </c>
      <c r="U569" s="25">
        <f t="shared" si="33"/>
        <v>6735.0005689999998</v>
      </c>
    </row>
    <row r="570" spans="1:21">
      <c r="A570" s="2" t="s">
        <v>1045</v>
      </c>
      <c r="B570" s="2" t="s">
        <v>1046</v>
      </c>
      <c r="C570" s="2" t="s">
        <v>19</v>
      </c>
      <c r="D570" s="2">
        <v>31</v>
      </c>
      <c r="E570" s="2" t="str">
        <f t="shared" si="34"/>
        <v>26-35</v>
      </c>
      <c r="F570" s="2" t="s">
        <v>110</v>
      </c>
      <c r="G570" s="2" t="s">
        <v>27</v>
      </c>
      <c r="H570" s="2">
        <v>35</v>
      </c>
      <c r="I570" s="2" t="str">
        <f t="shared" si="32"/>
        <v>25-48 months</v>
      </c>
      <c r="J570" s="3">
        <v>1199</v>
      </c>
      <c r="K570" s="3">
        <v>41965</v>
      </c>
      <c r="L570" s="2" t="s">
        <v>22</v>
      </c>
      <c r="M570" s="4">
        <v>44876</v>
      </c>
      <c r="N570" s="2" t="s">
        <v>23</v>
      </c>
      <c r="O570" s="2">
        <f t="shared" si="35"/>
        <v>0</v>
      </c>
      <c r="P570" s="2" t="s">
        <v>23</v>
      </c>
      <c r="Q570" s="2" t="s">
        <v>23</v>
      </c>
      <c r="R570" s="2" t="s">
        <v>23</v>
      </c>
      <c r="S570" s="2" t="s">
        <v>32</v>
      </c>
      <c r="T570" s="2" t="s">
        <v>23</v>
      </c>
      <c r="U570" s="25">
        <f t="shared" si="33"/>
        <v>41965.000569999997</v>
      </c>
    </row>
    <row r="571" spans="1:21">
      <c r="A571" s="2" t="s">
        <v>1047</v>
      </c>
      <c r="B571" s="2" t="s">
        <v>691</v>
      </c>
      <c r="C571" s="2" t="s">
        <v>19</v>
      </c>
      <c r="D571" s="2">
        <v>59</v>
      </c>
      <c r="E571" s="2" t="str">
        <f t="shared" si="34"/>
        <v>46-60</v>
      </c>
      <c r="F571" s="2" t="s">
        <v>36</v>
      </c>
      <c r="G571" s="2" t="s">
        <v>21</v>
      </c>
      <c r="H571" s="2">
        <v>2</v>
      </c>
      <c r="I571" s="2" t="str">
        <f t="shared" si="32"/>
        <v>0-6 months</v>
      </c>
      <c r="J571" s="3">
        <v>399</v>
      </c>
      <c r="K571" s="3">
        <v>798</v>
      </c>
      <c r="L571" s="2" t="s">
        <v>66</v>
      </c>
      <c r="M571" s="4">
        <v>45848</v>
      </c>
      <c r="N571" s="2" t="s">
        <v>32</v>
      </c>
      <c r="O571" s="2">
        <f t="shared" si="35"/>
        <v>1</v>
      </c>
      <c r="P571" s="2" t="s">
        <v>23</v>
      </c>
      <c r="Q571" s="2" t="s">
        <v>23</v>
      </c>
      <c r="R571" s="2" t="s">
        <v>23</v>
      </c>
      <c r="S571" s="2" t="s">
        <v>23</v>
      </c>
      <c r="T571" s="2" t="s">
        <v>23</v>
      </c>
      <c r="U571" s="25">
        <f t="shared" si="33"/>
        <v>798.00057100000004</v>
      </c>
    </row>
    <row r="572" spans="1:21">
      <c r="A572" s="2" t="s">
        <v>1048</v>
      </c>
      <c r="B572" s="2" t="s">
        <v>1049</v>
      </c>
      <c r="C572" s="2" t="s">
        <v>19</v>
      </c>
      <c r="D572" s="2">
        <v>47</v>
      </c>
      <c r="E572" s="2" t="str">
        <f t="shared" si="34"/>
        <v>46-60</v>
      </c>
      <c r="F572" s="2" t="s">
        <v>91</v>
      </c>
      <c r="G572" s="2" t="s">
        <v>21</v>
      </c>
      <c r="H572" s="2">
        <v>4</v>
      </c>
      <c r="I572" s="2" t="str">
        <f t="shared" si="32"/>
        <v>0-6 months</v>
      </c>
      <c r="J572" s="3">
        <v>1099</v>
      </c>
      <c r="K572" s="3">
        <v>4396</v>
      </c>
      <c r="L572" s="2" t="s">
        <v>22</v>
      </c>
      <c r="M572" s="4">
        <v>45801</v>
      </c>
      <c r="N572" s="2" t="s">
        <v>23</v>
      </c>
      <c r="O572" s="2">
        <f t="shared" si="35"/>
        <v>0</v>
      </c>
      <c r="P572" s="2" t="s">
        <v>23</v>
      </c>
      <c r="Q572" s="2" t="s">
        <v>23</v>
      </c>
      <c r="R572" s="2" t="s">
        <v>23</v>
      </c>
      <c r="S572" s="2" t="s">
        <v>23</v>
      </c>
      <c r="T572" s="2" t="s">
        <v>23</v>
      </c>
      <c r="U572" s="25">
        <f t="shared" si="33"/>
        <v>4396.0005719999999</v>
      </c>
    </row>
    <row r="573" spans="1:21">
      <c r="A573" s="2" t="s">
        <v>1050</v>
      </c>
      <c r="B573" s="2" t="s">
        <v>138</v>
      </c>
      <c r="C573" s="2" t="s">
        <v>19</v>
      </c>
      <c r="D573" s="2">
        <v>39</v>
      </c>
      <c r="E573" s="2" t="str">
        <f t="shared" si="34"/>
        <v>36-45</v>
      </c>
      <c r="F573" s="2" t="s">
        <v>110</v>
      </c>
      <c r="G573" s="2" t="s">
        <v>47</v>
      </c>
      <c r="H573" s="2">
        <v>52</v>
      </c>
      <c r="I573" s="2" t="str">
        <f t="shared" si="32"/>
        <v>49+ months</v>
      </c>
      <c r="J573" s="3">
        <v>899</v>
      </c>
      <c r="K573" s="3">
        <v>46748</v>
      </c>
      <c r="L573" s="2" t="s">
        <v>22</v>
      </c>
      <c r="M573" s="4">
        <v>44358</v>
      </c>
      <c r="N573" s="2" t="s">
        <v>23</v>
      </c>
      <c r="O573" s="2">
        <f t="shared" si="35"/>
        <v>0</v>
      </c>
      <c r="P573" s="2" t="s">
        <v>23</v>
      </c>
      <c r="Q573" s="2" t="s">
        <v>23</v>
      </c>
      <c r="R573" s="2" t="s">
        <v>23</v>
      </c>
      <c r="S573" s="2" t="s">
        <v>23</v>
      </c>
      <c r="T573" s="2" t="s">
        <v>23</v>
      </c>
      <c r="U573" s="25">
        <f t="shared" si="33"/>
        <v>46748.000572999998</v>
      </c>
    </row>
    <row r="574" spans="1:21">
      <c r="A574" s="2" t="s">
        <v>1051</v>
      </c>
      <c r="B574" s="2" t="s">
        <v>389</v>
      </c>
      <c r="C574" s="2" t="s">
        <v>19</v>
      </c>
      <c r="D574" s="2">
        <v>29</v>
      </c>
      <c r="E574" s="2" t="str">
        <f t="shared" si="34"/>
        <v>26-35</v>
      </c>
      <c r="F574" s="2" t="s">
        <v>30</v>
      </c>
      <c r="G574" s="2" t="s">
        <v>21</v>
      </c>
      <c r="H574" s="2">
        <v>14</v>
      </c>
      <c r="I574" s="2" t="str">
        <f t="shared" si="32"/>
        <v>13-24 months</v>
      </c>
      <c r="J574" s="3">
        <v>649</v>
      </c>
      <c r="K574" s="3">
        <v>9086</v>
      </c>
      <c r="L574" s="2" t="s">
        <v>31</v>
      </c>
      <c r="M574" s="4">
        <v>45494</v>
      </c>
      <c r="N574" s="2" t="s">
        <v>23</v>
      </c>
      <c r="O574" s="2">
        <f t="shared" si="35"/>
        <v>0</v>
      </c>
      <c r="P574" s="2" t="s">
        <v>23</v>
      </c>
      <c r="Q574" s="2" t="s">
        <v>23</v>
      </c>
      <c r="R574" s="2" t="s">
        <v>23</v>
      </c>
      <c r="S574" s="2" t="s">
        <v>32</v>
      </c>
      <c r="T574" s="2" t="s">
        <v>23</v>
      </c>
      <c r="U574" s="25">
        <f t="shared" si="33"/>
        <v>9086.0005739999997</v>
      </c>
    </row>
    <row r="575" spans="1:21">
      <c r="A575" s="2" t="s">
        <v>1052</v>
      </c>
      <c r="B575" s="2" t="s">
        <v>745</v>
      </c>
      <c r="C575" s="2" t="s">
        <v>19</v>
      </c>
      <c r="D575" s="2">
        <v>26</v>
      </c>
      <c r="E575" s="2" t="str">
        <f t="shared" si="34"/>
        <v>26-35</v>
      </c>
      <c r="F575" s="2" t="s">
        <v>41</v>
      </c>
      <c r="G575" s="2" t="s">
        <v>27</v>
      </c>
      <c r="H575" s="2">
        <v>25</v>
      </c>
      <c r="I575" s="2" t="str">
        <f t="shared" si="32"/>
        <v>25-48 months</v>
      </c>
      <c r="J575" s="3">
        <v>999</v>
      </c>
      <c r="K575" s="3">
        <v>24975</v>
      </c>
      <c r="L575" s="2" t="s">
        <v>22</v>
      </c>
      <c r="M575" s="4">
        <v>45176</v>
      </c>
      <c r="N575" s="2" t="s">
        <v>23</v>
      </c>
      <c r="O575" s="2">
        <f t="shared" si="35"/>
        <v>0</v>
      </c>
      <c r="P575" s="2" t="s">
        <v>23</v>
      </c>
      <c r="Q575" s="2" t="s">
        <v>23</v>
      </c>
      <c r="R575" s="2" t="s">
        <v>23</v>
      </c>
      <c r="S575" s="2" t="s">
        <v>23</v>
      </c>
      <c r="T575" s="2" t="s">
        <v>23</v>
      </c>
      <c r="U575" s="25">
        <f t="shared" si="33"/>
        <v>24975.000574999998</v>
      </c>
    </row>
    <row r="576" spans="1:21">
      <c r="A576" s="2" t="s">
        <v>1053</v>
      </c>
      <c r="B576" s="2" t="s">
        <v>1054</v>
      </c>
      <c r="C576" s="2" t="s">
        <v>19</v>
      </c>
      <c r="D576" s="2">
        <v>23</v>
      </c>
      <c r="E576" s="2" t="str">
        <f t="shared" si="34"/>
        <v>18-25</v>
      </c>
      <c r="F576" s="2" t="s">
        <v>141</v>
      </c>
      <c r="G576" s="2" t="s">
        <v>27</v>
      </c>
      <c r="H576" s="2">
        <v>27</v>
      </c>
      <c r="I576" s="2" t="str">
        <f t="shared" si="32"/>
        <v>25-48 months</v>
      </c>
      <c r="J576" s="3">
        <v>499</v>
      </c>
      <c r="K576" s="3">
        <v>13473</v>
      </c>
      <c r="L576" s="2" t="s">
        <v>66</v>
      </c>
      <c r="M576" s="4">
        <v>45112</v>
      </c>
      <c r="N576" s="2" t="s">
        <v>23</v>
      </c>
      <c r="O576" s="2">
        <f t="shared" si="35"/>
        <v>0</v>
      </c>
      <c r="P576" s="2" t="s">
        <v>23</v>
      </c>
      <c r="Q576" s="2" t="s">
        <v>23</v>
      </c>
      <c r="R576" s="2" t="s">
        <v>23</v>
      </c>
      <c r="S576" s="2" t="s">
        <v>23</v>
      </c>
      <c r="T576" s="2" t="s">
        <v>23</v>
      </c>
      <c r="U576" s="25">
        <f t="shared" si="33"/>
        <v>13473.000576</v>
      </c>
    </row>
    <row r="577" spans="1:21">
      <c r="A577" s="2" t="s">
        <v>1055</v>
      </c>
      <c r="B577" s="2" t="s">
        <v>100</v>
      </c>
      <c r="C577" s="2" t="s">
        <v>19</v>
      </c>
      <c r="D577" s="2">
        <v>46</v>
      </c>
      <c r="E577" s="2" t="str">
        <f t="shared" si="34"/>
        <v>46-60</v>
      </c>
      <c r="F577" s="2" t="s">
        <v>105</v>
      </c>
      <c r="G577" s="2" t="s">
        <v>21</v>
      </c>
      <c r="H577" s="2">
        <v>23</v>
      </c>
      <c r="I577" s="2" t="str">
        <f t="shared" si="32"/>
        <v>13-24 months</v>
      </c>
      <c r="J577" s="3">
        <v>599</v>
      </c>
      <c r="K577" s="3">
        <v>13777</v>
      </c>
      <c r="L577" s="2" t="s">
        <v>31</v>
      </c>
      <c r="M577" s="4">
        <v>45219</v>
      </c>
      <c r="N577" s="2" t="s">
        <v>23</v>
      </c>
      <c r="O577" s="2">
        <f t="shared" si="35"/>
        <v>0</v>
      </c>
      <c r="P577" s="2" t="s">
        <v>23</v>
      </c>
      <c r="Q577" s="2" t="s">
        <v>23</v>
      </c>
      <c r="R577" s="2" t="s">
        <v>23</v>
      </c>
      <c r="S577" s="2" t="s">
        <v>23</v>
      </c>
      <c r="T577" s="2" t="s">
        <v>23</v>
      </c>
      <c r="U577" s="25">
        <f t="shared" si="33"/>
        <v>13777.000577000001</v>
      </c>
    </row>
    <row r="578" spans="1:21">
      <c r="A578" s="2" t="s">
        <v>1056</v>
      </c>
      <c r="B578" s="2" t="s">
        <v>220</v>
      </c>
      <c r="C578" s="2" t="s">
        <v>19</v>
      </c>
      <c r="D578" s="2">
        <v>44</v>
      </c>
      <c r="E578" s="2" t="str">
        <f t="shared" si="34"/>
        <v>36-45</v>
      </c>
      <c r="F578" s="2" t="s">
        <v>36</v>
      </c>
      <c r="G578" s="2" t="s">
        <v>27</v>
      </c>
      <c r="H578" s="2">
        <v>34</v>
      </c>
      <c r="I578" s="2" t="str">
        <f t="shared" ref="I578:I641" si="36">IF(H578="","Unknown",IF(H578&lt;=6,"0-6 months",IF(H578&lt;=12,"7-12 months",IF(H578&lt;=24,"13-24 months",IF(H578&lt;=48,"25-48 months","49+ months")))))</f>
        <v>25-48 months</v>
      </c>
      <c r="J578" s="3">
        <v>599</v>
      </c>
      <c r="K578" s="3">
        <v>20366</v>
      </c>
      <c r="L578" s="2" t="s">
        <v>31</v>
      </c>
      <c r="M578" s="4">
        <v>44891</v>
      </c>
      <c r="N578" s="2" t="s">
        <v>23</v>
      </c>
      <c r="O578" s="2">
        <f t="shared" si="35"/>
        <v>0</v>
      </c>
      <c r="P578" s="2" t="s">
        <v>23</v>
      </c>
      <c r="Q578" s="2" t="s">
        <v>23</v>
      </c>
      <c r="R578" s="2" t="s">
        <v>23</v>
      </c>
      <c r="S578" s="2" t="s">
        <v>23</v>
      </c>
      <c r="T578" s="2" t="s">
        <v>23</v>
      </c>
      <c r="U578" s="25">
        <f t="shared" ref="U578:U641" si="37">IF(K578="","",K578+ROW()/1000000)</f>
        <v>20366.000577999999</v>
      </c>
    </row>
    <row r="579" spans="1:21">
      <c r="A579" s="2" t="s">
        <v>1057</v>
      </c>
      <c r="B579" s="2" t="s">
        <v>1058</v>
      </c>
      <c r="C579" s="2" t="s">
        <v>19</v>
      </c>
      <c r="D579" s="2">
        <v>60</v>
      </c>
      <c r="E579" s="2" t="str">
        <f t="shared" ref="E579:E642" si="38">IF(D579&lt;=25,"18-25",IF(D579&lt;=35,"26-35",IF(D579&lt;=45,"36-45",IF(D579&lt;=60,"46-60","60+"))))</f>
        <v>46-60</v>
      </c>
      <c r="F579" s="2" t="s">
        <v>20</v>
      </c>
      <c r="G579" s="2" t="s">
        <v>21</v>
      </c>
      <c r="H579" s="2">
        <v>5</v>
      </c>
      <c r="I579" s="2" t="str">
        <f t="shared" si="36"/>
        <v>0-6 months</v>
      </c>
      <c r="J579" s="3">
        <v>849</v>
      </c>
      <c r="K579" s="3">
        <v>4245</v>
      </c>
      <c r="L579" s="2" t="s">
        <v>31</v>
      </c>
      <c r="M579" s="4">
        <v>45773</v>
      </c>
      <c r="N579" s="2" t="s">
        <v>32</v>
      </c>
      <c r="O579" s="2">
        <f t="shared" ref="O579:O642" si="39">IF(N579="Yes",1,IF(N579="No",0,""))</f>
        <v>1</v>
      </c>
      <c r="P579" s="2" t="s">
        <v>23</v>
      </c>
      <c r="Q579" s="2" t="s">
        <v>23</v>
      </c>
      <c r="R579" s="2" t="s">
        <v>23</v>
      </c>
      <c r="S579" s="2" t="s">
        <v>23</v>
      </c>
      <c r="T579" s="2" t="s">
        <v>23</v>
      </c>
      <c r="U579" s="25">
        <f t="shared" si="37"/>
        <v>4245.0005789999996</v>
      </c>
    </row>
    <row r="580" spans="1:21">
      <c r="A580" s="2" t="s">
        <v>1059</v>
      </c>
      <c r="B580" s="2" t="s">
        <v>1060</v>
      </c>
      <c r="C580" s="2" t="s">
        <v>19</v>
      </c>
      <c r="D580" s="2">
        <v>41</v>
      </c>
      <c r="E580" s="2" t="str">
        <f t="shared" si="38"/>
        <v>36-45</v>
      </c>
      <c r="F580" s="2" t="s">
        <v>46</v>
      </c>
      <c r="G580" s="2" t="s">
        <v>21</v>
      </c>
      <c r="H580" s="2">
        <v>20</v>
      </c>
      <c r="I580" s="2" t="str">
        <f t="shared" si="36"/>
        <v>13-24 months</v>
      </c>
      <c r="J580" s="3">
        <v>899</v>
      </c>
      <c r="K580" s="3">
        <v>17980</v>
      </c>
      <c r="L580" s="2" t="s">
        <v>31</v>
      </c>
      <c r="M580" s="4">
        <v>45305</v>
      </c>
      <c r="N580" s="2" t="s">
        <v>32</v>
      </c>
      <c r="O580" s="2">
        <f t="shared" si="39"/>
        <v>1</v>
      </c>
      <c r="P580" s="2" t="s">
        <v>23</v>
      </c>
      <c r="Q580" s="2" t="s">
        <v>23</v>
      </c>
      <c r="R580" s="2" t="s">
        <v>23</v>
      </c>
      <c r="S580" s="2" t="s">
        <v>23</v>
      </c>
      <c r="T580" s="2" t="s">
        <v>23</v>
      </c>
      <c r="U580" s="25">
        <f t="shared" si="37"/>
        <v>17980.00058</v>
      </c>
    </row>
    <row r="581" spans="1:21">
      <c r="A581" s="2" t="s">
        <v>1061</v>
      </c>
      <c r="B581" s="2" t="s">
        <v>1062</v>
      </c>
      <c r="C581" s="2" t="s">
        <v>19</v>
      </c>
      <c r="D581" s="2">
        <v>28</v>
      </c>
      <c r="E581" s="2" t="str">
        <f t="shared" si="38"/>
        <v>26-35</v>
      </c>
      <c r="F581" s="2" t="s">
        <v>110</v>
      </c>
      <c r="G581" s="2" t="s">
        <v>21</v>
      </c>
      <c r="H581" s="2">
        <v>3</v>
      </c>
      <c r="I581" s="2" t="str">
        <f t="shared" si="36"/>
        <v>0-6 months</v>
      </c>
      <c r="J581" s="3">
        <v>1199</v>
      </c>
      <c r="K581" s="3">
        <v>3597</v>
      </c>
      <c r="L581" s="2" t="s">
        <v>22</v>
      </c>
      <c r="M581" s="4">
        <v>45828</v>
      </c>
      <c r="N581" s="2" t="s">
        <v>32</v>
      </c>
      <c r="O581" s="2">
        <f t="shared" si="39"/>
        <v>1</v>
      </c>
      <c r="P581" s="2" t="s">
        <v>23</v>
      </c>
      <c r="Q581" s="2" t="s">
        <v>23</v>
      </c>
      <c r="R581" s="2" t="s">
        <v>23</v>
      </c>
      <c r="S581" s="2" t="s">
        <v>23</v>
      </c>
      <c r="T581" s="2" t="s">
        <v>23</v>
      </c>
      <c r="U581" s="25">
        <f t="shared" si="37"/>
        <v>3597.0005809999998</v>
      </c>
    </row>
    <row r="582" spans="1:21">
      <c r="A582" s="2" t="s">
        <v>1063</v>
      </c>
      <c r="B582" s="2" t="s">
        <v>1064</v>
      </c>
      <c r="C582" s="2" t="s">
        <v>35</v>
      </c>
      <c r="D582" s="2">
        <v>61</v>
      </c>
      <c r="E582" s="2" t="str">
        <f t="shared" si="38"/>
        <v>60+</v>
      </c>
      <c r="F582" s="2" t="s">
        <v>30</v>
      </c>
      <c r="G582" s="2" t="s">
        <v>21</v>
      </c>
      <c r="H582" s="2">
        <v>8</v>
      </c>
      <c r="I582" s="2" t="str">
        <f t="shared" si="36"/>
        <v>7-12 months</v>
      </c>
      <c r="J582" s="3">
        <v>599</v>
      </c>
      <c r="K582" s="3">
        <v>4792</v>
      </c>
      <c r="L582" s="2" t="s">
        <v>31</v>
      </c>
      <c r="M582" s="4">
        <v>45676</v>
      </c>
      <c r="N582" s="2" t="s">
        <v>23</v>
      </c>
      <c r="O582" s="2">
        <f t="shared" si="39"/>
        <v>0</v>
      </c>
      <c r="P582" s="2" t="s">
        <v>23</v>
      </c>
      <c r="Q582" s="2" t="s">
        <v>23</v>
      </c>
      <c r="R582" s="2" t="s">
        <v>23</v>
      </c>
      <c r="S582" s="2" t="s">
        <v>23</v>
      </c>
      <c r="T582" s="2" t="s">
        <v>23</v>
      </c>
      <c r="U582" s="25">
        <f t="shared" si="37"/>
        <v>4792.0005819999997</v>
      </c>
    </row>
    <row r="583" spans="1:21">
      <c r="A583" s="2" t="s">
        <v>1065</v>
      </c>
      <c r="B583" s="2" t="s">
        <v>1066</v>
      </c>
      <c r="C583" s="2" t="s">
        <v>19</v>
      </c>
      <c r="D583" s="2">
        <v>55</v>
      </c>
      <c r="E583" s="2" t="str">
        <f t="shared" si="38"/>
        <v>46-60</v>
      </c>
      <c r="F583" s="2" t="s">
        <v>60</v>
      </c>
      <c r="G583" s="2" t="s">
        <v>21</v>
      </c>
      <c r="H583" s="2">
        <v>7</v>
      </c>
      <c r="I583" s="2" t="str">
        <f t="shared" si="36"/>
        <v>7-12 months</v>
      </c>
      <c r="J583" s="3">
        <v>1099</v>
      </c>
      <c r="K583" s="3">
        <v>7693</v>
      </c>
      <c r="L583" s="2" t="s">
        <v>22</v>
      </c>
      <c r="M583" s="4">
        <v>45714</v>
      </c>
      <c r="N583" s="2" t="s">
        <v>32</v>
      </c>
      <c r="O583" s="2">
        <f t="shared" si="39"/>
        <v>1</v>
      </c>
      <c r="P583" s="2" t="s">
        <v>23</v>
      </c>
      <c r="Q583" s="2" t="s">
        <v>23</v>
      </c>
      <c r="R583" s="2" t="s">
        <v>23</v>
      </c>
      <c r="S583" s="2" t="s">
        <v>32</v>
      </c>
      <c r="T583" s="2" t="s">
        <v>23</v>
      </c>
      <c r="U583" s="25">
        <f t="shared" si="37"/>
        <v>7693.000583</v>
      </c>
    </row>
    <row r="584" spans="1:21">
      <c r="A584" s="2" t="s">
        <v>1067</v>
      </c>
      <c r="B584" s="2" t="s">
        <v>592</v>
      </c>
      <c r="C584" s="2" t="s">
        <v>35</v>
      </c>
      <c r="D584" s="2">
        <v>40</v>
      </c>
      <c r="E584" s="2" t="str">
        <f t="shared" si="38"/>
        <v>36-45</v>
      </c>
      <c r="F584" s="2" t="s">
        <v>46</v>
      </c>
      <c r="G584" s="2" t="s">
        <v>21</v>
      </c>
      <c r="H584" s="2">
        <v>23</v>
      </c>
      <c r="I584" s="2" t="str">
        <f t="shared" si="36"/>
        <v>13-24 months</v>
      </c>
      <c r="J584" s="3">
        <v>799</v>
      </c>
      <c r="K584" s="3">
        <v>18377</v>
      </c>
      <c r="L584" s="2" t="s">
        <v>31</v>
      </c>
      <c r="M584" s="4">
        <v>45211</v>
      </c>
      <c r="N584" s="2" t="s">
        <v>32</v>
      </c>
      <c r="O584" s="2">
        <f t="shared" si="39"/>
        <v>1</v>
      </c>
      <c r="P584" s="2" t="s">
        <v>23</v>
      </c>
      <c r="Q584" s="2" t="s">
        <v>23</v>
      </c>
      <c r="R584" s="2" t="s">
        <v>23</v>
      </c>
      <c r="S584" s="2" t="s">
        <v>23</v>
      </c>
      <c r="T584" s="2" t="s">
        <v>23</v>
      </c>
      <c r="U584" s="25">
        <f t="shared" si="37"/>
        <v>18377.000584000001</v>
      </c>
    </row>
    <row r="585" spans="1:21">
      <c r="A585" s="2" t="s">
        <v>1068</v>
      </c>
      <c r="B585" s="2" t="s">
        <v>1069</v>
      </c>
      <c r="C585" s="2" t="s">
        <v>35</v>
      </c>
      <c r="D585" s="2">
        <v>28</v>
      </c>
      <c r="E585" s="2" t="str">
        <f t="shared" si="38"/>
        <v>26-35</v>
      </c>
      <c r="F585" s="2" t="s">
        <v>110</v>
      </c>
      <c r="G585" s="2" t="s">
        <v>21</v>
      </c>
      <c r="H585" s="2">
        <v>20</v>
      </c>
      <c r="I585" s="2" t="str">
        <f t="shared" si="36"/>
        <v>13-24 months</v>
      </c>
      <c r="J585" s="3">
        <v>549</v>
      </c>
      <c r="K585" s="3">
        <v>10980</v>
      </c>
      <c r="L585" s="2" t="s">
        <v>66</v>
      </c>
      <c r="M585" s="4">
        <v>45310</v>
      </c>
      <c r="N585" s="2" t="s">
        <v>23</v>
      </c>
      <c r="O585" s="2">
        <f t="shared" si="39"/>
        <v>0</v>
      </c>
      <c r="P585" s="2" t="s">
        <v>23</v>
      </c>
      <c r="Q585" s="2" t="s">
        <v>23</v>
      </c>
      <c r="R585" s="2" t="s">
        <v>23</v>
      </c>
      <c r="S585" s="2" t="s">
        <v>23</v>
      </c>
      <c r="T585" s="2" t="s">
        <v>23</v>
      </c>
      <c r="U585" s="25">
        <f t="shared" si="37"/>
        <v>10980.000585</v>
      </c>
    </row>
    <row r="586" spans="1:21">
      <c r="A586" s="2" t="s">
        <v>1070</v>
      </c>
      <c r="B586" s="2" t="s">
        <v>262</v>
      </c>
      <c r="C586" s="2" t="s">
        <v>19</v>
      </c>
      <c r="D586" s="2">
        <v>72</v>
      </c>
      <c r="E586" s="2" t="str">
        <f t="shared" si="38"/>
        <v>60+</v>
      </c>
      <c r="F586" s="2" t="s">
        <v>26</v>
      </c>
      <c r="G586" s="2" t="s">
        <v>21</v>
      </c>
      <c r="H586" s="2">
        <v>19</v>
      </c>
      <c r="I586" s="2" t="str">
        <f t="shared" si="36"/>
        <v>13-24 months</v>
      </c>
      <c r="J586" s="3">
        <v>499</v>
      </c>
      <c r="K586" s="3">
        <v>9481</v>
      </c>
      <c r="L586" s="2" t="s">
        <v>66</v>
      </c>
      <c r="M586" s="4">
        <v>45335</v>
      </c>
      <c r="N586" s="2" t="s">
        <v>32</v>
      </c>
      <c r="O586" s="2">
        <f t="shared" si="39"/>
        <v>1</v>
      </c>
      <c r="P586" s="2" t="s">
        <v>23</v>
      </c>
      <c r="Q586" s="2" t="s">
        <v>23</v>
      </c>
      <c r="R586" s="2" t="s">
        <v>23</v>
      </c>
      <c r="S586" s="2" t="s">
        <v>23</v>
      </c>
      <c r="T586" s="2" t="s">
        <v>23</v>
      </c>
      <c r="U586" s="25">
        <f t="shared" si="37"/>
        <v>9481.0005860000001</v>
      </c>
    </row>
    <row r="587" spans="1:21">
      <c r="A587" s="2" t="s">
        <v>1071</v>
      </c>
      <c r="B587" s="2" t="s">
        <v>1072</v>
      </c>
      <c r="C587" s="2" t="s">
        <v>35</v>
      </c>
      <c r="D587" s="2">
        <v>38</v>
      </c>
      <c r="E587" s="2" t="str">
        <f t="shared" si="38"/>
        <v>36-45</v>
      </c>
      <c r="F587" s="2" t="s">
        <v>105</v>
      </c>
      <c r="G587" s="2" t="s">
        <v>27</v>
      </c>
      <c r="H587" s="2">
        <v>38</v>
      </c>
      <c r="I587" s="2" t="str">
        <f t="shared" si="36"/>
        <v>25-48 months</v>
      </c>
      <c r="J587" s="3">
        <v>349</v>
      </c>
      <c r="K587" s="3">
        <v>13262</v>
      </c>
      <c r="L587" s="2" t="s">
        <v>66</v>
      </c>
      <c r="M587" s="4">
        <v>44787</v>
      </c>
      <c r="N587" s="2" t="s">
        <v>23</v>
      </c>
      <c r="O587" s="2">
        <f t="shared" si="39"/>
        <v>0</v>
      </c>
      <c r="P587" s="2" t="s">
        <v>23</v>
      </c>
      <c r="Q587" s="2" t="s">
        <v>23</v>
      </c>
      <c r="R587" s="2" t="s">
        <v>23</v>
      </c>
      <c r="S587" s="2" t="s">
        <v>23</v>
      </c>
      <c r="T587" s="2" t="s">
        <v>23</v>
      </c>
      <c r="U587" s="25">
        <f t="shared" si="37"/>
        <v>13262.000587</v>
      </c>
    </row>
    <row r="588" spans="1:21">
      <c r="A588" s="2" t="s">
        <v>1073</v>
      </c>
      <c r="B588" s="2" t="s">
        <v>1074</v>
      </c>
      <c r="C588" s="2" t="s">
        <v>37</v>
      </c>
      <c r="D588" s="2">
        <v>67</v>
      </c>
      <c r="E588" s="2" t="str">
        <f t="shared" si="38"/>
        <v>60+</v>
      </c>
      <c r="F588" s="2" t="s">
        <v>26</v>
      </c>
      <c r="G588" s="2" t="s">
        <v>21</v>
      </c>
      <c r="H588" s="2">
        <v>16</v>
      </c>
      <c r="I588" s="2" t="str">
        <f t="shared" si="36"/>
        <v>13-24 months</v>
      </c>
      <c r="J588" s="3">
        <v>1299</v>
      </c>
      <c r="K588" s="3">
        <v>20784</v>
      </c>
      <c r="L588" s="2" t="s">
        <v>22</v>
      </c>
      <c r="M588" s="4">
        <v>45441</v>
      </c>
      <c r="N588" s="2" t="s">
        <v>32</v>
      </c>
      <c r="O588" s="2">
        <f t="shared" si="39"/>
        <v>1</v>
      </c>
      <c r="P588" s="2" t="s">
        <v>23</v>
      </c>
      <c r="Q588" s="2" t="s">
        <v>23</v>
      </c>
      <c r="R588" s="2" t="s">
        <v>23</v>
      </c>
      <c r="S588" s="2" t="s">
        <v>23</v>
      </c>
      <c r="T588" s="2" t="s">
        <v>23</v>
      </c>
      <c r="U588" s="25">
        <f t="shared" si="37"/>
        <v>20784.000587999999</v>
      </c>
    </row>
    <row r="589" spans="1:21">
      <c r="A589" s="2" t="s">
        <v>1075</v>
      </c>
      <c r="B589" s="2" t="s">
        <v>1076</v>
      </c>
      <c r="C589" s="2" t="s">
        <v>19</v>
      </c>
      <c r="D589" s="2">
        <v>62</v>
      </c>
      <c r="E589" s="2" t="str">
        <f t="shared" si="38"/>
        <v>60+</v>
      </c>
      <c r="F589" s="2" t="s">
        <v>141</v>
      </c>
      <c r="G589" s="2" t="s">
        <v>21</v>
      </c>
      <c r="H589" s="2">
        <v>12</v>
      </c>
      <c r="I589" s="2" t="str">
        <f t="shared" si="36"/>
        <v>7-12 months</v>
      </c>
      <c r="J589" s="3">
        <v>699</v>
      </c>
      <c r="K589" s="3">
        <v>8388</v>
      </c>
      <c r="L589" s="2" t="s">
        <v>31</v>
      </c>
      <c r="M589" s="4">
        <v>45547</v>
      </c>
      <c r="N589" s="2" t="s">
        <v>32</v>
      </c>
      <c r="O589" s="2">
        <f t="shared" si="39"/>
        <v>1</v>
      </c>
      <c r="P589" s="2" t="s">
        <v>23</v>
      </c>
      <c r="Q589" s="2" t="s">
        <v>23</v>
      </c>
      <c r="R589" s="2" t="s">
        <v>32</v>
      </c>
      <c r="S589" s="2" t="s">
        <v>23</v>
      </c>
      <c r="T589" s="2" t="s">
        <v>23</v>
      </c>
      <c r="U589" s="25">
        <f t="shared" si="37"/>
        <v>8388.0005889999993</v>
      </c>
    </row>
    <row r="590" spans="1:21">
      <c r="A590" s="2" t="s">
        <v>1077</v>
      </c>
      <c r="B590" s="2" t="s">
        <v>1078</v>
      </c>
      <c r="C590" s="2" t="s">
        <v>35</v>
      </c>
      <c r="D590" s="2">
        <v>47</v>
      </c>
      <c r="E590" s="2" t="str">
        <f t="shared" si="38"/>
        <v>46-60</v>
      </c>
      <c r="F590" s="2" t="s">
        <v>57</v>
      </c>
      <c r="G590" s="2" t="s">
        <v>27</v>
      </c>
      <c r="H590" s="2">
        <v>30</v>
      </c>
      <c r="I590" s="2" t="str">
        <f t="shared" si="36"/>
        <v>25-48 months</v>
      </c>
      <c r="J590" s="3">
        <v>1299</v>
      </c>
      <c r="K590" s="3">
        <v>38970</v>
      </c>
      <c r="L590" s="2" t="s">
        <v>22</v>
      </c>
      <c r="M590" s="4">
        <v>45016</v>
      </c>
      <c r="N590" s="2" t="s">
        <v>23</v>
      </c>
      <c r="O590" s="2">
        <f t="shared" si="39"/>
        <v>0</v>
      </c>
      <c r="P590" s="2" t="s">
        <v>23</v>
      </c>
      <c r="Q590" s="2" t="s">
        <v>23</v>
      </c>
      <c r="R590" s="2" t="s">
        <v>23</v>
      </c>
      <c r="S590" s="2" t="s">
        <v>23</v>
      </c>
      <c r="T590" s="2" t="s">
        <v>23</v>
      </c>
      <c r="U590" s="25">
        <f t="shared" si="37"/>
        <v>38970.000590000003</v>
      </c>
    </row>
    <row r="591" spans="1:21">
      <c r="A591" s="2" t="s">
        <v>1079</v>
      </c>
      <c r="B591" s="2" t="s">
        <v>1080</v>
      </c>
      <c r="C591" s="2" t="s">
        <v>19</v>
      </c>
      <c r="D591" s="2">
        <v>47</v>
      </c>
      <c r="E591" s="2" t="str">
        <f t="shared" si="38"/>
        <v>46-60</v>
      </c>
      <c r="F591" s="2" t="s">
        <v>37</v>
      </c>
      <c r="G591" s="2" t="s">
        <v>27</v>
      </c>
      <c r="H591" s="2">
        <v>5</v>
      </c>
      <c r="I591" s="2" t="str">
        <f t="shared" si="36"/>
        <v>0-6 months</v>
      </c>
      <c r="J591" s="3">
        <v>449</v>
      </c>
      <c r="K591" s="3">
        <v>2245</v>
      </c>
      <c r="L591" s="2" t="s">
        <v>66</v>
      </c>
      <c r="M591" s="4">
        <v>45769</v>
      </c>
      <c r="N591" s="2" t="s">
        <v>23</v>
      </c>
      <c r="O591" s="2">
        <f t="shared" si="39"/>
        <v>0</v>
      </c>
      <c r="P591" s="2" t="s">
        <v>23</v>
      </c>
      <c r="Q591" s="2" t="s">
        <v>23</v>
      </c>
      <c r="R591" s="2" t="s">
        <v>23</v>
      </c>
      <c r="S591" s="2" t="s">
        <v>23</v>
      </c>
      <c r="T591" s="2" t="s">
        <v>23</v>
      </c>
      <c r="U591" s="25">
        <f t="shared" si="37"/>
        <v>2245.000591</v>
      </c>
    </row>
    <row r="592" spans="1:21">
      <c r="A592" s="2" t="s">
        <v>1081</v>
      </c>
      <c r="B592" s="2" t="s">
        <v>1082</v>
      </c>
      <c r="C592" s="2" t="s">
        <v>35</v>
      </c>
      <c r="D592" s="2">
        <v>57</v>
      </c>
      <c r="E592" s="2" t="str">
        <f t="shared" si="38"/>
        <v>46-60</v>
      </c>
      <c r="F592" s="2" t="s">
        <v>26</v>
      </c>
      <c r="G592" s="2" t="s">
        <v>27</v>
      </c>
      <c r="H592" s="2">
        <v>6</v>
      </c>
      <c r="I592" s="2" t="str">
        <f t="shared" si="36"/>
        <v>0-6 months</v>
      </c>
      <c r="J592" s="3">
        <v>799</v>
      </c>
      <c r="K592" s="3">
        <v>4794</v>
      </c>
      <c r="L592" s="2" t="s">
        <v>31</v>
      </c>
      <c r="M592" s="4">
        <v>45719</v>
      </c>
      <c r="N592" s="2" t="s">
        <v>23</v>
      </c>
      <c r="O592" s="2">
        <f t="shared" si="39"/>
        <v>0</v>
      </c>
      <c r="P592" s="2" t="s">
        <v>23</v>
      </c>
      <c r="Q592" s="2" t="s">
        <v>23</v>
      </c>
      <c r="R592" s="2" t="s">
        <v>23</v>
      </c>
      <c r="S592" s="2" t="s">
        <v>23</v>
      </c>
      <c r="T592" s="2" t="s">
        <v>23</v>
      </c>
      <c r="U592" s="25">
        <f t="shared" si="37"/>
        <v>4794.0005920000003</v>
      </c>
    </row>
    <row r="593" spans="1:21">
      <c r="A593" s="2" t="s">
        <v>1083</v>
      </c>
      <c r="B593" s="2" t="s">
        <v>1084</v>
      </c>
      <c r="C593" s="2" t="s">
        <v>35</v>
      </c>
      <c r="D593" s="2">
        <v>42</v>
      </c>
      <c r="E593" s="2" t="str">
        <f t="shared" si="38"/>
        <v>36-45</v>
      </c>
      <c r="F593" s="2" t="s">
        <v>30</v>
      </c>
      <c r="G593" s="2" t="s">
        <v>21</v>
      </c>
      <c r="H593" s="2">
        <v>12</v>
      </c>
      <c r="I593" s="2" t="str">
        <f t="shared" si="36"/>
        <v>7-12 months</v>
      </c>
      <c r="J593" s="3">
        <v>649</v>
      </c>
      <c r="K593" s="3">
        <v>7788</v>
      </c>
      <c r="L593" s="2" t="s">
        <v>31</v>
      </c>
      <c r="M593" s="4">
        <v>45551</v>
      </c>
      <c r="N593" s="2" t="s">
        <v>23</v>
      </c>
      <c r="O593" s="2">
        <f t="shared" si="39"/>
        <v>0</v>
      </c>
      <c r="P593" s="2" t="s">
        <v>23</v>
      </c>
      <c r="Q593" s="2" t="s">
        <v>23</v>
      </c>
      <c r="R593" s="2" t="s">
        <v>23</v>
      </c>
      <c r="S593" s="2" t="s">
        <v>23</v>
      </c>
      <c r="T593" s="2" t="s">
        <v>23</v>
      </c>
      <c r="U593" s="25">
        <f t="shared" si="37"/>
        <v>7788.0005929999998</v>
      </c>
    </row>
    <row r="594" spans="1:21">
      <c r="A594" s="2" t="s">
        <v>1085</v>
      </c>
      <c r="B594" s="2" t="s">
        <v>1086</v>
      </c>
      <c r="C594" s="2" t="s">
        <v>19</v>
      </c>
      <c r="D594" s="2">
        <v>33</v>
      </c>
      <c r="E594" s="2" t="str">
        <f t="shared" si="38"/>
        <v>26-35</v>
      </c>
      <c r="F594" s="2" t="s">
        <v>26</v>
      </c>
      <c r="G594" s="2" t="s">
        <v>37</v>
      </c>
      <c r="H594" s="2">
        <v>19</v>
      </c>
      <c r="I594" s="2" t="str">
        <f t="shared" si="36"/>
        <v>13-24 months</v>
      </c>
      <c r="J594" s="3">
        <v>1199</v>
      </c>
      <c r="K594" s="3">
        <v>22781</v>
      </c>
      <c r="L594" s="2" t="s">
        <v>22</v>
      </c>
      <c r="M594" s="4">
        <v>45334</v>
      </c>
      <c r="N594" s="2" t="s">
        <v>23</v>
      </c>
      <c r="O594" s="2">
        <f t="shared" si="39"/>
        <v>0</v>
      </c>
      <c r="P594" s="2" t="s">
        <v>23</v>
      </c>
      <c r="Q594" s="2" t="s">
        <v>23</v>
      </c>
      <c r="R594" s="2" t="s">
        <v>23</v>
      </c>
      <c r="S594" s="2" t="s">
        <v>23</v>
      </c>
      <c r="T594" s="2" t="s">
        <v>23</v>
      </c>
      <c r="U594" s="25">
        <f t="shared" si="37"/>
        <v>22781.000594000001</v>
      </c>
    </row>
    <row r="595" spans="1:21">
      <c r="A595" s="2" t="s">
        <v>1087</v>
      </c>
      <c r="B595" s="2" t="s">
        <v>685</v>
      </c>
      <c r="C595" s="2" t="s">
        <v>19</v>
      </c>
      <c r="D595" s="2">
        <v>75</v>
      </c>
      <c r="E595" s="2" t="str">
        <f t="shared" si="38"/>
        <v>60+</v>
      </c>
      <c r="F595" s="2" t="s">
        <v>46</v>
      </c>
      <c r="G595" s="2" t="s">
        <v>21</v>
      </c>
      <c r="H595" s="2">
        <v>2</v>
      </c>
      <c r="I595" s="2" t="str">
        <f t="shared" si="36"/>
        <v>0-6 months</v>
      </c>
      <c r="J595" s="3">
        <v>1049</v>
      </c>
      <c r="K595" s="3">
        <v>2098</v>
      </c>
      <c r="L595" s="2" t="s">
        <v>22</v>
      </c>
      <c r="M595" s="4">
        <v>45852</v>
      </c>
      <c r="N595" s="2" t="s">
        <v>32</v>
      </c>
      <c r="O595" s="2">
        <f t="shared" si="39"/>
        <v>1</v>
      </c>
      <c r="P595" s="2" t="s">
        <v>23</v>
      </c>
      <c r="Q595" s="2" t="s">
        <v>23</v>
      </c>
      <c r="R595" s="2" t="s">
        <v>23</v>
      </c>
      <c r="S595" s="2" t="s">
        <v>23</v>
      </c>
      <c r="T595" s="2" t="s">
        <v>23</v>
      </c>
      <c r="U595" s="25">
        <f t="shared" si="37"/>
        <v>2098.000595</v>
      </c>
    </row>
    <row r="596" spans="1:21">
      <c r="A596" s="2" t="s">
        <v>1088</v>
      </c>
      <c r="B596" s="2" t="s">
        <v>1089</v>
      </c>
      <c r="C596" s="2" t="s">
        <v>19</v>
      </c>
      <c r="D596" s="2">
        <v>52</v>
      </c>
      <c r="E596" s="2" t="str">
        <f t="shared" si="38"/>
        <v>46-60</v>
      </c>
      <c r="F596" s="2" t="s">
        <v>71</v>
      </c>
      <c r="G596" s="2" t="s">
        <v>47</v>
      </c>
      <c r="H596" s="2">
        <v>58</v>
      </c>
      <c r="I596" s="2" t="str">
        <f t="shared" si="36"/>
        <v>49+ months</v>
      </c>
      <c r="J596" s="3">
        <v>349</v>
      </c>
      <c r="K596" s="3">
        <v>20242</v>
      </c>
      <c r="L596" s="2" t="s">
        <v>66</v>
      </c>
      <c r="M596" s="4">
        <v>44160</v>
      </c>
      <c r="N596" s="2" t="s">
        <v>23</v>
      </c>
      <c r="O596" s="2">
        <f t="shared" si="39"/>
        <v>0</v>
      </c>
      <c r="P596" s="2" t="s">
        <v>23</v>
      </c>
      <c r="Q596" s="2" t="s">
        <v>23</v>
      </c>
      <c r="R596" s="2" t="s">
        <v>23</v>
      </c>
      <c r="S596" s="2" t="s">
        <v>23</v>
      </c>
      <c r="T596" s="2" t="s">
        <v>23</v>
      </c>
      <c r="U596" s="25">
        <f t="shared" si="37"/>
        <v>20242.000596000002</v>
      </c>
    </row>
    <row r="597" spans="1:21">
      <c r="A597" s="2" t="s">
        <v>1090</v>
      </c>
      <c r="B597" s="2" t="s">
        <v>832</v>
      </c>
      <c r="C597" s="2" t="s">
        <v>35</v>
      </c>
      <c r="D597" s="2">
        <v>43</v>
      </c>
      <c r="E597" s="2" t="str">
        <f t="shared" si="38"/>
        <v>36-45</v>
      </c>
      <c r="F597" s="2" t="s">
        <v>63</v>
      </c>
      <c r="G597" s="2" t="s">
        <v>21</v>
      </c>
      <c r="H597" s="2">
        <v>4</v>
      </c>
      <c r="I597" s="2" t="str">
        <f t="shared" si="36"/>
        <v>0-6 months</v>
      </c>
      <c r="J597" s="3">
        <v>349</v>
      </c>
      <c r="K597" s="3">
        <v>1396</v>
      </c>
      <c r="L597" s="2" t="s">
        <v>66</v>
      </c>
      <c r="M597" s="4">
        <v>45793</v>
      </c>
      <c r="N597" s="2" t="s">
        <v>23</v>
      </c>
      <c r="O597" s="2">
        <f t="shared" si="39"/>
        <v>0</v>
      </c>
      <c r="P597" s="2" t="s">
        <v>23</v>
      </c>
      <c r="Q597" s="2" t="s">
        <v>23</v>
      </c>
      <c r="R597" s="2" t="s">
        <v>23</v>
      </c>
      <c r="S597" s="2" t="s">
        <v>23</v>
      </c>
      <c r="T597" s="2" t="s">
        <v>23</v>
      </c>
      <c r="U597" s="25">
        <f t="shared" si="37"/>
        <v>1396.000597</v>
      </c>
    </row>
    <row r="598" spans="1:21">
      <c r="A598" s="2" t="s">
        <v>1091</v>
      </c>
      <c r="B598" s="2" t="s">
        <v>1092</v>
      </c>
      <c r="C598" s="2" t="s">
        <v>19</v>
      </c>
      <c r="D598" s="2">
        <v>58</v>
      </c>
      <c r="E598" s="2" t="str">
        <f t="shared" si="38"/>
        <v>46-60</v>
      </c>
      <c r="F598" s="2" t="s">
        <v>36</v>
      </c>
      <c r="G598" s="2" t="s">
        <v>21</v>
      </c>
      <c r="H598" s="2">
        <v>18</v>
      </c>
      <c r="I598" s="2" t="str">
        <f t="shared" si="36"/>
        <v>13-24 months</v>
      </c>
      <c r="J598" s="3"/>
      <c r="K598" s="3"/>
      <c r="L598" s="2" t="s">
        <v>66</v>
      </c>
      <c r="M598" s="4">
        <v>45365</v>
      </c>
      <c r="N598" s="2" t="s">
        <v>23</v>
      </c>
      <c r="O598" s="2">
        <f t="shared" si="39"/>
        <v>0</v>
      </c>
      <c r="P598" s="2" t="s">
        <v>23</v>
      </c>
      <c r="Q598" s="2" t="s">
        <v>23</v>
      </c>
      <c r="R598" s="2" t="s">
        <v>23</v>
      </c>
      <c r="S598" s="2" t="s">
        <v>23</v>
      </c>
      <c r="T598" s="2" t="s">
        <v>553</v>
      </c>
      <c r="U598" s="25" t="str">
        <f t="shared" si="37"/>
        <v/>
      </c>
    </row>
    <row r="599" spans="1:21">
      <c r="A599" s="2" t="s">
        <v>1093</v>
      </c>
      <c r="B599" s="2" t="s">
        <v>550</v>
      </c>
      <c r="C599" s="2" t="s">
        <v>19</v>
      </c>
      <c r="D599" s="2">
        <v>22</v>
      </c>
      <c r="E599" s="2" t="str">
        <f t="shared" si="38"/>
        <v>18-25</v>
      </c>
      <c r="F599" s="2" t="s">
        <v>37</v>
      </c>
      <c r="G599" s="2" t="s">
        <v>47</v>
      </c>
      <c r="H599" s="2">
        <v>67</v>
      </c>
      <c r="I599" s="2" t="str">
        <f t="shared" si="36"/>
        <v>49+ months</v>
      </c>
      <c r="J599" s="3">
        <v>849</v>
      </c>
      <c r="K599" s="3">
        <v>56883</v>
      </c>
      <c r="L599" s="2" t="s">
        <v>31</v>
      </c>
      <c r="M599" s="4">
        <v>43898</v>
      </c>
      <c r="N599" s="2" t="s">
        <v>23</v>
      </c>
      <c r="O599" s="2">
        <f t="shared" si="39"/>
        <v>0</v>
      </c>
      <c r="P599" s="2" t="s">
        <v>23</v>
      </c>
      <c r="Q599" s="2" t="s">
        <v>23</v>
      </c>
      <c r="R599" s="2" t="s">
        <v>23</v>
      </c>
      <c r="S599" s="2" t="s">
        <v>23</v>
      </c>
      <c r="T599" s="2" t="s">
        <v>23</v>
      </c>
      <c r="U599" s="25">
        <f t="shared" si="37"/>
        <v>56883.000598999999</v>
      </c>
    </row>
    <row r="600" spans="1:21">
      <c r="A600" s="2" t="s">
        <v>1094</v>
      </c>
      <c r="B600" s="2" t="s">
        <v>1095</v>
      </c>
      <c r="C600" s="2" t="s">
        <v>35</v>
      </c>
      <c r="D600" s="2">
        <v>60</v>
      </c>
      <c r="E600" s="2" t="str">
        <f t="shared" si="38"/>
        <v>46-60</v>
      </c>
      <c r="F600" s="2" t="s">
        <v>141</v>
      </c>
      <c r="G600" s="2" t="s">
        <v>21</v>
      </c>
      <c r="H600" s="2">
        <v>15</v>
      </c>
      <c r="I600" s="2" t="str">
        <f t="shared" si="36"/>
        <v>13-24 months</v>
      </c>
      <c r="J600" s="3">
        <v>1149</v>
      </c>
      <c r="K600" s="3">
        <v>17235</v>
      </c>
      <c r="L600" s="2" t="s">
        <v>22</v>
      </c>
      <c r="M600" s="4">
        <v>45469</v>
      </c>
      <c r="N600" s="2" t="s">
        <v>23</v>
      </c>
      <c r="O600" s="2">
        <f t="shared" si="39"/>
        <v>0</v>
      </c>
      <c r="P600" s="2" t="s">
        <v>23</v>
      </c>
      <c r="Q600" s="2" t="s">
        <v>23</v>
      </c>
      <c r="R600" s="2" t="s">
        <v>23</v>
      </c>
      <c r="S600" s="2" t="s">
        <v>23</v>
      </c>
      <c r="T600" s="2" t="s">
        <v>23</v>
      </c>
      <c r="U600" s="25">
        <f t="shared" si="37"/>
        <v>17235.000599999999</v>
      </c>
    </row>
    <row r="601" spans="1:21">
      <c r="A601" s="2" t="s">
        <v>1096</v>
      </c>
      <c r="B601" s="2" t="s">
        <v>810</v>
      </c>
      <c r="C601" s="2" t="s">
        <v>19</v>
      </c>
      <c r="D601" s="2">
        <v>48</v>
      </c>
      <c r="E601" s="2" t="str">
        <f t="shared" si="38"/>
        <v>46-60</v>
      </c>
      <c r="F601" s="2" t="s">
        <v>30</v>
      </c>
      <c r="G601" s="2" t="s">
        <v>47</v>
      </c>
      <c r="H601" s="2">
        <v>7</v>
      </c>
      <c r="I601" s="2" t="str">
        <f t="shared" si="36"/>
        <v>7-12 months</v>
      </c>
      <c r="J601" s="3">
        <v>1049</v>
      </c>
      <c r="K601" s="3">
        <v>7343</v>
      </c>
      <c r="L601" s="2" t="s">
        <v>22</v>
      </c>
      <c r="M601" s="4">
        <v>45713</v>
      </c>
      <c r="N601" s="2" t="s">
        <v>23</v>
      </c>
      <c r="O601" s="2">
        <f t="shared" si="39"/>
        <v>0</v>
      </c>
      <c r="P601" s="2" t="s">
        <v>23</v>
      </c>
      <c r="Q601" s="2" t="s">
        <v>23</v>
      </c>
      <c r="R601" s="2" t="s">
        <v>23</v>
      </c>
      <c r="S601" s="2" t="s">
        <v>23</v>
      </c>
      <c r="T601" s="2" t="s">
        <v>23</v>
      </c>
      <c r="U601" s="25">
        <f t="shared" si="37"/>
        <v>7343.0006009999997</v>
      </c>
    </row>
    <row r="602" spans="1:21">
      <c r="A602" s="2" t="s">
        <v>1097</v>
      </c>
      <c r="B602" s="2" t="s">
        <v>1098</v>
      </c>
      <c r="C602" s="2" t="s">
        <v>19</v>
      </c>
      <c r="D602" s="2">
        <v>29</v>
      </c>
      <c r="E602" s="2" t="str">
        <f t="shared" si="38"/>
        <v>26-35</v>
      </c>
      <c r="F602" s="2" t="s">
        <v>63</v>
      </c>
      <c r="G602" s="2" t="s">
        <v>47</v>
      </c>
      <c r="H602" s="2">
        <v>20</v>
      </c>
      <c r="I602" s="2" t="str">
        <f t="shared" si="36"/>
        <v>13-24 months</v>
      </c>
      <c r="J602" s="3">
        <v>999</v>
      </c>
      <c r="K602" s="3">
        <v>19980</v>
      </c>
      <c r="L602" s="2" t="s">
        <v>22</v>
      </c>
      <c r="M602" s="4">
        <v>45318</v>
      </c>
      <c r="N602" s="2" t="s">
        <v>32</v>
      </c>
      <c r="O602" s="2">
        <f t="shared" si="39"/>
        <v>1</v>
      </c>
      <c r="P602" s="2" t="s">
        <v>23</v>
      </c>
      <c r="Q602" s="2" t="s">
        <v>23</v>
      </c>
      <c r="R602" s="2" t="s">
        <v>23</v>
      </c>
      <c r="S602" s="2" t="s">
        <v>23</v>
      </c>
      <c r="T602" s="2" t="s">
        <v>23</v>
      </c>
      <c r="U602" s="25">
        <f t="shared" si="37"/>
        <v>19980.000602</v>
      </c>
    </row>
    <row r="603" spans="1:21">
      <c r="A603" s="2" t="s">
        <v>1099</v>
      </c>
      <c r="B603" s="2" t="s">
        <v>1100</v>
      </c>
      <c r="C603" s="2" t="s">
        <v>19</v>
      </c>
      <c r="D603" s="2">
        <v>41</v>
      </c>
      <c r="E603" s="2" t="str">
        <f t="shared" si="38"/>
        <v>36-45</v>
      </c>
      <c r="F603" s="2" t="s">
        <v>63</v>
      </c>
      <c r="G603" s="2" t="s">
        <v>21</v>
      </c>
      <c r="H603" s="2">
        <v>22</v>
      </c>
      <c r="I603" s="2" t="str">
        <f t="shared" si="36"/>
        <v>13-24 months</v>
      </c>
      <c r="J603" s="3">
        <v>1049</v>
      </c>
      <c r="K603" s="3">
        <v>23078</v>
      </c>
      <c r="L603" s="2" t="s">
        <v>22</v>
      </c>
      <c r="M603" s="4">
        <v>45251</v>
      </c>
      <c r="N603" s="2" t="s">
        <v>32</v>
      </c>
      <c r="O603" s="2">
        <f t="shared" si="39"/>
        <v>1</v>
      </c>
      <c r="P603" s="2" t="s">
        <v>23</v>
      </c>
      <c r="Q603" s="2" t="s">
        <v>23</v>
      </c>
      <c r="R603" s="2" t="s">
        <v>32</v>
      </c>
      <c r="S603" s="2" t="s">
        <v>23</v>
      </c>
      <c r="T603" s="2" t="s">
        <v>23</v>
      </c>
      <c r="U603" s="25">
        <f t="shared" si="37"/>
        <v>23078.000603</v>
      </c>
    </row>
    <row r="604" spans="1:21">
      <c r="A604" s="2" t="s">
        <v>1101</v>
      </c>
      <c r="B604" s="2" t="s">
        <v>1098</v>
      </c>
      <c r="C604" s="2" t="s">
        <v>19</v>
      </c>
      <c r="D604" s="2">
        <v>25</v>
      </c>
      <c r="E604" s="2" t="str">
        <f t="shared" si="38"/>
        <v>18-25</v>
      </c>
      <c r="F604" s="2" t="s">
        <v>36</v>
      </c>
      <c r="G604" s="2" t="s">
        <v>21</v>
      </c>
      <c r="H604" s="2">
        <v>5</v>
      </c>
      <c r="I604" s="2" t="str">
        <f t="shared" si="36"/>
        <v>0-6 months</v>
      </c>
      <c r="J604" s="3">
        <v>1049</v>
      </c>
      <c r="K604" s="3">
        <v>5245</v>
      </c>
      <c r="L604" s="2" t="s">
        <v>22</v>
      </c>
      <c r="M604" s="4">
        <v>45755</v>
      </c>
      <c r="N604" s="2" t="s">
        <v>32</v>
      </c>
      <c r="O604" s="2">
        <f t="shared" si="39"/>
        <v>1</v>
      </c>
      <c r="P604" s="2" t="s">
        <v>23</v>
      </c>
      <c r="Q604" s="2" t="s">
        <v>23</v>
      </c>
      <c r="R604" s="2" t="s">
        <v>23</v>
      </c>
      <c r="S604" s="2" t="s">
        <v>23</v>
      </c>
      <c r="T604" s="2" t="s">
        <v>23</v>
      </c>
      <c r="U604" s="25">
        <f t="shared" si="37"/>
        <v>5245.0006039999998</v>
      </c>
    </row>
    <row r="605" spans="1:21">
      <c r="A605" s="2" t="s">
        <v>1102</v>
      </c>
      <c r="B605" s="2" t="s">
        <v>1103</v>
      </c>
      <c r="C605" s="2" t="s">
        <v>35</v>
      </c>
      <c r="D605" s="2">
        <v>75</v>
      </c>
      <c r="E605" s="2" t="str">
        <f t="shared" si="38"/>
        <v>60+</v>
      </c>
      <c r="F605" s="2" t="s">
        <v>46</v>
      </c>
      <c r="G605" s="2" t="s">
        <v>47</v>
      </c>
      <c r="H605" s="2">
        <v>19</v>
      </c>
      <c r="I605" s="2" t="str">
        <f t="shared" si="36"/>
        <v>13-24 months</v>
      </c>
      <c r="J605" s="3">
        <v>1149</v>
      </c>
      <c r="K605" s="3">
        <v>21831</v>
      </c>
      <c r="L605" s="2" t="s">
        <v>22</v>
      </c>
      <c r="M605" s="4">
        <v>45355</v>
      </c>
      <c r="N605" s="2" t="s">
        <v>23</v>
      </c>
      <c r="O605" s="2">
        <f t="shared" si="39"/>
        <v>0</v>
      </c>
      <c r="P605" s="2" t="s">
        <v>23</v>
      </c>
      <c r="Q605" s="2" t="s">
        <v>23</v>
      </c>
      <c r="R605" s="2" t="s">
        <v>23</v>
      </c>
      <c r="S605" s="2" t="s">
        <v>23</v>
      </c>
      <c r="T605" s="2" t="s">
        <v>23</v>
      </c>
      <c r="U605" s="25">
        <f t="shared" si="37"/>
        <v>21831.000605000001</v>
      </c>
    </row>
    <row r="606" spans="1:21">
      <c r="A606" s="2" t="s">
        <v>1104</v>
      </c>
      <c r="B606" s="2" t="s">
        <v>346</v>
      </c>
      <c r="C606" s="2" t="s">
        <v>35</v>
      </c>
      <c r="D606" s="2">
        <v>61</v>
      </c>
      <c r="E606" s="2" t="str">
        <f t="shared" si="38"/>
        <v>60+</v>
      </c>
      <c r="F606" s="2" t="s">
        <v>26</v>
      </c>
      <c r="G606" s="2" t="s">
        <v>21</v>
      </c>
      <c r="H606" s="2">
        <v>20</v>
      </c>
      <c r="I606" s="2" t="str">
        <f t="shared" si="36"/>
        <v>13-24 months</v>
      </c>
      <c r="J606" s="3">
        <v>899</v>
      </c>
      <c r="K606" s="3">
        <v>17980</v>
      </c>
      <c r="L606" s="2" t="s">
        <v>31</v>
      </c>
      <c r="M606" s="4"/>
      <c r="N606" s="2" t="s">
        <v>32</v>
      </c>
      <c r="O606" s="2">
        <f t="shared" si="39"/>
        <v>1</v>
      </c>
      <c r="P606" s="2" t="s">
        <v>23</v>
      </c>
      <c r="Q606" s="2" t="s">
        <v>23</v>
      </c>
      <c r="R606" s="2" t="s">
        <v>23</v>
      </c>
      <c r="S606" s="2" t="s">
        <v>23</v>
      </c>
      <c r="T606" s="2" t="s">
        <v>54</v>
      </c>
      <c r="U606" s="25">
        <f t="shared" si="37"/>
        <v>17980.000606000001</v>
      </c>
    </row>
    <row r="607" spans="1:21">
      <c r="A607" s="2" t="s">
        <v>1105</v>
      </c>
      <c r="B607" s="2" t="s">
        <v>1028</v>
      </c>
      <c r="C607" s="2" t="s">
        <v>19</v>
      </c>
      <c r="D607" s="2">
        <v>30</v>
      </c>
      <c r="E607" s="2" t="str">
        <f t="shared" si="38"/>
        <v>26-35</v>
      </c>
      <c r="F607" s="2" t="s">
        <v>91</v>
      </c>
      <c r="G607" s="2" t="s">
        <v>21</v>
      </c>
      <c r="H607" s="2">
        <v>9</v>
      </c>
      <c r="I607" s="2" t="str">
        <f t="shared" si="36"/>
        <v>7-12 months</v>
      </c>
      <c r="J607" s="3">
        <v>899</v>
      </c>
      <c r="K607" s="3">
        <v>8091</v>
      </c>
      <c r="L607" s="2" t="s">
        <v>22</v>
      </c>
      <c r="M607" s="4">
        <v>45644</v>
      </c>
      <c r="N607" s="2" t="s">
        <v>23</v>
      </c>
      <c r="O607" s="2">
        <f t="shared" si="39"/>
        <v>0</v>
      </c>
      <c r="P607" s="2" t="s">
        <v>23</v>
      </c>
      <c r="Q607" s="2" t="s">
        <v>23</v>
      </c>
      <c r="R607" s="2" t="s">
        <v>23</v>
      </c>
      <c r="S607" s="2" t="s">
        <v>23</v>
      </c>
      <c r="T607" s="2" t="s">
        <v>23</v>
      </c>
      <c r="U607" s="25">
        <f t="shared" si="37"/>
        <v>8091.0006069999999</v>
      </c>
    </row>
    <row r="608" spans="1:21">
      <c r="A608" s="2" t="s">
        <v>1106</v>
      </c>
      <c r="B608" s="2" t="s">
        <v>1107</v>
      </c>
      <c r="C608" s="2" t="s">
        <v>19</v>
      </c>
      <c r="D608" s="2">
        <v>30</v>
      </c>
      <c r="E608" s="2" t="str">
        <f t="shared" si="38"/>
        <v>26-35</v>
      </c>
      <c r="F608" s="2" t="s">
        <v>60</v>
      </c>
      <c r="G608" s="2" t="s">
        <v>21</v>
      </c>
      <c r="H608" s="2">
        <v>2</v>
      </c>
      <c r="I608" s="2" t="str">
        <f t="shared" si="36"/>
        <v>0-6 months</v>
      </c>
      <c r="J608" s="3">
        <v>1049</v>
      </c>
      <c r="K608" s="3">
        <v>2098</v>
      </c>
      <c r="L608" s="2" t="s">
        <v>22</v>
      </c>
      <c r="M608" s="4">
        <v>45841</v>
      </c>
      <c r="N608" s="2" t="s">
        <v>32</v>
      </c>
      <c r="O608" s="2">
        <f t="shared" si="39"/>
        <v>1</v>
      </c>
      <c r="P608" s="2" t="s">
        <v>23</v>
      </c>
      <c r="Q608" s="2" t="s">
        <v>23</v>
      </c>
      <c r="R608" s="2" t="s">
        <v>23</v>
      </c>
      <c r="S608" s="2" t="s">
        <v>23</v>
      </c>
      <c r="T608" s="2" t="s">
        <v>23</v>
      </c>
      <c r="U608" s="25">
        <f t="shared" si="37"/>
        <v>2098.0006079999998</v>
      </c>
    </row>
    <row r="609" spans="1:21">
      <c r="A609" s="2" t="s">
        <v>1108</v>
      </c>
      <c r="B609" s="2" t="s">
        <v>986</v>
      </c>
      <c r="C609" s="2" t="s">
        <v>35</v>
      </c>
      <c r="D609" s="2">
        <v>41</v>
      </c>
      <c r="E609" s="2" t="str">
        <f t="shared" si="38"/>
        <v>36-45</v>
      </c>
      <c r="F609" s="2" t="s">
        <v>36</v>
      </c>
      <c r="G609" s="2" t="s">
        <v>21</v>
      </c>
      <c r="H609" s="2">
        <v>15</v>
      </c>
      <c r="I609" s="2" t="str">
        <f t="shared" si="36"/>
        <v>13-24 months</v>
      </c>
      <c r="J609" s="3">
        <v>1149</v>
      </c>
      <c r="K609" s="3">
        <v>17235</v>
      </c>
      <c r="L609" s="2" t="s">
        <v>22</v>
      </c>
      <c r="M609" s="4">
        <v>45450</v>
      </c>
      <c r="N609" s="2" t="s">
        <v>32</v>
      </c>
      <c r="O609" s="2">
        <f t="shared" si="39"/>
        <v>1</v>
      </c>
      <c r="P609" s="2" t="s">
        <v>23</v>
      </c>
      <c r="Q609" s="2" t="s">
        <v>23</v>
      </c>
      <c r="R609" s="2" t="s">
        <v>23</v>
      </c>
      <c r="S609" s="2" t="s">
        <v>23</v>
      </c>
      <c r="T609" s="2" t="s">
        <v>23</v>
      </c>
      <c r="U609" s="25">
        <f t="shared" si="37"/>
        <v>17235.000608999999</v>
      </c>
    </row>
    <row r="610" spans="1:21">
      <c r="A610" s="2" t="s">
        <v>1109</v>
      </c>
      <c r="B610" s="2" t="s">
        <v>944</v>
      </c>
      <c r="C610" s="2" t="s">
        <v>35</v>
      </c>
      <c r="D610" s="2">
        <v>36</v>
      </c>
      <c r="E610" s="2" t="str">
        <f t="shared" si="38"/>
        <v>36-45</v>
      </c>
      <c r="F610" s="2" t="s">
        <v>63</v>
      </c>
      <c r="G610" s="2" t="s">
        <v>47</v>
      </c>
      <c r="H610" s="2">
        <v>55</v>
      </c>
      <c r="I610" s="2" t="str">
        <f t="shared" si="36"/>
        <v>49+ months</v>
      </c>
      <c r="J610" s="3">
        <v>399</v>
      </c>
      <c r="K610" s="3">
        <v>21945</v>
      </c>
      <c r="L610" s="2" t="s">
        <v>66</v>
      </c>
      <c r="M610" s="4">
        <v>44259</v>
      </c>
      <c r="N610" s="2" t="s">
        <v>23</v>
      </c>
      <c r="O610" s="2">
        <f t="shared" si="39"/>
        <v>0</v>
      </c>
      <c r="P610" s="2" t="s">
        <v>23</v>
      </c>
      <c r="Q610" s="2" t="s">
        <v>23</v>
      </c>
      <c r="R610" s="2" t="s">
        <v>23</v>
      </c>
      <c r="S610" s="2" t="s">
        <v>23</v>
      </c>
      <c r="T610" s="2" t="s">
        <v>23</v>
      </c>
      <c r="U610" s="25">
        <f t="shared" si="37"/>
        <v>21945.000609999999</v>
      </c>
    </row>
    <row r="611" spans="1:21">
      <c r="A611" s="2" t="s">
        <v>1110</v>
      </c>
      <c r="B611" s="2" t="s">
        <v>584</v>
      </c>
      <c r="C611" s="2" t="s">
        <v>19</v>
      </c>
      <c r="D611" s="2">
        <v>37</v>
      </c>
      <c r="E611" s="2" t="str">
        <f t="shared" si="38"/>
        <v>36-45</v>
      </c>
      <c r="F611" s="2" t="s">
        <v>60</v>
      </c>
      <c r="G611" s="2" t="s">
        <v>47</v>
      </c>
      <c r="H611" s="2">
        <v>43</v>
      </c>
      <c r="I611" s="2" t="str">
        <f t="shared" si="36"/>
        <v>25-48 months</v>
      </c>
      <c r="J611" s="3">
        <v>1149</v>
      </c>
      <c r="K611" s="3">
        <v>49407</v>
      </c>
      <c r="L611" s="2" t="s">
        <v>22</v>
      </c>
      <c r="M611" s="4">
        <v>44625</v>
      </c>
      <c r="N611" s="2" t="s">
        <v>32</v>
      </c>
      <c r="O611" s="2">
        <f t="shared" si="39"/>
        <v>1</v>
      </c>
      <c r="P611" s="2" t="s">
        <v>23</v>
      </c>
      <c r="Q611" s="2" t="s">
        <v>23</v>
      </c>
      <c r="R611" s="2" t="s">
        <v>23</v>
      </c>
      <c r="S611" s="2" t="s">
        <v>23</v>
      </c>
      <c r="T611" s="2" t="s">
        <v>23</v>
      </c>
      <c r="U611" s="25">
        <f t="shared" si="37"/>
        <v>49407.000611000003</v>
      </c>
    </row>
    <row r="612" spans="1:21">
      <c r="A612" s="2" t="s">
        <v>1111</v>
      </c>
      <c r="B612" s="2" t="s">
        <v>1112</v>
      </c>
      <c r="C612" s="2" t="s">
        <v>35</v>
      </c>
      <c r="D612" s="2">
        <v>53</v>
      </c>
      <c r="E612" s="2" t="str">
        <f t="shared" si="38"/>
        <v>46-60</v>
      </c>
      <c r="F612" s="2" t="s">
        <v>60</v>
      </c>
      <c r="G612" s="2" t="s">
        <v>27</v>
      </c>
      <c r="H612" s="2">
        <v>9</v>
      </c>
      <c r="I612" s="2" t="str">
        <f t="shared" si="36"/>
        <v>7-12 months</v>
      </c>
      <c r="J612" s="3">
        <v>999</v>
      </c>
      <c r="K612" s="3">
        <v>8991</v>
      </c>
      <c r="L612" s="2" t="s">
        <v>22</v>
      </c>
      <c r="M612" s="4">
        <v>45643</v>
      </c>
      <c r="N612" s="2" t="s">
        <v>23</v>
      </c>
      <c r="O612" s="2">
        <f t="shared" si="39"/>
        <v>0</v>
      </c>
      <c r="P612" s="2" t="s">
        <v>23</v>
      </c>
      <c r="Q612" s="2" t="s">
        <v>23</v>
      </c>
      <c r="R612" s="2" t="s">
        <v>23</v>
      </c>
      <c r="S612" s="2" t="s">
        <v>23</v>
      </c>
      <c r="T612" s="2" t="s">
        <v>23</v>
      </c>
      <c r="U612" s="25">
        <f t="shared" si="37"/>
        <v>8991.0006119999998</v>
      </c>
    </row>
    <row r="613" spans="1:21">
      <c r="A613" s="2" t="s">
        <v>1113</v>
      </c>
      <c r="B613" s="2" t="s">
        <v>153</v>
      </c>
      <c r="C613" s="2" t="s">
        <v>19</v>
      </c>
      <c r="D613" s="2">
        <v>37</v>
      </c>
      <c r="E613" s="2" t="str">
        <f t="shared" si="38"/>
        <v>36-45</v>
      </c>
      <c r="F613" s="2" t="s">
        <v>60</v>
      </c>
      <c r="G613" s="2" t="s">
        <v>27</v>
      </c>
      <c r="H613" s="2">
        <v>2</v>
      </c>
      <c r="I613" s="2" t="str">
        <f t="shared" si="36"/>
        <v>0-6 months</v>
      </c>
      <c r="J613" s="3">
        <v>899</v>
      </c>
      <c r="K613" s="3">
        <v>1798</v>
      </c>
      <c r="L613" s="2" t="s">
        <v>22</v>
      </c>
      <c r="M613" s="4">
        <v>45848</v>
      </c>
      <c r="N613" s="2" t="s">
        <v>32</v>
      </c>
      <c r="O613" s="2">
        <f t="shared" si="39"/>
        <v>1</v>
      </c>
      <c r="P613" s="2" t="s">
        <v>23</v>
      </c>
      <c r="Q613" s="2" t="s">
        <v>23</v>
      </c>
      <c r="R613" s="2" t="s">
        <v>23</v>
      </c>
      <c r="S613" s="2" t="s">
        <v>32</v>
      </c>
      <c r="T613" s="2" t="s">
        <v>23</v>
      </c>
      <c r="U613" s="25">
        <f t="shared" si="37"/>
        <v>1798.0006129999999</v>
      </c>
    </row>
    <row r="614" spans="1:21">
      <c r="A614" s="2" t="s">
        <v>1114</v>
      </c>
      <c r="B614" s="2" t="s">
        <v>416</v>
      </c>
      <c r="C614" s="2" t="s">
        <v>35</v>
      </c>
      <c r="D614" s="2">
        <v>60</v>
      </c>
      <c r="E614" s="2" t="str">
        <f t="shared" si="38"/>
        <v>46-60</v>
      </c>
      <c r="F614" s="2" t="s">
        <v>46</v>
      </c>
      <c r="G614" s="2" t="s">
        <v>21</v>
      </c>
      <c r="H614" s="2">
        <v>23</v>
      </c>
      <c r="I614" s="2" t="str">
        <f t="shared" si="36"/>
        <v>13-24 months</v>
      </c>
      <c r="J614" s="3">
        <v>999</v>
      </c>
      <c r="K614" s="3">
        <v>22977</v>
      </c>
      <c r="L614" s="2" t="s">
        <v>22</v>
      </c>
      <c r="M614" s="4">
        <v>45230</v>
      </c>
      <c r="N614" s="2" t="s">
        <v>32</v>
      </c>
      <c r="O614" s="2">
        <f t="shared" si="39"/>
        <v>1</v>
      </c>
      <c r="P614" s="2" t="s">
        <v>23</v>
      </c>
      <c r="Q614" s="2" t="s">
        <v>23</v>
      </c>
      <c r="R614" s="2" t="s">
        <v>23</v>
      </c>
      <c r="S614" s="2" t="s">
        <v>32</v>
      </c>
      <c r="T614" s="2" t="s">
        <v>23</v>
      </c>
      <c r="U614" s="25">
        <f t="shared" si="37"/>
        <v>22977.000614</v>
      </c>
    </row>
    <row r="615" spans="1:21">
      <c r="A615" s="2" t="s">
        <v>1115</v>
      </c>
      <c r="B615" s="2" t="s">
        <v>798</v>
      </c>
      <c r="C615" s="2" t="s">
        <v>35</v>
      </c>
      <c r="D615" s="2">
        <v>65</v>
      </c>
      <c r="E615" s="2" t="str">
        <f t="shared" si="38"/>
        <v>60+</v>
      </c>
      <c r="F615" s="2" t="s">
        <v>30</v>
      </c>
      <c r="G615" s="2" t="s">
        <v>27</v>
      </c>
      <c r="H615" s="2">
        <v>17</v>
      </c>
      <c r="I615" s="2" t="str">
        <f t="shared" si="36"/>
        <v>13-24 months</v>
      </c>
      <c r="J615" s="3">
        <v>1199</v>
      </c>
      <c r="K615" s="3">
        <v>20383</v>
      </c>
      <c r="L615" s="2" t="s">
        <v>22</v>
      </c>
      <c r="M615" s="4">
        <v>45392</v>
      </c>
      <c r="N615" s="2" t="s">
        <v>23</v>
      </c>
      <c r="O615" s="2">
        <f t="shared" si="39"/>
        <v>0</v>
      </c>
      <c r="P615" s="2" t="s">
        <v>23</v>
      </c>
      <c r="Q615" s="2" t="s">
        <v>23</v>
      </c>
      <c r="R615" s="2" t="s">
        <v>23</v>
      </c>
      <c r="S615" s="2" t="s">
        <v>23</v>
      </c>
      <c r="T615" s="2" t="s">
        <v>23</v>
      </c>
      <c r="U615" s="25">
        <f t="shared" si="37"/>
        <v>20383.000615000001</v>
      </c>
    </row>
    <row r="616" spans="1:21">
      <c r="A616" s="2" t="s">
        <v>1116</v>
      </c>
      <c r="B616" s="2" t="s">
        <v>1117</v>
      </c>
      <c r="C616" s="2" t="s">
        <v>19</v>
      </c>
      <c r="D616" s="2">
        <v>47</v>
      </c>
      <c r="E616" s="2" t="str">
        <f t="shared" si="38"/>
        <v>46-60</v>
      </c>
      <c r="F616" s="2" t="s">
        <v>91</v>
      </c>
      <c r="G616" s="2" t="s">
        <v>21</v>
      </c>
      <c r="H616" s="2">
        <v>19</v>
      </c>
      <c r="I616" s="2" t="str">
        <f t="shared" si="36"/>
        <v>13-24 months</v>
      </c>
      <c r="J616" s="3">
        <v>599</v>
      </c>
      <c r="K616" s="3">
        <v>11381</v>
      </c>
      <c r="L616" s="2" t="s">
        <v>31</v>
      </c>
      <c r="M616" s="4">
        <v>45336</v>
      </c>
      <c r="N616" s="2" t="s">
        <v>23</v>
      </c>
      <c r="O616" s="2">
        <f t="shared" si="39"/>
        <v>0</v>
      </c>
      <c r="P616" s="2" t="s">
        <v>32</v>
      </c>
      <c r="Q616" s="2" t="s">
        <v>23</v>
      </c>
      <c r="R616" s="2" t="s">
        <v>23</v>
      </c>
      <c r="S616" s="2" t="s">
        <v>23</v>
      </c>
      <c r="T616" s="2" t="s">
        <v>23</v>
      </c>
      <c r="U616" s="25">
        <f t="shared" si="37"/>
        <v>11381.000615999999</v>
      </c>
    </row>
    <row r="617" spans="1:21">
      <c r="A617" s="2" t="s">
        <v>1118</v>
      </c>
      <c r="B617" s="2" t="s">
        <v>1119</v>
      </c>
      <c r="C617" s="2" t="s">
        <v>19</v>
      </c>
      <c r="D617" s="2">
        <v>21</v>
      </c>
      <c r="E617" s="2" t="str">
        <f t="shared" si="38"/>
        <v>18-25</v>
      </c>
      <c r="F617" s="2" t="s">
        <v>46</v>
      </c>
      <c r="G617" s="2" t="s">
        <v>21</v>
      </c>
      <c r="H617" s="2">
        <v>12</v>
      </c>
      <c r="I617" s="2" t="str">
        <f t="shared" si="36"/>
        <v>7-12 months</v>
      </c>
      <c r="J617" s="3">
        <v>1049</v>
      </c>
      <c r="K617" s="3">
        <v>12588</v>
      </c>
      <c r="L617" s="2" t="s">
        <v>22</v>
      </c>
      <c r="M617" s="4">
        <v>45539</v>
      </c>
      <c r="N617" s="2" t="s">
        <v>23</v>
      </c>
      <c r="O617" s="2">
        <f t="shared" si="39"/>
        <v>0</v>
      </c>
      <c r="P617" s="2" t="s">
        <v>23</v>
      </c>
      <c r="Q617" s="2" t="s">
        <v>23</v>
      </c>
      <c r="R617" s="2" t="s">
        <v>23</v>
      </c>
      <c r="S617" s="2" t="s">
        <v>23</v>
      </c>
      <c r="T617" s="2" t="s">
        <v>23</v>
      </c>
      <c r="U617" s="25">
        <f t="shared" si="37"/>
        <v>12588.000617</v>
      </c>
    </row>
    <row r="618" spans="1:21">
      <c r="A618" s="2" t="s">
        <v>1120</v>
      </c>
      <c r="B618" s="2" t="s">
        <v>1121</v>
      </c>
      <c r="C618" s="2" t="s">
        <v>19</v>
      </c>
      <c r="D618" s="2">
        <v>67</v>
      </c>
      <c r="E618" s="2" t="str">
        <f t="shared" si="38"/>
        <v>60+</v>
      </c>
      <c r="F618" s="2" t="s">
        <v>71</v>
      </c>
      <c r="G618" s="2" t="s">
        <v>21</v>
      </c>
      <c r="H618" s="2">
        <v>6</v>
      </c>
      <c r="I618" s="2" t="str">
        <f t="shared" si="36"/>
        <v>0-6 months</v>
      </c>
      <c r="J618" s="3">
        <v>799</v>
      </c>
      <c r="K618" s="3">
        <v>4794</v>
      </c>
      <c r="L618" s="2" t="s">
        <v>31</v>
      </c>
      <c r="M618" s="4">
        <v>45727</v>
      </c>
      <c r="N618" s="2" t="s">
        <v>23</v>
      </c>
      <c r="O618" s="2">
        <f t="shared" si="39"/>
        <v>0</v>
      </c>
      <c r="P618" s="2" t="s">
        <v>23</v>
      </c>
      <c r="Q618" s="2" t="s">
        <v>23</v>
      </c>
      <c r="R618" s="2" t="s">
        <v>32</v>
      </c>
      <c r="S618" s="2" t="s">
        <v>23</v>
      </c>
      <c r="T618" s="2" t="s">
        <v>23</v>
      </c>
      <c r="U618" s="25">
        <f t="shared" si="37"/>
        <v>4794.000618</v>
      </c>
    </row>
    <row r="619" spans="1:21">
      <c r="A619" s="2" t="s">
        <v>1122</v>
      </c>
      <c r="B619" s="2" t="s">
        <v>1123</v>
      </c>
      <c r="C619" s="2" t="s">
        <v>35</v>
      </c>
      <c r="D619" s="2">
        <v>62</v>
      </c>
      <c r="E619" s="2" t="str">
        <f t="shared" si="38"/>
        <v>60+</v>
      </c>
      <c r="F619" s="2" t="s">
        <v>141</v>
      </c>
      <c r="G619" s="2" t="s">
        <v>21</v>
      </c>
      <c r="H619" s="2">
        <v>12</v>
      </c>
      <c r="I619" s="2" t="str">
        <f t="shared" si="36"/>
        <v>7-12 months</v>
      </c>
      <c r="J619" s="3">
        <v>999</v>
      </c>
      <c r="K619" s="3">
        <v>11988</v>
      </c>
      <c r="L619" s="2" t="s">
        <v>22</v>
      </c>
      <c r="M619" s="4">
        <v>45559</v>
      </c>
      <c r="N619" s="2" t="s">
        <v>32</v>
      </c>
      <c r="O619" s="2">
        <f t="shared" si="39"/>
        <v>1</v>
      </c>
      <c r="P619" s="2" t="s">
        <v>23</v>
      </c>
      <c r="Q619" s="2" t="s">
        <v>23</v>
      </c>
      <c r="R619" s="2" t="s">
        <v>23</v>
      </c>
      <c r="S619" s="2" t="s">
        <v>23</v>
      </c>
      <c r="T619" s="2" t="s">
        <v>23</v>
      </c>
      <c r="U619" s="25">
        <f t="shared" si="37"/>
        <v>11988.000619</v>
      </c>
    </row>
    <row r="620" spans="1:21">
      <c r="A620" s="2" t="s">
        <v>1124</v>
      </c>
      <c r="B620" s="2" t="s">
        <v>1037</v>
      </c>
      <c r="C620" s="2" t="s">
        <v>35</v>
      </c>
      <c r="D620" s="2">
        <v>39</v>
      </c>
      <c r="E620" s="2" t="str">
        <f t="shared" si="38"/>
        <v>36-45</v>
      </c>
      <c r="F620" s="2" t="s">
        <v>63</v>
      </c>
      <c r="G620" s="2" t="s">
        <v>21</v>
      </c>
      <c r="H620" s="2">
        <v>8</v>
      </c>
      <c r="I620" s="2" t="str">
        <f t="shared" si="36"/>
        <v>7-12 months</v>
      </c>
      <c r="J620" s="3">
        <v>899</v>
      </c>
      <c r="K620" s="3">
        <v>7192</v>
      </c>
      <c r="L620" s="2" t="s">
        <v>31</v>
      </c>
      <c r="M620" s="4">
        <v>45662</v>
      </c>
      <c r="N620" s="2" t="s">
        <v>23</v>
      </c>
      <c r="O620" s="2">
        <f t="shared" si="39"/>
        <v>0</v>
      </c>
      <c r="P620" s="2" t="s">
        <v>23</v>
      </c>
      <c r="Q620" s="2" t="s">
        <v>23</v>
      </c>
      <c r="R620" s="2" t="s">
        <v>32</v>
      </c>
      <c r="S620" s="2" t="s">
        <v>23</v>
      </c>
      <c r="T620" s="2" t="s">
        <v>23</v>
      </c>
      <c r="U620" s="25">
        <f t="shared" si="37"/>
        <v>7192.0006199999998</v>
      </c>
    </row>
    <row r="621" spans="1:21">
      <c r="A621" s="2" t="s">
        <v>1125</v>
      </c>
      <c r="B621" s="2" t="s">
        <v>1126</v>
      </c>
      <c r="C621" s="2" t="s">
        <v>19</v>
      </c>
      <c r="D621" s="2">
        <v>22</v>
      </c>
      <c r="E621" s="2" t="str">
        <f t="shared" si="38"/>
        <v>18-25</v>
      </c>
      <c r="F621" s="2" t="s">
        <v>41</v>
      </c>
      <c r="G621" s="2" t="s">
        <v>47</v>
      </c>
      <c r="H621" s="2">
        <v>62</v>
      </c>
      <c r="I621" s="2" t="str">
        <f t="shared" si="36"/>
        <v>49+ months</v>
      </c>
      <c r="J621" s="3">
        <v>449</v>
      </c>
      <c r="K621" s="3">
        <v>27838</v>
      </c>
      <c r="L621" s="2" t="s">
        <v>66</v>
      </c>
      <c r="M621" s="4">
        <v>44054</v>
      </c>
      <c r="N621" s="2" t="s">
        <v>23</v>
      </c>
      <c r="O621" s="2">
        <f t="shared" si="39"/>
        <v>0</v>
      </c>
      <c r="P621" s="2" t="s">
        <v>23</v>
      </c>
      <c r="Q621" s="2" t="s">
        <v>23</v>
      </c>
      <c r="R621" s="2" t="s">
        <v>23</v>
      </c>
      <c r="S621" s="2" t="s">
        <v>23</v>
      </c>
      <c r="T621" s="2" t="s">
        <v>23</v>
      </c>
      <c r="U621" s="25">
        <f t="shared" si="37"/>
        <v>27838.000620999999</v>
      </c>
    </row>
    <row r="622" spans="1:21">
      <c r="A622" s="2" t="s">
        <v>1127</v>
      </c>
      <c r="B622" s="2" t="s">
        <v>1078</v>
      </c>
      <c r="C622" s="2" t="s">
        <v>35</v>
      </c>
      <c r="D622" s="2">
        <v>37</v>
      </c>
      <c r="E622" s="2" t="str">
        <f t="shared" si="38"/>
        <v>36-45</v>
      </c>
      <c r="F622" s="2" t="s">
        <v>36</v>
      </c>
      <c r="G622" s="2" t="s">
        <v>27</v>
      </c>
      <c r="H622" s="2">
        <v>9</v>
      </c>
      <c r="I622" s="2" t="str">
        <f t="shared" si="36"/>
        <v>7-12 months</v>
      </c>
      <c r="J622" s="3">
        <v>899</v>
      </c>
      <c r="K622" s="3">
        <v>8091</v>
      </c>
      <c r="L622" s="2" t="s">
        <v>31</v>
      </c>
      <c r="M622" s="4">
        <v>45649</v>
      </c>
      <c r="N622" s="2" t="s">
        <v>23</v>
      </c>
      <c r="O622" s="2">
        <f t="shared" si="39"/>
        <v>0</v>
      </c>
      <c r="P622" s="2" t="s">
        <v>23</v>
      </c>
      <c r="Q622" s="2" t="s">
        <v>23</v>
      </c>
      <c r="R622" s="2" t="s">
        <v>23</v>
      </c>
      <c r="S622" s="2" t="s">
        <v>23</v>
      </c>
      <c r="T622" s="2" t="s">
        <v>23</v>
      </c>
      <c r="U622" s="25">
        <f t="shared" si="37"/>
        <v>8091.0006219999996</v>
      </c>
    </row>
    <row r="623" spans="1:21">
      <c r="A623" s="2" t="s">
        <v>1128</v>
      </c>
      <c r="B623" s="2" t="s">
        <v>1129</v>
      </c>
      <c r="C623" s="2" t="s">
        <v>19</v>
      </c>
      <c r="D623" s="2">
        <v>23</v>
      </c>
      <c r="E623" s="2" t="str">
        <f t="shared" si="38"/>
        <v>18-25</v>
      </c>
      <c r="F623" s="2" t="s">
        <v>105</v>
      </c>
      <c r="G623" s="2" t="s">
        <v>27</v>
      </c>
      <c r="H623" s="2">
        <v>5</v>
      </c>
      <c r="I623" s="2" t="str">
        <f t="shared" si="36"/>
        <v>0-6 months</v>
      </c>
      <c r="J623" s="3">
        <v>1299</v>
      </c>
      <c r="K623" s="3">
        <v>6495</v>
      </c>
      <c r="L623" s="2" t="s">
        <v>37</v>
      </c>
      <c r="M623" s="4">
        <v>45777</v>
      </c>
      <c r="N623" s="2" t="s">
        <v>23</v>
      </c>
      <c r="O623" s="2">
        <f t="shared" si="39"/>
        <v>0</v>
      </c>
      <c r="P623" s="2" t="s">
        <v>23</v>
      </c>
      <c r="Q623" s="2" t="s">
        <v>23</v>
      </c>
      <c r="R623" s="2" t="s">
        <v>23</v>
      </c>
      <c r="S623" s="2" t="s">
        <v>23</v>
      </c>
      <c r="T623" s="2" t="s">
        <v>23</v>
      </c>
      <c r="U623" s="25">
        <f t="shared" si="37"/>
        <v>6495.0006229999999</v>
      </c>
    </row>
    <row r="624" spans="1:21">
      <c r="A624" s="2" t="s">
        <v>1130</v>
      </c>
      <c r="B624" s="2" t="s">
        <v>873</v>
      </c>
      <c r="C624" s="2" t="s">
        <v>19</v>
      </c>
      <c r="D624" s="2">
        <v>68</v>
      </c>
      <c r="E624" s="2" t="str">
        <f t="shared" si="38"/>
        <v>60+</v>
      </c>
      <c r="F624" s="2" t="s">
        <v>71</v>
      </c>
      <c r="G624" s="2" t="s">
        <v>21</v>
      </c>
      <c r="H624" s="2">
        <v>4</v>
      </c>
      <c r="I624" s="2" t="str">
        <f t="shared" si="36"/>
        <v>0-6 months</v>
      </c>
      <c r="J624" s="3">
        <v>699</v>
      </c>
      <c r="K624" s="3">
        <v>2796</v>
      </c>
      <c r="L624" s="2" t="s">
        <v>31</v>
      </c>
      <c r="M624" s="4">
        <v>45808</v>
      </c>
      <c r="N624" s="2" t="s">
        <v>32</v>
      </c>
      <c r="O624" s="2">
        <f t="shared" si="39"/>
        <v>1</v>
      </c>
      <c r="P624" s="2" t="s">
        <v>23</v>
      </c>
      <c r="Q624" s="2" t="s">
        <v>23</v>
      </c>
      <c r="R624" s="2" t="s">
        <v>23</v>
      </c>
      <c r="S624" s="2" t="s">
        <v>23</v>
      </c>
      <c r="T624" s="2" t="s">
        <v>23</v>
      </c>
      <c r="U624" s="25">
        <f t="shared" si="37"/>
        <v>2796.0006239999998</v>
      </c>
    </row>
    <row r="625" spans="1:21">
      <c r="A625" s="2" t="s">
        <v>1131</v>
      </c>
      <c r="B625" s="2" t="s">
        <v>116</v>
      </c>
      <c r="C625" s="2" t="s">
        <v>19</v>
      </c>
      <c r="D625" s="2">
        <v>31</v>
      </c>
      <c r="E625" s="2" t="str">
        <f t="shared" si="38"/>
        <v>26-35</v>
      </c>
      <c r="F625" s="2" t="s">
        <v>91</v>
      </c>
      <c r="G625" s="2" t="s">
        <v>47</v>
      </c>
      <c r="H625" s="2">
        <v>45</v>
      </c>
      <c r="I625" s="2" t="str">
        <f t="shared" si="36"/>
        <v>25-48 months</v>
      </c>
      <c r="J625" s="3">
        <v>599</v>
      </c>
      <c r="K625" s="3">
        <v>26955</v>
      </c>
      <c r="L625" s="2" t="s">
        <v>31</v>
      </c>
      <c r="M625" s="4">
        <v>44570</v>
      </c>
      <c r="N625" s="2" t="s">
        <v>23</v>
      </c>
      <c r="O625" s="2">
        <f t="shared" si="39"/>
        <v>0</v>
      </c>
      <c r="P625" s="2" t="s">
        <v>23</v>
      </c>
      <c r="Q625" s="2" t="s">
        <v>23</v>
      </c>
      <c r="R625" s="2" t="s">
        <v>23</v>
      </c>
      <c r="S625" s="2" t="s">
        <v>23</v>
      </c>
      <c r="T625" s="2" t="s">
        <v>23</v>
      </c>
      <c r="U625" s="25">
        <f t="shared" si="37"/>
        <v>26955.000625000001</v>
      </c>
    </row>
    <row r="626" spans="1:21">
      <c r="A626" s="2" t="s">
        <v>1132</v>
      </c>
      <c r="B626" s="2" t="s">
        <v>821</v>
      </c>
      <c r="C626" s="2" t="s">
        <v>35</v>
      </c>
      <c r="D626" s="2">
        <v>72</v>
      </c>
      <c r="E626" s="2" t="str">
        <f t="shared" si="38"/>
        <v>60+</v>
      </c>
      <c r="F626" s="2" t="s">
        <v>26</v>
      </c>
      <c r="G626" s="2" t="s">
        <v>27</v>
      </c>
      <c r="H626" s="2">
        <v>33</v>
      </c>
      <c r="I626" s="2" t="str">
        <f t="shared" si="36"/>
        <v>25-48 months</v>
      </c>
      <c r="J626" s="3">
        <v>899</v>
      </c>
      <c r="K626" s="3">
        <v>29667</v>
      </c>
      <c r="L626" s="2" t="s">
        <v>22</v>
      </c>
      <c r="M626" s="4">
        <v>44914</v>
      </c>
      <c r="N626" s="2" t="s">
        <v>23</v>
      </c>
      <c r="O626" s="2">
        <f t="shared" si="39"/>
        <v>0</v>
      </c>
      <c r="P626" s="2" t="s">
        <v>23</v>
      </c>
      <c r="Q626" s="2" t="s">
        <v>23</v>
      </c>
      <c r="R626" s="2" t="s">
        <v>23</v>
      </c>
      <c r="S626" s="2" t="s">
        <v>32</v>
      </c>
      <c r="T626" s="2" t="s">
        <v>23</v>
      </c>
      <c r="U626" s="25">
        <f t="shared" si="37"/>
        <v>29667.000626000001</v>
      </c>
    </row>
    <row r="627" spans="1:21">
      <c r="A627" s="2" t="s">
        <v>1133</v>
      </c>
      <c r="B627" s="2" t="s">
        <v>1121</v>
      </c>
      <c r="C627" s="2" t="s">
        <v>19</v>
      </c>
      <c r="D627" s="2">
        <v>63</v>
      </c>
      <c r="E627" s="2" t="str">
        <f t="shared" si="38"/>
        <v>60+</v>
      </c>
      <c r="F627" s="2" t="s">
        <v>20</v>
      </c>
      <c r="G627" s="2" t="s">
        <v>47</v>
      </c>
      <c r="H627" s="2">
        <v>69</v>
      </c>
      <c r="I627" s="2" t="str">
        <f t="shared" si="36"/>
        <v>49+ months</v>
      </c>
      <c r="J627" s="3">
        <v>599</v>
      </c>
      <c r="K627" s="3">
        <v>41331</v>
      </c>
      <c r="L627" s="2" t="s">
        <v>31</v>
      </c>
      <c r="M627" s="4">
        <v>43829</v>
      </c>
      <c r="N627" s="2" t="s">
        <v>23</v>
      </c>
      <c r="O627" s="2">
        <f t="shared" si="39"/>
        <v>0</v>
      </c>
      <c r="P627" s="2" t="s">
        <v>23</v>
      </c>
      <c r="Q627" s="2" t="s">
        <v>23</v>
      </c>
      <c r="R627" s="2" t="s">
        <v>23</v>
      </c>
      <c r="S627" s="2" t="s">
        <v>23</v>
      </c>
      <c r="T627" s="2" t="s">
        <v>23</v>
      </c>
      <c r="U627" s="25">
        <f t="shared" si="37"/>
        <v>41331.000627000001</v>
      </c>
    </row>
    <row r="628" spans="1:21">
      <c r="A628" s="2" t="s">
        <v>1134</v>
      </c>
      <c r="B628" s="2" t="s">
        <v>414</v>
      </c>
      <c r="C628" s="2" t="s">
        <v>35</v>
      </c>
      <c r="D628" s="2">
        <v>55</v>
      </c>
      <c r="E628" s="2" t="str">
        <f t="shared" si="38"/>
        <v>46-60</v>
      </c>
      <c r="F628" s="2" t="s">
        <v>63</v>
      </c>
      <c r="G628" s="2" t="s">
        <v>21</v>
      </c>
      <c r="H628" s="2">
        <v>6</v>
      </c>
      <c r="I628" s="2" t="str">
        <f t="shared" si="36"/>
        <v>0-6 months</v>
      </c>
      <c r="J628" s="3">
        <v>499</v>
      </c>
      <c r="K628" s="3">
        <v>2994</v>
      </c>
      <c r="L628" s="2" t="s">
        <v>66</v>
      </c>
      <c r="M628" s="4">
        <v>45732</v>
      </c>
      <c r="N628" s="2" t="s">
        <v>23</v>
      </c>
      <c r="O628" s="2">
        <f t="shared" si="39"/>
        <v>0</v>
      </c>
      <c r="P628" s="2" t="s">
        <v>23</v>
      </c>
      <c r="Q628" s="2" t="s">
        <v>23</v>
      </c>
      <c r="R628" s="2" t="s">
        <v>23</v>
      </c>
      <c r="S628" s="2" t="s">
        <v>23</v>
      </c>
      <c r="T628" s="2" t="s">
        <v>23</v>
      </c>
      <c r="U628" s="25">
        <f t="shared" si="37"/>
        <v>2994.0006279999998</v>
      </c>
    </row>
    <row r="629" spans="1:21">
      <c r="A629" s="2" t="s">
        <v>1135</v>
      </c>
      <c r="B629" s="2" t="s">
        <v>218</v>
      </c>
      <c r="C629" s="2" t="s">
        <v>19</v>
      </c>
      <c r="D629" s="2">
        <v>66</v>
      </c>
      <c r="E629" s="2" t="str">
        <f t="shared" si="38"/>
        <v>60+</v>
      </c>
      <c r="F629" s="2" t="s">
        <v>30</v>
      </c>
      <c r="G629" s="2" t="s">
        <v>21</v>
      </c>
      <c r="H629" s="2">
        <v>5</v>
      </c>
      <c r="I629" s="2" t="str">
        <f t="shared" si="36"/>
        <v>0-6 months</v>
      </c>
      <c r="J629" s="3">
        <v>749</v>
      </c>
      <c r="K629" s="3">
        <v>3745</v>
      </c>
      <c r="L629" s="2" t="s">
        <v>31</v>
      </c>
      <c r="M629" s="4">
        <v>45761</v>
      </c>
      <c r="N629" s="2" t="s">
        <v>23</v>
      </c>
      <c r="O629" s="2">
        <f t="shared" si="39"/>
        <v>0</v>
      </c>
      <c r="P629" s="2" t="s">
        <v>23</v>
      </c>
      <c r="Q629" s="2" t="s">
        <v>23</v>
      </c>
      <c r="R629" s="2" t="s">
        <v>23</v>
      </c>
      <c r="S629" s="2" t="s">
        <v>23</v>
      </c>
      <c r="T629" s="2" t="s">
        <v>23</v>
      </c>
      <c r="U629" s="25">
        <f t="shared" si="37"/>
        <v>3745.0006290000001</v>
      </c>
    </row>
    <row r="630" spans="1:21">
      <c r="A630" s="2" t="s">
        <v>1136</v>
      </c>
      <c r="B630" s="2" t="s">
        <v>473</v>
      </c>
      <c r="C630" s="2" t="s">
        <v>19</v>
      </c>
      <c r="D630" s="2">
        <v>49</v>
      </c>
      <c r="E630" s="2" t="str">
        <f t="shared" si="38"/>
        <v>46-60</v>
      </c>
      <c r="F630" s="2" t="s">
        <v>41</v>
      </c>
      <c r="G630" s="2" t="s">
        <v>21</v>
      </c>
      <c r="H630" s="2">
        <v>24</v>
      </c>
      <c r="I630" s="2" t="str">
        <f t="shared" si="36"/>
        <v>13-24 months</v>
      </c>
      <c r="J630" s="3">
        <v>1199</v>
      </c>
      <c r="K630" s="3">
        <v>28776</v>
      </c>
      <c r="L630" s="2" t="s">
        <v>22</v>
      </c>
      <c r="M630" s="4">
        <v>45195</v>
      </c>
      <c r="N630" s="2" t="s">
        <v>32</v>
      </c>
      <c r="O630" s="2">
        <f t="shared" si="39"/>
        <v>1</v>
      </c>
      <c r="P630" s="2" t="s">
        <v>23</v>
      </c>
      <c r="Q630" s="2" t="s">
        <v>23</v>
      </c>
      <c r="R630" s="2" t="s">
        <v>23</v>
      </c>
      <c r="S630" s="2" t="s">
        <v>23</v>
      </c>
      <c r="T630" s="2" t="s">
        <v>23</v>
      </c>
      <c r="U630" s="25">
        <f t="shared" si="37"/>
        <v>28776.000629999999</v>
      </c>
    </row>
    <row r="631" spans="1:21">
      <c r="A631" s="2" t="s">
        <v>1137</v>
      </c>
      <c r="B631" s="2" t="s">
        <v>850</v>
      </c>
      <c r="C631" s="2" t="s">
        <v>35</v>
      </c>
      <c r="D631" s="2">
        <v>72</v>
      </c>
      <c r="E631" s="2" t="str">
        <f t="shared" si="38"/>
        <v>60+</v>
      </c>
      <c r="F631" s="2" t="s">
        <v>41</v>
      </c>
      <c r="G631" s="2" t="s">
        <v>47</v>
      </c>
      <c r="H631" s="2">
        <v>48</v>
      </c>
      <c r="I631" s="2" t="str">
        <f t="shared" si="36"/>
        <v>25-48 months</v>
      </c>
      <c r="J631" s="3">
        <v>499</v>
      </c>
      <c r="K631" s="3">
        <v>23952</v>
      </c>
      <c r="L631" s="2" t="s">
        <v>66</v>
      </c>
      <c r="M631" s="4">
        <v>44476</v>
      </c>
      <c r="N631" s="2" t="s">
        <v>23</v>
      </c>
      <c r="O631" s="2">
        <f t="shared" si="39"/>
        <v>0</v>
      </c>
      <c r="P631" s="2" t="s">
        <v>23</v>
      </c>
      <c r="Q631" s="2" t="s">
        <v>23</v>
      </c>
      <c r="R631" s="2" t="s">
        <v>23</v>
      </c>
      <c r="S631" s="2" t="s">
        <v>23</v>
      </c>
      <c r="T631" s="2" t="s">
        <v>23</v>
      </c>
      <c r="U631" s="25">
        <f t="shared" si="37"/>
        <v>23952.000630999999</v>
      </c>
    </row>
    <row r="632" spans="1:21">
      <c r="A632" s="2" t="s">
        <v>1138</v>
      </c>
      <c r="B632" s="2" t="s">
        <v>1139</v>
      </c>
      <c r="C632" s="2" t="s">
        <v>35</v>
      </c>
      <c r="D632" s="2">
        <v>61</v>
      </c>
      <c r="E632" s="2" t="str">
        <f t="shared" si="38"/>
        <v>60+</v>
      </c>
      <c r="F632" s="2" t="s">
        <v>41</v>
      </c>
      <c r="G632" s="2" t="s">
        <v>21</v>
      </c>
      <c r="H632" s="2">
        <v>23</v>
      </c>
      <c r="I632" s="2" t="str">
        <f t="shared" si="36"/>
        <v>13-24 months</v>
      </c>
      <c r="J632" s="3">
        <v>899</v>
      </c>
      <c r="K632" s="3">
        <v>20677</v>
      </c>
      <c r="L632" s="2" t="s">
        <v>22</v>
      </c>
      <c r="M632" s="4">
        <v>45232</v>
      </c>
      <c r="N632" s="2" t="s">
        <v>32</v>
      </c>
      <c r="O632" s="2">
        <f t="shared" si="39"/>
        <v>1</v>
      </c>
      <c r="P632" s="2" t="s">
        <v>23</v>
      </c>
      <c r="Q632" s="2" t="s">
        <v>23</v>
      </c>
      <c r="R632" s="2" t="s">
        <v>32</v>
      </c>
      <c r="S632" s="2" t="s">
        <v>23</v>
      </c>
      <c r="T632" s="2" t="s">
        <v>23</v>
      </c>
      <c r="U632" s="25">
        <f t="shared" si="37"/>
        <v>20677.000631999999</v>
      </c>
    </row>
    <row r="633" spans="1:21">
      <c r="A633" s="2" t="s">
        <v>1140</v>
      </c>
      <c r="B633" s="2" t="s">
        <v>1141</v>
      </c>
      <c r="C633" s="2" t="s">
        <v>35</v>
      </c>
      <c r="D633" s="2">
        <v>72</v>
      </c>
      <c r="E633" s="2" t="str">
        <f t="shared" si="38"/>
        <v>60+</v>
      </c>
      <c r="F633" s="2" t="s">
        <v>105</v>
      </c>
      <c r="G633" s="2" t="s">
        <v>21</v>
      </c>
      <c r="H633" s="2">
        <v>24</v>
      </c>
      <c r="I633" s="2" t="str">
        <f t="shared" si="36"/>
        <v>13-24 months</v>
      </c>
      <c r="J633" s="3">
        <v>549</v>
      </c>
      <c r="K633" s="3">
        <v>13176</v>
      </c>
      <c r="L633" s="2" t="s">
        <v>66</v>
      </c>
      <c r="M633" s="4">
        <v>45184</v>
      </c>
      <c r="N633" s="2" t="s">
        <v>23</v>
      </c>
      <c r="O633" s="2">
        <f t="shared" si="39"/>
        <v>0</v>
      </c>
      <c r="P633" s="2" t="s">
        <v>23</v>
      </c>
      <c r="Q633" s="2" t="s">
        <v>23</v>
      </c>
      <c r="R633" s="2" t="s">
        <v>23</v>
      </c>
      <c r="S633" s="2" t="s">
        <v>23</v>
      </c>
      <c r="T633" s="2" t="s">
        <v>23</v>
      </c>
      <c r="U633" s="25">
        <f t="shared" si="37"/>
        <v>13176.000633</v>
      </c>
    </row>
    <row r="634" spans="1:21">
      <c r="A634" s="2" t="s">
        <v>1142</v>
      </c>
      <c r="B634" s="2" t="s">
        <v>843</v>
      </c>
      <c r="C634" s="2" t="s">
        <v>35</v>
      </c>
      <c r="D634" s="2">
        <v>60</v>
      </c>
      <c r="E634" s="2" t="str">
        <f t="shared" si="38"/>
        <v>46-60</v>
      </c>
      <c r="F634" s="2" t="s">
        <v>91</v>
      </c>
      <c r="G634" s="2" t="s">
        <v>47</v>
      </c>
      <c r="H634" s="2">
        <v>66</v>
      </c>
      <c r="I634" s="2" t="str">
        <f t="shared" si="36"/>
        <v>49+ months</v>
      </c>
      <c r="J634" s="3">
        <v>499</v>
      </c>
      <c r="K634" s="3">
        <v>32934</v>
      </c>
      <c r="L634" s="2" t="s">
        <v>66</v>
      </c>
      <c r="M634" s="4">
        <v>43940</v>
      </c>
      <c r="N634" s="2" t="s">
        <v>23</v>
      </c>
      <c r="O634" s="2">
        <f t="shared" si="39"/>
        <v>0</v>
      </c>
      <c r="P634" s="2" t="s">
        <v>23</v>
      </c>
      <c r="Q634" s="2" t="s">
        <v>32</v>
      </c>
      <c r="R634" s="2" t="s">
        <v>23</v>
      </c>
      <c r="S634" s="2" t="s">
        <v>23</v>
      </c>
      <c r="T634" s="2" t="s">
        <v>23</v>
      </c>
      <c r="U634" s="25">
        <f t="shared" si="37"/>
        <v>32934.000634000004</v>
      </c>
    </row>
    <row r="635" spans="1:21">
      <c r="A635" s="2" t="s">
        <v>1143</v>
      </c>
      <c r="B635" s="2" t="s">
        <v>1144</v>
      </c>
      <c r="C635" s="2" t="s">
        <v>35</v>
      </c>
      <c r="D635" s="2">
        <v>47</v>
      </c>
      <c r="E635" s="2" t="str">
        <f t="shared" si="38"/>
        <v>46-60</v>
      </c>
      <c r="F635" s="2" t="s">
        <v>37</v>
      </c>
      <c r="G635" s="2" t="s">
        <v>21</v>
      </c>
      <c r="H635" s="2">
        <v>3</v>
      </c>
      <c r="I635" s="2" t="str">
        <f t="shared" si="36"/>
        <v>0-6 months</v>
      </c>
      <c r="J635" s="3">
        <v>1199</v>
      </c>
      <c r="K635" s="3">
        <v>3597</v>
      </c>
      <c r="L635" s="2" t="s">
        <v>22</v>
      </c>
      <c r="M635" s="4">
        <v>45826</v>
      </c>
      <c r="N635" s="2" t="s">
        <v>23</v>
      </c>
      <c r="O635" s="2">
        <f t="shared" si="39"/>
        <v>0</v>
      </c>
      <c r="P635" s="2" t="s">
        <v>32</v>
      </c>
      <c r="Q635" s="2" t="s">
        <v>23</v>
      </c>
      <c r="R635" s="2" t="s">
        <v>23</v>
      </c>
      <c r="S635" s="2" t="s">
        <v>23</v>
      </c>
      <c r="T635" s="2" t="s">
        <v>23</v>
      </c>
      <c r="U635" s="25">
        <f t="shared" si="37"/>
        <v>3597.0006349999999</v>
      </c>
    </row>
    <row r="636" spans="1:21">
      <c r="A636" s="2" t="s">
        <v>1145</v>
      </c>
      <c r="B636" s="2" t="s">
        <v>1146</v>
      </c>
      <c r="C636" s="2" t="s">
        <v>35</v>
      </c>
      <c r="D636" s="2">
        <v>57</v>
      </c>
      <c r="E636" s="2" t="str">
        <f t="shared" si="38"/>
        <v>46-60</v>
      </c>
      <c r="F636" s="2" t="s">
        <v>91</v>
      </c>
      <c r="G636" s="2" t="s">
        <v>21</v>
      </c>
      <c r="H636" s="2">
        <v>17</v>
      </c>
      <c r="I636" s="2" t="str">
        <f t="shared" si="36"/>
        <v>13-24 months</v>
      </c>
      <c r="J636" s="3">
        <v>899</v>
      </c>
      <c r="K636" s="3">
        <v>15283</v>
      </c>
      <c r="L636" s="2" t="s">
        <v>31</v>
      </c>
      <c r="M636" s="4">
        <v>45397</v>
      </c>
      <c r="N636" s="2" t="s">
        <v>32</v>
      </c>
      <c r="O636" s="2">
        <f t="shared" si="39"/>
        <v>1</v>
      </c>
      <c r="P636" s="2" t="s">
        <v>23</v>
      </c>
      <c r="Q636" s="2" t="s">
        <v>23</v>
      </c>
      <c r="R636" s="2" t="s">
        <v>23</v>
      </c>
      <c r="S636" s="2" t="s">
        <v>23</v>
      </c>
      <c r="T636" s="2" t="s">
        <v>23</v>
      </c>
      <c r="U636" s="25">
        <f t="shared" si="37"/>
        <v>15283.000636000001</v>
      </c>
    </row>
    <row r="637" spans="1:21">
      <c r="A637" s="2" t="s">
        <v>1147</v>
      </c>
      <c r="B637" s="2" t="s">
        <v>383</v>
      </c>
      <c r="C637" s="2" t="s">
        <v>35</v>
      </c>
      <c r="D637" s="2">
        <v>34</v>
      </c>
      <c r="E637" s="2" t="str">
        <f t="shared" si="38"/>
        <v>26-35</v>
      </c>
      <c r="F637" s="2" t="s">
        <v>26</v>
      </c>
      <c r="G637" s="2" t="s">
        <v>21</v>
      </c>
      <c r="H637" s="2">
        <v>18</v>
      </c>
      <c r="I637" s="2" t="str">
        <f t="shared" si="36"/>
        <v>13-24 months</v>
      </c>
      <c r="J637" s="3">
        <v>349</v>
      </c>
      <c r="K637" s="3">
        <v>6282</v>
      </c>
      <c r="L637" s="2" t="s">
        <v>66</v>
      </c>
      <c r="M637" s="4">
        <v>45360</v>
      </c>
      <c r="N637" s="2" t="s">
        <v>23</v>
      </c>
      <c r="O637" s="2">
        <f t="shared" si="39"/>
        <v>0</v>
      </c>
      <c r="P637" s="2" t="s">
        <v>23</v>
      </c>
      <c r="Q637" s="2" t="s">
        <v>23</v>
      </c>
      <c r="R637" s="2" t="s">
        <v>23</v>
      </c>
      <c r="S637" s="2" t="s">
        <v>23</v>
      </c>
      <c r="T637" s="2" t="s">
        <v>23</v>
      </c>
      <c r="U637" s="25">
        <f t="shared" si="37"/>
        <v>6282.0006370000001</v>
      </c>
    </row>
    <row r="638" spans="1:21">
      <c r="A638" s="2" t="s">
        <v>1148</v>
      </c>
      <c r="B638" s="2" t="s">
        <v>582</v>
      </c>
      <c r="C638" s="2" t="s">
        <v>19</v>
      </c>
      <c r="D638" s="2">
        <v>38</v>
      </c>
      <c r="E638" s="2" t="str">
        <f t="shared" si="38"/>
        <v>36-45</v>
      </c>
      <c r="F638" s="2" t="s">
        <v>57</v>
      </c>
      <c r="G638" s="2" t="s">
        <v>21</v>
      </c>
      <c r="H638" s="2">
        <v>2</v>
      </c>
      <c r="I638" s="2" t="str">
        <f t="shared" si="36"/>
        <v>0-6 months</v>
      </c>
      <c r="J638" s="3">
        <v>1149</v>
      </c>
      <c r="K638" s="3">
        <v>2298</v>
      </c>
      <c r="L638" s="2" t="s">
        <v>22</v>
      </c>
      <c r="M638" s="4">
        <v>45863</v>
      </c>
      <c r="N638" s="2" t="s">
        <v>23</v>
      </c>
      <c r="O638" s="2">
        <f t="shared" si="39"/>
        <v>0</v>
      </c>
      <c r="P638" s="2" t="s">
        <v>23</v>
      </c>
      <c r="Q638" s="2" t="s">
        <v>23</v>
      </c>
      <c r="R638" s="2" t="s">
        <v>23</v>
      </c>
      <c r="S638" s="2" t="s">
        <v>23</v>
      </c>
      <c r="T638" s="2" t="s">
        <v>23</v>
      </c>
      <c r="U638" s="25">
        <f t="shared" si="37"/>
        <v>2298.000638</v>
      </c>
    </row>
    <row r="639" spans="1:21">
      <c r="A639" s="2" t="s">
        <v>1149</v>
      </c>
      <c r="B639" s="2" t="s">
        <v>1004</v>
      </c>
      <c r="C639" s="2" t="s">
        <v>35</v>
      </c>
      <c r="D639" s="2">
        <v>37</v>
      </c>
      <c r="E639" s="2" t="str">
        <f t="shared" si="38"/>
        <v>36-45</v>
      </c>
      <c r="F639" s="2" t="s">
        <v>141</v>
      </c>
      <c r="G639" s="2" t="s">
        <v>21</v>
      </c>
      <c r="H639" s="2">
        <v>19</v>
      </c>
      <c r="I639" s="2" t="str">
        <f t="shared" si="36"/>
        <v>13-24 months</v>
      </c>
      <c r="J639" s="3">
        <v>1099</v>
      </c>
      <c r="K639" s="3">
        <v>20881</v>
      </c>
      <c r="L639" s="2" t="s">
        <v>22</v>
      </c>
      <c r="M639" s="4">
        <v>45340</v>
      </c>
      <c r="N639" s="2" t="s">
        <v>23</v>
      </c>
      <c r="O639" s="2">
        <f t="shared" si="39"/>
        <v>0</v>
      </c>
      <c r="P639" s="2" t="s">
        <v>23</v>
      </c>
      <c r="Q639" s="2" t="s">
        <v>23</v>
      </c>
      <c r="R639" s="2" t="s">
        <v>23</v>
      </c>
      <c r="S639" s="2" t="s">
        <v>23</v>
      </c>
      <c r="T639" s="2" t="s">
        <v>23</v>
      </c>
      <c r="U639" s="25">
        <f t="shared" si="37"/>
        <v>20881.000639000002</v>
      </c>
    </row>
    <row r="640" spans="1:21">
      <c r="A640" s="2" t="s">
        <v>1150</v>
      </c>
      <c r="B640" s="2" t="s">
        <v>1151</v>
      </c>
      <c r="C640" s="2" t="s">
        <v>35</v>
      </c>
      <c r="D640" s="2">
        <v>47</v>
      </c>
      <c r="E640" s="2" t="str">
        <f t="shared" si="38"/>
        <v>46-60</v>
      </c>
      <c r="F640" s="2" t="s">
        <v>63</v>
      </c>
      <c r="G640" s="2" t="s">
        <v>21</v>
      </c>
      <c r="H640" s="2">
        <v>16</v>
      </c>
      <c r="I640" s="2" t="str">
        <f t="shared" si="36"/>
        <v>13-24 months</v>
      </c>
      <c r="J640" s="3">
        <v>1099</v>
      </c>
      <c r="K640" s="3">
        <v>17584</v>
      </c>
      <c r="L640" s="2" t="s">
        <v>22</v>
      </c>
      <c r="M640" s="4">
        <v>45424</v>
      </c>
      <c r="N640" s="2" t="s">
        <v>23</v>
      </c>
      <c r="O640" s="2">
        <f t="shared" si="39"/>
        <v>0</v>
      </c>
      <c r="P640" s="2" t="s">
        <v>32</v>
      </c>
      <c r="Q640" s="2" t="s">
        <v>23</v>
      </c>
      <c r="R640" s="2" t="s">
        <v>23</v>
      </c>
      <c r="S640" s="2" t="s">
        <v>23</v>
      </c>
      <c r="T640" s="2" t="s">
        <v>23</v>
      </c>
      <c r="U640" s="25">
        <f t="shared" si="37"/>
        <v>17584.000639999998</v>
      </c>
    </row>
    <row r="641" spans="1:21">
      <c r="A641" s="2" t="s">
        <v>1152</v>
      </c>
      <c r="B641" s="2" t="s">
        <v>1153</v>
      </c>
      <c r="C641" s="2" t="s">
        <v>37</v>
      </c>
      <c r="D641" s="2">
        <v>19</v>
      </c>
      <c r="E641" s="2" t="str">
        <f t="shared" si="38"/>
        <v>18-25</v>
      </c>
      <c r="F641" s="2" t="s">
        <v>91</v>
      </c>
      <c r="G641" s="2" t="s">
        <v>21</v>
      </c>
      <c r="H641" s="2">
        <v>12</v>
      </c>
      <c r="I641" s="2" t="str">
        <f t="shared" si="36"/>
        <v>7-12 months</v>
      </c>
      <c r="J641" s="3">
        <v>549</v>
      </c>
      <c r="K641" s="3">
        <v>6588</v>
      </c>
      <c r="L641" s="2" t="s">
        <v>66</v>
      </c>
      <c r="M641" s="4">
        <v>45540</v>
      </c>
      <c r="N641" s="2" t="s">
        <v>32</v>
      </c>
      <c r="O641" s="2">
        <f t="shared" si="39"/>
        <v>1</v>
      </c>
      <c r="P641" s="2" t="s">
        <v>23</v>
      </c>
      <c r="Q641" s="2" t="s">
        <v>23</v>
      </c>
      <c r="R641" s="2" t="s">
        <v>23</v>
      </c>
      <c r="S641" s="2" t="s">
        <v>23</v>
      </c>
      <c r="T641" s="2" t="s">
        <v>23</v>
      </c>
      <c r="U641" s="25">
        <f t="shared" si="37"/>
        <v>6588.0006409999996</v>
      </c>
    </row>
    <row r="642" spans="1:21">
      <c r="A642" s="2" t="s">
        <v>1154</v>
      </c>
      <c r="B642" s="2" t="s">
        <v>1155</v>
      </c>
      <c r="C642" s="2" t="s">
        <v>35</v>
      </c>
      <c r="D642" s="2">
        <v>45</v>
      </c>
      <c r="E642" s="2" t="str">
        <f t="shared" si="38"/>
        <v>36-45</v>
      </c>
      <c r="F642" s="2" t="s">
        <v>30</v>
      </c>
      <c r="G642" s="2" t="s">
        <v>47</v>
      </c>
      <c r="H642" s="2">
        <v>8</v>
      </c>
      <c r="I642" s="2" t="str">
        <f t="shared" ref="I642:I705" si="40">IF(H642="","Unknown",IF(H642&lt;=6,"0-6 months",IF(H642&lt;=12,"7-12 months",IF(H642&lt;=24,"13-24 months",IF(H642&lt;=48,"25-48 months","49+ months")))))</f>
        <v>7-12 months</v>
      </c>
      <c r="J642" s="3">
        <v>999</v>
      </c>
      <c r="K642" s="3">
        <v>7992</v>
      </c>
      <c r="L642" s="2" t="s">
        <v>22</v>
      </c>
      <c r="M642" s="4">
        <v>45679</v>
      </c>
      <c r="N642" s="2" t="s">
        <v>23</v>
      </c>
      <c r="O642" s="2">
        <f t="shared" si="39"/>
        <v>0</v>
      </c>
      <c r="P642" s="2" t="s">
        <v>23</v>
      </c>
      <c r="Q642" s="2" t="s">
        <v>23</v>
      </c>
      <c r="R642" s="2" t="s">
        <v>23</v>
      </c>
      <c r="S642" s="2" t="s">
        <v>23</v>
      </c>
      <c r="T642" s="2" t="s">
        <v>23</v>
      </c>
      <c r="U642" s="25">
        <f t="shared" ref="U642:U705" si="41">IF(K642="","",K642+ROW()/1000000)</f>
        <v>7992.000642</v>
      </c>
    </row>
    <row r="643" spans="1:21">
      <c r="A643" s="2" t="s">
        <v>1156</v>
      </c>
      <c r="B643" s="2" t="s">
        <v>1157</v>
      </c>
      <c r="C643" s="2" t="s">
        <v>19</v>
      </c>
      <c r="D643" s="2">
        <v>25</v>
      </c>
      <c r="E643" s="2" t="str">
        <f t="shared" ref="E643:E706" si="42">IF(D643&lt;=25,"18-25",IF(D643&lt;=35,"26-35",IF(D643&lt;=45,"36-45",IF(D643&lt;=60,"46-60","60+"))))</f>
        <v>18-25</v>
      </c>
      <c r="F643" s="2" t="s">
        <v>30</v>
      </c>
      <c r="G643" s="2" t="s">
        <v>21</v>
      </c>
      <c r="H643" s="2">
        <v>2</v>
      </c>
      <c r="I643" s="2" t="str">
        <f t="shared" si="40"/>
        <v>0-6 months</v>
      </c>
      <c r="J643" s="3">
        <v>1199</v>
      </c>
      <c r="K643" s="3">
        <v>2398</v>
      </c>
      <c r="L643" s="2" t="s">
        <v>22</v>
      </c>
      <c r="M643" s="4">
        <v>45840</v>
      </c>
      <c r="N643" s="2" t="s">
        <v>32</v>
      </c>
      <c r="O643" s="2">
        <f t="shared" ref="O643:O706" si="43">IF(N643="Yes",1,IF(N643="No",0,""))</f>
        <v>1</v>
      </c>
      <c r="P643" s="2" t="s">
        <v>23</v>
      </c>
      <c r="Q643" s="2" t="s">
        <v>23</v>
      </c>
      <c r="R643" s="2" t="s">
        <v>23</v>
      </c>
      <c r="S643" s="2" t="s">
        <v>23</v>
      </c>
      <c r="T643" s="2" t="s">
        <v>23</v>
      </c>
      <c r="U643" s="25">
        <f t="shared" si="41"/>
        <v>2398.0006429999999</v>
      </c>
    </row>
    <row r="644" spans="1:21">
      <c r="A644" s="2" t="s">
        <v>1158</v>
      </c>
      <c r="B644" s="2" t="s">
        <v>226</v>
      </c>
      <c r="C644" s="2" t="s">
        <v>35</v>
      </c>
      <c r="D644" s="2">
        <v>62</v>
      </c>
      <c r="E644" s="2" t="str">
        <f t="shared" si="42"/>
        <v>60+</v>
      </c>
      <c r="F644" s="2" t="s">
        <v>60</v>
      </c>
      <c r="G644" s="2" t="s">
        <v>27</v>
      </c>
      <c r="H644" s="2">
        <v>25</v>
      </c>
      <c r="I644" s="2" t="str">
        <f t="shared" si="40"/>
        <v>25-48 months</v>
      </c>
      <c r="J644" s="3">
        <v>449</v>
      </c>
      <c r="K644" s="3">
        <v>11225</v>
      </c>
      <c r="L644" s="2" t="s">
        <v>66</v>
      </c>
      <c r="M644" s="4">
        <v>45153</v>
      </c>
      <c r="N644" s="2" t="s">
        <v>23</v>
      </c>
      <c r="O644" s="2">
        <f t="shared" si="43"/>
        <v>0</v>
      </c>
      <c r="P644" s="2" t="s">
        <v>23</v>
      </c>
      <c r="Q644" s="2" t="s">
        <v>23</v>
      </c>
      <c r="R644" s="2" t="s">
        <v>23</v>
      </c>
      <c r="S644" s="2" t="s">
        <v>23</v>
      </c>
      <c r="T644" s="2" t="s">
        <v>23</v>
      </c>
      <c r="U644" s="25">
        <f t="shared" si="41"/>
        <v>11225.000644</v>
      </c>
    </row>
    <row r="645" spans="1:21">
      <c r="A645" s="2" t="s">
        <v>1159</v>
      </c>
      <c r="B645" s="2" t="s">
        <v>1160</v>
      </c>
      <c r="C645" s="2" t="s">
        <v>35</v>
      </c>
      <c r="D645" s="2">
        <v>61</v>
      </c>
      <c r="E645" s="2" t="str">
        <f t="shared" si="42"/>
        <v>60+</v>
      </c>
      <c r="F645" s="2" t="s">
        <v>20</v>
      </c>
      <c r="G645" s="2" t="s">
        <v>21</v>
      </c>
      <c r="H645" s="2">
        <v>22</v>
      </c>
      <c r="I645" s="2" t="str">
        <f t="shared" si="40"/>
        <v>13-24 months</v>
      </c>
      <c r="J645" s="3">
        <v>999</v>
      </c>
      <c r="K645" s="3">
        <v>21978</v>
      </c>
      <c r="L645" s="2" t="s">
        <v>22</v>
      </c>
      <c r="M645" s="4">
        <v>45255</v>
      </c>
      <c r="N645" s="2" t="s">
        <v>32</v>
      </c>
      <c r="O645" s="2">
        <f t="shared" si="43"/>
        <v>1</v>
      </c>
      <c r="P645" s="2" t="s">
        <v>23</v>
      </c>
      <c r="Q645" s="2" t="s">
        <v>23</v>
      </c>
      <c r="R645" s="2" t="s">
        <v>23</v>
      </c>
      <c r="S645" s="2" t="s">
        <v>23</v>
      </c>
      <c r="T645" s="2" t="s">
        <v>23</v>
      </c>
      <c r="U645" s="25">
        <f t="shared" si="41"/>
        <v>21978.000645</v>
      </c>
    </row>
    <row r="646" spans="1:21">
      <c r="A646" s="2" t="s">
        <v>1161</v>
      </c>
      <c r="B646" s="2" t="s">
        <v>514</v>
      </c>
      <c r="C646" s="2" t="s">
        <v>19</v>
      </c>
      <c r="D646" s="2">
        <v>72</v>
      </c>
      <c r="E646" s="2" t="str">
        <f t="shared" si="42"/>
        <v>60+</v>
      </c>
      <c r="F646" s="2" t="s">
        <v>110</v>
      </c>
      <c r="G646" s="2" t="s">
        <v>21</v>
      </c>
      <c r="H646" s="2">
        <v>7</v>
      </c>
      <c r="I646" s="2" t="str">
        <f t="shared" si="40"/>
        <v>7-12 months</v>
      </c>
      <c r="J646" s="3">
        <v>349</v>
      </c>
      <c r="K646" s="3">
        <v>2443</v>
      </c>
      <c r="L646" s="2" t="s">
        <v>66</v>
      </c>
      <c r="M646" s="4">
        <v>45700</v>
      </c>
      <c r="N646" s="2" t="s">
        <v>32</v>
      </c>
      <c r="O646" s="2">
        <f t="shared" si="43"/>
        <v>1</v>
      </c>
      <c r="P646" s="2" t="s">
        <v>23</v>
      </c>
      <c r="Q646" s="2" t="s">
        <v>23</v>
      </c>
      <c r="R646" s="2" t="s">
        <v>23</v>
      </c>
      <c r="S646" s="2" t="s">
        <v>23</v>
      </c>
      <c r="T646" s="2" t="s">
        <v>23</v>
      </c>
      <c r="U646" s="25">
        <f t="shared" si="41"/>
        <v>2443.000646</v>
      </c>
    </row>
    <row r="647" spans="1:21">
      <c r="A647" s="2" t="s">
        <v>1162</v>
      </c>
      <c r="B647" s="2" t="s">
        <v>228</v>
      </c>
      <c r="C647" s="2" t="s">
        <v>35</v>
      </c>
      <c r="D647" s="2">
        <v>65</v>
      </c>
      <c r="E647" s="2" t="str">
        <f t="shared" si="42"/>
        <v>60+</v>
      </c>
      <c r="F647" s="2" t="s">
        <v>41</v>
      </c>
      <c r="G647" s="2" t="s">
        <v>27</v>
      </c>
      <c r="H647" s="2">
        <v>38</v>
      </c>
      <c r="I647" s="2" t="str">
        <f t="shared" si="40"/>
        <v>25-48 months</v>
      </c>
      <c r="J647" s="3">
        <v>1049</v>
      </c>
      <c r="K647" s="3">
        <v>39862</v>
      </c>
      <c r="L647" s="2" t="s">
        <v>22</v>
      </c>
      <c r="M647" s="4">
        <v>44772</v>
      </c>
      <c r="N647" s="2" t="s">
        <v>23</v>
      </c>
      <c r="O647" s="2">
        <f t="shared" si="43"/>
        <v>0</v>
      </c>
      <c r="P647" s="2" t="s">
        <v>23</v>
      </c>
      <c r="Q647" s="2" t="s">
        <v>23</v>
      </c>
      <c r="R647" s="2" t="s">
        <v>23</v>
      </c>
      <c r="S647" s="2" t="s">
        <v>23</v>
      </c>
      <c r="T647" s="2" t="s">
        <v>23</v>
      </c>
      <c r="U647" s="25">
        <f t="shared" si="41"/>
        <v>39862.000647000001</v>
      </c>
    </row>
    <row r="648" spans="1:21">
      <c r="A648" s="2" t="s">
        <v>1163</v>
      </c>
      <c r="B648" s="2" t="s">
        <v>850</v>
      </c>
      <c r="C648" s="2" t="s">
        <v>35</v>
      </c>
      <c r="D648" s="2">
        <v>40</v>
      </c>
      <c r="E648" s="2" t="str">
        <f t="shared" si="42"/>
        <v>36-45</v>
      </c>
      <c r="F648" s="2" t="s">
        <v>110</v>
      </c>
      <c r="G648" s="2" t="s">
        <v>21</v>
      </c>
      <c r="H648" s="2">
        <v>17</v>
      </c>
      <c r="I648" s="2" t="str">
        <f t="shared" si="40"/>
        <v>13-24 months</v>
      </c>
      <c r="J648" s="3">
        <v>499</v>
      </c>
      <c r="K648" s="3">
        <v>8483</v>
      </c>
      <c r="L648" s="2" t="s">
        <v>66</v>
      </c>
      <c r="M648" s="4">
        <v>45408</v>
      </c>
      <c r="N648" s="2" t="s">
        <v>23</v>
      </c>
      <c r="O648" s="2">
        <f t="shared" si="43"/>
        <v>0</v>
      </c>
      <c r="P648" s="2" t="s">
        <v>23</v>
      </c>
      <c r="Q648" s="2" t="s">
        <v>23</v>
      </c>
      <c r="R648" s="2" t="s">
        <v>23</v>
      </c>
      <c r="S648" s="2" t="s">
        <v>23</v>
      </c>
      <c r="T648" s="2" t="s">
        <v>23</v>
      </c>
      <c r="U648" s="25">
        <f t="shared" si="41"/>
        <v>8483.0006479999993</v>
      </c>
    </row>
    <row r="649" spans="1:21">
      <c r="A649" s="2" t="s">
        <v>1164</v>
      </c>
      <c r="B649" s="2" t="s">
        <v>1165</v>
      </c>
      <c r="C649" s="2" t="s">
        <v>19</v>
      </c>
      <c r="D649" s="2">
        <v>34</v>
      </c>
      <c r="E649" s="2" t="str">
        <f t="shared" si="42"/>
        <v>26-35</v>
      </c>
      <c r="F649" s="2" t="s">
        <v>91</v>
      </c>
      <c r="G649" s="2" t="s">
        <v>21</v>
      </c>
      <c r="H649" s="2">
        <v>18</v>
      </c>
      <c r="I649" s="2" t="str">
        <f t="shared" si="40"/>
        <v>13-24 months</v>
      </c>
      <c r="J649" s="3">
        <v>899</v>
      </c>
      <c r="K649" s="3">
        <v>16182</v>
      </c>
      <c r="L649" s="2" t="s">
        <v>22</v>
      </c>
      <c r="M649" s="4">
        <v>45370</v>
      </c>
      <c r="N649" s="2" t="s">
        <v>23</v>
      </c>
      <c r="O649" s="2">
        <f t="shared" si="43"/>
        <v>0</v>
      </c>
      <c r="P649" s="2" t="s">
        <v>23</v>
      </c>
      <c r="Q649" s="2" t="s">
        <v>23</v>
      </c>
      <c r="R649" s="2" t="s">
        <v>23</v>
      </c>
      <c r="S649" s="2" t="s">
        <v>23</v>
      </c>
      <c r="T649" s="2" t="s">
        <v>23</v>
      </c>
      <c r="U649" s="25">
        <f t="shared" si="41"/>
        <v>16182.000649</v>
      </c>
    </row>
    <row r="650" spans="1:21">
      <c r="A650" s="2" t="s">
        <v>1166</v>
      </c>
      <c r="B650" s="2" t="s">
        <v>93</v>
      </c>
      <c r="C650" s="2" t="s">
        <v>35</v>
      </c>
      <c r="D650" s="2">
        <v>70</v>
      </c>
      <c r="E650" s="2" t="str">
        <f t="shared" si="42"/>
        <v>60+</v>
      </c>
      <c r="F650" s="2" t="s">
        <v>141</v>
      </c>
      <c r="G650" s="2" t="s">
        <v>47</v>
      </c>
      <c r="H650" s="2">
        <v>69</v>
      </c>
      <c r="I650" s="2" t="str">
        <f t="shared" si="40"/>
        <v>49+ months</v>
      </c>
      <c r="J650" s="3">
        <v>899</v>
      </c>
      <c r="K650" s="3">
        <v>62031</v>
      </c>
      <c r="L650" s="2" t="s">
        <v>31</v>
      </c>
      <c r="M650" s="4">
        <v>43835</v>
      </c>
      <c r="N650" s="2" t="s">
        <v>23</v>
      </c>
      <c r="O650" s="2">
        <f t="shared" si="43"/>
        <v>0</v>
      </c>
      <c r="P650" s="2" t="s">
        <v>23</v>
      </c>
      <c r="Q650" s="2" t="s">
        <v>23</v>
      </c>
      <c r="R650" s="2" t="s">
        <v>23</v>
      </c>
      <c r="S650" s="2" t="s">
        <v>23</v>
      </c>
      <c r="T650" s="2" t="s">
        <v>23</v>
      </c>
      <c r="U650" s="25">
        <f t="shared" si="41"/>
        <v>62031.000650000002</v>
      </c>
    </row>
    <row r="651" spans="1:21">
      <c r="A651" s="2" t="s">
        <v>1167</v>
      </c>
      <c r="B651" s="2" t="s">
        <v>1121</v>
      </c>
      <c r="C651" s="2" t="s">
        <v>19</v>
      </c>
      <c r="D651" s="2">
        <v>41</v>
      </c>
      <c r="E651" s="2" t="str">
        <f t="shared" si="42"/>
        <v>36-45</v>
      </c>
      <c r="F651" s="2" t="s">
        <v>60</v>
      </c>
      <c r="G651" s="2" t="s">
        <v>21</v>
      </c>
      <c r="H651" s="2">
        <v>22</v>
      </c>
      <c r="I651" s="2" t="str">
        <f t="shared" si="40"/>
        <v>13-24 months</v>
      </c>
      <c r="J651" s="3">
        <v>899</v>
      </c>
      <c r="K651" s="3">
        <v>19778</v>
      </c>
      <c r="L651" s="2" t="s">
        <v>31</v>
      </c>
      <c r="M651" s="4">
        <v>45241</v>
      </c>
      <c r="N651" s="2" t="s">
        <v>32</v>
      </c>
      <c r="O651" s="2">
        <f t="shared" si="43"/>
        <v>1</v>
      </c>
      <c r="P651" s="2" t="s">
        <v>23</v>
      </c>
      <c r="Q651" s="2" t="s">
        <v>23</v>
      </c>
      <c r="R651" s="2" t="s">
        <v>23</v>
      </c>
      <c r="S651" s="2" t="s">
        <v>23</v>
      </c>
      <c r="T651" s="2" t="s">
        <v>23</v>
      </c>
      <c r="U651" s="25">
        <f t="shared" si="41"/>
        <v>19778.000650999998</v>
      </c>
    </row>
    <row r="652" spans="1:21">
      <c r="A652" s="2" t="s">
        <v>1168</v>
      </c>
      <c r="B652" s="2" t="s">
        <v>138</v>
      </c>
      <c r="C652" s="2" t="s">
        <v>19</v>
      </c>
      <c r="D652" s="2">
        <v>35</v>
      </c>
      <c r="E652" s="2" t="str">
        <f t="shared" si="42"/>
        <v>26-35</v>
      </c>
      <c r="F652" s="2" t="s">
        <v>57</v>
      </c>
      <c r="G652" s="2" t="s">
        <v>21</v>
      </c>
      <c r="H652" s="2">
        <v>22</v>
      </c>
      <c r="I652" s="2" t="str">
        <f t="shared" si="40"/>
        <v>13-24 months</v>
      </c>
      <c r="J652" s="3">
        <v>799</v>
      </c>
      <c r="K652" s="3">
        <v>17578</v>
      </c>
      <c r="L652" s="2" t="s">
        <v>31</v>
      </c>
      <c r="M652" s="4">
        <v>45264</v>
      </c>
      <c r="N652" s="2" t="s">
        <v>32</v>
      </c>
      <c r="O652" s="2">
        <f t="shared" si="43"/>
        <v>1</v>
      </c>
      <c r="P652" s="2" t="s">
        <v>23</v>
      </c>
      <c r="Q652" s="2" t="s">
        <v>23</v>
      </c>
      <c r="R652" s="2" t="s">
        <v>23</v>
      </c>
      <c r="S652" s="2" t="s">
        <v>23</v>
      </c>
      <c r="T652" s="2" t="s">
        <v>23</v>
      </c>
      <c r="U652" s="25">
        <f t="shared" si="41"/>
        <v>17578.000651999999</v>
      </c>
    </row>
    <row r="653" spans="1:21">
      <c r="A653" s="2" t="s">
        <v>1169</v>
      </c>
      <c r="B653" s="2" t="s">
        <v>149</v>
      </c>
      <c r="C653" s="2" t="s">
        <v>19</v>
      </c>
      <c r="D653" s="2">
        <v>69</v>
      </c>
      <c r="E653" s="2" t="str">
        <f t="shared" si="42"/>
        <v>60+</v>
      </c>
      <c r="F653" s="2" t="s">
        <v>57</v>
      </c>
      <c r="G653" s="2" t="s">
        <v>21</v>
      </c>
      <c r="H653" s="2">
        <v>14</v>
      </c>
      <c r="I653" s="2" t="str">
        <f t="shared" si="40"/>
        <v>13-24 months</v>
      </c>
      <c r="J653" s="3">
        <v>1199</v>
      </c>
      <c r="K653" s="3">
        <v>16786</v>
      </c>
      <c r="L653" s="2" t="s">
        <v>22</v>
      </c>
      <c r="M653" s="4">
        <v>45500</v>
      </c>
      <c r="N653" s="2" t="s">
        <v>32</v>
      </c>
      <c r="O653" s="2">
        <f t="shared" si="43"/>
        <v>1</v>
      </c>
      <c r="P653" s="2" t="s">
        <v>23</v>
      </c>
      <c r="Q653" s="2" t="s">
        <v>23</v>
      </c>
      <c r="R653" s="2" t="s">
        <v>23</v>
      </c>
      <c r="S653" s="2" t="s">
        <v>32</v>
      </c>
      <c r="T653" s="2" t="s">
        <v>23</v>
      </c>
      <c r="U653" s="25">
        <f t="shared" si="41"/>
        <v>16786.000652999999</v>
      </c>
    </row>
    <row r="654" spans="1:21">
      <c r="A654" s="2" t="s">
        <v>1170</v>
      </c>
      <c r="B654" s="2" t="s">
        <v>322</v>
      </c>
      <c r="C654" s="2" t="s">
        <v>37</v>
      </c>
      <c r="D654" s="2">
        <v>68</v>
      </c>
      <c r="E654" s="2" t="str">
        <f t="shared" si="42"/>
        <v>60+</v>
      </c>
      <c r="F654" s="2" t="s">
        <v>110</v>
      </c>
      <c r="G654" s="2" t="s">
        <v>21</v>
      </c>
      <c r="H654" s="2">
        <v>21</v>
      </c>
      <c r="I654" s="2" t="str">
        <f t="shared" si="40"/>
        <v>13-24 months</v>
      </c>
      <c r="J654" s="3">
        <v>899</v>
      </c>
      <c r="K654" s="3">
        <v>18879</v>
      </c>
      <c r="L654" s="2" t="s">
        <v>22</v>
      </c>
      <c r="M654" s="4">
        <v>45297</v>
      </c>
      <c r="N654" s="2" t="s">
        <v>23</v>
      </c>
      <c r="O654" s="2">
        <f t="shared" si="43"/>
        <v>0</v>
      </c>
      <c r="P654" s="2" t="s">
        <v>23</v>
      </c>
      <c r="Q654" s="2" t="s">
        <v>23</v>
      </c>
      <c r="R654" s="2" t="s">
        <v>23</v>
      </c>
      <c r="S654" s="2" t="s">
        <v>23</v>
      </c>
      <c r="T654" s="2" t="s">
        <v>23</v>
      </c>
      <c r="U654" s="25">
        <f t="shared" si="41"/>
        <v>18879.000653999999</v>
      </c>
    </row>
    <row r="655" spans="1:21">
      <c r="A655" s="2" t="s">
        <v>1171</v>
      </c>
      <c r="B655" s="2" t="s">
        <v>308</v>
      </c>
      <c r="C655" s="2" t="s">
        <v>19</v>
      </c>
      <c r="D655" s="2">
        <v>37</v>
      </c>
      <c r="E655" s="2" t="str">
        <f t="shared" si="42"/>
        <v>36-45</v>
      </c>
      <c r="F655" s="2" t="s">
        <v>57</v>
      </c>
      <c r="G655" s="2" t="s">
        <v>21</v>
      </c>
      <c r="H655" s="2">
        <v>12</v>
      </c>
      <c r="I655" s="2" t="str">
        <f t="shared" si="40"/>
        <v>7-12 months</v>
      </c>
      <c r="J655" s="3">
        <v>349</v>
      </c>
      <c r="K655" s="3">
        <v>4188</v>
      </c>
      <c r="L655" s="2" t="s">
        <v>66</v>
      </c>
      <c r="M655" s="4">
        <v>45542</v>
      </c>
      <c r="N655" s="2" t="s">
        <v>32</v>
      </c>
      <c r="O655" s="2">
        <f t="shared" si="43"/>
        <v>1</v>
      </c>
      <c r="P655" s="2" t="s">
        <v>23</v>
      </c>
      <c r="Q655" s="2" t="s">
        <v>23</v>
      </c>
      <c r="R655" s="2" t="s">
        <v>23</v>
      </c>
      <c r="S655" s="2" t="s">
        <v>32</v>
      </c>
      <c r="T655" s="2" t="s">
        <v>23</v>
      </c>
      <c r="U655" s="25">
        <f t="shared" si="41"/>
        <v>4188.0006549999998</v>
      </c>
    </row>
    <row r="656" spans="1:21">
      <c r="A656" s="2" t="s">
        <v>1172</v>
      </c>
      <c r="B656" s="2" t="s">
        <v>1173</v>
      </c>
      <c r="C656" s="2" t="s">
        <v>19</v>
      </c>
      <c r="D656" s="2">
        <v>54</v>
      </c>
      <c r="E656" s="2" t="str">
        <f t="shared" si="42"/>
        <v>46-60</v>
      </c>
      <c r="F656" s="2" t="s">
        <v>141</v>
      </c>
      <c r="G656" s="2" t="s">
        <v>21</v>
      </c>
      <c r="H656" s="2">
        <v>22</v>
      </c>
      <c r="I656" s="2" t="str">
        <f t="shared" si="40"/>
        <v>13-24 months</v>
      </c>
      <c r="J656" s="3">
        <v>899</v>
      </c>
      <c r="K656" s="3">
        <v>19778</v>
      </c>
      <c r="L656" s="2" t="s">
        <v>31</v>
      </c>
      <c r="M656" s="4">
        <v>45240</v>
      </c>
      <c r="N656" s="2" t="s">
        <v>32</v>
      </c>
      <c r="O656" s="2">
        <f t="shared" si="43"/>
        <v>1</v>
      </c>
      <c r="P656" s="2" t="s">
        <v>23</v>
      </c>
      <c r="Q656" s="2" t="s">
        <v>23</v>
      </c>
      <c r="R656" s="2" t="s">
        <v>23</v>
      </c>
      <c r="S656" s="2" t="s">
        <v>23</v>
      </c>
      <c r="T656" s="2" t="s">
        <v>23</v>
      </c>
      <c r="U656" s="25">
        <f t="shared" si="41"/>
        <v>19778.000656</v>
      </c>
    </row>
    <row r="657" spans="1:21">
      <c r="A657" s="2" t="s">
        <v>1174</v>
      </c>
      <c r="B657" s="2" t="s">
        <v>1175</v>
      </c>
      <c r="C657" s="2" t="s">
        <v>19</v>
      </c>
      <c r="D657" s="2">
        <v>25</v>
      </c>
      <c r="E657" s="2" t="str">
        <f t="shared" si="42"/>
        <v>18-25</v>
      </c>
      <c r="F657" s="2" t="s">
        <v>110</v>
      </c>
      <c r="G657" s="2" t="s">
        <v>47</v>
      </c>
      <c r="H657" s="2">
        <v>50</v>
      </c>
      <c r="I657" s="2" t="str">
        <f t="shared" si="40"/>
        <v>49+ months</v>
      </c>
      <c r="J657" s="3">
        <v>899</v>
      </c>
      <c r="K657" s="3">
        <v>44950</v>
      </c>
      <c r="L657" s="2" t="s">
        <v>31</v>
      </c>
      <c r="M657" s="4">
        <v>44422</v>
      </c>
      <c r="N657" s="2" t="s">
        <v>23</v>
      </c>
      <c r="O657" s="2">
        <f t="shared" si="43"/>
        <v>0</v>
      </c>
      <c r="P657" s="2" t="s">
        <v>23</v>
      </c>
      <c r="Q657" s="2" t="s">
        <v>23</v>
      </c>
      <c r="R657" s="2" t="s">
        <v>23</v>
      </c>
      <c r="S657" s="2" t="s">
        <v>23</v>
      </c>
      <c r="T657" s="2" t="s">
        <v>23</v>
      </c>
      <c r="U657" s="25">
        <f t="shared" si="41"/>
        <v>44950.000656999997</v>
      </c>
    </row>
    <row r="658" spans="1:21">
      <c r="A658" s="2" t="s">
        <v>1176</v>
      </c>
      <c r="B658" s="2" t="s">
        <v>37</v>
      </c>
      <c r="C658" s="2" t="s">
        <v>19</v>
      </c>
      <c r="D658" s="2">
        <v>31</v>
      </c>
      <c r="E658" s="2" t="str">
        <f t="shared" si="42"/>
        <v>26-35</v>
      </c>
      <c r="F658" s="2" t="s">
        <v>46</v>
      </c>
      <c r="G658" s="2" t="s">
        <v>21</v>
      </c>
      <c r="H658" s="2">
        <v>19</v>
      </c>
      <c r="I658" s="2" t="str">
        <f t="shared" si="40"/>
        <v>13-24 months</v>
      </c>
      <c r="J658" s="3">
        <v>599</v>
      </c>
      <c r="K658" s="3">
        <v>11381</v>
      </c>
      <c r="L658" s="2" t="s">
        <v>31</v>
      </c>
      <c r="M658" s="4">
        <v>45355</v>
      </c>
      <c r="N658" s="2" t="s">
        <v>32</v>
      </c>
      <c r="O658" s="2">
        <f t="shared" si="43"/>
        <v>1</v>
      </c>
      <c r="P658" s="2" t="s">
        <v>23</v>
      </c>
      <c r="Q658" s="2" t="s">
        <v>23</v>
      </c>
      <c r="R658" s="2" t="s">
        <v>23</v>
      </c>
      <c r="S658" s="2" t="s">
        <v>23</v>
      </c>
      <c r="T658" s="2" t="s">
        <v>23</v>
      </c>
      <c r="U658" s="25">
        <f t="shared" si="41"/>
        <v>11381.000658000001</v>
      </c>
    </row>
    <row r="659" spans="1:21">
      <c r="A659" s="2" t="s">
        <v>1177</v>
      </c>
      <c r="B659" s="2" t="s">
        <v>1178</v>
      </c>
      <c r="C659" s="2" t="s">
        <v>35</v>
      </c>
      <c r="D659" s="2">
        <v>48</v>
      </c>
      <c r="E659" s="2" t="str">
        <f t="shared" si="42"/>
        <v>46-60</v>
      </c>
      <c r="F659" s="2" t="s">
        <v>71</v>
      </c>
      <c r="G659" s="2" t="s">
        <v>21</v>
      </c>
      <c r="H659" s="2">
        <v>5</v>
      </c>
      <c r="I659" s="2" t="str">
        <f t="shared" si="40"/>
        <v>0-6 months</v>
      </c>
      <c r="J659" s="3">
        <v>699</v>
      </c>
      <c r="K659" s="3">
        <v>3495</v>
      </c>
      <c r="L659" s="2" t="s">
        <v>31</v>
      </c>
      <c r="M659" s="4">
        <v>45778</v>
      </c>
      <c r="N659" s="2" t="s">
        <v>23</v>
      </c>
      <c r="O659" s="2">
        <f t="shared" si="43"/>
        <v>0</v>
      </c>
      <c r="P659" s="2" t="s">
        <v>23</v>
      </c>
      <c r="Q659" s="2" t="s">
        <v>23</v>
      </c>
      <c r="R659" s="2" t="s">
        <v>23</v>
      </c>
      <c r="S659" s="2" t="s">
        <v>23</v>
      </c>
      <c r="T659" s="2" t="s">
        <v>23</v>
      </c>
      <c r="U659" s="25">
        <f t="shared" si="41"/>
        <v>3495.0006589999998</v>
      </c>
    </row>
    <row r="660" spans="1:21">
      <c r="A660" s="2" t="s">
        <v>1179</v>
      </c>
      <c r="B660" s="2" t="s">
        <v>1180</v>
      </c>
      <c r="C660" s="2" t="s">
        <v>19</v>
      </c>
      <c r="D660" s="2">
        <v>68</v>
      </c>
      <c r="E660" s="2" t="str">
        <f t="shared" si="42"/>
        <v>60+</v>
      </c>
      <c r="F660" s="2" t="s">
        <v>71</v>
      </c>
      <c r="G660" s="2" t="s">
        <v>21</v>
      </c>
      <c r="H660" s="2">
        <v>10</v>
      </c>
      <c r="I660" s="2" t="str">
        <f t="shared" si="40"/>
        <v>7-12 months</v>
      </c>
      <c r="J660" s="3">
        <v>1199</v>
      </c>
      <c r="K660" s="3">
        <v>11990</v>
      </c>
      <c r="L660" s="2" t="s">
        <v>22</v>
      </c>
      <c r="M660" s="4">
        <v>45607</v>
      </c>
      <c r="N660" s="2" t="s">
        <v>23</v>
      </c>
      <c r="O660" s="2">
        <f t="shared" si="43"/>
        <v>0</v>
      </c>
      <c r="P660" s="2" t="s">
        <v>23</v>
      </c>
      <c r="Q660" s="2" t="s">
        <v>23</v>
      </c>
      <c r="R660" s="2" t="s">
        <v>23</v>
      </c>
      <c r="S660" s="2" t="s">
        <v>23</v>
      </c>
      <c r="T660" s="2" t="s">
        <v>23</v>
      </c>
      <c r="U660" s="25">
        <f t="shared" si="41"/>
        <v>11990.00066</v>
      </c>
    </row>
    <row r="661" spans="1:21">
      <c r="A661" s="2" t="s">
        <v>1181</v>
      </c>
      <c r="B661" s="2" t="s">
        <v>1182</v>
      </c>
      <c r="C661" s="2" t="s">
        <v>19</v>
      </c>
      <c r="D661" s="2">
        <v>72</v>
      </c>
      <c r="E661" s="2" t="str">
        <f t="shared" si="42"/>
        <v>60+</v>
      </c>
      <c r="F661" s="2" t="s">
        <v>60</v>
      </c>
      <c r="G661" s="2" t="s">
        <v>21</v>
      </c>
      <c r="H661" s="2">
        <v>13</v>
      </c>
      <c r="I661" s="2" t="str">
        <f t="shared" si="40"/>
        <v>13-24 months</v>
      </c>
      <c r="J661" s="3">
        <v>349</v>
      </c>
      <c r="K661" s="3">
        <v>4537</v>
      </c>
      <c r="L661" s="2" t="s">
        <v>66</v>
      </c>
      <c r="M661" s="4">
        <v>45514</v>
      </c>
      <c r="N661" s="2" t="s">
        <v>23</v>
      </c>
      <c r="O661" s="2">
        <f t="shared" si="43"/>
        <v>0</v>
      </c>
      <c r="P661" s="2" t="s">
        <v>23</v>
      </c>
      <c r="Q661" s="2" t="s">
        <v>23</v>
      </c>
      <c r="R661" s="2" t="s">
        <v>23</v>
      </c>
      <c r="S661" s="2" t="s">
        <v>23</v>
      </c>
      <c r="T661" s="2" t="s">
        <v>23</v>
      </c>
      <c r="U661" s="25">
        <f t="shared" si="41"/>
        <v>4537.000661</v>
      </c>
    </row>
    <row r="662" spans="1:21">
      <c r="A662" s="2" t="s">
        <v>1183</v>
      </c>
      <c r="B662" s="2" t="s">
        <v>550</v>
      </c>
      <c r="C662" s="2" t="s">
        <v>19</v>
      </c>
      <c r="D662" s="2">
        <v>73</v>
      </c>
      <c r="E662" s="2" t="str">
        <f t="shared" si="42"/>
        <v>60+</v>
      </c>
      <c r="F662" s="2" t="s">
        <v>63</v>
      </c>
      <c r="G662" s="2" t="s">
        <v>47</v>
      </c>
      <c r="H662" s="2">
        <v>53</v>
      </c>
      <c r="I662" s="2" t="str">
        <f t="shared" si="40"/>
        <v>49+ months</v>
      </c>
      <c r="J662" s="3">
        <v>899</v>
      </c>
      <c r="K662" s="3">
        <v>47647</v>
      </c>
      <c r="L662" s="2" t="s">
        <v>22</v>
      </c>
      <c r="M662" s="4">
        <v>44312</v>
      </c>
      <c r="N662" s="2" t="s">
        <v>23</v>
      </c>
      <c r="O662" s="2">
        <f t="shared" si="43"/>
        <v>0</v>
      </c>
      <c r="P662" s="2" t="s">
        <v>23</v>
      </c>
      <c r="Q662" s="2" t="s">
        <v>23</v>
      </c>
      <c r="R662" s="2" t="s">
        <v>32</v>
      </c>
      <c r="S662" s="2" t="s">
        <v>23</v>
      </c>
      <c r="T662" s="2" t="s">
        <v>23</v>
      </c>
      <c r="U662" s="25">
        <f t="shared" si="41"/>
        <v>47647.000661999999</v>
      </c>
    </row>
    <row r="663" spans="1:21">
      <c r="A663" s="2" t="s">
        <v>1184</v>
      </c>
      <c r="B663" s="2" t="s">
        <v>1185</v>
      </c>
      <c r="C663" s="2" t="s">
        <v>35</v>
      </c>
      <c r="D663" s="2">
        <v>44</v>
      </c>
      <c r="E663" s="2" t="str">
        <f t="shared" si="42"/>
        <v>36-45</v>
      </c>
      <c r="F663" s="2" t="s">
        <v>57</v>
      </c>
      <c r="G663" s="2" t="s">
        <v>21</v>
      </c>
      <c r="H663" s="2">
        <v>4</v>
      </c>
      <c r="I663" s="2" t="str">
        <f t="shared" si="40"/>
        <v>0-6 months</v>
      </c>
      <c r="J663" s="3">
        <v>999</v>
      </c>
      <c r="K663" s="3">
        <v>3996</v>
      </c>
      <c r="L663" s="2" t="s">
        <v>22</v>
      </c>
      <c r="M663" s="4">
        <v>45797</v>
      </c>
      <c r="N663" s="2" t="s">
        <v>32</v>
      </c>
      <c r="O663" s="2">
        <f t="shared" si="43"/>
        <v>1</v>
      </c>
      <c r="P663" s="2" t="s">
        <v>23</v>
      </c>
      <c r="Q663" s="2" t="s">
        <v>23</v>
      </c>
      <c r="R663" s="2" t="s">
        <v>23</v>
      </c>
      <c r="S663" s="2" t="s">
        <v>23</v>
      </c>
      <c r="T663" s="2" t="s">
        <v>23</v>
      </c>
      <c r="U663" s="25">
        <f t="shared" si="41"/>
        <v>3996.0006629999998</v>
      </c>
    </row>
    <row r="664" spans="1:21">
      <c r="A664" s="2" t="s">
        <v>1186</v>
      </c>
      <c r="B664" s="2" t="s">
        <v>107</v>
      </c>
      <c r="C664" s="2" t="s">
        <v>35</v>
      </c>
      <c r="D664" s="2">
        <v>70</v>
      </c>
      <c r="E664" s="2" t="str">
        <f t="shared" si="42"/>
        <v>60+</v>
      </c>
      <c r="F664" s="2" t="s">
        <v>26</v>
      </c>
      <c r="G664" s="2" t="s">
        <v>27</v>
      </c>
      <c r="H664" s="2">
        <v>2</v>
      </c>
      <c r="I664" s="2" t="str">
        <f t="shared" si="40"/>
        <v>0-6 months</v>
      </c>
      <c r="J664" s="3">
        <v>899</v>
      </c>
      <c r="K664" s="3">
        <v>1798</v>
      </c>
      <c r="L664" s="2" t="s">
        <v>22</v>
      </c>
      <c r="M664" s="4">
        <v>45843</v>
      </c>
      <c r="N664" s="2" t="s">
        <v>23</v>
      </c>
      <c r="O664" s="2">
        <f t="shared" si="43"/>
        <v>0</v>
      </c>
      <c r="P664" s="2" t="s">
        <v>23</v>
      </c>
      <c r="Q664" s="2" t="s">
        <v>32</v>
      </c>
      <c r="R664" s="2" t="s">
        <v>23</v>
      </c>
      <c r="S664" s="2" t="s">
        <v>23</v>
      </c>
      <c r="T664" s="2" t="s">
        <v>23</v>
      </c>
      <c r="U664" s="25">
        <f t="shared" si="41"/>
        <v>1798.0006639999999</v>
      </c>
    </row>
    <row r="665" spans="1:21">
      <c r="A665" s="2" t="s">
        <v>1187</v>
      </c>
      <c r="B665" s="2" t="s">
        <v>1188</v>
      </c>
      <c r="C665" s="2" t="s">
        <v>19</v>
      </c>
      <c r="D665" s="2">
        <v>30</v>
      </c>
      <c r="E665" s="2" t="str">
        <f t="shared" si="42"/>
        <v>26-35</v>
      </c>
      <c r="F665" s="2" t="s">
        <v>71</v>
      </c>
      <c r="G665" s="2" t="s">
        <v>21</v>
      </c>
      <c r="H665" s="2">
        <v>4</v>
      </c>
      <c r="I665" s="2" t="str">
        <f t="shared" si="40"/>
        <v>0-6 months</v>
      </c>
      <c r="J665" s="3">
        <v>999</v>
      </c>
      <c r="K665" s="3">
        <v>3996</v>
      </c>
      <c r="L665" s="2" t="s">
        <v>22</v>
      </c>
      <c r="M665" s="4">
        <v>45784</v>
      </c>
      <c r="N665" s="2" t="s">
        <v>23</v>
      </c>
      <c r="O665" s="2">
        <f t="shared" si="43"/>
        <v>0</v>
      </c>
      <c r="P665" s="2" t="s">
        <v>23</v>
      </c>
      <c r="Q665" s="2" t="s">
        <v>23</v>
      </c>
      <c r="R665" s="2" t="s">
        <v>23</v>
      </c>
      <c r="S665" s="2" t="s">
        <v>23</v>
      </c>
      <c r="T665" s="2" t="s">
        <v>23</v>
      </c>
      <c r="U665" s="25">
        <f t="shared" si="41"/>
        <v>3996.000665</v>
      </c>
    </row>
    <row r="666" spans="1:21">
      <c r="A666" s="2" t="s">
        <v>1189</v>
      </c>
      <c r="B666" s="2" t="s">
        <v>780</v>
      </c>
      <c r="C666" s="2" t="s">
        <v>19</v>
      </c>
      <c r="D666" s="2">
        <v>44</v>
      </c>
      <c r="E666" s="2" t="str">
        <f t="shared" si="42"/>
        <v>36-45</v>
      </c>
      <c r="F666" s="2" t="s">
        <v>110</v>
      </c>
      <c r="G666" s="2" t="s">
        <v>47</v>
      </c>
      <c r="H666" s="2">
        <v>18</v>
      </c>
      <c r="I666" s="2" t="str">
        <f t="shared" si="40"/>
        <v>13-24 months</v>
      </c>
      <c r="J666" s="3">
        <v>999</v>
      </c>
      <c r="K666" s="3">
        <v>17982</v>
      </c>
      <c r="L666" s="2" t="s">
        <v>22</v>
      </c>
      <c r="M666" s="4">
        <v>45363</v>
      </c>
      <c r="N666" s="2" t="s">
        <v>23</v>
      </c>
      <c r="O666" s="2">
        <f t="shared" si="43"/>
        <v>0</v>
      </c>
      <c r="P666" s="2" t="s">
        <v>23</v>
      </c>
      <c r="Q666" s="2" t="s">
        <v>23</v>
      </c>
      <c r="R666" s="2" t="s">
        <v>23</v>
      </c>
      <c r="S666" s="2" t="s">
        <v>23</v>
      </c>
      <c r="T666" s="2" t="s">
        <v>23</v>
      </c>
      <c r="U666" s="25">
        <f t="shared" si="41"/>
        <v>17982.000666</v>
      </c>
    </row>
    <row r="667" spans="1:21">
      <c r="A667" s="2" t="s">
        <v>1190</v>
      </c>
      <c r="B667" s="2" t="s">
        <v>1191</v>
      </c>
      <c r="C667" s="2" t="s">
        <v>35</v>
      </c>
      <c r="D667" s="2">
        <v>44</v>
      </c>
      <c r="E667" s="2" t="str">
        <f t="shared" si="42"/>
        <v>36-45</v>
      </c>
      <c r="F667" s="2" t="s">
        <v>30</v>
      </c>
      <c r="G667" s="2" t="s">
        <v>21</v>
      </c>
      <c r="H667" s="2">
        <v>19</v>
      </c>
      <c r="I667" s="2" t="str">
        <f t="shared" si="40"/>
        <v>13-24 months</v>
      </c>
      <c r="J667" s="3">
        <v>349</v>
      </c>
      <c r="K667" s="3">
        <v>6631</v>
      </c>
      <c r="L667" s="2" t="s">
        <v>66</v>
      </c>
      <c r="M667" s="4">
        <v>45338</v>
      </c>
      <c r="N667" s="2" t="s">
        <v>23</v>
      </c>
      <c r="O667" s="2">
        <f t="shared" si="43"/>
        <v>0</v>
      </c>
      <c r="P667" s="2" t="s">
        <v>23</v>
      </c>
      <c r="Q667" s="2" t="s">
        <v>23</v>
      </c>
      <c r="R667" s="2" t="s">
        <v>23</v>
      </c>
      <c r="S667" s="2" t="s">
        <v>23</v>
      </c>
      <c r="T667" s="2" t="s">
        <v>23</v>
      </c>
      <c r="U667" s="25">
        <f t="shared" si="41"/>
        <v>6631.0006670000002</v>
      </c>
    </row>
    <row r="668" spans="1:21">
      <c r="A668" s="2" t="s">
        <v>1192</v>
      </c>
      <c r="B668" s="2" t="s">
        <v>1193</v>
      </c>
      <c r="C668" s="2" t="s">
        <v>19</v>
      </c>
      <c r="D668" s="2">
        <v>30</v>
      </c>
      <c r="E668" s="2" t="str">
        <f t="shared" si="42"/>
        <v>26-35</v>
      </c>
      <c r="F668" s="2" t="s">
        <v>46</v>
      </c>
      <c r="G668" s="2" t="s">
        <v>27</v>
      </c>
      <c r="H668" s="2">
        <v>26</v>
      </c>
      <c r="I668" s="2" t="str">
        <f t="shared" si="40"/>
        <v>25-48 months</v>
      </c>
      <c r="J668" s="3">
        <v>799</v>
      </c>
      <c r="K668" s="3">
        <v>20774</v>
      </c>
      <c r="L668" s="2" t="s">
        <v>31</v>
      </c>
      <c r="M668" s="4">
        <v>45146</v>
      </c>
      <c r="N668" s="2" t="s">
        <v>23</v>
      </c>
      <c r="O668" s="2">
        <f t="shared" si="43"/>
        <v>0</v>
      </c>
      <c r="P668" s="2" t="s">
        <v>23</v>
      </c>
      <c r="Q668" s="2" t="s">
        <v>23</v>
      </c>
      <c r="R668" s="2" t="s">
        <v>23</v>
      </c>
      <c r="S668" s="2" t="s">
        <v>23</v>
      </c>
      <c r="T668" s="2" t="s">
        <v>23</v>
      </c>
      <c r="U668" s="25">
        <f t="shared" si="41"/>
        <v>20774.000668000001</v>
      </c>
    </row>
    <row r="669" spans="1:21">
      <c r="A669" s="2" t="s">
        <v>1194</v>
      </c>
      <c r="B669" s="2" t="s">
        <v>1195</v>
      </c>
      <c r="C669" s="2" t="s">
        <v>35</v>
      </c>
      <c r="D669" s="2">
        <v>25</v>
      </c>
      <c r="E669" s="2" t="str">
        <f t="shared" si="42"/>
        <v>18-25</v>
      </c>
      <c r="F669" s="2" t="s">
        <v>36</v>
      </c>
      <c r="G669" s="2" t="s">
        <v>27</v>
      </c>
      <c r="H669" s="2">
        <v>30</v>
      </c>
      <c r="I669" s="2" t="str">
        <f t="shared" si="40"/>
        <v>25-48 months</v>
      </c>
      <c r="J669" s="3">
        <v>1199</v>
      </c>
      <c r="K669" s="3">
        <v>35970</v>
      </c>
      <c r="L669" s="2" t="s">
        <v>22</v>
      </c>
      <c r="M669" s="4">
        <v>45006</v>
      </c>
      <c r="N669" s="2" t="s">
        <v>32</v>
      </c>
      <c r="O669" s="2">
        <f t="shared" si="43"/>
        <v>1</v>
      </c>
      <c r="P669" s="2" t="s">
        <v>23</v>
      </c>
      <c r="Q669" s="2" t="s">
        <v>23</v>
      </c>
      <c r="R669" s="2" t="s">
        <v>23</v>
      </c>
      <c r="S669" s="2" t="s">
        <v>23</v>
      </c>
      <c r="T669" s="2" t="s">
        <v>23</v>
      </c>
      <c r="U669" s="25">
        <f t="shared" si="41"/>
        <v>35970.000669000001</v>
      </c>
    </row>
    <row r="670" spans="1:21">
      <c r="A670" s="2" t="s">
        <v>1196</v>
      </c>
      <c r="B670" s="2" t="s">
        <v>1197</v>
      </c>
      <c r="C670" s="2" t="s">
        <v>19</v>
      </c>
      <c r="D670" s="2">
        <v>36</v>
      </c>
      <c r="E670" s="2" t="str">
        <f t="shared" si="42"/>
        <v>36-45</v>
      </c>
      <c r="F670" s="2" t="s">
        <v>141</v>
      </c>
      <c r="G670" s="2" t="s">
        <v>21</v>
      </c>
      <c r="H670" s="2">
        <v>7</v>
      </c>
      <c r="I670" s="2" t="str">
        <f t="shared" si="40"/>
        <v>7-12 months</v>
      </c>
      <c r="J670" s="3">
        <v>799</v>
      </c>
      <c r="K670" s="3">
        <v>5593</v>
      </c>
      <c r="L670" s="2" t="s">
        <v>31</v>
      </c>
      <c r="M670" s="4">
        <v>45712</v>
      </c>
      <c r="N670" s="2" t="s">
        <v>23</v>
      </c>
      <c r="O670" s="2">
        <f t="shared" si="43"/>
        <v>0</v>
      </c>
      <c r="P670" s="2" t="s">
        <v>23</v>
      </c>
      <c r="Q670" s="2" t="s">
        <v>23</v>
      </c>
      <c r="R670" s="2" t="s">
        <v>23</v>
      </c>
      <c r="S670" s="2" t="s">
        <v>23</v>
      </c>
      <c r="T670" s="2" t="s">
        <v>23</v>
      </c>
      <c r="U670" s="25">
        <f t="shared" si="41"/>
        <v>5593.0006700000004</v>
      </c>
    </row>
    <row r="671" spans="1:21">
      <c r="A671" s="2" t="s">
        <v>1198</v>
      </c>
      <c r="B671" s="2" t="s">
        <v>1199</v>
      </c>
      <c r="C671" s="2" t="s">
        <v>35</v>
      </c>
      <c r="D671" s="2">
        <v>68</v>
      </c>
      <c r="E671" s="2" t="str">
        <f t="shared" si="42"/>
        <v>60+</v>
      </c>
      <c r="F671" s="2" t="s">
        <v>37</v>
      </c>
      <c r="G671" s="2" t="s">
        <v>21</v>
      </c>
      <c r="H671" s="2">
        <v>8</v>
      </c>
      <c r="I671" s="2" t="str">
        <f t="shared" si="40"/>
        <v>7-12 months</v>
      </c>
      <c r="J671" s="3">
        <v>399</v>
      </c>
      <c r="K671" s="3">
        <v>3192</v>
      </c>
      <c r="L671" s="2" t="s">
        <v>66</v>
      </c>
      <c r="M671" s="4">
        <v>45667</v>
      </c>
      <c r="N671" s="2" t="s">
        <v>32</v>
      </c>
      <c r="O671" s="2">
        <f t="shared" si="43"/>
        <v>1</v>
      </c>
      <c r="P671" s="2" t="s">
        <v>23</v>
      </c>
      <c r="Q671" s="2" t="s">
        <v>23</v>
      </c>
      <c r="R671" s="2" t="s">
        <v>23</v>
      </c>
      <c r="S671" s="2" t="s">
        <v>23</v>
      </c>
      <c r="T671" s="2" t="s">
        <v>23</v>
      </c>
      <c r="U671" s="25">
        <f t="shared" si="41"/>
        <v>3192.0006709999998</v>
      </c>
    </row>
    <row r="672" spans="1:21">
      <c r="A672" s="2" t="s">
        <v>1200</v>
      </c>
      <c r="B672" s="2" t="s">
        <v>1201</v>
      </c>
      <c r="C672" s="2" t="s">
        <v>35</v>
      </c>
      <c r="D672" s="2">
        <v>48</v>
      </c>
      <c r="E672" s="2" t="str">
        <f t="shared" si="42"/>
        <v>46-60</v>
      </c>
      <c r="F672" s="2" t="s">
        <v>63</v>
      </c>
      <c r="G672" s="2" t="s">
        <v>47</v>
      </c>
      <c r="H672" s="2">
        <v>51</v>
      </c>
      <c r="I672" s="2" t="str">
        <f t="shared" si="40"/>
        <v>49+ months</v>
      </c>
      <c r="J672" s="3">
        <v>499</v>
      </c>
      <c r="K672" s="3">
        <v>25449</v>
      </c>
      <c r="L672" s="2" t="s">
        <v>66</v>
      </c>
      <c r="M672" s="4">
        <v>44375</v>
      </c>
      <c r="N672" s="2" t="s">
        <v>23</v>
      </c>
      <c r="O672" s="2">
        <f t="shared" si="43"/>
        <v>0</v>
      </c>
      <c r="P672" s="2" t="s">
        <v>23</v>
      </c>
      <c r="Q672" s="2" t="s">
        <v>23</v>
      </c>
      <c r="R672" s="2" t="s">
        <v>23</v>
      </c>
      <c r="S672" s="2" t="s">
        <v>23</v>
      </c>
      <c r="T672" s="2" t="s">
        <v>23</v>
      </c>
      <c r="U672" s="25">
        <f t="shared" si="41"/>
        <v>25449.000671999998</v>
      </c>
    </row>
    <row r="673" spans="1:21">
      <c r="A673" s="2" t="s">
        <v>1202</v>
      </c>
      <c r="B673" s="2" t="s">
        <v>1203</v>
      </c>
      <c r="C673" s="2" t="s">
        <v>35</v>
      </c>
      <c r="D673" s="2">
        <v>53</v>
      </c>
      <c r="E673" s="2" t="str">
        <f t="shared" si="42"/>
        <v>46-60</v>
      </c>
      <c r="F673" s="2" t="s">
        <v>36</v>
      </c>
      <c r="G673" s="2" t="s">
        <v>21</v>
      </c>
      <c r="H673" s="2">
        <v>16</v>
      </c>
      <c r="I673" s="2" t="str">
        <f t="shared" si="40"/>
        <v>13-24 months</v>
      </c>
      <c r="J673" s="3">
        <v>549</v>
      </c>
      <c r="K673" s="3">
        <v>8784</v>
      </c>
      <c r="L673" s="2" t="s">
        <v>66</v>
      </c>
      <c r="M673" s="4">
        <v>45423</v>
      </c>
      <c r="N673" s="2" t="s">
        <v>23</v>
      </c>
      <c r="O673" s="2">
        <f t="shared" si="43"/>
        <v>0</v>
      </c>
      <c r="P673" s="2" t="s">
        <v>23</v>
      </c>
      <c r="Q673" s="2" t="s">
        <v>23</v>
      </c>
      <c r="R673" s="2" t="s">
        <v>32</v>
      </c>
      <c r="S673" s="2" t="s">
        <v>23</v>
      </c>
      <c r="T673" s="2" t="s">
        <v>23</v>
      </c>
      <c r="U673" s="25">
        <f t="shared" si="41"/>
        <v>8784.0006730000005</v>
      </c>
    </row>
    <row r="674" spans="1:21">
      <c r="A674" s="2" t="s">
        <v>1204</v>
      </c>
      <c r="B674" s="2" t="s">
        <v>322</v>
      </c>
      <c r="C674" s="2" t="s">
        <v>19</v>
      </c>
      <c r="D674" s="2">
        <v>50</v>
      </c>
      <c r="E674" s="2" t="str">
        <f t="shared" si="42"/>
        <v>46-60</v>
      </c>
      <c r="F674" s="2" t="s">
        <v>91</v>
      </c>
      <c r="G674" s="2" t="s">
        <v>21</v>
      </c>
      <c r="H674" s="2">
        <v>22</v>
      </c>
      <c r="I674" s="2" t="str">
        <f t="shared" si="40"/>
        <v>13-24 months</v>
      </c>
      <c r="J674" s="3">
        <v>549</v>
      </c>
      <c r="K674" s="3">
        <v>12078</v>
      </c>
      <c r="L674" s="2" t="s">
        <v>66</v>
      </c>
      <c r="M674" s="4">
        <v>45263</v>
      </c>
      <c r="N674" s="2" t="s">
        <v>32</v>
      </c>
      <c r="O674" s="2">
        <f t="shared" si="43"/>
        <v>1</v>
      </c>
      <c r="P674" s="2" t="s">
        <v>23</v>
      </c>
      <c r="Q674" s="2" t="s">
        <v>23</v>
      </c>
      <c r="R674" s="2" t="s">
        <v>23</v>
      </c>
      <c r="S674" s="2" t="s">
        <v>23</v>
      </c>
      <c r="T674" s="2" t="s">
        <v>23</v>
      </c>
      <c r="U674" s="25">
        <f t="shared" si="41"/>
        <v>12078.000674000001</v>
      </c>
    </row>
    <row r="675" spans="1:21">
      <c r="A675" s="2" t="s">
        <v>1205</v>
      </c>
      <c r="B675" s="2" t="s">
        <v>1206</v>
      </c>
      <c r="C675" s="2" t="s">
        <v>35</v>
      </c>
      <c r="D675" s="2">
        <v>49</v>
      </c>
      <c r="E675" s="2" t="str">
        <f t="shared" si="42"/>
        <v>46-60</v>
      </c>
      <c r="F675" s="2" t="s">
        <v>30</v>
      </c>
      <c r="G675" s="2" t="s">
        <v>47</v>
      </c>
      <c r="H675" s="2"/>
      <c r="I675" s="2" t="str">
        <f t="shared" si="40"/>
        <v>Unknown</v>
      </c>
      <c r="J675" s="3">
        <v>849</v>
      </c>
      <c r="K675" s="3"/>
      <c r="L675" s="2" t="s">
        <v>31</v>
      </c>
      <c r="M675" s="4">
        <v>44695</v>
      </c>
      <c r="N675" s="2" t="s">
        <v>23</v>
      </c>
      <c r="O675" s="2">
        <f t="shared" si="43"/>
        <v>0</v>
      </c>
      <c r="P675" s="2" t="s">
        <v>23</v>
      </c>
      <c r="Q675" s="2" t="s">
        <v>23</v>
      </c>
      <c r="R675" s="2" t="s">
        <v>23</v>
      </c>
      <c r="S675" s="2" t="s">
        <v>23</v>
      </c>
      <c r="T675" s="2" t="s">
        <v>214</v>
      </c>
      <c r="U675" s="25" t="str">
        <f t="shared" si="41"/>
        <v/>
      </c>
    </row>
    <row r="676" spans="1:21">
      <c r="A676" s="2" t="s">
        <v>1207</v>
      </c>
      <c r="B676" s="2" t="s">
        <v>346</v>
      </c>
      <c r="C676" s="2" t="s">
        <v>35</v>
      </c>
      <c r="D676" s="2">
        <v>49</v>
      </c>
      <c r="E676" s="2" t="str">
        <f t="shared" si="42"/>
        <v>46-60</v>
      </c>
      <c r="F676" s="2" t="s">
        <v>57</v>
      </c>
      <c r="G676" s="2" t="s">
        <v>47</v>
      </c>
      <c r="H676" s="2">
        <v>47</v>
      </c>
      <c r="I676" s="2" t="str">
        <f t="shared" si="40"/>
        <v>25-48 months</v>
      </c>
      <c r="J676" s="3">
        <v>749</v>
      </c>
      <c r="K676" s="3">
        <v>35203</v>
      </c>
      <c r="L676" s="2" t="s">
        <v>31</v>
      </c>
      <c r="M676" s="4">
        <v>44494</v>
      </c>
      <c r="N676" s="2" t="s">
        <v>37</v>
      </c>
      <c r="O676" s="2" t="str">
        <f t="shared" si="43"/>
        <v/>
      </c>
      <c r="P676" s="2" t="s">
        <v>23</v>
      </c>
      <c r="Q676" s="2" t="s">
        <v>23</v>
      </c>
      <c r="R676" s="2" t="s">
        <v>23</v>
      </c>
      <c r="S676" s="2" t="s">
        <v>23</v>
      </c>
      <c r="T676" s="2" t="s">
        <v>38</v>
      </c>
      <c r="U676" s="25">
        <f t="shared" si="41"/>
        <v>35203.000676000003</v>
      </c>
    </row>
    <row r="677" spans="1:21">
      <c r="A677" s="2" t="s">
        <v>1208</v>
      </c>
      <c r="B677" s="2" t="s">
        <v>440</v>
      </c>
      <c r="C677" s="2" t="s">
        <v>35</v>
      </c>
      <c r="D677" s="2">
        <v>45</v>
      </c>
      <c r="E677" s="2" t="str">
        <f t="shared" si="42"/>
        <v>36-45</v>
      </c>
      <c r="F677" s="2" t="s">
        <v>63</v>
      </c>
      <c r="G677" s="2" t="s">
        <v>21</v>
      </c>
      <c r="H677" s="2">
        <v>5</v>
      </c>
      <c r="I677" s="2" t="str">
        <f t="shared" si="40"/>
        <v>0-6 months</v>
      </c>
      <c r="J677" s="3">
        <v>499</v>
      </c>
      <c r="K677" s="3">
        <v>2495</v>
      </c>
      <c r="L677" s="2" t="s">
        <v>66</v>
      </c>
      <c r="M677" s="4">
        <v>45774</v>
      </c>
      <c r="N677" s="2" t="s">
        <v>32</v>
      </c>
      <c r="O677" s="2">
        <f t="shared" si="43"/>
        <v>1</v>
      </c>
      <c r="P677" s="2" t="s">
        <v>23</v>
      </c>
      <c r="Q677" s="2" t="s">
        <v>23</v>
      </c>
      <c r="R677" s="2" t="s">
        <v>23</v>
      </c>
      <c r="S677" s="2" t="s">
        <v>23</v>
      </c>
      <c r="T677" s="2" t="s">
        <v>23</v>
      </c>
      <c r="U677" s="25">
        <f t="shared" si="41"/>
        <v>2495.000677</v>
      </c>
    </row>
    <row r="678" spans="1:21">
      <c r="A678" s="2" t="s">
        <v>1209</v>
      </c>
      <c r="B678" s="2" t="s">
        <v>1210</v>
      </c>
      <c r="C678" s="2" t="s">
        <v>19</v>
      </c>
      <c r="D678" s="2">
        <v>20</v>
      </c>
      <c r="E678" s="2" t="str">
        <f t="shared" si="42"/>
        <v>18-25</v>
      </c>
      <c r="F678" s="2" t="s">
        <v>60</v>
      </c>
      <c r="G678" s="2" t="s">
        <v>21</v>
      </c>
      <c r="H678" s="2">
        <v>14</v>
      </c>
      <c r="I678" s="2" t="str">
        <f t="shared" si="40"/>
        <v>13-24 months</v>
      </c>
      <c r="J678" s="3">
        <v>1099</v>
      </c>
      <c r="K678" s="3">
        <v>15386</v>
      </c>
      <c r="L678" s="2" t="s">
        <v>22</v>
      </c>
      <c r="M678" s="4">
        <v>45486</v>
      </c>
      <c r="N678" s="2" t="s">
        <v>32</v>
      </c>
      <c r="O678" s="2">
        <f t="shared" si="43"/>
        <v>1</v>
      </c>
      <c r="P678" s="2" t="s">
        <v>23</v>
      </c>
      <c r="Q678" s="2" t="s">
        <v>23</v>
      </c>
      <c r="R678" s="2" t="s">
        <v>23</v>
      </c>
      <c r="S678" s="2" t="s">
        <v>23</v>
      </c>
      <c r="T678" s="2" t="s">
        <v>23</v>
      </c>
      <c r="U678" s="25">
        <f t="shared" si="41"/>
        <v>15386.000678</v>
      </c>
    </row>
    <row r="679" spans="1:21">
      <c r="A679" s="2" t="s">
        <v>1211</v>
      </c>
      <c r="B679" s="2" t="s">
        <v>1212</v>
      </c>
      <c r="C679" s="2" t="s">
        <v>35</v>
      </c>
      <c r="D679" s="2">
        <v>25</v>
      </c>
      <c r="E679" s="2" t="str">
        <f t="shared" si="42"/>
        <v>18-25</v>
      </c>
      <c r="F679" s="2" t="s">
        <v>57</v>
      </c>
      <c r="G679" s="2" t="s">
        <v>27</v>
      </c>
      <c r="H679" s="2">
        <v>23</v>
      </c>
      <c r="I679" s="2" t="str">
        <f t="shared" si="40"/>
        <v>13-24 months</v>
      </c>
      <c r="J679" s="3">
        <v>599</v>
      </c>
      <c r="K679" s="3">
        <v>13777</v>
      </c>
      <c r="L679" s="2" t="s">
        <v>31</v>
      </c>
      <c r="M679" s="4">
        <v>45233</v>
      </c>
      <c r="N679" s="2" t="s">
        <v>23</v>
      </c>
      <c r="O679" s="2">
        <f t="shared" si="43"/>
        <v>0</v>
      </c>
      <c r="P679" s="2" t="s">
        <v>23</v>
      </c>
      <c r="Q679" s="2" t="s">
        <v>23</v>
      </c>
      <c r="R679" s="2" t="s">
        <v>23</v>
      </c>
      <c r="S679" s="2" t="s">
        <v>23</v>
      </c>
      <c r="T679" s="2" t="s">
        <v>23</v>
      </c>
      <c r="U679" s="25">
        <f t="shared" si="41"/>
        <v>13777.000679000001</v>
      </c>
    </row>
    <row r="680" spans="1:21">
      <c r="A680" s="2" t="s">
        <v>1213</v>
      </c>
      <c r="B680" s="2" t="s">
        <v>1214</v>
      </c>
      <c r="C680" s="2" t="s">
        <v>35</v>
      </c>
      <c r="D680" s="2">
        <v>55</v>
      </c>
      <c r="E680" s="2" t="str">
        <f t="shared" si="42"/>
        <v>46-60</v>
      </c>
      <c r="F680" s="2" t="s">
        <v>20</v>
      </c>
      <c r="G680" s="2" t="s">
        <v>27</v>
      </c>
      <c r="H680" s="2">
        <v>34</v>
      </c>
      <c r="I680" s="2" t="str">
        <f t="shared" si="40"/>
        <v>25-48 months</v>
      </c>
      <c r="J680" s="3">
        <v>399</v>
      </c>
      <c r="K680" s="3">
        <v>13566</v>
      </c>
      <c r="L680" s="2" t="s">
        <v>66</v>
      </c>
      <c r="M680" s="4">
        <v>44906</v>
      </c>
      <c r="N680" s="2" t="s">
        <v>23</v>
      </c>
      <c r="O680" s="2">
        <f t="shared" si="43"/>
        <v>0</v>
      </c>
      <c r="P680" s="2" t="s">
        <v>23</v>
      </c>
      <c r="Q680" s="2" t="s">
        <v>23</v>
      </c>
      <c r="R680" s="2" t="s">
        <v>23</v>
      </c>
      <c r="S680" s="2" t="s">
        <v>23</v>
      </c>
      <c r="T680" s="2" t="s">
        <v>23</v>
      </c>
      <c r="U680" s="25">
        <f t="shared" si="41"/>
        <v>13566.000679999999</v>
      </c>
    </row>
    <row r="681" spans="1:21">
      <c r="A681" s="2" t="s">
        <v>1215</v>
      </c>
      <c r="B681" s="2" t="s">
        <v>774</v>
      </c>
      <c r="C681" s="2" t="s">
        <v>19</v>
      </c>
      <c r="D681" s="2">
        <v>24</v>
      </c>
      <c r="E681" s="2" t="str">
        <f t="shared" si="42"/>
        <v>18-25</v>
      </c>
      <c r="F681" s="2" t="s">
        <v>30</v>
      </c>
      <c r="G681" s="2" t="s">
        <v>21</v>
      </c>
      <c r="H681" s="2">
        <v>22</v>
      </c>
      <c r="I681" s="2" t="str">
        <f t="shared" si="40"/>
        <v>13-24 months</v>
      </c>
      <c r="J681" s="3">
        <v>1099</v>
      </c>
      <c r="K681" s="3">
        <v>24178</v>
      </c>
      <c r="L681" s="2" t="s">
        <v>22</v>
      </c>
      <c r="M681" s="4">
        <v>45265</v>
      </c>
      <c r="N681" s="2" t="s">
        <v>23</v>
      </c>
      <c r="O681" s="2">
        <f t="shared" si="43"/>
        <v>0</v>
      </c>
      <c r="P681" s="2" t="s">
        <v>23</v>
      </c>
      <c r="Q681" s="2" t="s">
        <v>23</v>
      </c>
      <c r="R681" s="2" t="s">
        <v>23</v>
      </c>
      <c r="S681" s="2" t="s">
        <v>23</v>
      </c>
      <c r="T681" s="2" t="s">
        <v>23</v>
      </c>
      <c r="U681" s="25">
        <f t="shared" si="41"/>
        <v>24178.000681000001</v>
      </c>
    </row>
    <row r="682" spans="1:21">
      <c r="A682" s="2" t="s">
        <v>1216</v>
      </c>
      <c r="B682" s="2" t="s">
        <v>1217</v>
      </c>
      <c r="C682" s="2" t="s">
        <v>35</v>
      </c>
      <c r="D682" s="2">
        <v>23</v>
      </c>
      <c r="E682" s="2" t="str">
        <f t="shared" si="42"/>
        <v>18-25</v>
      </c>
      <c r="F682" s="2" t="s">
        <v>60</v>
      </c>
      <c r="G682" s="2" t="s">
        <v>47</v>
      </c>
      <c r="H682" s="2">
        <v>59</v>
      </c>
      <c r="I682" s="2" t="str">
        <f t="shared" si="40"/>
        <v>49+ months</v>
      </c>
      <c r="J682" s="3">
        <v>1049</v>
      </c>
      <c r="K682" s="3">
        <v>61891</v>
      </c>
      <c r="L682" s="2" t="s">
        <v>22</v>
      </c>
      <c r="M682" s="4">
        <v>44148</v>
      </c>
      <c r="N682" s="2" t="s">
        <v>23</v>
      </c>
      <c r="O682" s="2">
        <f t="shared" si="43"/>
        <v>0</v>
      </c>
      <c r="P682" s="2" t="s">
        <v>23</v>
      </c>
      <c r="Q682" s="2" t="s">
        <v>23</v>
      </c>
      <c r="R682" s="2" t="s">
        <v>23</v>
      </c>
      <c r="S682" s="2" t="s">
        <v>23</v>
      </c>
      <c r="T682" s="2" t="s">
        <v>23</v>
      </c>
      <c r="U682" s="25">
        <f t="shared" si="41"/>
        <v>61891.000681999998</v>
      </c>
    </row>
    <row r="683" spans="1:21">
      <c r="A683" s="2" t="s">
        <v>1218</v>
      </c>
      <c r="B683" s="2" t="s">
        <v>1219</v>
      </c>
      <c r="C683" s="2" t="s">
        <v>19</v>
      </c>
      <c r="D683" s="2">
        <v>38</v>
      </c>
      <c r="E683" s="2" t="str">
        <f t="shared" si="42"/>
        <v>36-45</v>
      </c>
      <c r="F683" s="2" t="s">
        <v>141</v>
      </c>
      <c r="G683" s="2" t="s">
        <v>47</v>
      </c>
      <c r="H683" s="2">
        <v>17</v>
      </c>
      <c r="I683" s="2" t="str">
        <f t="shared" si="40"/>
        <v>13-24 months</v>
      </c>
      <c r="J683" s="3">
        <v>349</v>
      </c>
      <c r="K683" s="3">
        <v>5933</v>
      </c>
      <c r="L683" s="2" t="s">
        <v>66</v>
      </c>
      <c r="M683" s="4">
        <v>45409</v>
      </c>
      <c r="N683" s="2" t="s">
        <v>23</v>
      </c>
      <c r="O683" s="2">
        <f t="shared" si="43"/>
        <v>0</v>
      </c>
      <c r="P683" s="2" t="s">
        <v>23</v>
      </c>
      <c r="Q683" s="2" t="s">
        <v>23</v>
      </c>
      <c r="R683" s="2" t="s">
        <v>23</v>
      </c>
      <c r="S683" s="2" t="s">
        <v>23</v>
      </c>
      <c r="T683" s="2" t="s">
        <v>23</v>
      </c>
      <c r="U683" s="25">
        <f t="shared" si="41"/>
        <v>5933.0006830000002</v>
      </c>
    </row>
    <row r="684" spans="1:21">
      <c r="A684" s="2" t="s">
        <v>1220</v>
      </c>
      <c r="B684" s="2" t="s">
        <v>890</v>
      </c>
      <c r="C684" s="2" t="s">
        <v>35</v>
      </c>
      <c r="D684" s="2">
        <v>22</v>
      </c>
      <c r="E684" s="2" t="str">
        <f t="shared" si="42"/>
        <v>18-25</v>
      </c>
      <c r="F684" s="2" t="s">
        <v>26</v>
      </c>
      <c r="G684" s="2" t="s">
        <v>47</v>
      </c>
      <c r="H684" s="2">
        <v>52</v>
      </c>
      <c r="I684" s="2" t="str">
        <f t="shared" si="40"/>
        <v>49+ months</v>
      </c>
      <c r="J684" s="3">
        <v>999</v>
      </c>
      <c r="K684" s="3">
        <v>51948</v>
      </c>
      <c r="L684" s="2" t="s">
        <v>22</v>
      </c>
      <c r="M684" s="4">
        <v>44341</v>
      </c>
      <c r="N684" s="2" t="s">
        <v>23</v>
      </c>
      <c r="O684" s="2">
        <f t="shared" si="43"/>
        <v>0</v>
      </c>
      <c r="P684" s="2" t="s">
        <v>23</v>
      </c>
      <c r="Q684" s="2" t="s">
        <v>23</v>
      </c>
      <c r="R684" s="2" t="s">
        <v>23</v>
      </c>
      <c r="S684" s="2" t="s">
        <v>23</v>
      </c>
      <c r="T684" s="2" t="s">
        <v>23</v>
      </c>
      <c r="U684" s="25">
        <f t="shared" si="41"/>
        <v>51948.000683999999</v>
      </c>
    </row>
    <row r="685" spans="1:21">
      <c r="A685" s="2" t="s">
        <v>1221</v>
      </c>
      <c r="B685" s="2" t="s">
        <v>1201</v>
      </c>
      <c r="C685" s="2" t="s">
        <v>37</v>
      </c>
      <c r="D685" s="2">
        <v>72</v>
      </c>
      <c r="E685" s="2" t="str">
        <f t="shared" si="42"/>
        <v>60+</v>
      </c>
      <c r="F685" s="2" t="s">
        <v>20</v>
      </c>
      <c r="G685" s="2" t="s">
        <v>21</v>
      </c>
      <c r="H685" s="2">
        <v>10</v>
      </c>
      <c r="I685" s="2" t="str">
        <f t="shared" si="40"/>
        <v>7-12 months</v>
      </c>
      <c r="J685" s="3">
        <v>1299</v>
      </c>
      <c r="K685" s="3">
        <v>12990</v>
      </c>
      <c r="L685" s="2" t="s">
        <v>22</v>
      </c>
      <c r="M685" s="4">
        <v>45613</v>
      </c>
      <c r="N685" s="2" t="s">
        <v>32</v>
      </c>
      <c r="O685" s="2">
        <f t="shared" si="43"/>
        <v>1</v>
      </c>
      <c r="P685" s="2" t="s">
        <v>23</v>
      </c>
      <c r="Q685" s="2" t="s">
        <v>23</v>
      </c>
      <c r="R685" s="2" t="s">
        <v>23</v>
      </c>
      <c r="S685" s="2" t="s">
        <v>23</v>
      </c>
      <c r="T685" s="2" t="s">
        <v>23</v>
      </c>
      <c r="U685" s="25">
        <f t="shared" si="41"/>
        <v>12990.000685000001</v>
      </c>
    </row>
    <row r="686" spans="1:21">
      <c r="A686" s="2" t="s">
        <v>1222</v>
      </c>
      <c r="B686" s="2" t="s">
        <v>223</v>
      </c>
      <c r="C686" s="2" t="s">
        <v>35</v>
      </c>
      <c r="D686" s="2">
        <v>56</v>
      </c>
      <c r="E686" s="2" t="str">
        <f t="shared" si="42"/>
        <v>46-60</v>
      </c>
      <c r="F686" s="2" t="s">
        <v>63</v>
      </c>
      <c r="G686" s="2" t="s">
        <v>21</v>
      </c>
      <c r="H686" s="2">
        <v>12</v>
      </c>
      <c r="I686" s="2" t="str">
        <f t="shared" si="40"/>
        <v>7-12 months</v>
      </c>
      <c r="J686" s="3">
        <v>799</v>
      </c>
      <c r="K686" s="3">
        <v>9588</v>
      </c>
      <c r="L686" s="2" t="s">
        <v>31</v>
      </c>
      <c r="M686" s="4">
        <v>45556</v>
      </c>
      <c r="N686" s="2" t="s">
        <v>23</v>
      </c>
      <c r="O686" s="2">
        <f t="shared" si="43"/>
        <v>0</v>
      </c>
      <c r="P686" s="2" t="s">
        <v>23</v>
      </c>
      <c r="Q686" s="2" t="s">
        <v>23</v>
      </c>
      <c r="R686" s="2" t="s">
        <v>23</v>
      </c>
      <c r="S686" s="2" t="s">
        <v>23</v>
      </c>
      <c r="T686" s="2" t="s">
        <v>23</v>
      </c>
      <c r="U686" s="25">
        <f t="shared" si="41"/>
        <v>9588.0006859999994</v>
      </c>
    </row>
    <row r="687" spans="1:21">
      <c r="A687" s="2" t="s">
        <v>1223</v>
      </c>
      <c r="B687" s="2" t="s">
        <v>1224</v>
      </c>
      <c r="C687" s="2" t="s">
        <v>35</v>
      </c>
      <c r="D687" s="2">
        <v>56</v>
      </c>
      <c r="E687" s="2" t="str">
        <f t="shared" si="42"/>
        <v>46-60</v>
      </c>
      <c r="F687" s="2" t="s">
        <v>105</v>
      </c>
      <c r="G687" s="2" t="s">
        <v>21</v>
      </c>
      <c r="H687" s="2">
        <v>12</v>
      </c>
      <c r="I687" s="2" t="str">
        <f t="shared" si="40"/>
        <v>7-12 months</v>
      </c>
      <c r="J687" s="3">
        <v>999</v>
      </c>
      <c r="K687" s="3">
        <v>11988</v>
      </c>
      <c r="L687" s="2" t="s">
        <v>22</v>
      </c>
      <c r="M687" s="4">
        <v>45566</v>
      </c>
      <c r="N687" s="2" t="s">
        <v>23</v>
      </c>
      <c r="O687" s="2">
        <f t="shared" si="43"/>
        <v>0</v>
      </c>
      <c r="P687" s="2" t="s">
        <v>23</v>
      </c>
      <c r="Q687" s="2" t="s">
        <v>23</v>
      </c>
      <c r="R687" s="2" t="s">
        <v>23</v>
      </c>
      <c r="S687" s="2" t="s">
        <v>23</v>
      </c>
      <c r="T687" s="2" t="s">
        <v>23</v>
      </c>
      <c r="U687" s="25">
        <f t="shared" si="41"/>
        <v>11988.000687</v>
      </c>
    </row>
    <row r="688" spans="1:21">
      <c r="A688" s="2" t="s">
        <v>1225</v>
      </c>
      <c r="B688" s="2" t="s">
        <v>1025</v>
      </c>
      <c r="C688" s="2" t="s">
        <v>19</v>
      </c>
      <c r="D688" s="2">
        <v>47</v>
      </c>
      <c r="E688" s="2" t="str">
        <f t="shared" si="42"/>
        <v>46-60</v>
      </c>
      <c r="F688" s="2" t="s">
        <v>71</v>
      </c>
      <c r="G688" s="2" t="s">
        <v>21</v>
      </c>
      <c r="H688" s="2">
        <v>5</v>
      </c>
      <c r="I688" s="2" t="str">
        <f t="shared" si="40"/>
        <v>0-6 months</v>
      </c>
      <c r="J688" s="3">
        <v>1149</v>
      </c>
      <c r="K688" s="3">
        <v>5745</v>
      </c>
      <c r="L688" s="2" t="s">
        <v>22</v>
      </c>
      <c r="M688" s="4">
        <v>45764</v>
      </c>
      <c r="N688" s="2" t="s">
        <v>32</v>
      </c>
      <c r="O688" s="2">
        <f t="shared" si="43"/>
        <v>1</v>
      </c>
      <c r="P688" s="2" t="s">
        <v>23</v>
      </c>
      <c r="Q688" s="2" t="s">
        <v>23</v>
      </c>
      <c r="R688" s="2" t="s">
        <v>32</v>
      </c>
      <c r="S688" s="2" t="s">
        <v>23</v>
      </c>
      <c r="T688" s="2" t="s">
        <v>23</v>
      </c>
      <c r="U688" s="25">
        <f t="shared" si="41"/>
        <v>5745.0006880000001</v>
      </c>
    </row>
    <row r="689" spans="1:21">
      <c r="A689" s="2" t="s">
        <v>1226</v>
      </c>
      <c r="B689" s="2" t="s">
        <v>967</v>
      </c>
      <c r="C689" s="2" t="s">
        <v>35</v>
      </c>
      <c r="D689" s="2">
        <v>37</v>
      </c>
      <c r="E689" s="2" t="str">
        <f t="shared" si="42"/>
        <v>36-45</v>
      </c>
      <c r="F689" s="2" t="s">
        <v>63</v>
      </c>
      <c r="G689" s="2" t="s">
        <v>47</v>
      </c>
      <c r="H689" s="2">
        <v>39</v>
      </c>
      <c r="I689" s="2" t="str">
        <f t="shared" si="40"/>
        <v>25-48 months</v>
      </c>
      <c r="J689" s="3">
        <v>999</v>
      </c>
      <c r="K689" s="3">
        <v>38961</v>
      </c>
      <c r="L689" s="2" t="s">
        <v>22</v>
      </c>
      <c r="M689" s="4">
        <v>44740</v>
      </c>
      <c r="N689" s="2" t="s">
        <v>23</v>
      </c>
      <c r="O689" s="2">
        <f t="shared" si="43"/>
        <v>0</v>
      </c>
      <c r="P689" s="2" t="s">
        <v>23</v>
      </c>
      <c r="Q689" s="2" t="s">
        <v>23</v>
      </c>
      <c r="R689" s="2" t="s">
        <v>23</v>
      </c>
      <c r="S689" s="2" t="s">
        <v>23</v>
      </c>
      <c r="T689" s="2" t="s">
        <v>23</v>
      </c>
      <c r="U689" s="25">
        <f t="shared" si="41"/>
        <v>38961.000689</v>
      </c>
    </row>
    <row r="690" spans="1:21">
      <c r="A690" s="2" t="s">
        <v>1227</v>
      </c>
      <c r="B690" s="2" t="s">
        <v>1228</v>
      </c>
      <c r="C690" s="2" t="s">
        <v>19</v>
      </c>
      <c r="D690" s="2">
        <v>20</v>
      </c>
      <c r="E690" s="2" t="str">
        <f t="shared" si="42"/>
        <v>18-25</v>
      </c>
      <c r="F690" s="2" t="s">
        <v>26</v>
      </c>
      <c r="G690" s="2" t="s">
        <v>21</v>
      </c>
      <c r="H690" s="2">
        <v>4</v>
      </c>
      <c r="I690" s="2" t="str">
        <f t="shared" si="40"/>
        <v>0-6 months</v>
      </c>
      <c r="J690" s="3">
        <v>1199</v>
      </c>
      <c r="K690" s="3">
        <v>4796</v>
      </c>
      <c r="L690" s="2" t="s">
        <v>22</v>
      </c>
      <c r="M690" s="4">
        <v>45797</v>
      </c>
      <c r="N690" s="2" t="s">
        <v>23</v>
      </c>
      <c r="O690" s="2">
        <f t="shared" si="43"/>
        <v>0</v>
      </c>
      <c r="P690" s="2" t="s">
        <v>23</v>
      </c>
      <c r="Q690" s="2" t="s">
        <v>23</v>
      </c>
      <c r="R690" s="2" t="s">
        <v>23</v>
      </c>
      <c r="S690" s="2" t="s">
        <v>23</v>
      </c>
      <c r="T690" s="2" t="s">
        <v>23</v>
      </c>
      <c r="U690" s="25">
        <f t="shared" si="41"/>
        <v>4796.0006899999998</v>
      </c>
    </row>
    <row r="691" spans="1:21">
      <c r="A691" s="2" t="s">
        <v>1229</v>
      </c>
      <c r="B691" s="2" t="s">
        <v>1230</v>
      </c>
      <c r="C691" s="2" t="s">
        <v>37</v>
      </c>
      <c r="D691" s="2">
        <v>67</v>
      </c>
      <c r="E691" s="2" t="str">
        <f t="shared" si="42"/>
        <v>60+</v>
      </c>
      <c r="F691" s="2" t="s">
        <v>26</v>
      </c>
      <c r="G691" s="2" t="s">
        <v>21</v>
      </c>
      <c r="H691" s="2">
        <v>15</v>
      </c>
      <c r="I691" s="2" t="str">
        <f t="shared" si="40"/>
        <v>13-24 months</v>
      </c>
      <c r="J691" s="3">
        <v>1299</v>
      </c>
      <c r="K691" s="3">
        <v>19485</v>
      </c>
      <c r="L691" s="2" t="s">
        <v>22</v>
      </c>
      <c r="M691" s="4">
        <v>45477</v>
      </c>
      <c r="N691" s="2" t="s">
        <v>23</v>
      </c>
      <c r="O691" s="2">
        <f t="shared" si="43"/>
        <v>0</v>
      </c>
      <c r="P691" s="2" t="s">
        <v>23</v>
      </c>
      <c r="Q691" s="2" t="s">
        <v>23</v>
      </c>
      <c r="R691" s="2" t="s">
        <v>23</v>
      </c>
      <c r="S691" s="2" t="s">
        <v>23</v>
      </c>
      <c r="T691" s="2" t="s">
        <v>23</v>
      </c>
      <c r="U691" s="25">
        <f t="shared" si="41"/>
        <v>19485.000691000001</v>
      </c>
    </row>
    <row r="692" spans="1:21">
      <c r="A692" s="2" t="s">
        <v>1231</v>
      </c>
      <c r="B692" s="2" t="s">
        <v>37</v>
      </c>
      <c r="C692" s="2" t="s">
        <v>19</v>
      </c>
      <c r="D692" s="2">
        <v>37</v>
      </c>
      <c r="E692" s="2" t="str">
        <f t="shared" si="42"/>
        <v>36-45</v>
      </c>
      <c r="F692" s="2" t="s">
        <v>30</v>
      </c>
      <c r="G692" s="2" t="s">
        <v>27</v>
      </c>
      <c r="H692" s="2">
        <v>29</v>
      </c>
      <c r="I692" s="2" t="str">
        <f t="shared" si="40"/>
        <v>25-48 months</v>
      </c>
      <c r="J692" s="3">
        <v>1299</v>
      </c>
      <c r="K692" s="3">
        <v>37671</v>
      </c>
      <c r="L692" s="2" t="s">
        <v>22</v>
      </c>
      <c r="M692" s="4">
        <v>45029</v>
      </c>
      <c r="N692" s="2" t="s">
        <v>23</v>
      </c>
      <c r="O692" s="2">
        <f t="shared" si="43"/>
        <v>0</v>
      </c>
      <c r="P692" s="2" t="s">
        <v>23</v>
      </c>
      <c r="Q692" s="2" t="s">
        <v>23</v>
      </c>
      <c r="R692" s="2" t="s">
        <v>23</v>
      </c>
      <c r="S692" s="2" t="s">
        <v>23</v>
      </c>
      <c r="T692" s="2" t="s">
        <v>23</v>
      </c>
      <c r="U692" s="25">
        <f t="shared" si="41"/>
        <v>37671.000692000001</v>
      </c>
    </row>
    <row r="693" spans="1:21">
      <c r="A693" s="2" t="s">
        <v>1232</v>
      </c>
      <c r="B693" s="2" t="s">
        <v>620</v>
      </c>
      <c r="C693" s="2" t="s">
        <v>19</v>
      </c>
      <c r="D693" s="2">
        <v>23</v>
      </c>
      <c r="E693" s="2" t="str">
        <f t="shared" si="42"/>
        <v>18-25</v>
      </c>
      <c r="F693" s="2" t="s">
        <v>141</v>
      </c>
      <c r="G693" s="2" t="s">
        <v>47</v>
      </c>
      <c r="H693" s="2">
        <v>14</v>
      </c>
      <c r="I693" s="2" t="str">
        <f t="shared" si="40"/>
        <v>13-24 months</v>
      </c>
      <c r="J693" s="3">
        <v>749</v>
      </c>
      <c r="K693" s="3">
        <v>10486</v>
      </c>
      <c r="L693" s="2" t="s">
        <v>31</v>
      </c>
      <c r="M693" s="4">
        <v>45505</v>
      </c>
      <c r="N693" s="2" t="s">
        <v>32</v>
      </c>
      <c r="O693" s="2">
        <f t="shared" si="43"/>
        <v>1</v>
      </c>
      <c r="P693" s="2" t="s">
        <v>23</v>
      </c>
      <c r="Q693" s="2" t="s">
        <v>23</v>
      </c>
      <c r="R693" s="2" t="s">
        <v>23</v>
      </c>
      <c r="S693" s="2" t="s">
        <v>23</v>
      </c>
      <c r="T693" s="2" t="s">
        <v>23</v>
      </c>
      <c r="U693" s="25">
        <f t="shared" si="41"/>
        <v>10486.000693</v>
      </c>
    </row>
    <row r="694" spans="1:21">
      <c r="A694" s="2" t="s">
        <v>1233</v>
      </c>
      <c r="B694" s="2" t="s">
        <v>289</v>
      </c>
      <c r="C694" s="2" t="s">
        <v>19</v>
      </c>
      <c r="D694" s="2">
        <v>48</v>
      </c>
      <c r="E694" s="2" t="str">
        <f t="shared" si="42"/>
        <v>46-60</v>
      </c>
      <c r="F694" s="2" t="s">
        <v>60</v>
      </c>
      <c r="G694" s="2" t="s">
        <v>27</v>
      </c>
      <c r="H694" s="2">
        <v>39</v>
      </c>
      <c r="I694" s="2" t="str">
        <f t="shared" si="40"/>
        <v>25-48 months</v>
      </c>
      <c r="J694" s="3">
        <v>449</v>
      </c>
      <c r="K694" s="3">
        <v>17511</v>
      </c>
      <c r="L694" s="2" t="s">
        <v>66</v>
      </c>
      <c r="M694" s="4">
        <v>44739</v>
      </c>
      <c r="N694" s="2" t="s">
        <v>23</v>
      </c>
      <c r="O694" s="2">
        <f t="shared" si="43"/>
        <v>0</v>
      </c>
      <c r="P694" s="2" t="s">
        <v>23</v>
      </c>
      <c r="Q694" s="2" t="s">
        <v>23</v>
      </c>
      <c r="R694" s="2" t="s">
        <v>23</v>
      </c>
      <c r="S694" s="2" t="s">
        <v>23</v>
      </c>
      <c r="T694" s="2" t="s">
        <v>23</v>
      </c>
      <c r="U694" s="25">
        <f t="shared" si="41"/>
        <v>17511.000693999998</v>
      </c>
    </row>
    <row r="695" spans="1:21">
      <c r="A695" s="2" t="s">
        <v>1234</v>
      </c>
      <c r="B695" s="2" t="s">
        <v>1235</v>
      </c>
      <c r="C695" s="2" t="s">
        <v>35</v>
      </c>
      <c r="D695" s="2">
        <v>47</v>
      </c>
      <c r="E695" s="2" t="str">
        <f t="shared" si="42"/>
        <v>46-60</v>
      </c>
      <c r="F695" s="2" t="s">
        <v>63</v>
      </c>
      <c r="G695" s="2" t="s">
        <v>21</v>
      </c>
      <c r="H695" s="2">
        <v>1</v>
      </c>
      <c r="I695" s="2" t="str">
        <f t="shared" si="40"/>
        <v>0-6 months</v>
      </c>
      <c r="J695" s="3">
        <v>849</v>
      </c>
      <c r="K695" s="3">
        <v>849</v>
      </c>
      <c r="L695" s="2" t="s">
        <v>31</v>
      </c>
      <c r="M695" s="4">
        <v>45878</v>
      </c>
      <c r="N695" s="2" t="s">
        <v>32</v>
      </c>
      <c r="O695" s="2">
        <f t="shared" si="43"/>
        <v>1</v>
      </c>
      <c r="P695" s="2" t="s">
        <v>32</v>
      </c>
      <c r="Q695" s="2" t="s">
        <v>23</v>
      </c>
      <c r="R695" s="2" t="s">
        <v>23</v>
      </c>
      <c r="S695" s="2" t="s">
        <v>23</v>
      </c>
      <c r="T695" s="2" t="s">
        <v>23</v>
      </c>
      <c r="U695" s="25">
        <f t="shared" si="41"/>
        <v>849.00069499999995</v>
      </c>
    </row>
    <row r="696" spans="1:21">
      <c r="A696" s="2" t="s">
        <v>1236</v>
      </c>
      <c r="B696" s="2" t="s">
        <v>1237</v>
      </c>
      <c r="C696" s="2" t="s">
        <v>19</v>
      </c>
      <c r="D696" s="2">
        <v>71</v>
      </c>
      <c r="E696" s="2" t="str">
        <f t="shared" si="42"/>
        <v>60+</v>
      </c>
      <c r="F696" s="2" t="s">
        <v>71</v>
      </c>
      <c r="G696" s="2" t="s">
        <v>47</v>
      </c>
      <c r="H696" s="2">
        <v>12</v>
      </c>
      <c r="I696" s="2" t="str">
        <f t="shared" si="40"/>
        <v>7-12 months</v>
      </c>
      <c r="J696" s="3">
        <v>1299</v>
      </c>
      <c r="K696" s="3">
        <v>15588</v>
      </c>
      <c r="L696" s="2" t="s">
        <v>22</v>
      </c>
      <c r="M696" s="4">
        <v>45555</v>
      </c>
      <c r="N696" s="2" t="s">
        <v>23</v>
      </c>
      <c r="O696" s="2">
        <f t="shared" si="43"/>
        <v>0</v>
      </c>
      <c r="P696" s="2" t="s">
        <v>23</v>
      </c>
      <c r="Q696" s="2" t="s">
        <v>23</v>
      </c>
      <c r="R696" s="2" t="s">
        <v>23</v>
      </c>
      <c r="S696" s="2" t="s">
        <v>23</v>
      </c>
      <c r="T696" s="2" t="s">
        <v>23</v>
      </c>
      <c r="U696" s="25">
        <f t="shared" si="41"/>
        <v>15588.000695999999</v>
      </c>
    </row>
    <row r="697" spans="1:21">
      <c r="A697" s="2" t="s">
        <v>1238</v>
      </c>
      <c r="B697" s="2" t="s">
        <v>1239</v>
      </c>
      <c r="C697" s="2" t="s">
        <v>19</v>
      </c>
      <c r="D697" s="2">
        <v>75</v>
      </c>
      <c r="E697" s="2" t="str">
        <f t="shared" si="42"/>
        <v>60+</v>
      </c>
      <c r="F697" s="2" t="s">
        <v>63</v>
      </c>
      <c r="G697" s="2" t="s">
        <v>37</v>
      </c>
      <c r="H697" s="2">
        <v>32</v>
      </c>
      <c r="I697" s="2" t="str">
        <f t="shared" si="40"/>
        <v>25-48 months</v>
      </c>
      <c r="J697" s="3">
        <v>899</v>
      </c>
      <c r="K697" s="3">
        <v>28768</v>
      </c>
      <c r="L697" s="2" t="s">
        <v>37</v>
      </c>
      <c r="M697" s="4">
        <v>44962</v>
      </c>
      <c r="N697" s="2" t="s">
        <v>23</v>
      </c>
      <c r="O697" s="2">
        <f t="shared" si="43"/>
        <v>0</v>
      </c>
      <c r="P697" s="2" t="s">
        <v>23</v>
      </c>
      <c r="Q697" s="2" t="s">
        <v>23</v>
      </c>
      <c r="R697" s="2" t="s">
        <v>23</v>
      </c>
      <c r="S697" s="2" t="s">
        <v>23</v>
      </c>
      <c r="T697" s="2" t="s">
        <v>23</v>
      </c>
      <c r="U697" s="25">
        <f t="shared" si="41"/>
        <v>28768.000696999999</v>
      </c>
    </row>
    <row r="698" spans="1:21">
      <c r="A698" s="2" t="s">
        <v>1240</v>
      </c>
      <c r="B698" s="2" t="s">
        <v>1241</v>
      </c>
      <c r="C698" s="2" t="s">
        <v>35</v>
      </c>
      <c r="D698" s="2">
        <v>21</v>
      </c>
      <c r="E698" s="2" t="str">
        <f t="shared" si="42"/>
        <v>18-25</v>
      </c>
      <c r="F698" s="2" t="s">
        <v>30</v>
      </c>
      <c r="G698" s="2" t="s">
        <v>21</v>
      </c>
      <c r="H698" s="2">
        <v>23</v>
      </c>
      <c r="I698" s="2" t="str">
        <f t="shared" si="40"/>
        <v>13-24 months</v>
      </c>
      <c r="J698" s="3">
        <v>1099</v>
      </c>
      <c r="K698" s="3">
        <v>25277</v>
      </c>
      <c r="L698" s="2" t="s">
        <v>22</v>
      </c>
      <c r="M698" s="4">
        <v>45219</v>
      </c>
      <c r="N698" s="2" t="s">
        <v>23</v>
      </c>
      <c r="O698" s="2">
        <f t="shared" si="43"/>
        <v>0</v>
      </c>
      <c r="P698" s="2" t="s">
        <v>23</v>
      </c>
      <c r="Q698" s="2" t="s">
        <v>23</v>
      </c>
      <c r="R698" s="2" t="s">
        <v>23</v>
      </c>
      <c r="S698" s="2" t="s">
        <v>23</v>
      </c>
      <c r="T698" s="2" t="s">
        <v>23</v>
      </c>
      <c r="U698" s="25">
        <f t="shared" si="41"/>
        <v>25277.000698</v>
      </c>
    </row>
    <row r="699" spans="1:21">
      <c r="A699" s="2" t="s">
        <v>1242</v>
      </c>
      <c r="B699" s="2" t="s">
        <v>595</v>
      </c>
      <c r="C699" s="2" t="s">
        <v>35</v>
      </c>
      <c r="D699" s="2">
        <v>43</v>
      </c>
      <c r="E699" s="2" t="str">
        <f t="shared" si="42"/>
        <v>36-45</v>
      </c>
      <c r="F699" s="2" t="s">
        <v>60</v>
      </c>
      <c r="G699" s="2" t="s">
        <v>21</v>
      </c>
      <c r="H699" s="2">
        <v>22</v>
      </c>
      <c r="I699" s="2" t="str">
        <f t="shared" si="40"/>
        <v>13-24 months</v>
      </c>
      <c r="J699" s="3">
        <v>1299</v>
      </c>
      <c r="K699" s="3">
        <v>28578</v>
      </c>
      <c r="L699" s="2" t="s">
        <v>22</v>
      </c>
      <c r="M699" s="4">
        <v>45267</v>
      </c>
      <c r="N699" s="2" t="s">
        <v>32</v>
      </c>
      <c r="O699" s="2">
        <f t="shared" si="43"/>
        <v>1</v>
      </c>
      <c r="P699" s="2" t="s">
        <v>23</v>
      </c>
      <c r="Q699" s="2" t="s">
        <v>23</v>
      </c>
      <c r="R699" s="2" t="s">
        <v>23</v>
      </c>
      <c r="S699" s="2" t="s">
        <v>23</v>
      </c>
      <c r="T699" s="2" t="s">
        <v>23</v>
      </c>
      <c r="U699" s="25">
        <f t="shared" si="41"/>
        <v>28578.000699</v>
      </c>
    </row>
    <row r="700" spans="1:21">
      <c r="A700" s="2" t="s">
        <v>1243</v>
      </c>
      <c r="B700" s="2" t="s">
        <v>387</v>
      </c>
      <c r="C700" s="2" t="s">
        <v>19</v>
      </c>
      <c r="D700" s="2">
        <v>38</v>
      </c>
      <c r="E700" s="2" t="str">
        <f t="shared" si="42"/>
        <v>36-45</v>
      </c>
      <c r="F700" s="2" t="s">
        <v>26</v>
      </c>
      <c r="G700" s="2" t="s">
        <v>21</v>
      </c>
      <c r="H700" s="2">
        <v>14</v>
      </c>
      <c r="I700" s="2" t="str">
        <f t="shared" si="40"/>
        <v>13-24 months</v>
      </c>
      <c r="J700" s="3">
        <v>499</v>
      </c>
      <c r="K700" s="3">
        <v>6986</v>
      </c>
      <c r="L700" s="2" t="s">
        <v>66</v>
      </c>
      <c r="M700" s="4">
        <v>45488</v>
      </c>
      <c r="N700" s="2" t="s">
        <v>37</v>
      </c>
      <c r="O700" s="2" t="str">
        <f t="shared" si="43"/>
        <v/>
      </c>
      <c r="P700" s="2" t="s">
        <v>23</v>
      </c>
      <c r="Q700" s="2" t="s">
        <v>23</v>
      </c>
      <c r="R700" s="2" t="s">
        <v>23</v>
      </c>
      <c r="S700" s="2" t="s">
        <v>23</v>
      </c>
      <c r="T700" s="2" t="s">
        <v>38</v>
      </c>
      <c r="U700" s="25">
        <f t="shared" si="41"/>
        <v>6986.0006999999996</v>
      </c>
    </row>
    <row r="701" spans="1:21">
      <c r="A701" s="2" t="s">
        <v>1244</v>
      </c>
      <c r="B701" s="2" t="s">
        <v>1245</v>
      </c>
      <c r="C701" s="2" t="s">
        <v>35</v>
      </c>
      <c r="D701" s="2">
        <v>45</v>
      </c>
      <c r="E701" s="2" t="str">
        <f t="shared" si="42"/>
        <v>36-45</v>
      </c>
      <c r="F701" s="2" t="s">
        <v>36</v>
      </c>
      <c r="G701" s="2" t="s">
        <v>21</v>
      </c>
      <c r="H701" s="2">
        <v>16</v>
      </c>
      <c r="I701" s="2" t="str">
        <f t="shared" si="40"/>
        <v>13-24 months</v>
      </c>
      <c r="J701" s="3">
        <v>1099</v>
      </c>
      <c r="K701" s="3">
        <v>17584</v>
      </c>
      <c r="L701" s="2" t="s">
        <v>22</v>
      </c>
      <c r="M701" s="4">
        <v>45430</v>
      </c>
      <c r="N701" s="2" t="s">
        <v>23</v>
      </c>
      <c r="O701" s="2">
        <f t="shared" si="43"/>
        <v>0</v>
      </c>
      <c r="P701" s="2" t="s">
        <v>23</v>
      </c>
      <c r="Q701" s="2" t="s">
        <v>23</v>
      </c>
      <c r="R701" s="2" t="s">
        <v>23</v>
      </c>
      <c r="S701" s="2" t="s">
        <v>23</v>
      </c>
      <c r="T701" s="2" t="s">
        <v>23</v>
      </c>
      <c r="U701" s="25">
        <f t="shared" si="41"/>
        <v>17584.000701000001</v>
      </c>
    </row>
    <row r="702" spans="1:21">
      <c r="A702" s="2" t="s">
        <v>1246</v>
      </c>
      <c r="B702" s="2" t="s">
        <v>1247</v>
      </c>
      <c r="C702" s="2" t="s">
        <v>35</v>
      </c>
      <c r="D702" s="2">
        <v>60</v>
      </c>
      <c r="E702" s="2" t="str">
        <f t="shared" si="42"/>
        <v>46-60</v>
      </c>
      <c r="F702" s="2" t="s">
        <v>60</v>
      </c>
      <c r="G702" s="2" t="s">
        <v>21</v>
      </c>
      <c r="H702" s="2">
        <v>23</v>
      </c>
      <c r="I702" s="2" t="str">
        <f t="shared" si="40"/>
        <v>13-24 months</v>
      </c>
      <c r="J702" s="3">
        <v>749</v>
      </c>
      <c r="K702" s="3">
        <v>17227</v>
      </c>
      <c r="L702" s="2" t="s">
        <v>31</v>
      </c>
      <c r="M702" s="4"/>
      <c r="N702" s="2" t="s">
        <v>23</v>
      </c>
      <c r="O702" s="2">
        <f t="shared" si="43"/>
        <v>0</v>
      </c>
      <c r="P702" s="2" t="s">
        <v>23</v>
      </c>
      <c r="Q702" s="2" t="s">
        <v>23</v>
      </c>
      <c r="R702" s="2" t="s">
        <v>23</v>
      </c>
      <c r="S702" s="2" t="s">
        <v>23</v>
      </c>
      <c r="T702" s="2" t="s">
        <v>54</v>
      </c>
      <c r="U702" s="25">
        <f t="shared" si="41"/>
        <v>17227.000702000001</v>
      </c>
    </row>
    <row r="703" spans="1:21">
      <c r="A703" s="2" t="s">
        <v>1248</v>
      </c>
      <c r="B703" s="2" t="s">
        <v>1249</v>
      </c>
      <c r="C703" s="2" t="s">
        <v>19</v>
      </c>
      <c r="D703" s="2">
        <v>36</v>
      </c>
      <c r="E703" s="2" t="str">
        <f t="shared" si="42"/>
        <v>36-45</v>
      </c>
      <c r="F703" s="2" t="s">
        <v>141</v>
      </c>
      <c r="G703" s="2" t="s">
        <v>27</v>
      </c>
      <c r="H703" s="2">
        <v>9</v>
      </c>
      <c r="I703" s="2" t="str">
        <f t="shared" si="40"/>
        <v>7-12 months</v>
      </c>
      <c r="J703" s="3">
        <v>999</v>
      </c>
      <c r="K703" s="3">
        <v>8991</v>
      </c>
      <c r="L703" s="2" t="s">
        <v>22</v>
      </c>
      <c r="M703" s="4">
        <v>45655</v>
      </c>
      <c r="N703" s="2" t="s">
        <v>23</v>
      </c>
      <c r="O703" s="2">
        <f t="shared" si="43"/>
        <v>0</v>
      </c>
      <c r="P703" s="2" t="s">
        <v>23</v>
      </c>
      <c r="Q703" s="2" t="s">
        <v>23</v>
      </c>
      <c r="R703" s="2" t="s">
        <v>23</v>
      </c>
      <c r="S703" s="2" t="s">
        <v>23</v>
      </c>
      <c r="T703" s="2" t="s">
        <v>23</v>
      </c>
      <c r="U703" s="25">
        <f t="shared" si="41"/>
        <v>8991.0007029999997</v>
      </c>
    </row>
    <row r="704" spans="1:21">
      <c r="A704" s="2" t="s">
        <v>1250</v>
      </c>
      <c r="B704" s="2" t="s">
        <v>1251</v>
      </c>
      <c r="C704" s="2" t="s">
        <v>35</v>
      </c>
      <c r="D704" s="2">
        <v>33</v>
      </c>
      <c r="E704" s="2" t="str">
        <f t="shared" si="42"/>
        <v>26-35</v>
      </c>
      <c r="F704" s="2" t="s">
        <v>20</v>
      </c>
      <c r="G704" s="2" t="s">
        <v>27</v>
      </c>
      <c r="H704" s="2">
        <v>23</v>
      </c>
      <c r="I704" s="2" t="str">
        <f t="shared" si="40"/>
        <v>13-24 months</v>
      </c>
      <c r="J704" s="3">
        <v>399</v>
      </c>
      <c r="K704" s="3">
        <v>9177</v>
      </c>
      <c r="L704" s="2" t="s">
        <v>66</v>
      </c>
      <c r="M704" s="4">
        <v>45211</v>
      </c>
      <c r="N704" s="2" t="s">
        <v>23</v>
      </c>
      <c r="O704" s="2">
        <f t="shared" si="43"/>
        <v>0</v>
      </c>
      <c r="P704" s="2" t="s">
        <v>23</v>
      </c>
      <c r="Q704" s="2" t="s">
        <v>23</v>
      </c>
      <c r="R704" s="2" t="s">
        <v>23</v>
      </c>
      <c r="S704" s="2" t="s">
        <v>23</v>
      </c>
      <c r="T704" s="2" t="s">
        <v>23</v>
      </c>
      <c r="U704" s="25">
        <f t="shared" si="41"/>
        <v>9177.000704</v>
      </c>
    </row>
    <row r="705" spans="1:21">
      <c r="A705" s="2" t="s">
        <v>1252</v>
      </c>
      <c r="B705" s="2" t="s">
        <v>473</v>
      </c>
      <c r="C705" s="2" t="s">
        <v>19</v>
      </c>
      <c r="D705" s="2">
        <v>45</v>
      </c>
      <c r="E705" s="2" t="str">
        <f t="shared" si="42"/>
        <v>36-45</v>
      </c>
      <c r="F705" s="2" t="s">
        <v>41</v>
      </c>
      <c r="G705" s="2" t="s">
        <v>27</v>
      </c>
      <c r="H705" s="2">
        <v>15</v>
      </c>
      <c r="I705" s="2" t="str">
        <f t="shared" si="40"/>
        <v>13-24 months</v>
      </c>
      <c r="J705" s="3">
        <v>749</v>
      </c>
      <c r="K705" s="3">
        <v>11235</v>
      </c>
      <c r="L705" s="2" t="s">
        <v>31</v>
      </c>
      <c r="M705" s="4">
        <v>45454</v>
      </c>
      <c r="N705" s="2" t="s">
        <v>23</v>
      </c>
      <c r="O705" s="2">
        <f t="shared" si="43"/>
        <v>0</v>
      </c>
      <c r="P705" s="2" t="s">
        <v>23</v>
      </c>
      <c r="Q705" s="2" t="s">
        <v>23</v>
      </c>
      <c r="R705" s="2" t="s">
        <v>23</v>
      </c>
      <c r="S705" s="2" t="s">
        <v>23</v>
      </c>
      <c r="T705" s="2" t="s">
        <v>23</v>
      </c>
      <c r="U705" s="25">
        <f t="shared" si="41"/>
        <v>11235.000705</v>
      </c>
    </row>
    <row r="706" spans="1:21">
      <c r="A706" s="2" t="s">
        <v>1253</v>
      </c>
      <c r="B706" s="2" t="s">
        <v>1254</v>
      </c>
      <c r="C706" s="2" t="s">
        <v>19</v>
      </c>
      <c r="D706" s="2">
        <v>75</v>
      </c>
      <c r="E706" s="2" t="str">
        <f t="shared" si="42"/>
        <v>60+</v>
      </c>
      <c r="F706" s="2" t="s">
        <v>63</v>
      </c>
      <c r="G706" s="2" t="s">
        <v>47</v>
      </c>
      <c r="H706" s="2">
        <v>14</v>
      </c>
      <c r="I706" s="2" t="str">
        <f t="shared" ref="I706:I769" si="44">IF(H706="","Unknown",IF(H706&lt;=6,"0-6 months",IF(H706&lt;=12,"7-12 months",IF(H706&lt;=24,"13-24 months",IF(H706&lt;=48,"25-48 months","49+ months")))))</f>
        <v>13-24 months</v>
      </c>
      <c r="J706" s="3">
        <v>499</v>
      </c>
      <c r="K706" s="3">
        <v>6986</v>
      </c>
      <c r="L706" s="2" t="s">
        <v>66</v>
      </c>
      <c r="M706" s="4">
        <v>45482</v>
      </c>
      <c r="N706" s="2" t="s">
        <v>23</v>
      </c>
      <c r="O706" s="2">
        <f t="shared" si="43"/>
        <v>0</v>
      </c>
      <c r="P706" s="2" t="s">
        <v>23</v>
      </c>
      <c r="Q706" s="2" t="s">
        <v>23</v>
      </c>
      <c r="R706" s="2" t="s">
        <v>23</v>
      </c>
      <c r="S706" s="2" t="s">
        <v>23</v>
      </c>
      <c r="T706" s="2" t="s">
        <v>23</v>
      </c>
      <c r="U706" s="25">
        <f t="shared" ref="U706:U769" si="45">IF(K706="","",K706+ROW()/1000000)</f>
        <v>6986.0007059999998</v>
      </c>
    </row>
    <row r="707" spans="1:21">
      <c r="A707" s="2" t="s">
        <v>1255</v>
      </c>
      <c r="B707" s="2" t="s">
        <v>116</v>
      </c>
      <c r="C707" s="2" t="s">
        <v>19</v>
      </c>
      <c r="D707" s="2">
        <v>57</v>
      </c>
      <c r="E707" s="2" t="str">
        <f t="shared" ref="E707:E770" si="46">IF(D707&lt;=25,"18-25",IF(D707&lt;=35,"26-35",IF(D707&lt;=45,"36-45",IF(D707&lt;=60,"46-60","60+"))))</f>
        <v>46-60</v>
      </c>
      <c r="F707" s="2" t="s">
        <v>110</v>
      </c>
      <c r="G707" s="2" t="s">
        <v>47</v>
      </c>
      <c r="H707" s="2">
        <v>72</v>
      </c>
      <c r="I707" s="2" t="str">
        <f t="shared" si="44"/>
        <v>49+ months</v>
      </c>
      <c r="J707" s="3">
        <v>599</v>
      </c>
      <c r="K707" s="3">
        <v>43128</v>
      </c>
      <c r="L707" s="2" t="s">
        <v>31</v>
      </c>
      <c r="M707" s="4">
        <v>43765</v>
      </c>
      <c r="N707" s="2" t="s">
        <v>23</v>
      </c>
      <c r="O707" s="2">
        <f t="shared" ref="O707:O770" si="47">IF(N707="Yes",1,IF(N707="No",0,""))</f>
        <v>0</v>
      </c>
      <c r="P707" s="2" t="s">
        <v>23</v>
      </c>
      <c r="Q707" s="2" t="s">
        <v>23</v>
      </c>
      <c r="R707" s="2" t="s">
        <v>23</v>
      </c>
      <c r="S707" s="2" t="s">
        <v>23</v>
      </c>
      <c r="T707" s="2" t="s">
        <v>23</v>
      </c>
      <c r="U707" s="25">
        <f t="shared" si="45"/>
        <v>43128.000706999999</v>
      </c>
    </row>
    <row r="708" spans="1:21">
      <c r="A708" s="2" t="s">
        <v>1256</v>
      </c>
      <c r="B708" s="2" t="s">
        <v>1119</v>
      </c>
      <c r="C708" s="2" t="s">
        <v>19</v>
      </c>
      <c r="D708" s="2">
        <v>64</v>
      </c>
      <c r="E708" s="2" t="str">
        <f t="shared" si="46"/>
        <v>60+</v>
      </c>
      <c r="F708" s="2" t="s">
        <v>46</v>
      </c>
      <c r="G708" s="2" t="s">
        <v>27</v>
      </c>
      <c r="H708" s="2">
        <v>32</v>
      </c>
      <c r="I708" s="2" t="str">
        <f t="shared" si="44"/>
        <v>25-48 months</v>
      </c>
      <c r="J708" s="3">
        <v>1299</v>
      </c>
      <c r="K708" s="3">
        <v>41568</v>
      </c>
      <c r="L708" s="2" t="s">
        <v>22</v>
      </c>
      <c r="M708" s="4">
        <v>44957</v>
      </c>
      <c r="N708" s="2" t="s">
        <v>32</v>
      </c>
      <c r="O708" s="2">
        <f t="shared" si="47"/>
        <v>1</v>
      </c>
      <c r="P708" s="2" t="s">
        <v>23</v>
      </c>
      <c r="Q708" s="2" t="s">
        <v>23</v>
      </c>
      <c r="R708" s="2" t="s">
        <v>23</v>
      </c>
      <c r="S708" s="2" t="s">
        <v>23</v>
      </c>
      <c r="T708" s="2" t="s">
        <v>23</v>
      </c>
      <c r="U708" s="25">
        <f t="shared" si="45"/>
        <v>41568.000708</v>
      </c>
    </row>
    <row r="709" spans="1:21">
      <c r="A709" s="2" t="s">
        <v>1257</v>
      </c>
      <c r="B709" s="2" t="s">
        <v>1258</v>
      </c>
      <c r="C709" s="2" t="s">
        <v>35</v>
      </c>
      <c r="D709" s="2">
        <v>72</v>
      </c>
      <c r="E709" s="2" t="str">
        <f t="shared" si="46"/>
        <v>60+</v>
      </c>
      <c r="F709" s="2" t="s">
        <v>20</v>
      </c>
      <c r="G709" s="2" t="s">
        <v>21</v>
      </c>
      <c r="H709" s="2">
        <v>1</v>
      </c>
      <c r="I709" s="2" t="str">
        <f t="shared" si="44"/>
        <v>0-6 months</v>
      </c>
      <c r="J709" s="3">
        <v>1299</v>
      </c>
      <c r="K709" s="3">
        <v>1299</v>
      </c>
      <c r="L709" s="2" t="s">
        <v>22</v>
      </c>
      <c r="M709" s="4">
        <v>45882</v>
      </c>
      <c r="N709" s="2" t="s">
        <v>32</v>
      </c>
      <c r="O709" s="2">
        <f t="shared" si="47"/>
        <v>1</v>
      </c>
      <c r="P709" s="2" t="s">
        <v>23</v>
      </c>
      <c r="Q709" s="2" t="s">
        <v>23</v>
      </c>
      <c r="R709" s="2" t="s">
        <v>23</v>
      </c>
      <c r="S709" s="2" t="s">
        <v>23</v>
      </c>
      <c r="T709" s="2" t="s">
        <v>23</v>
      </c>
      <c r="U709" s="25">
        <f t="shared" si="45"/>
        <v>1299.0007089999999</v>
      </c>
    </row>
    <row r="710" spans="1:21">
      <c r="A710" s="2" t="s">
        <v>1259</v>
      </c>
      <c r="B710" s="2" t="s">
        <v>477</v>
      </c>
      <c r="C710" s="2" t="s">
        <v>19</v>
      </c>
      <c r="D710" s="2">
        <v>41</v>
      </c>
      <c r="E710" s="2" t="str">
        <f t="shared" si="46"/>
        <v>36-45</v>
      </c>
      <c r="F710" s="2" t="s">
        <v>37</v>
      </c>
      <c r="G710" s="2" t="s">
        <v>27</v>
      </c>
      <c r="H710" s="2">
        <v>16</v>
      </c>
      <c r="I710" s="2" t="str">
        <f t="shared" si="44"/>
        <v>13-24 months</v>
      </c>
      <c r="J710" s="3">
        <v>1299</v>
      </c>
      <c r="K710" s="3">
        <v>20784</v>
      </c>
      <c r="L710" s="2" t="s">
        <v>22</v>
      </c>
      <c r="M710" s="4">
        <v>45441</v>
      </c>
      <c r="N710" s="2" t="s">
        <v>23</v>
      </c>
      <c r="O710" s="2">
        <f t="shared" si="47"/>
        <v>0</v>
      </c>
      <c r="P710" s="2" t="s">
        <v>23</v>
      </c>
      <c r="Q710" s="2" t="s">
        <v>23</v>
      </c>
      <c r="R710" s="2" t="s">
        <v>23</v>
      </c>
      <c r="S710" s="2" t="s">
        <v>23</v>
      </c>
      <c r="T710" s="2" t="s">
        <v>23</v>
      </c>
      <c r="U710" s="25">
        <f t="shared" si="45"/>
        <v>20784.00071</v>
      </c>
    </row>
    <row r="711" spans="1:21">
      <c r="A711" s="2" t="s">
        <v>1260</v>
      </c>
      <c r="B711" s="2" t="s">
        <v>1261</v>
      </c>
      <c r="C711" s="2" t="s">
        <v>19</v>
      </c>
      <c r="D711" s="2">
        <v>44</v>
      </c>
      <c r="E711" s="2" t="str">
        <f t="shared" si="46"/>
        <v>36-45</v>
      </c>
      <c r="F711" s="2" t="s">
        <v>60</v>
      </c>
      <c r="G711" s="2" t="s">
        <v>47</v>
      </c>
      <c r="H711" s="2">
        <v>47</v>
      </c>
      <c r="I711" s="2" t="str">
        <f t="shared" si="44"/>
        <v>25-48 months</v>
      </c>
      <c r="J711" s="3">
        <v>1099</v>
      </c>
      <c r="K711" s="3">
        <v>51653</v>
      </c>
      <c r="L711" s="2" t="s">
        <v>22</v>
      </c>
      <c r="M711" s="4">
        <v>44496</v>
      </c>
      <c r="N711" s="2" t="s">
        <v>23</v>
      </c>
      <c r="O711" s="2">
        <f t="shared" si="47"/>
        <v>0</v>
      </c>
      <c r="P711" s="2" t="s">
        <v>23</v>
      </c>
      <c r="Q711" s="2" t="s">
        <v>23</v>
      </c>
      <c r="R711" s="2" t="s">
        <v>23</v>
      </c>
      <c r="S711" s="2" t="s">
        <v>23</v>
      </c>
      <c r="T711" s="2" t="s">
        <v>23</v>
      </c>
      <c r="U711" s="25">
        <f t="shared" si="45"/>
        <v>51653.000711000001</v>
      </c>
    </row>
    <row r="712" spans="1:21">
      <c r="A712" s="2" t="s">
        <v>1262</v>
      </c>
      <c r="B712" s="2" t="s">
        <v>37</v>
      </c>
      <c r="C712" s="2" t="s">
        <v>19</v>
      </c>
      <c r="D712" s="2">
        <v>38</v>
      </c>
      <c r="E712" s="2" t="str">
        <f t="shared" si="46"/>
        <v>36-45</v>
      </c>
      <c r="F712" s="2" t="s">
        <v>105</v>
      </c>
      <c r="G712" s="2" t="s">
        <v>47</v>
      </c>
      <c r="H712" s="2">
        <v>8</v>
      </c>
      <c r="I712" s="2" t="str">
        <f t="shared" si="44"/>
        <v>7-12 months</v>
      </c>
      <c r="J712" s="3">
        <v>749</v>
      </c>
      <c r="K712" s="3">
        <v>5992</v>
      </c>
      <c r="L712" s="2" t="s">
        <v>31</v>
      </c>
      <c r="M712" s="4">
        <v>45668</v>
      </c>
      <c r="N712" s="2" t="s">
        <v>23</v>
      </c>
      <c r="O712" s="2">
        <f t="shared" si="47"/>
        <v>0</v>
      </c>
      <c r="P712" s="2" t="s">
        <v>23</v>
      </c>
      <c r="Q712" s="2" t="s">
        <v>23</v>
      </c>
      <c r="R712" s="2" t="s">
        <v>23</v>
      </c>
      <c r="S712" s="2" t="s">
        <v>23</v>
      </c>
      <c r="T712" s="2" t="s">
        <v>23</v>
      </c>
      <c r="U712" s="25">
        <f t="shared" si="45"/>
        <v>5992.000712</v>
      </c>
    </row>
    <row r="713" spans="1:21">
      <c r="A713" s="2" t="s">
        <v>1263</v>
      </c>
      <c r="B713" s="2" t="s">
        <v>745</v>
      </c>
      <c r="C713" s="2" t="s">
        <v>19</v>
      </c>
      <c r="D713" s="2">
        <v>58</v>
      </c>
      <c r="E713" s="2" t="str">
        <f t="shared" si="46"/>
        <v>46-60</v>
      </c>
      <c r="F713" s="2" t="s">
        <v>141</v>
      </c>
      <c r="G713" s="2" t="s">
        <v>27</v>
      </c>
      <c r="H713" s="2">
        <v>19</v>
      </c>
      <c r="I713" s="2" t="str">
        <f t="shared" si="44"/>
        <v>13-24 months</v>
      </c>
      <c r="J713" s="3">
        <v>549</v>
      </c>
      <c r="K713" s="3">
        <v>10431</v>
      </c>
      <c r="L713" s="2" t="s">
        <v>66</v>
      </c>
      <c r="M713" s="4"/>
      <c r="N713" s="2" t="s">
        <v>23</v>
      </c>
      <c r="O713" s="2">
        <f t="shared" si="47"/>
        <v>0</v>
      </c>
      <c r="P713" s="2" t="s">
        <v>23</v>
      </c>
      <c r="Q713" s="2" t="s">
        <v>23</v>
      </c>
      <c r="R713" s="2" t="s">
        <v>23</v>
      </c>
      <c r="S713" s="2" t="s">
        <v>23</v>
      </c>
      <c r="T713" s="2" t="s">
        <v>54</v>
      </c>
      <c r="U713" s="25">
        <f t="shared" si="45"/>
        <v>10431.000712999999</v>
      </c>
    </row>
    <row r="714" spans="1:21">
      <c r="A714" s="2" t="s">
        <v>1264</v>
      </c>
      <c r="B714" s="2" t="s">
        <v>269</v>
      </c>
      <c r="C714" s="2" t="s">
        <v>35</v>
      </c>
      <c r="D714" s="2">
        <v>47</v>
      </c>
      <c r="E714" s="2" t="str">
        <f t="shared" si="46"/>
        <v>46-60</v>
      </c>
      <c r="F714" s="2" t="s">
        <v>46</v>
      </c>
      <c r="G714" s="2" t="s">
        <v>47</v>
      </c>
      <c r="H714" s="2">
        <v>19</v>
      </c>
      <c r="I714" s="2" t="str">
        <f t="shared" si="44"/>
        <v>13-24 months</v>
      </c>
      <c r="J714" s="3">
        <v>1099</v>
      </c>
      <c r="K714" s="3">
        <v>20881</v>
      </c>
      <c r="L714" s="2" t="s">
        <v>22</v>
      </c>
      <c r="M714" s="4">
        <v>45330</v>
      </c>
      <c r="N714" s="2" t="s">
        <v>23</v>
      </c>
      <c r="O714" s="2">
        <f t="shared" si="47"/>
        <v>0</v>
      </c>
      <c r="P714" s="2" t="s">
        <v>32</v>
      </c>
      <c r="Q714" s="2" t="s">
        <v>23</v>
      </c>
      <c r="R714" s="2" t="s">
        <v>23</v>
      </c>
      <c r="S714" s="2" t="s">
        <v>23</v>
      </c>
      <c r="T714" s="2" t="s">
        <v>23</v>
      </c>
      <c r="U714" s="25">
        <f t="shared" si="45"/>
        <v>20881.000714000002</v>
      </c>
    </row>
    <row r="715" spans="1:21">
      <c r="A715" s="2" t="s">
        <v>1265</v>
      </c>
      <c r="B715" s="2" t="s">
        <v>114</v>
      </c>
      <c r="C715" s="2" t="s">
        <v>35</v>
      </c>
      <c r="D715" s="2">
        <v>43</v>
      </c>
      <c r="E715" s="2" t="str">
        <f t="shared" si="46"/>
        <v>36-45</v>
      </c>
      <c r="F715" s="2" t="s">
        <v>110</v>
      </c>
      <c r="G715" s="2" t="s">
        <v>21</v>
      </c>
      <c r="H715" s="2">
        <v>2</v>
      </c>
      <c r="I715" s="2" t="str">
        <f t="shared" si="44"/>
        <v>0-6 months</v>
      </c>
      <c r="J715" s="3">
        <v>799</v>
      </c>
      <c r="K715" s="3">
        <v>1598</v>
      </c>
      <c r="L715" s="2" t="s">
        <v>31</v>
      </c>
      <c r="M715" s="4">
        <v>45845</v>
      </c>
      <c r="N715" s="2" t="s">
        <v>23</v>
      </c>
      <c r="O715" s="2">
        <f t="shared" si="47"/>
        <v>0</v>
      </c>
      <c r="P715" s="2" t="s">
        <v>23</v>
      </c>
      <c r="Q715" s="2" t="s">
        <v>23</v>
      </c>
      <c r="R715" s="2" t="s">
        <v>23</v>
      </c>
      <c r="S715" s="2" t="s">
        <v>23</v>
      </c>
      <c r="T715" s="2" t="s">
        <v>23</v>
      </c>
      <c r="U715" s="25">
        <f t="shared" si="45"/>
        <v>1598.0007149999999</v>
      </c>
    </row>
    <row r="716" spans="1:21">
      <c r="A716" s="2" t="s">
        <v>1266</v>
      </c>
      <c r="B716" s="2" t="s">
        <v>328</v>
      </c>
      <c r="C716" s="2" t="s">
        <v>19</v>
      </c>
      <c r="D716" s="2">
        <v>36</v>
      </c>
      <c r="E716" s="2" t="str">
        <f t="shared" si="46"/>
        <v>36-45</v>
      </c>
      <c r="F716" s="2" t="s">
        <v>20</v>
      </c>
      <c r="G716" s="2" t="s">
        <v>21</v>
      </c>
      <c r="H716" s="2">
        <v>17</v>
      </c>
      <c r="I716" s="2" t="str">
        <f t="shared" si="44"/>
        <v>13-24 months</v>
      </c>
      <c r="J716" s="3">
        <v>1299</v>
      </c>
      <c r="K716" s="3">
        <v>22083</v>
      </c>
      <c r="L716" s="2" t="s">
        <v>37</v>
      </c>
      <c r="M716" s="4">
        <v>45390</v>
      </c>
      <c r="N716" s="2" t="s">
        <v>32</v>
      </c>
      <c r="O716" s="2">
        <f t="shared" si="47"/>
        <v>1</v>
      </c>
      <c r="P716" s="2" t="s">
        <v>23</v>
      </c>
      <c r="Q716" s="2" t="s">
        <v>23</v>
      </c>
      <c r="R716" s="2" t="s">
        <v>23</v>
      </c>
      <c r="S716" s="2" t="s">
        <v>23</v>
      </c>
      <c r="T716" s="2" t="s">
        <v>23</v>
      </c>
      <c r="U716" s="25">
        <f t="shared" si="45"/>
        <v>22083.000715999999</v>
      </c>
    </row>
    <row r="717" spans="1:21">
      <c r="A717" s="2" t="s">
        <v>1267</v>
      </c>
      <c r="B717" s="2" t="s">
        <v>397</v>
      </c>
      <c r="C717" s="2" t="s">
        <v>35</v>
      </c>
      <c r="D717" s="2">
        <v>64</v>
      </c>
      <c r="E717" s="2" t="str">
        <f t="shared" si="46"/>
        <v>60+</v>
      </c>
      <c r="F717" s="2" t="s">
        <v>105</v>
      </c>
      <c r="G717" s="2" t="s">
        <v>47</v>
      </c>
      <c r="H717" s="2">
        <v>8</v>
      </c>
      <c r="I717" s="2" t="str">
        <f t="shared" si="44"/>
        <v>7-12 months</v>
      </c>
      <c r="J717" s="3">
        <v>899</v>
      </c>
      <c r="K717" s="3">
        <v>7192</v>
      </c>
      <c r="L717" s="2" t="s">
        <v>31</v>
      </c>
      <c r="M717" s="4">
        <v>45677</v>
      </c>
      <c r="N717" s="2" t="s">
        <v>23</v>
      </c>
      <c r="O717" s="2">
        <f t="shared" si="47"/>
        <v>0</v>
      </c>
      <c r="P717" s="2" t="s">
        <v>23</v>
      </c>
      <c r="Q717" s="2" t="s">
        <v>23</v>
      </c>
      <c r="R717" s="2" t="s">
        <v>23</v>
      </c>
      <c r="S717" s="2" t="s">
        <v>23</v>
      </c>
      <c r="T717" s="2" t="s">
        <v>23</v>
      </c>
      <c r="U717" s="25">
        <f t="shared" si="45"/>
        <v>7192.0007169999999</v>
      </c>
    </row>
    <row r="718" spans="1:21">
      <c r="A718" s="2" t="s">
        <v>1268</v>
      </c>
      <c r="B718" s="2" t="s">
        <v>1060</v>
      </c>
      <c r="C718" s="2" t="s">
        <v>19</v>
      </c>
      <c r="D718" s="2">
        <v>25</v>
      </c>
      <c r="E718" s="2" t="str">
        <f t="shared" si="46"/>
        <v>18-25</v>
      </c>
      <c r="F718" s="2" t="s">
        <v>60</v>
      </c>
      <c r="G718" s="2" t="s">
        <v>21</v>
      </c>
      <c r="H718" s="2">
        <v>15</v>
      </c>
      <c r="I718" s="2" t="str">
        <f t="shared" si="44"/>
        <v>13-24 months</v>
      </c>
      <c r="J718" s="3">
        <v>999</v>
      </c>
      <c r="K718" s="3">
        <v>14985</v>
      </c>
      <c r="L718" s="2" t="s">
        <v>22</v>
      </c>
      <c r="M718" s="4">
        <v>45450</v>
      </c>
      <c r="N718" s="2" t="s">
        <v>23</v>
      </c>
      <c r="O718" s="2">
        <f t="shared" si="47"/>
        <v>0</v>
      </c>
      <c r="P718" s="2" t="s">
        <v>23</v>
      </c>
      <c r="Q718" s="2" t="s">
        <v>23</v>
      </c>
      <c r="R718" s="2" t="s">
        <v>23</v>
      </c>
      <c r="S718" s="2" t="s">
        <v>23</v>
      </c>
      <c r="T718" s="2" t="s">
        <v>23</v>
      </c>
      <c r="U718" s="25">
        <f t="shared" si="45"/>
        <v>14985.000717999999</v>
      </c>
    </row>
    <row r="719" spans="1:21">
      <c r="A719" s="2" t="s">
        <v>1269</v>
      </c>
      <c r="B719" s="2" t="s">
        <v>845</v>
      </c>
      <c r="C719" s="2" t="s">
        <v>19</v>
      </c>
      <c r="D719" s="2">
        <v>36</v>
      </c>
      <c r="E719" s="2" t="str">
        <f t="shared" si="46"/>
        <v>36-45</v>
      </c>
      <c r="F719" s="2" t="s">
        <v>71</v>
      </c>
      <c r="G719" s="2" t="s">
        <v>27</v>
      </c>
      <c r="H719" s="2">
        <v>9</v>
      </c>
      <c r="I719" s="2" t="str">
        <f t="shared" si="44"/>
        <v>7-12 months</v>
      </c>
      <c r="J719" s="3">
        <v>1099</v>
      </c>
      <c r="K719" s="3">
        <v>9891</v>
      </c>
      <c r="L719" s="2" t="s">
        <v>22</v>
      </c>
      <c r="M719" s="4">
        <v>45655</v>
      </c>
      <c r="N719" s="2" t="s">
        <v>23</v>
      </c>
      <c r="O719" s="2">
        <f t="shared" si="47"/>
        <v>0</v>
      </c>
      <c r="P719" s="2" t="s">
        <v>23</v>
      </c>
      <c r="Q719" s="2" t="s">
        <v>23</v>
      </c>
      <c r="R719" s="2" t="s">
        <v>23</v>
      </c>
      <c r="S719" s="2" t="s">
        <v>23</v>
      </c>
      <c r="T719" s="2" t="s">
        <v>23</v>
      </c>
      <c r="U719" s="25">
        <f t="shared" si="45"/>
        <v>9891.0007189999997</v>
      </c>
    </row>
    <row r="720" spans="1:21">
      <c r="A720" s="2" t="s">
        <v>1270</v>
      </c>
      <c r="B720" s="2" t="s">
        <v>1271</v>
      </c>
      <c r="C720" s="2" t="s">
        <v>35</v>
      </c>
      <c r="D720" s="2">
        <v>30</v>
      </c>
      <c r="E720" s="2" t="str">
        <f t="shared" si="46"/>
        <v>26-35</v>
      </c>
      <c r="F720" s="2" t="s">
        <v>57</v>
      </c>
      <c r="G720" s="2" t="s">
        <v>27</v>
      </c>
      <c r="H720" s="2">
        <v>10</v>
      </c>
      <c r="I720" s="2" t="str">
        <f t="shared" si="44"/>
        <v>7-12 months</v>
      </c>
      <c r="J720" s="3">
        <v>1099</v>
      </c>
      <c r="K720" s="3">
        <v>10990</v>
      </c>
      <c r="L720" s="2" t="s">
        <v>22</v>
      </c>
      <c r="M720" s="4">
        <v>45627</v>
      </c>
      <c r="N720" s="2" t="s">
        <v>32</v>
      </c>
      <c r="O720" s="2">
        <f t="shared" si="47"/>
        <v>1</v>
      </c>
      <c r="P720" s="2" t="s">
        <v>23</v>
      </c>
      <c r="Q720" s="2" t="s">
        <v>23</v>
      </c>
      <c r="R720" s="2" t="s">
        <v>23</v>
      </c>
      <c r="S720" s="2" t="s">
        <v>23</v>
      </c>
      <c r="T720" s="2" t="s">
        <v>23</v>
      </c>
      <c r="U720" s="25">
        <f t="shared" si="45"/>
        <v>10990.00072</v>
      </c>
    </row>
    <row r="721" spans="1:21">
      <c r="A721" s="2" t="s">
        <v>1272</v>
      </c>
      <c r="B721" s="2" t="s">
        <v>1273</v>
      </c>
      <c r="C721" s="2" t="s">
        <v>37</v>
      </c>
      <c r="D721" s="2">
        <v>31</v>
      </c>
      <c r="E721" s="2" t="str">
        <f t="shared" si="46"/>
        <v>26-35</v>
      </c>
      <c r="F721" s="2" t="s">
        <v>60</v>
      </c>
      <c r="G721" s="2" t="s">
        <v>21</v>
      </c>
      <c r="H721" s="2">
        <v>13</v>
      </c>
      <c r="I721" s="2" t="str">
        <f t="shared" si="44"/>
        <v>13-24 months</v>
      </c>
      <c r="J721" s="3">
        <v>1149</v>
      </c>
      <c r="K721" s="3">
        <v>14937</v>
      </c>
      <c r="L721" s="2" t="s">
        <v>22</v>
      </c>
      <c r="M721" s="4">
        <v>45511</v>
      </c>
      <c r="N721" s="2" t="s">
        <v>23</v>
      </c>
      <c r="O721" s="2">
        <f t="shared" si="47"/>
        <v>0</v>
      </c>
      <c r="P721" s="2" t="s">
        <v>23</v>
      </c>
      <c r="Q721" s="2" t="s">
        <v>23</v>
      </c>
      <c r="R721" s="2" t="s">
        <v>23</v>
      </c>
      <c r="S721" s="2" t="s">
        <v>23</v>
      </c>
      <c r="T721" s="2" t="s">
        <v>23</v>
      </c>
      <c r="U721" s="25">
        <f t="shared" si="45"/>
        <v>14937.000721</v>
      </c>
    </row>
    <row r="722" spans="1:21">
      <c r="A722" s="2" t="s">
        <v>1274</v>
      </c>
      <c r="B722" s="2" t="s">
        <v>807</v>
      </c>
      <c r="C722" s="2" t="s">
        <v>35</v>
      </c>
      <c r="D722" s="2">
        <v>58</v>
      </c>
      <c r="E722" s="2" t="str">
        <f t="shared" si="46"/>
        <v>46-60</v>
      </c>
      <c r="F722" s="2" t="s">
        <v>105</v>
      </c>
      <c r="G722" s="2" t="s">
        <v>47</v>
      </c>
      <c r="H722" s="2">
        <v>63</v>
      </c>
      <c r="I722" s="2" t="str">
        <f t="shared" si="44"/>
        <v>49+ months</v>
      </c>
      <c r="J722" s="3">
        <v>1099</v>
      </c>
      <c r="K722" s="3">
        <v>69237</v>
      </c>
      <c r="L722" s="2" t="s">
        <v>22</v>
      </c>
      <c r="M722" s="4">
        <v>44034</v>
      </c>
      <c r="N722" s="2" t="s">
        <v>23</v>
      </c>
      <c r="O722" s="2">
        <f t="shared" si="47"/>
        <v>0</v>
      </c>
      <c r="P722" s="2" t="s">
        <v>23</v>
      </c>
      <c r="Q722" s="2" t="s">
        <v>23</v>
      </c>
      <c r="R722" s="2" t="s">
        <v>23</v>
      </c>
      <c r="S722" s="2" t="s">
        <v>23</v>
      </c>
      <c r="T722" s="2" t="s">
        <v>23</v>
      </c>
      <c r="U722" s="25">
        <f t="shared" si="45"/>
        <v>69237.000721999997</v>
      </c>
    </row>
    <row r="723" spans="1:21">
      <c r="A723" s="2" t="s">
        <v>1275</v>
      </c>
      <c r="B723" s="2" t="s">
        <v>714</v>
      </c>
      <c r="C723" s="2" t="s">
        <v>35</v>
      </c>
      <c r="D723" s="2">
        <v>63</v>
      </c>
      <c r="E723" s="2" t="str">
        <f t="shared" si="46"/>
        <v>60+</v>
      </c>
      <c r="F723" s="2" t="s">
        <v>26</v>
      </c>
      <c r="G723" s="2" t="s">
        <v>47</v>
      </c>
      <c r="H723" s="2">
        <v>28</v>
      </c>
      <c r="I723" s="2" t="str">
        <f t="shared" si="44"/>
        <v>25-48 months</v>
      </c>
      <c r="J723" s="3">
        <v>749</v>
      </c>
      <c r="K723" s="3">
        <v>20972</v>
      </c>
      <c r="L723" s="2" t="s">
        <v>31</v>
      </c>
      <c r="M723" s="4">
        <v>45071</v>
      </c>
      <c r="N723" s="2" t="s">
        <v>23</v>
      </c>
      <c r="O723" s="2">
        <f t="shared" si="47"/>
        <v>0</v>
      </c>
      <c r="P723" s="2" t="s">
        <v>23</v>
      </c>
      <c r="Q723" s="2" t="s">
        <v>23</v>
      </c>
      <c r="R723" s="2" t="s">
        <v>23</v>
      </c>
      <c r="S723" s="2" t="s">
        <v>23</v>
      </c>
      <c r="T723" s="2" t="s">
        <v>23</v>
      </c>
      <c r="U723" s="25">
        <f t="shared" si="45"/>
        <v>20972.000723000001</v>
      </c>
    </row>
    <row r="724" spans="1:21">
      <c r="A724" s="2" t="s">
        <v>1276</v>
      </c>
      <c r="B724" s="2" t="s">
        <v>1277</v>
      </c>
      <c r="C724" s="2" t="s">
        <v>35</v>
      </c>
      <c r="D724" s="2">
        <v>72</v>
      </c>
      <c r="E724" s="2" t="str">
        <f t="shared" si="46"/>
        <v>60+</v>
      </c>
      <c r="F724" s="2" t="s">
        <v>105</v>
      </c>
      <c r="G724" s="2" t="s">
        <v>21</v>
      </c>
      <c r="H724" s="2">
        <v>10</v>
      </c>
      <c r="I724" s="2" t="str">
        <f t="shared" si="44"/>
        <v>7-12 months</v>
      </c>
      <c r="J724" s="3">
        <v>1149</v>
      </c>
      <c r="K724" s="3">
        <v>11490</v>
      </c>
      <c r="L724" s="2" t="s">
        <v>22</v>
      </c>
      <c r="M724" s="4">
        <v>45619</v>
      </c>
      <c r="N724" s="2" t="s">
        <v>32</v>
      </c>
      <c r="O724" s="2">
        <f t="shared" si="47"/>
        <v>1</v>
      </c>
      <c r="P724" s="2" t="s">
        <v>23</v>
      </c>
      <c r="Q724" s="2" t="s">
        <v>23</v>
      </c>
      <c r="R724" s="2" t="s">
        <v>23</v>
      </c>
      <c r="S724" s="2" t="s">
        <v>23</v>
      </c>
      <c r="T724" s="2" t="s">
        <v>23</v>
      </c>
      <c r="U724" s="25">
        <f t="shared" si="45"/>
        <v>11490.000724</v>
      </c>
    </row>
    <row r="725" spans="1:21">
      <c r="A725" s="2" t="s">
        <v>1278</v>
      </c>
      <c r="B725" s="2" t="s">
        <v>934</v>
      </c>
      <c r="C725" s="2" t="s">
        <v>35</v>
      </c>
      <c r="D725" s="2">
        <v>49</v>
      </c>
      <c r="E725" s="2" t="str">
        <f t="shared" si="46"/>
        <v>46-60</v>
      </c>
      <c r="F725" s="2" t="s">
        <v>36</v>
      </c>
      <c r="G725" s="2" t="s">
        <v>27</v>
      </c>
      <c r="H725" s="2">
        <v>38</v>
      </c>
      <c r="I725" s="2" t="str">
        <f t="shared" si="44"/>
        <v>25-48 months</v>
      </c>
      <c r="J725" s="3">
        <v>749</v>
      </c>
      <c r="K725" s="3">
        <v>28462</v>
      </c>
      <c r="L725" s="2" t="s">
        <v>31</v>
      </c>
      <c r="M725" s="4">
        <v>44782</v>
      </c>
      <c r="N725" s="2" t="s">
        <v>23</v>
      </c>
      <c r="O725" s="2">
        <f t="shared" si="47"/>
        <v>0</v>
      </c>
      <c r="P725" s="2" t="s">
        <v>23</v>
      </c>
      <c r="Q725" s="2" t="s">
        <v>23</v>
      </c>
      <c r="R725" s="2" t="s">
        <v>23</v>
      </c>
      <c r="S725" s="2" t="s">
        <v>23</v>
      </c>
      <c r="T725" s="2" t="s">
        <v>23</v>
      </c>
      <c r="U725" s="25">
        <f t="shared" si="45"/>
        <v>28462.000725000002</v>
      </c>
    </row>
    <row r="726" spans="1:21">
      <c r="A726" s="2" t="s">
        <v>1279</v>
      </c>
      <c r="B726" s="2" t="s">
        <v>710</v>
      </c>
      <c r="C726" s="2" t="s">
        <v>19</v>
      </c>
      <c r="D726" s="2">
        <v>25</v>
      </c>
      <c r="E726" s="2" t="str">
        <f t="shared" si="46"/>
        <v>18-25</v>
      </c>
      <c r="F726" s="2" t="s">
        <v>26</v>
      </c>
      <c r="G726" s="2" t="s">
        <v>21</v>
      </c>
      <c r="H726" s="2">
        <v>14</v>
      </c>
      <c r="I726" s="2" t="str">
        <f t="shared" si="44"/>
        <v>13-24 months</v>
      </c>
      <c r="J726" s="3">
        <v>449</v>
      </c>
      <c r="K726" s="3">
        <v>6286</v>
      </c>
      <c r="L726" s="2" t="s">
        <v>66</v>
      </c>
      <c r="M726" s="4">
        <v>45480</v>
      </c>
      <c r="N726" s="2" t="s">
        <v>23</v>
      </c>
      <c r="O726" s="2">
        <f t="shared" si="47"/>
        <v>0</v>
      </c>
      <c r="P726" s="2" t="s">
        <v>23</v>
      </c>
      <c r="Q726" s="2" t="s">
        <v>23</v>
      </c>
      <c r="R726" s="2" t="s">
        <v>23</v>
      </c>
      <c r="S726" s="2" t="s">
        <v>23</v>
      </c>
      <c r="T726" s="2" t="s">
        <v>23</v>
      </c>
      <c r="U726" s="25">
        <f t="shared" si="45"/>
        <v>6286.0007260000002</v>
      </c>
    </row>
    <row r="727" spans="1:21">
      <c r="A727" s="2" t="s">
        <v>1280</v>
      </c>
      <c r="B727" s="2" t="s">
        <v>588</v>
      </c>
      <c r="C727" s="2" t="s">
        <v>35</v>
      </c>
      <c r="D727" s="2">
        <v>71</v>
      </c>
      <c r="E727" s="2" t="str">
        <f t="shared" si="46"/>
        <v>60+</v>
      </c>
      <c r="F727" s="2" t="s">
        <v>141</v>
      </c>
      <c r="G727" s="2" t="s">
        <v>47</v>
      </c>
      <c r="H727" s="2">
        <v>18</v>
      </c>
      <c r="I727" s="2" t="str">
        <f t="shared" si="44"/>
        <v>13-24 months</v>
      </c>
      <c r="J727" s="3">
        <v>799</v>
      </c>
      <c r="K727" s="3">
        <v>14382</v>
      </c>
      <c r="L727" s="2" t="s">
        <v>31</v>
      </c>
      <c r="M727" s="4">
        <v>45367</v>
      </c>
      <c r="N727" s="2" t="s">
        <v>23</v>
      </c>
      <c r="O727" s="2">
        <f t="shared" si="47"/>
        <v>0</v>
      </c>
      <c r="P727" s="2" t="s">
        <v>23</v>
      </c>
      <c r="Q727" s="2" t="s">
        <v>23</v>
      </c>
      <c r="R727" s="2" t="s">
        <v>23</v>
      </c>
      <c r="S727" s="2" t="s">
        <v>23</v>
      </c>
      <c r="T727" s="2" t="s">
        <v>23</v>
      </c>
      <c r="U727" s="25">
        <f t="shared" si="45"/>
        <v>14382.000727000001</v>
      </c>
    </row>
    <row r="728" spans="1:21">
      <c r="A728" s="2" t="s">
        <v>1281</v>
      </c>
      <c r="B728" s="2" t="s">
        <v>1282</v>
      </c>
      <c r="C728" s="2" t="s">
        <v>35</v>
      </c>
      <c r="D728" s="2">
        <v>38</v>
      </c>
      <c r="E728" s="2" t="str">
        <f t="shared" si="46"/>
        <v>36-45</v>
      </c>
      <c r="F728" s="2" t="s">
        <v>41</v>
      </c>
      <c r="G728" s="2" t="s">
        <v>27</v>
      </c>
      <c r="H728" s="2">
        <v>27</v>
      </c>
      <c r="I728" s="2" t="str">
        <f t="shared" si="44"/>
        <v>25-48 months</v>
      </c>
      <c r="J728" s="3">
        <v>999</v>
      </c>
      <c r="K728" s="3">
        <v>26973</v>
      </c>
      <c r="L728" s="2" t="s">
        <v>22</v>
      </c>
      <c r="M728" s="4">
        <v>45117</v>
      </c>
      <c r="N728" s="2" t="s">
        <v>37</v>
      </c>
      <c r="O728" s="2" t="str">
        <f t="shared" si="47"/>
        <v/>
      </c>
      <c r="P728" s="2" t="s">
        <v>23</v>
      </c>
      <c r="Q728" s="2" t="s">
        <v>23</v>
      </c>
      <c r="R728" s="2" t="s">
        <v>23</v>
      </c>
      <c r="S728" s="2" t="s">
        <v>23</v>
      </c>
      <c r="T728" s="2" t="s">
        <v>38</v>
      </c>
      <c r="U728" s="25">
        <f t="shared" si="45"/>
        <v>26973.000727999999</v>
      </c>
    </row>
    <row r="729" spans="1:21">
      <c r="A729" s="2" t="s">
        <v>1283</v>
      </c>
      <c r="B729" s="2" t="s">
        <v>1284</v>
      </c>
      <c r="C729" s="2" t="s">
        <v>35</v>
      </c>
      <c r="D729" s="2">
        <v>23</v>
      </c>
      <c r="E729" s="2" t="str">
        <f t="shared" si="46"/>
        <v>18-25</v>
      </c>
      <c r="F729" s="2" t="s">
        <v>57</v>
      </c>
      <c r="G729" s="2" t="s">
        <v>21</v>
      </c>
      <c r="H729" s="2">
        <v>21</v>
      </c>
      <c r="I729" s="2" t="str">
        <f t="shared" si="44"/>
        <v>13-24 months</v>
      </c>
      <c r="J729" s="3">
        <v>899</v>
      </c>
      <c r="K729" s="3">
        <v>18879</v>
      </c>
      <c r="L729" s="2" t="s">
        <v>31</v>
      </c>
      <c r="M729" s="4"/>
      <c r="N729" s="2" t="s">
        <v>23</v>
      </c>
      <c r="O729" s="2">
        <f t="shared" si="47"/>
        <v>0</v>
      </c>
      <c r="P729" s="2" t="s">
        <v>23</v>
      </c>
      <c r="Q729" s="2" t="s">
        <v>23</v>
      </c>
      <c r="R729" s="2" t="s">
        <v>23</v>
      </c>
      <c r="S729" s="2" t="s">
        <v>23</v>
      </c>
      <c r="T729" s="2" t="s">
        <v>54</v>
      </c>
      <c r="U729" s="25">
        <f t="shared" si="45"/>
        <v>18879.000728999999</v>
      </c>
    </row>
    <row r="730" spans="1:21">
      <c r="A730" s="2" t="s">
        <v>1285</v>
      </c>
      <c r="B730" s="2" t="s">
        <v>958</v>
      </c>
      <c r="C730" s="2" t="s">
        <v>19</v>
      </c>
      <c r="D730" s="2">
        <v>52</v>
      </c>
      <c r="E730" s="2" t="str">
        <f t="shared" si="46"/>
        <v>46-60</v>
      </c>
      <c r="F730" s="2" t="s">
        <v>91</v>
      </c>
      <c r="G730" s="2" t="s">
        <v>37</v>
      </c>
      <c r="H730" s="2">
        <v>34</v>
      </c>
      <c r="I730" s="2" t="str">
        <f t="shared" si="44"/>
        <v>25-48 months</v>
      </c>
      <c r="J730" s="3">
        <v>499</v>
      </c>
      <c r="K730" s="3">
        <v>16966</v>
      </c>
      <c r="L730" s="2" t="s">
        <v>66</v>
      </c>
      <c r="M730" s="4">
        <v>44908</v>
      </c>
      <c r="N730" s="2" t="s">
        <v>23</v>
      </c>
      <c r="O730" s="2">
        <f t="shared" si="47"/>
        <v>0</v>
      </c>
      <c r="P730" s="2" t="s">
        <v>23</v>
      </c>
      <c r="Q730" s="2" t="s">
        <v>23</v>
      </c>
      <c r="R730" s="2" t="s">
        <v>23</v>
      </c>
      <c r="S730" s="2" t="s">
        <v>23</v>
      </c>
      <c r="T730" s="2" t="s">
        <v>23</v>
      </c>
      <c r="U730" s="25">
        <f t="shared" si="45"/>
        <v>16966.00073</v>
      </c>
    </row>
    <row r="731" spans="1:21">
      <c r="A731" s="2" t="s">
        <v>1286</v>
      </c>
      <c r="B731" s="2" t="s">
        <v>1062</v>
      </c>
      <c r="C731" s="2" t="s">
        <v>19</v>
      </c>
      <c r="D731" s="2">
        <v>19</v>
      </c>
      <c r="E731" s="2" t="str">
        <f t="shared" si="46"/>
        <v>18-25</v>
      </c>
      <c r="F731" s="2" t="s">
        <v>46</v>
      </c>
      <c r="G731" s="2" t="s">
        <v>27</v>
      </c>
      <c r="H731" s="2">
        <v>38</v>
      </c>
      <c r="I731" s="2" t="str">
        <f t="shared" si="44"/>
        <v>25-48 months</v>
      </c>
      <c r="J731" s="3">
        <v>749</v>
      </c>
      <c r="K731" s="3">
        <v>28462</v>
      </c>
      <c r="L731" s="2" t="s">
        <v>31</v>
      </c>
      <c r="M731" s="4">
        <v>44776</v>
      </c>
      <c r="N731" s="2" t="s">
        <v>23</v>
      </c>
      <c r="O731" s="2">
        <f t="shared" si="47"/>
        <v>0</v>
      </c>
      <c r="P731" s="2" t="s">
        <v>23</v>
      </c>
      <c r="Q731" s="2" t="s">
        <v>23</v>
      </c>
      <c r="R731" s="2" t="s">
        <v>23</v>
      </c>
      <c r="S731" s="2" t="s">
        <v>23</v>
      </c>
      <c r="T731" s="2" t="s">
        <v>23</v>
      </c>
      <c r="U731" s="25">
        <f t="shared" si="45"/>
        <v>28462.000731</v>
      </c>
    </row>
    <row r="732" spans="1:21">
      <c r="A732" s="2" t="s">
        <v>1287</v>
      </c>
      <c r="B732" s="2" t="s">
        <v>710</v>
      </c>
      <c r="C732" s="2" t="s">
        <v>19</v>
      </c>
      <c r="D732" s="2">
        <v>39</v>
      </c>
      <c r="E732" s="2" t="str">
        <f t="shared" si="46"/>
        <v>36-45</v>
      </c>
      <c r="F732" s="2" t="s">
        <v>105</v>
      </c>
      <c r="G732" s="2" t="s">
        <v>21</v>
      </c>
      <c r="H732" s="2">
        <v>17</v>
      </c>
      <c r="I732" s="2" t="str">
        <f t="shared" si="44"/>
        <v>13-24 months</v>
      </c>
      <c r="J732" s="3">
        <v>699</v>
      </c>
      <c r="K732" s="3">
        <v>11883</v>
      </c>
      <c r="L732" s="2" t="s">
        <v>31</v>
      </c>
      <c r="M732" s="4">
        <v>45415</v>
      </c>
      <c r="N732" s="2" t="s">
        <v>32</v>
      </c>
      <c r="O732" s="2">
        <f t="shared" si="47"/>
        <v>1</v>
      </c>
      <c r="P732" s="2" t="s">
        <v>23</v>
      </c>
      <c r="Q732" s="2" t="s">
        <v>23</v>
      </c>
      <c r="R732" s="2" t="s">
        <v>23</v>
      </c>
      <c r="S732" s="2" t="s">
        <v>23</v>
      </c>
      <c r="T732" s="2" t="s">
        <v>23</v>
      </c>
      <c r="U732" s="25">
        <f t="shared" si="45"/>
        <v>11883.000732</v>
      </c>
    </row>
    <row r="733" spans="1:21">
      <c r="A733" s="2" t="s">
        <v>1288</v>
      </c>
      <c r="B733" s="2" t="s">
        <v>1289</v>
      </c>
      <c r="C733" s="2" t="s">
        <v>19</v>
      </c>
      <c r="D733" s="2">
        <v>29</v>
      </c>
      <c r="E733" s="2" t="str">
        <f t="shared" si="46"/>
        <v>26-35</v>
      </c>
      <c r="F733" s="2" t="s">
        <v>46</v>
      </c>
      <c r="G733" s="2" t="s">
        <v>27</v>
      </c>
      <c r="H733" s="2">
        <v>27</v>
      </c>
      <c r="I733" s="2" t="str">
        <f t="shared" si="44"/>
        <v>25-48 months</v>
      </c>
      <c r="J733" s="3">
        <v>849</v>
      </c>
      <c r="K733" s="3">
        <v>22923</v>
      </c>
      <c r="L733" s="2" t="s">
        <v>31</v>
      </c>
      <c r="M733" s="4">
        <v>45108</v>
      </c>
      <c r="N733" s="2" t="s">
        <v>23</v>
      </c>
      <c r="O733" s="2">
        <f t="shared" si="47"/>
        <v>0</v>
      </c>
      <c r="P733" s="2" t="s">
        <v>23</v>
      </c>
      <c r="Q733" s="2" t="s">
        <v>32</v>
      </c>
      <c r="R733" s="2" t="s">
        <v>23</v>
      </c>
      <c r="S733" s="2" t="s">
        <v>23</v>
      </c>
      <c r="T733" s="2" t="s">
        <v>23</v>
      </c>
      <c r="U733" s="25">
        <f t="shared" si="45"/>
        <v>22923.000733000001</v>
      </c>
    </row>
    <row r="734" spans="1:21">
      <c r="A734" s="2" t="s">
        <v>1290</v>
      </c>
      <c r="B734" s="2" t="s">
        <v>1000</v>
      </c>
      <c r="C734" s="2" t="s">
        <v>19</v>
      </c>
      <c r="D734" s="2">
        <v>21</v>
      </c>
      <c r="E734" s="2" t="str">
        <f t="shared" si="46"/>
        <v>18-25</v>
      </c>
      <c r="F734" s="2" t="s">
        <v>46</v>
      </c>
      <c r="G734" s="2" t="s">
        <v>21</v>
      </c>
      <c r="H734" s="2">
        <v>14</v>
      </c>
      <c r="I734" s="2" t="str">
        <f t="shared" si="44"/>
        <v>13-24 months</v>
      </c>
      <c r="J734" s="3">
        <v>699</v>
      </c>
      <c r="K734" s="3">
        <v>9786</v>
      </c>
      <c r="L734" s="2" t="s">
        <v>31</v>
      </c>
      <c r="M734" s="4">
        <v>45480</v>
      </c>
      <c r="N734" s="2" t="s">
        <v>23</v>
      </c>
      <c r="O734" s="2">
        <f t="shared" si="47"/>
        <v>0</v>
      </c>
      <c r="P734" s="2" t="s">
        <v>23</v>
      </c>
      <c r="Q734" s="2" t="s">
        <v>23</v>
      </c>
      <c r="R734" s="2" t="s">
        <v>23</v>
      </c>
      <c r="S734" s="2" t="s">
        <v>23</v>
      </c>
      <c r="T734" s="2" t="s">
        <v>23</v>
      </c>
      <c r="U734" s="25">
        <f t="shared" si="45"/>
        <v>9786.0007339999993</v>
      </c>
    </row>
    <row r="735" spans="1:21">
      <c r="A735" s="2" t="s">
        <v>1291</v>
      </c>
      <c r="B735" s="2" t="s">
        <v>1292</v>
      </c>
      <c r="C735" s="2" t="s">
        <v>19</v>
      </c>
      <c r="D735" s="2">
        <v>33</v>
      </c>
      <c r="E735" s="2" t="str">
        <f t="shared" si="46"/>
        <v>26-35</v>
      </c>
      <c r="F735" s="2" t="s">
        <v>110</v>
      </c>
      <c r="G735" s="2" t="s">
        <v>27</v>
      </c>
      <c r="H735" s="2">
        <v>33</v>
      </c>
      <c r="I735" s="2" t="str">
        <f t="shared" si="44"/>
        <v>25-48 months</v>
      </c>
      <c r="J735" s="3">
        <v>899</v>
      </c>
      <c r="K735" s="3">
        <v>29667</v>
      </c>
      <c r="L735" s="2" t="s">
        <v>31</v>
      </c>
      <c r="M735" s="4">
        <v>44930</v>
      </c>
      <c r="N735" s="2" t="s">
        <v>37</v>
      </c>
      <c r="O735" s="2" t="str">
        <f t="shared" si="47"/>
        <v/>
      </c>
      <c r="P735" s="2" t="s">
        <v>23</v>
      </c>
      <c r="Q735" s="2" t="s">
        <v>23</v>
      </c>
      <c r="R735" s="2" t="s">
        <v>23</v>
      </c>
      <c r="S735" s="2" t="s">
        <v>23</v>
      </c>
      <c r="T735" s="2" t="s">
        <v>38</v>
      </c>
      <c r="U735" s="25">
        <f t="shared" si="45"/>
        <v>29667.000735000001</v>
      </c>
    </row>
    <row r="736" spans="1:21">
      <c r="A736" s="2" t="s">
        <v>1293</v>
      </c>
      <c r="B736" s="2" t="s">
        <v>1294</v>
      </c>
      <c r="C736" s="2" t="s">
        <v>19</v>
      </c>
      <c r="D736" s="2">
        <v>53</v>
      </c>
      <c r="E736" s="2" t="str">
        <f t="shared" si="46"/>
        <v>46-60</v>
      </c>
      <c r="F736" s="2" t="s">
        <v>105</v>
      </c>
      <c r="G736" s="2" t="s">
        <v>21</v>
      </c>
      <c r="H736" s="2">
        <v>21</v>
      </c>
      <c r="I736" s="2" t="str">
        <f t="shared" si="44"/>
        <v>13-24 months</v>
      </c>
      <c r="J736" s="3">
        <v>649</v>
      </c>
      <c r="K736" s="3">
        <v>13629</v>
      </c>
      <c r="L736" s="2" t="s">
        <v>31</v>
      </c>
      <c r="M736" s="4">
        <v>45280</v>
      </c>
      <c r="N736" s="2" t="s">
        <v>23</v>
      </c>
      <c r="O736" s="2">
        <f t="shared" si="47"/>
        <v>0</v>
      </c>
      <c r="P736" s="2" t="s">
        <v>23</v>
      </c>
      <c r="Q736" s="2" t="s">
        <v>23</v>
      </c>
      <c r="R736" s="2" t="s">
        <v>23</v>
      </c>
      <c r="S736" s="2" t="s">
        <v>23</v>
      </c>
      <c r="T736" s="2" t="s">
        <v>23</v>
      </c>
      <c r="U736" s="25">
        <f t="shared" si="45"/>
        <v>13629.000736</v>
      </c>
    </row>
    <row r="737" spans="1:21">
      <c r="A737" s="2" t="s">
        <v>1295</v>
      </c>
      <c r="B737" s="2" t="s">
        <v>1296</v>
      </c>
      <c r="C737" s="2" t="s">
        <v>19</v>
      </c>
      <c r="D737" s="2">
        <v>59</v>
      </c>
      <c r="E737" s="2" t="str">
        <f t="shared" si="46"/>
        <v>46-60</v>
      </c>
      <c r="F737" s="2" t="s">
        <v>110</v>
      </c>
      <c r="G737" s="2" t="s">
        <v>21</v>
      </c>
      <c r="H737" s="2">
        <v>15</v>
      </c>
      <c r="I737" s="2" t="str">
        <f t="shared" si="44"/>
        <v>13-24 months</v>
      </c>
      <c r="J737" s="3">
        <v>1299</v>
      </c>
      <c r="K737" s="3">
        <v>19485</v>
      </c>
      <c r="L737" s="2" t="s">
        <v>22</v>
      </c>
      <c r="M737" s="4">
        <v>45474</v>
      </c>
      <c r="N737" s="2" t="s">
        <v>32</v>
      </c>
      <c r="O737" s="2">
        <f t="shared" si="47"/>
        <v>1</v>
      </c>
      <c r="P737" s="2" t="s">
        <v>23</v>
      </c>
      <c r="Q737" s="2" t="s">
        <v>23</v>
      </c>
      <c r="R737" s="2" t="s">
        <v>32</v>
      </c>
      <c r="S737" s="2" t="s">
        <v>23</v>
      </c>
      <c r="T737" s="2" t="s">
        <v>23</v>
      </c>
      <c r="U737" s="25">
        <f t="shared" si="45"/>
        <v>19485.000736999998</v>
      </c>
    </row>
    <row r="738" spans="1:21">
      <c r="A738" s="2" t="s">
        <v>1297</v>
      </c>
      <c r="B738" s="2" t="s">
        <v>965</v>
      </c>
      <c r="C738" s="2" t="s">
        <v>35</v>
      </c>
      <c r="D738" s="2">
        <v>68</v>
      </c>
      <c r="E738" s="2" t="str">
        <f t="shared" si="46"/>
        <v>60+</v>
      </c>
      <c r="F738" s="2" t="s">
        <v>20</v>
      </c>
      <c r="G738" s="2" t="s">
        <v>21</v>
      </c>
      <c r="H738" s="2">
        <v>18</v>
      </c>
      <c r="I738" s="2" t="str">
        <f t="shared" si="44"/>
        <v>13-24 months</v>
      </c>
      <c r="J738" s="3">
        <v>899</v>
      </c>
      <c r="K738" s="3">
        <v>16182</v>
      </c>
      <c r="L738" s="2" t="s">
        <v>22</v>
      </c>
      <c r="M738" s="4">
        <v>45362</v>
      </c>
      <c r="N738" s="2" t="s">
        <v>23</v>
      </c>
      <c r="O738" s="2">
        <f t="shared" si="47"/>
        <v>0</v>
      </c>
      <c r="P738" s="2" t="s">
        <v>23</v>
      </c>
      <c r="Q738" s="2" t="s">
        <v>23</v>
      </c>
      <c r="R738" s="2" t="s">
        <v>23</v>
      </c>
      <c r="S738" s="2" t="s">
        <v>23</v>
      </c>
      <c r="T738" s="2" t="s">
        <v>23</v>
      </c>
      <c r="U738" s="25">
        <f t="shared" si="45"/>
        <v>16182.000738000001</v>
      </c>
    </row>
    <row r="739" spans="1:21">
      <c r="A739" s="2" t="s">
        <v>1298</v>
      </c>
      <c r="B739" s="2" t="s">
        <v>1299</v>
      </c>
      <c r="C739" s="2" t="s">
        <v>35</v>
      </c>
      <c r="D739" s="2">
        <v>21</v>
      </c>
      <c r="E739" s="2" t="str">
        <f t="shared" si="46"/>
        <v>18-25</v>
      </c>
      <c r="F739" s="2" t="s">
        <v>60</v>
      </c>
      <c r="G739" s="2" t="s">
        <v>21</v>
      </c>
      <c r="H739" s="2">
        <v>22</v>
      </c>
      <c r="I739" s="2" t="str">
        <f t="shared" si="44"/>
        <v>13-24 months</v>
      </c>
      <c r="J739" s="3">
        <v>749</v>
      </c>
      <c r="K739" s="3">
        <v>16478</v>
      </c>
      <c r="L739" s="2" t="s">
        <v>31</v>
      </c>
      <c r="M739" s="4">
        <v>45252</v>
      </c>
      <c r="N739" s="2" t="s">
        <v>23</v>
      </c>
      <c r="O739" s="2">
        <f t="shared" si="47"/>
        <v>0</v>
      </c>
      <c r="P739" s="2" t="s">
        <v>23</v>
      </c>
      <c r="Q739" s="2" t="s">
        <v>23</v>
      </c>
      <c r="R739" s="2" t="s">
        <v>23</v>
      </c>
      <c r="S739" s="2" t="s">
        <v>23</v>
      </c>
      <c r="T739" s="2" t="s">
        <v>23</v>
      </c>
      <c r="U739" s="25">
        <f t="shared" si="45"/>
        <v>16478.000738999999</v>
      </c>
    </row>
    <row r="740" spans="1:21">
      <c r="A740" s="2" t="s">
        <v>1300</v>
      </c>
      <c r="B740" s="2" t="s">
        <v>636</v>
      </c>
      <c r="C740" s="2" t="s">
        <v>35</v>
      </c>
      <c r="D740" s="2">
        <v>65</v>
      </c>
      <c r="E740" s="2" t="str">
        <f t="shared" si="46"/>
        <v>60+</v>
      </c>
      <c r="F740" s="2" t="s">
        <v>26</v>
      </c>
      <c r="G740" s="2" t="s">
        <v>27</v>
      </c>
      <c r="H740" s="2">
        <v>26</v>
      </c>
      <c r="I740" s="2" t="str">
        <f t="shared" si="44"/>
        <v>25-48 months</v>
      </c>
      <c r="J740" s="3">
        <v>849</v>
      </c>
      <c r="K740" s="3">
        <v>22074</v>
      </c>
      <c r="L740" s="2" t="s">
        <v>31</v>
      </c>
      <c r="M740" s="4">
        <v>45140</v>
      </c>
      <c r="N740" s="2" t="s">
        <v>23</v>
      </c>
      <c r="O740" s="2">
        <f t="shared" si="47"/>
        <v>0</v>
      </c>
      <c r="P740" s="2" t="s">
        <v>23</v>
      </c>
      <c r="Q740" s="2" t="s">
        <v>32</v>
      </c>
      <c r="R740" s="2" t="s">
        <v>23</v>
      </c>
      <c r="S740" s="2" t="s">
        <v>23</v>
      </c>
      <c r="T740" s="2" t="s">
        <v>23</v>
      </c>
      <c r="U740" s="25">
        <f t="shared" si="45"/>
        <v>22074.000739999999</v>
      </c>
    </row>
    <row r="741" spans="1:21">
      <c r="A741" s="2" t="s">
        <v>1301</v>
      </c>
      <c r="B741" s="2" t="s">
        <v>1141</v>
      </c>
      <c r="C741" s="2" t="s">
        <v>35</v>
      </c>
      <c r="D741" s="2">
        <v>50</v>
      </c>
      <c r="E741" s="2" t="str">
        <f t="shared" si="46"/>
        <v>46-60</v>
      </c>
      <c r="F741" s="2" t="s">
        <v>110</v>
      </c>
      <c r="G741" s="2" t="s">
        <v>21</v>
      </c>
      <c r="H741" s="2">
        <v>11</v>
      </c>
      <c r="I741" s="2" t="str">
        <f t="shared" si="44"/>
        <v>7-12 months</v>
      </c>
      <c r="J741" s="3">
        <v>1049</v>
      </c>
      <c r="K741" s="3">
        <v>11539</v>
      </c>
      <c r="L741" s="2" t="s">
        <v>22</v>
      </c>
      <c r="M741" s="4">
        <v>45577</v>
      </c>
      <c r="N741" s="2" t="s">
        <v>32</v>
      </c>
      <c r="O741" s="2">
        <f t="shared" si="47"/>
        <v>1</v>
      </c>
      <c r="P741" s="2" t="s">
        <v>23</v>
      </c>
      <c r="Q741" s="2" t="s">
        <v>23</v>
      </c>
      <c r="R741" s="2" t="s">
        <v>23</v>
      </c>
      <c r="S741" s="2" t="s">
        <v>23</v>
      </c>
      <c r="T741" s="2" t="s">
        <v>23</v>
      </c>
      <c r="U741" s="25">
        <f t="shared" si="45"/>
        <v>11539.000741</v>
      </c>
    </row>
    <row r="742" spans="1:21">
      <c r="A742" s="2" t="s">
        <v>1302</v>
      </c>
      <c r="B742" s="2" t="s">
        <v>1303</v>
      </c>
      <c r="C742" s="2" t="s">
        <v>35</v>
      </c>
      <c r="D742" s="2">
        <v>47</v>
      </c>
      <c r="E742" s="2" t="str">
        <f t="shared" si="46"/>
        <v>46-60</v>
      </c>
      <c r="F742" s="2" t="s">
        <v>91</v>
      </c>
      <c r="G742" s="2" t="s">
        <v>21</v>
      </c>
      <c r="H742" s="2">
        <v>5</v>
      </c>
      <c r="I742" s="2" t="str">
        <f t="shared" si="44"/>
        <v>0-6 months</v>
      </c>
      <c r="J742" s="3">
        <v>549</v>
      </c>
      <c r="K742" s="3">
        <v>2745</v>
      </c>
      <c r="L742" s="2" t="s">
        <v>66</v>
      </c>
      <c r="M742" s="4">
        <v>45750</v>
      </c>
      <c r="N742" s="2" t="s">
        <v>32</v>
      </c>
      <c r="O742" s="2">
        <f t="shared" si="47"/>
        <v>1</v>
      </c>
      <c r="P742" s="2" t="s">
        <v>23</v>
      </c>
      <c r="Q742" s="2" t="s">
        <v>23</v>
      </c>
      <c r="R742" s="2" t="s">
        <v>23</v>
      </c>
      <c r="S742" s="2" t="s">
        <v>23</v>
      </c>
      <c r="T742" s="2" t="s">
        <v>23</v>
      </c>
      <c r="U742" s="25">
        <f t="shared" si="45"/>
        <v>2745.0007420000002</v>
      </c>
    </row>
    <row r="743" spans="1:21">
      <c r="A743" s="2" t="s">
        <v>1304</v>
      </c>
      <c r="B743" s="2" t="s">
        <v>1305</v>
      </c>
      <c r="C743" s="2" t="s">
        <v>19</v>
      </c>
      <c r="D743" s="2">
        <v>53</v>
      </c>
      <c r="E743" s="2" t="str">
        <f t="shared" si="46"/>
        <v>46-60</v>
      </c>
      <c r="F743" s="2" t="s">
        <v>141</v>
      </c>
      <c r="G743" s="2" t="s">
        <v>27</v>
      </c>
      <c r="H743" s="2">
        <v>35</v>
      </c>
      <c r="I743" s="2" t="str">
        <f t="shared" si="44"/>
        <v>25-48 months</v>
      </c>
      <c r="J743" s="3">
        <v>1299</v>
      </c>
      <c r="K743" s="3">
        <v>45465</v>
      </c>
      <c r="L743" s="2" t="s">
        <v>22</v>
      </c>
      <c r="M743" s="4">
        <v>44850</v>
      </c>
      <c r="N743" s="2" t="s">
        <v>23</v>
      </c>
      <c r="O743" s="2">
        <f t="shared" si="47"/>
        <v>0</v>
      </c>
      <c r="P743" s="2" t="s">
        <v>23</v>
      </c>
      <c r="Q743" s="2" t="s">
        <v>23</v>
      </c>
      <c r="R743" s="2" t="s">
        <v>23</v>
      </c>
      <c r="S743" s="2" t="s">
        <v>23</v>
      </c>
      <c r="T743" s="2" t="s">
        <v>23</v>
      </c>
      <c r="U743" s="25">
        <f t="shared" si="45"/>
        <v>45465.000742999997</v>
      </c>
    </row>
    <row r="744" spans="1:21">
      <c r="A744" s="2" t="s">
        <v>1306</v>
      </c>
      <c r="B744" s="2" t="s">
        <v>718</v>
      </c>
      <c r="C744" s="2" t="s">
        <v>35</v>
      </c>
      <c r="D744" s="2">
        <v>70</v>
      </c>
      <c r="E744" s="2" t="str">
        <f t="shared" si="46"/>
        <v>60+</v>
      </c>
      <c r="F744" s="2" t="s">
        <v>105</v>
      </c>
      <c r="G744" s="2" t="s">
        <v>37</v>
      </c>
      <c r="H744" s="2"/>
      <c r="I744" s="2" t="str">
        <f t="shared" si="44"/>
        <v>Unknown</v>
      </c>
      <c r="J744" s="3"/>
      <c r="K744" s="3">
        <v>29877</v>
      </c>
      <c r="L744" s="2" t="s">
        <v>22</v>
      </c>
      <c r="M744" s="4">
        <v>45227</v>
      </c>
      <c r="N744" s="2" t="s">
        <v>23</v>
      </c>
      <c r="O744" s="2">
        <f t="shared" si="47"/>
        <v>0</v>
      </c>
      <c r="P744" s="2" t="s">
        <v>23</v>
      </c>
      <c r="Q744" s="2" t="s">
        <v>23</v>
      </c>
      <c r="R744" s="2" t="s">
        <v>23</v>
      </c>
      <c r="S744" s="2" t="s">
        <v>23</v>
      </c>
      <c r="T744" s="2" t="s">
        <v>72</v>
      </c>
      <c r="U744" s="25">
        <f t="shared" si="45"/>
        <v>29877.000744000001</v>
      </c>
    </row>
    <row r="745" spans="1:21">
      <c r="A745" s="2" t="s">
        <v>1307</v>
      </c>
      <c r="B745" s="2" t="s">
        <v>1308</v>
      </c>
      <c r="C745" s="2" t="s">
        <v>19</v>
      </c>
      <c r="D745" s="2">
        <v>32</v>
      </c>
      <c r="E745" s="2" t="str">
        <f t="shared" si="46"/>
        <v>26-35</v>
      </c>
      <c r="F745" s="2" t="s">
        <v>37</v>
      </c>
      <c r="G745" s="2" t="s">
        <v>21</v>
      </c>
      <c r="H745" s="2">
        <v>23</v>
      </c>
      <c r="I745" s="2" t="str">
        <f t="shared" si="44"/>
        <v>13-24 months</v>
      </c>
      <c r="J745" s="3">
        <v>699</v>
      </c>
      <c r="K745" s="3">
        <v>16077</v>
      </c>
      <c r="L745" s="2" t="s">
        <v>31</v>
      </c>
      <c r="M745" s="4">
        <v>45218</v>
      </c>
      <c r="N745" s="2" t="s">
        <v>23</v>
      </c>
      <c r="O745" s="2">
        <f t="shared" si="47"/>
        <v>0</v>
      </c>
      <c r="P745" s="2" t="s">
        <v>23</v>
      </c>
      <c r="Q745" s="2" t="s">
        <v>23</v>
      </c>
      <c r="R745" s="2" t="s">
        <v>23</v>
      </c>
      <c r="S745" s="2" t="s">
        <v>23</v>
      </c>
      <c r="T745" s="2" t="s">
        <v>23</v>
      </c>
      <c r="U745" s="25">
        <f t="shared" si="45"/>
        <v>16077.000744999999</v>
      </c>
    </row>
    <row r="746" spans="1:21">
      <c r="A746" s="2" t="s">
        <v>1309</v>
      </c>
      <c r="B746" s="2" t="s">
        <v>1072</v>
      </c>
      <c r="C746" s="2" t="s">
        <v>35</v>
      </c>
      <c r="D746" s="2">
        <v>49</v>
      </c>
      <c r="E746" s="2" t="str">
        <f t="shared" si="46"/>
        <v>46-60</v>
      </c>
      <c r="F746" s="2" t="s">
        <v>30</v>
      </c>
      <c r="G746" s="2" t="s">
        <v>21</v>
      </c>
      <c r="H746" s="2">
        <v>23</v>
      </c>
      <c r="I746" s="2" t="str">
        <f t="shared" si="44"/>
        <v>13-24 months</v>
      </c>
      <c r="J746" s="3">
        <v>1149</v>
      </c>
      <c r="K746" s="3">
        <v>26427</v>
      </c>
      <c r="L746" s="2" t="s">
        <v>22</v>
      </c>
      <c r="M746" s="4">
        <v>45212</v>
      </c>
      <c r="N746" s="2" t="s">
        <v>32</v>
      </c>
      <c r="O746" s="2">
        <f t="shared" si="47"/>
        <v>1</v>
      </c>
      <c r="P746" s="2" t="s">
        <v>23</v>
      </c>
      <c r="Q746" s="2" t="s">
        <v>23</v>
      </c>
      <c r="R746" s="2" t="s">
        <v>23</v>
      </c>
      <c r="S746" s="2" t="s">
        <v>32</v>
      </c>
      <c r="T746" s="2" t="s">
        <v>23</v>
      </c>
      <c r="U746" s="25">
        <f t="shared" si="45"/>
        <v>26427.000746000002</v>
      </c>
    </row>
    <row r="747" spans="1:21">
      <c r="A747" s="2" t="s">
        <v>1310</v>
      </c>
      <c r="B747" s="2" t="s">
        <v>976</v>
      </c>
      <c r="C747" s="2" t="s">
        <v>35</v>
      </c>
      <c r="D747" s="2">
        <v>54</v>
      </c>
      <c r="E747" s="2" t="str">
        <f t="shared" si="46"/>
        <v>46-60</v>
      </c>
      <c r="F747" s="2" t="s">
        <v>26</v>
      </c>
      <c r="G747" s="2" t="s">
        <v>21</v>
      </c>
      <c r="H747" s="2">
        <v>22</v>
      </c>
      <c r="I747" s="2" t="str">
        <f t="shared" si="44"/>
        <v>13-24 months</v>
      </c>
      <c r="J747" s="3">
        <v>1149</v>
      </c>
      <c r="K747" s="3">
        <v>25278</v>
      </c>
      <c r="L747" s="2" t="s">
        <v>22</v>
      </c>
      <c r="M747" s="4">
        <v>45266</v>
      </c>
      <c r="N747" s="2" t="s">
        <v>23</v>
      </c>
      <c r="O747" s="2">
        <f t="shared" si="47"/>
        <v>0</v>
      </c>
      <c r="P747" s="2" t="s">
        <v>23</v>
      </c>
      <c r="Q747" s="2" t="s">
        <v>23</v>
      </c>
      <c r="R747" s="2" t="s">
        <v>23</v>
      </c>
      <c r="S747" s="2" t="s">
        <v>23</v>
      </c>
      <c r="T747" s="2" t="s">
        <v>23</v>
      </c>
      <c r="U747" s="25">
        <f t="shared" si="45"/>
        <v>25278.000746999998</v>
      </c>
    </row>
    <row r="748" spans="1:21">
      <c r="A748" s="2" t="s">
        <v>1311</v>
      </c>
      <c r="B748" s="2" t="s">
        <v>1312</v>
      </c>
      <c r="C748" s="2" t="s">
        <v>19</v>
      </c>
      <c r="D748" s="2">
        <v>34</v>
      </c>
      <c r="E748" s="2" t="str">
        <f t="shared" si="46"/>
        <v>26-35</v>
      </c>
      <c r="F748" s="2" t="s">
        <v>91</v>
      </c>
      <c r="G748" s="2" t="s">
        <v>47</v>
      </c>
      <c r="H748" s="2">
        <v>36</v>
      </c>
      <c r="I748" s="2" t="str">
        <f t="shared" si="44"/>
        <v>25-48 months</v>
      </c>
      <c r="J748" s="3">
        <v>349</v>
      </c>
      <c r="K748" s="3">
        <v>12564</v>
      </c>
      <c r="L748" s="2" t="s">
        <v>66</v>
      </c>
      <c r="M748" s="4">
        <v>44826</v>
      </c>
      <c r="N748" s="2" t="s">
        <v>23</v>
      </c>
      <c r="O748" s="2">
        <f t="shared" si="47"/>
        <v>0</v>
      </c>
      <c r="P748" s="2" t="s">
        <v>23</v>
      </c>
      <c r="Q748" s="2" t="s">
        <v>23</v>
      </c>
      <c r="R748" s="2" t="s">
        <v>23</v>
      </c>
      <c r="S748" s="2" t="s">
        <v>23</v>
      </c>
      <c r="T748" s="2" t="s">
        <v>23</v>
      </c>
      <c r="U748" s="25">
        <f t="shared" si="45"/>
        <v>12564.000748</v>
      </c>
    </row>
    <row r="749" spans="1:21">
      <c r="A749" s="2" t="s">
        <v>1313</v>
      </c>
      <c r="B749" s="2" t="s">
        <v>841</v>
      </c>
      <c r="C749" s="2" t="s">
        <v>35</v>
      </c>
      <c r="D749" s="2">
        <v>18</v>
      </c>
      <c r="E749" s="2" t="str">
        <f t="shared" si="46"/>
        <v>18-25</v>
      </c>
      <c r="F749" s="2" t="s">
        <v>105</v>
      </c>
      <c r="G749" s="2" t="s">
        <v>27</v>
      </c>
      <c r="H749" s="2">
        <v>4</v>
      </c>
      <c r="I749" s="2" t="str">
        <f t="shared" si="44"/>
        <v>0-6 months</v>
      </c>
      <c r="J749" s="3">
        <v>499</v>
      </c>
      <c r="K749" s="3">
        <v>1996</v>
      </c>
      <c r="L749" s="2" t="s">
        <v>66</v>
      </c>
      <c r="M749" s="4">
        <v>45795</v>
      </c>
      <c r="N749" s="2" t="s">
        <v>23</v>
      </c>
      <c r="O749" s="2">
        <f t="shared" si="47"/>
        <v>0</v>
      </c>
      <c r="P749" s="2" t="s">
        <v>23</v>
      </c>
      <c r="Q749" s="2" t="s">
        <v>23</v>
      </c>
      <c r="R749" s="2" t="s">
        <v>23</v>
      </c>
      <c r="S749" s="2" t="s">
        <v>23</v>
      </c>
      <c r="T749" s="2" t="s">
        <v>23</v>
      </c>
      <c r="U749" s="25">
        <f t="shared" si="45"/>
        <v>1996.000749</v>
      </c>
    </row>
    <row r="750" spans="1:21">
      <c r="A750" s="2" t="s">
        <v>1314</v>
      </c>
      <c r="B750" s="2" t="s">
        <v>1315</v>
      </c>
      <c r="C750" s="2" t="s">
        <v>35</v>
      </c>
      <c r="D750" s="2">
        <v>51</v>
      </c>
      <c r="E750" s="2" t="str">
        <f t="shared" si="46"/>
        <v>46-60</v>
      </c>
      <c r="F750" s="2" t="s">
        <v>60</v>
      </c>
      <c r="G750" s="2" t="s">
        <v>21</v>
      </c>
      <c r="H750" s="2">
        <v>2</v>
      </c>
      <c r="I750" s="2" t="str">
        <f t="shared" si="44"/>
        <v>0-6 months</v>
      </c>
      <c r="J750" s="3">
        <v>999</v>
      </c>
      <c r="K750" s="3">
        <v>1998</v>
      </c>
      <c r="L750" s="2" t="s">
        <v>22</v>
      </c>
      <c r="M750" s="4">
        <v>45855</v>
      </c>
      <c r="N750" s="2" t="s">
        <v>32</v>
      </c>
      <c r="O750" s="2">
        <f t="shared" si="47"/>
        <v>1</v>
      </c>
      <c r="P750" s="2" t="s">
        <v>23</v>
      </c>
      <c r="Q750" s="2" t="s">
        <v>23</v>
      </c>
      <c r="R750" s="2" t="s">
        <v>23</v>
      </c>
      <c r="S750" s="2" t="s">
        <v>23</v>
      </c>
      <c r="T750" s="2" t="s">
        <v>23</v>
      </c>
      <c r="U750" s="25">
        <f t="shared" si="45"/>
        <v>1998.0007499999999</v>
      </c>
    </row>
    <row r="751" spans="1:21">
      <c r="A751" s="2" t="s">
        <v>1316</v>
      </c>
      <c r="B751" s="2" t="s">
        <v>1317</v>
      </c>
      <c r="C751" s="2" t="s">
        <v>35</v>
      </c>
      <c r="D751" s="2">
        <v>43</v>
      </c>
      <c r="E751" s="2" t="str">
        <f t="shared" si="46"/>
        <v>36-45</v>
      </c>
      <c r="F751" s="2" t="s">
        <v>20</v>
      </c>
      <c r="G751" s="2" t="s">
        <v>21</v>
      </c>
      <c r="H751" s="2">
        <v>1</v>
      </c>
      <c r="I751" s="2" t="str">
        <f t="shared" si="44"/>
        <v>0-6 months</v>
      </c>
      <c r="J751" s="3">
        <v>499</v>
      </c>
      <c r="K751" s="3">
        <v>499</v>
      </c>
      <c r="L751" s="2" t="s">
        <v>66</v>
      </c>
      <c r="M751" s="4">
        <v>45869</v>
      </c>
      <c r="N751" s="2" t="s">
        <v>23</v>
      </c>
      <c r="O751" s="2">
        <f t="shared" si="47"/>
        <v>0</v>
      </c>
      <c r="P751" s="2" t="s">
        <v>23</v>
      </c>
      <c r="Q751" s="2" t="s">
        <v>23</v>
      </c>
      <c r="R751" s="2" t="s">
        <v>23</v>
      </c>
      <c r="S751" s="2" t="s">
        <v>23</v>
      </c>
      <c r="T751" s="2" t="s">
        <v>23</v>
      </c>
      <c r="U751" s="25">
        <f t="shared" si="45"/>
        <v>499.00075099999998</v>
      </c>
    </row>
    <row r="752" spans="1:21">
      <c r="A752" s="2" t="s">
        <v>1318</v>
      </c>
      <c r="B752" s="2" t="s">
        <v>620</v>
      </c>
      <c r="C752" s="2" t="s">
        <v>19</v>
      </c>
      <c r="D752" s="2">
        <v>39</v>
      </c>
      <c r="E752" s="2" t="str">
        <f t="shared" si="46"/>
        <v>36-45</v>
      </c>
      <c r="F752" s="2" t="s">
        <v>46</v>
      </c>
      <c r="G752" s="2" t="s">
        <v>21</v>
      </c>
      <c r="H752" s="2">
        <v>1</v>
      </c>
      <c r="I752" s="2" t="str">
        <f t="shared" si="44"/>
        <v>0-6 months</v>
      </c>
      <c r="J752" s="3">
        <v>1099</v>
      </c>
      <c r="K752" s="3">
        <v>1099</v>
      </c>
      <c r="L752" s="2" t="s">
        <v>22</v>
      </c>
      <c r="M752" s="4">
        <v>45878</v>
      </c>
      <c r="N752" s="2" t="s">
        <v>32</v>
      </c>
      <c r="O752" s="2">
        <f t="shared" si="47"/>
        <v>1</v>
      </c>
      <c r="P752" s="2" t="s">
        <v>23</v>
      </c>
      <c r="Q752" s="2" t="s">
        <v>23</v>
      </c>
      <c r="R752" s="2" t="s">
        <v>23</v>
      </c>
      <c r="S752" s="2" t="s">
        <v>23</v>
      </c>
      <c r="T752" s="2" t="s">
        <v>23</v>
      </c>
      <c r="U752" s="25">
        <f t="shared" si="45"/>
        <v>1099.0007519999999</v>
      </c>
    </row>
    <row r="753" spans="1:21">
      <c r="A753" s="2" t="s">
        <v>1319</v>
      </c>
      <c r="B753" s="2" t="s">
        <v>168</v>
      </c>
      <c r="C753" s="2" t="s">
        <v>35</v>
      </c>
      <c r="D753" s="2">
        <v>24</v>
      </c>
      <c r="E753" s="2" t="str">
        <f t="shared" si="46"/>
        <v>18-25</v>
      </c>
      <c r="F753" s="2" t="s">
        <v>60</v>
      </c>
      <c r="G753" s="2" t="s">
        <v>21</v>
      </c>
      <c r="H753" s="2">
        <v>2</v>
      </c>
      <c r="I753" s="2" t="str">
        <f t="shared" si="44"/>
        <v>0-6 months</v>
      </c>
      <c r="J753" s="3">
        <v>899</v>
      </c>
      <c r="K753" s="3">
        <v>1798</v>
      </c>
      <c r="L753" s="2" t="s">
        <v>31</v>
      </c>
      <c r="M753" s="4">
        <v>45866</v>
      </c>
      <c r="N753" s="2" t="s">
        <v>23</v>
      </c>
      <c r="O753" s="2">
        <f t="shared" si="47"/>
        <v>0</v>
      </c>
      <c r="P753" s="2" t="s">
        <v>23</v>
      </c>
      <c r="Q753" s="2" t="s">
        <v>23</v>
      </c>
      <c r="R753" s="2" t="s">
        <v>23</v>
      </c>
      <c r="S753" s="2" t="s">
        <v>23</v>
      </c>
      <c r="T753" s="2" t="s">
        <v>23</v>
      </c>
      <c r="U753" s="25">
        <f t="shared" si="45"/>
        <v>1798.000753</v>
      </c>
    </row>
    <row r="754" spans="1:21">
      <c r="A754" s="2" t="s">
        <v>1320</v>
      </c>
      <c r="B754" s="2" t="s">
        <v>416</v>
      </c>
      <c r="C754" s="2" t="s">
        <v>35</v>
      </c>
      <c r="D754" s="2">
        <v>46</v>
      </c>
      <c r="E754" s="2" t="str">
        <f t="shared" si="46"/>
        <v>46-60</v>
      </c>
      <c r="F754" s="2" t="s">
        <v>91</v>
      </c>
      <c r="G754" s="2" t="s">
        <v>21</v>
      </c>
      <c r="H754" s="2">
        <v>2</v>
      </c>
      <c r="I754" s="2" t="str">
        <f t="shared" si="44"/>
        <v>0-6 months</v>
      </c>
      <c r="J754" s="3">
        <v>349</v>
      </c>
      <c r="K754" s="3">
        <v>698</v>
      </c>
      <c r="L754" s="2" t="s">
        <v>66</v>
      </c>
      <c r="M754" s="4">
        <v>45867</v>
      </c>
      <c r="N754" s="2" t="s">
        <v>23</v>
      </c>
      <c r="O754" s="2">
        <f t="shared" si="47"/>
        <v>0</v>
      </c>
      <c r="P754" s="2" t="s">
        <v>23</v>
      </c>
      <c r="Q754" s="2" t="s">
        <v>23</v>
      </c>
      <c r="R754" s="2" t="s">
        <v>23</v>
      </c>
      <c r="S754" s="2" t="s">
        <v>23</v>
      </c>
      <c r="T754" s="2" t="s">
        <v>23</v>
      </c>
      <c r="U754" s="25">
        <f t="shared" si="45"/>
        <v>698.00075400000003</v>
      </c>
    </row>
    <row r="755" spans="1:21">
      <c r="A755" s="2" t="s">
        <v>1321</v>
      </c>
      <c r="B755" s="2" t="s">
        <v>334</v>
      </c>
      <c r="C755" s="2" t="s">
        <v>35</v>
      </c>
      <c r="D755" s="2">
        <v>57</v>
      </c>
      <c r="E755" s="2" t="str">
        <f t="shared" si="46"/>
        <v>46-60</v>
      </c>
      <c r="F755" s="2" t="s">
        <v>71</v>
      </c>
      <c r="G755" s="2" t="s">
        <v>21</v>
      </c>
      <c r="H755" s="2">
        <v>2</v>
      </c>
      <c r="I755" s="2" t="str">
        <f t="shared" si="44"/>
        <v>0-6 months</v>
      </c>
      <c r="J755" s="3">
        <v>799</v>
      </c>
      <c r="K755" s="3">
        <v>1598</v>
      </c>
      <c r="L755" s="2" t="s">
        <v>31</v>
      </c>
      <c r="M755" s="4">
        <v>45856</v>
      </c>
      <c r="N755" s="2" t="s">
        <v>23</v>
      </c>
      <c r="O755" s="2">
        <f t="shared" si="47"/>
        <v>0</v>
      </c>
      <c r="P755" s="2" t="s">
        <v>23</v>
      </c>
      <c r="Q755" s="2" t="s">
        <v>23</v>
      </c>
      <c r="R755" s="2" t="s">
        <v>23</v>
      </c>
      <c r="S755" s="2" t="s">
        <v>32</v>
      </c>
      <c r="T755" s="2" t="s">
        <v>23</v>
      </c>
      <c r="U755" s="25">
        <f t="shared" si="45"/>
        <v>1598.000755</v>
      </c>
    </row>
    <row r="756" spans="1:21">
      <c r="A756" s="2" t="s">
        <v>1322</v>
      </c>
      <c r="B756" s="2" t="s">
        <v>1323</v>
      </c>
      <c r="C756" s="2" t="s">
        <v>19</v>
      </c>
      <c r="D756" s="2">
        <v>32</v>
      </c>
      <c r="E756" s="2" t="str">
        <f t="shared" si="46"/>
        <v>26-35</v>
      </c>
      <c r="F756" s="2" t="s">
        <v>57</v>
      </c>
      <c r="G756" s="2" t="s">
        <v>27</v>
      </c>
      <c r="H756" s="2">
        <v>1</v>
      </c>
      <c r="I756" s="2" t="str">
        <f t="shared" si="44"/>
        <v>0-6 months</v>
      </c>
      <c r="J756" s="3">
        <v>1099</v>
      </c>
      <c r="K756" s="3">
        <v>1099</v>
      </c>
      <c r="L756" s="2" t="s">
        <v>22</v>
      </c>
      <c r="M756" s="4">
        <v>45870</v>
      </c>
      <c r="N756" s="2" t="s">
        <v>23</v>
      </c>
      <c r="O756" s="2">
        <f t="shared" si="47"/>
        <v>0</v>
      </c>
      <c r="P756" s="2" t="s">
        <v>23</v>
      </c>
      <c r="Q756" s="2" t="s">
        <v>23</v>
      </c>
      <c r="R756" s="2" t="s">
        <v>23</v>
      </c>
      <c r="S756" s="2" t="s">
        <v>23</v>
      </c>
      <c r="T756" s="2" t="s">
        <v>23</v>
      </c>
      <c r="U756" s="25">
        <f t="shared" si="45"/>
        <v>1099.0007559999999</v>
      </c>
    </row>
    <row r="757" spans="1:21">
      <c r="A757" s="2" t="s">
        <v>1324</v>
      </c>
      <c r="B757" s="2" t="s">
        <v>661</v>
      </c>
      <c r="C757" s="2" t="s">
        <v>19</v>
      </c>
      <c r="D757" s="2">
        <v>61</v>
      </c>
      <c r="E757" s="2" t="str">
        <f t="shared" si="46"/>
        <v>60+</v>
      </c>
      <c r="F757" s="2" t="s">
        <v>110</v>
      </c>
      <c r="G757" s="2" t="s">
        <v>21</v>
      </c>
      <c r="H757" s="2">
        <v>19</v>
      </c>
      <c r="I757" s="2" t="str">
        <f t="shared" si="44"/>
        <v>13-24 months</v>
      </c>
      <c r="J757" s="3">
        <v>899</v>
      </c>
      <c r="K757" s="3">
        <v>17081</v>
      </c>
      <c r="L757" s="2" t="s">
        <v>22</v>
      </c>
      <c r="M757" s="4">
        <v>45336</v>
      </c>
      <c r="N757" s="2" t="s">
        <v>32</v>
      </c>
      <c r="O757" s="2">
        <f t="shared" si="47"/>
        <v>1</v>
      </c>
      <c r="P757" s="2" t="s">
        <v>23</v>
      </c>
      <c r="Q757" s="2" t="s">
        <v>23</v>
      </c>
      <c r="R757" s="2" t="s">
        <v>23</v>
      </c>
      <c r="S757" s="2" t="s">
        <v>23</v>
      </c>
      <c r="T757" s="2" t="s">
        <v>23</v>
      </c>
      <c r="U757" s="25">
        <f t="shared" si="45"/>
        <v>17081.000757000002</v>
      </c>
    </row>
    <row r="758" spans="1:21">
      <c r="A758" s="2" t="s">
        <v>1325</v>
      </c>
      <c r="B758" s="2" t="s">
        <v>1326</v>
      </c>
      <c r="C758" s="2" t="s">
        <v>19</v>
      </c>
      <c r="D758" s="2">
        <v>75</v>
      </c>
      <c r="E758" s="2" t="str">
        <f t="shared" si="46"/>
        <v>60+</v>
      </c>
      <c r="F758" s="2" t="s">
        <v>91</v>
      </c>
      <c r="G758" s="2" t="s">
        <v>21</v>
      </c>
      <c r="H758" s="2">
        <v>12</v>
      </c>
      <c r="I758" s="2" t="str">
        <f t="shared" si="44"/>
        <v>7-12 months</v>
      </c>
      <c r="J758" s="3">
        <v>1099</v>
      </c>
      <c r="K758" s="3">
        <v>13188</v>
      </c>
      <c r="L758" s="2" t="s">
        <v>22</v>
      </c>
      <c r="M758" s="4">
        <v>45561</v>
      </c>
      <c r="N758" s="2" t="s">
        <v>32</v>
      </c>
      <c r="O758" s="2">
        <f t="shared" si="47"/>
        <v>1</v>
      </c>
      <c r="P758" s="2" t="s">
        <v>23</v>
      </c>
      <c r="Q758" s="2" t="s">
        <v>23</v>
      </c>
      <c r="R758" s="2" t="s">
        <v>23</v>
      </c>
      <c r="S758" s="2" t="s">
        <v>23</v>
      </c>
      <c r="T758" s="2" t="s">
        <v>23</v>
      </c>
      <c r="U758" s="25">
        <f t="shared" si="45"/>
        <v>13188.000758</v>
      </c>
    </row>
    <row r="759" spans="1:21">
      <c r="A759" s="2" t="s">
        <v>1327</v>
      </c>
      <c r="B759" s="2" t="s">
        <v>1328</v>
      </c>
      <c r="C759" s="2" t="s">
        <v>19</v>
      </c>
      <c r="D759" s="2">
        <v>26</v>
      </c>
      <c r="E759" s="2" t="str">
        <f t="shared" si="46"/>
        <v>26-35</v>
      </c>
      <c r="F759" s="2" t="s">
        <v>46</v>
      </c>
      <c r="G759" s="2" t="s">
        <v>27</v>
      </c>
      <c r="H759" s="2">
        <v>23</v>
      </c>
      <c r="I759" s="2" t="str">
        <f t="shared" si="44"/>
        <v>13-24 months</v>
      </c>
      <c r="J759" s="3">
        <v>1149</v>
      </c>
      <c r="K759" s="3">
        <v>26427</v>
      </c>
      <c r="L759" s="2" t="s">
        <v>22</v>
      </c>
      <c r="M759" s="4">
        <v>45234</v>
      </c>
      <c r="N759" s="2" t="s">
        <v>37</v>
      </c>
      <c r="O759" s="2" t="str">
        <f t="shared" si="47"/>
        <v/>
      </c>
      <c r="P759" s="2" t="s">
        <v>23</v>
      </c>
      <c r="Q759" s="2" t="s">
        <v>23</v>
      </c>
      <c r="R759" s="2" t="s">
        <v>23</v>
      </c>
      <c r="S759" s="2" t="s">
        <v>23</v>
      </c>
      <c r="T759" s="2" t="s">
        <v>38</v>
      </c>
      <c r="U759" s="25">
        <f t="shared" si="45"/>
        <v>26427.000758999999</v>
      </c>
    </row>
    <row r="760" spans="1:21">
      <c r="A760" s="2" t="s">
        <v>1329</v>
      </c>
      <c r="B760" s="2" t="s">
        <v>1330</v>
      </c>
      <c r="C760" s="2" t="s">
        <v>35</v>
      </c>
      <c r="D760" s="2">
        <v>39</v>
      </c>
      <c r="E760" s="2" t="str">
        <f t="shared" si="46"/>
        <v>36-45</v>
      </c>
      <c r="F760" s="2" t="s">
        <v>46</v>
      </c>
      <c r="G760" s="2" t="s">
        <v>21</v>
      </c>
      <c r="H760" s="2">
        <v>19</v>
      </c>
      <c r="I760" s="2" t="str">
        <f t="shared" si="44"/>
        <v>13-24 months</v>
      </c>
      <c r="J760" s="3">
        <v>849</v>
      </c>
      <c r="K760" s="3">
        <v>16131</v>
      </c>
      <c r="L760" s="2" t="s">
        <v>31</v>
      </c>
      <c r="M760" s="4">
        <v>45342</v>
      </c>
      <c r="N760" s="2" t="s">
        <v>32</v>
      </c>
      <c r="O760" s="2">
        <f t="shared" si="47"/>
        <v>1</v>
      </c>
      <c r="P760" s="2" t="s">
        <v>23</v>
      </c>
      <c r="Q760" s="2" t="s">
        <v>23</v>
      </c>
      <c r="R760" s="2" t="s">
        <v>23</v>
      </c>
      <c r="S760" s="2" t="s">
        <v>23</v>
      </c>
      <c r="T760" s="2" t="s">
        <v>23</v>
      </c>
      <c r="U760" s="25">
        <f t="shared" si="45"/>
        <v>16131.000760000001</v>
      </c>
    </row>
    <row r="761" spans="1:21">
      <c r="A761" s="2" t="s">
        <v>1331</v>
      </c>
      <c r="B761" s="2" t="s">
        <v>264</v>
      </c>
      <c r="C761" s="2" t="s">
        <v>19</v>
      </c>
      <c r="D761" s="2">
        <v>30</v>
      </c>
      <c r="E761" s="2" t="str">
        <f t="shared" si="46"/>
        <v>26-35</v>
      </c>
      <c r="F761" s="2" t="s">
        <v>20</v>
      </c>
      <c r="G761" s="2" t="s">
        <v>27</v>
      </c>
      <c r="H761" s="2">
        <v>5</v>
      </c>
      <c r="I761" s="2" t="str">
        <f t="shared" si="44"/>
        <v>0-6 months</v>
      </c>
      <c r="J761" s="3">
        <v>699</v>
      </c>
      <c r="K761" s="3">
        <v>3495</v>
      </c>
      <c r="L761" s="2" t="s">
        <v>31</v>
      </c>
      <c r="M761" s="4">
        <v>45764</v>
      </c>
      <c r="N761" s="2" t="s">
        <v>23</v>
      </c>
      <c r="O761" s="2">
        <f t="shared" si="47"/>
        <v>0</v>
      </c>
      <c r="P761" s="2" t="s">
        <v>23</v>
      </c>
      <c r="Q761" s="2" t="s">
        <v>23</v>
      </c>
      <c r="R761" s="2" t="s">
        <v>23</v>
      </c>
      <c r="S761" s="2" t="s">
        <v>23</v>
      </c>
      <c r="T761" s="2" t="s">
        <v>23</v>
      </c>
      <c r="U761" s="25">
        <f t="shared" si="45"/>
        <v>3495.0007609999998</v>
      </c>
    </row>
    <row r="762" spans="1:21">
      <c r="A762" s="2" t="s">
        <v>1332</v>
      </c>
      <c r="B762" s="2" t="s">
        <v>1333</v>
      </c>
      <c r="C762" s="2" t="s">
        <v>35</v>
      </c>
      <c r="D762" s="2">
        <v>39</v>
      </c>
      <c r="E762" s="2" t="str">
        <f t="shared" si="46"/>
        <v>36-45</v>
      </c>
      <c r="F762" s="2" t="s">
        <v>91</v>
      </c>
      <c r="G762" s="2" t="s">
        <v>21</v>
      </c>
      <c r="H762" s="2">
        <v>4</v>
      </c>
      <c r="I762" s="2" t="str">
        <f t="shared" si="44"/>
        <v>0-6 months</v>
      </c>
      <c r="J762" s="3">
        <v>749</v>
      </c>
      <c r="K762" s="3">
        <v>2996</v>
      </c>
      <c r="L762" s="2" t="s">
        <v>31</v>
      </c>
      <c r="M762" s="4">
        <v>45779</v>
      </c>
      <c r="N762" s="2" t="s">
        <v>32</v>
      </c>
      <c r="O762" s="2">
        <f t="shared" si="47"/>
        <v>1</v>
      </c>
      <c r="P762" s="2" t="s">
        <v>23</v>
      </c>
      <c r="Q762" s="2" t="s">
        <v>23</v>
      </c>
      <c r="R762" s="2" t="s">
        <v>23</v>
      </c>
      <c r="S762" s="2" t="s">
        <v>23</v>
      </c>
      <c r="T762" s="2" t="s">
        <v>23</v>
      </c>
      <c r="U762" s="25">
        <f t="shared" si="45"/>
        <v>2996.0007620000001</v>
      </c>
    </row>
    <row r="763" spans="1:21">
      <c r="A763" s="2" t="s">
        <v>1334</v>
      </c>
      <c r="B763" s="2" t="s">
        <v>612</v>
      </c>
      <c r="C763" s="2" t="s">
        <v>19</v>
      </c>
      <c r="D763" s="2">
        <v>32</v>
      </c>
      <c r="E763" s="2" t="str">
        <f t="shared" si="46"/>
        <v>26-35</v>
      </c>
      <c r="F763" s="2" t="s">
        <v>60</v>
      </c>
      <c r="G763" s="2" t="s">
        <v>27</v>
      </c>
      <c r="H763" s="2">
        <v>22</v>
      </c>
      <c r="I763" s="2" t="str">
        <f t="shared" si="44"/>
        <v>13-24 months</v>
      </c>
      <c r="J763" s="3">
        <v>899</v>
      </c>
      <c r="K763" s="3">
        <v>19778</v>
      </c>
      <c r="L763" s="2" t="s">
        <v>31</v>
      </c>
      <c r="M763" s="4">
        <v>45263</v>
      </c>
      <c r="N763" s="2" t="s">
        <v>23</v>
      </c>
      <c r="O763" s="2">
        <f t="shared" si="47"/>
        <v>0</v>
      </c>
      <c r="P763" s="2" t="s">
        <v>23</v>
      </c>
      <c r="Q763" s="2" t="s">
        <v>23</v>
      </c>
      <c r="R763" s="2" t="s">
        <v>23</v>
      </c>
      <c r="S763" s="2" t="s">
        <v>23</v>
      </c>
      <c r="T763" s="2" t="s">
        <v>23</v>
      </c>
      <c r="U763" s="25">
        <f t="shared" si="45"/>
        <v>19778.000763</v>
      </c>
    </row>
    <row r="764" spans="1:21">
      <c r="A764" s="2" t="s">
        <v>1335</v>
      </c>
      <c r="B764" s="2" t="s">
        <v>501</v>
      </c>
      <c r="C764" s="2" t="s">
        <v>19</v>
      </c>
      <c r="D764" s="2">
        <v>22</v>
      </c>
      <c r="E764" s="2" t="str">
        <f t="shared" si="46"/>
        <v>18-25</v>
      </c>
      <c r="F764" s="2" t="s">
        <v>30</v>
      </c>
      <c r="G764" s="2" t="s">
        <v>21</v>
      </c>
      <c r="H764" s="2">
        <v>10</v>
      </c>
      <c r="I764" s="2" t="str">
        <f t="shared" si="44"/>
        <v>7-12 months</v>
      </c>
      <c r="J764" s="3">
        <v>749</v>
      </c>
      <c r="K764" s="3">
        <v>7490</v>
      </c>
      <c r="L764" s="2" t="s">
        <v>31</v>
      </c>
      <c r="M764" s="4">
        <v>45617</v>
      </c>
      <c r="N764" s="2" t="s">
        <v>23</v>
      </c>
      <c r="O764" s="2">
        <f t="shared" si="47"/>
        <v>0</v>
      </c>
      <c r="P764" s="2" t="s">
        <v>23</v>
      </c>
      <c r="Q764" s="2" t="s">
        <v>23</v>
      </c>
      <c r="R764" s="2" t="s">
        <v>23</v>
      </c>
      <c r="S764" s="2" t="s">
        <v>23</v>
      </c>
      <c r="T764" s="2" t="s">
        <v>23</v>
      </c>
      <c r="U764" s="25">
        <f t="shared" si="45"/>
        <v>7490.0007640000003</v>
      </c>
    </row>
    <row r="765" spans="1:21">
      <c r="A765" s="2" t="s">
        <v>1336</v>
      </c>
      <c r="B765" s="2" t="s">
        <v>277</v>
      </c>
      <c r="C765" s="2" t="s">
        <v>19</v>
      </c>
      <c r="D765" s="2">
        <v>30</v>
      </c>
      <c r="E765" s="2" t="str">
        <f t="shared" si="46"/>
        <v>26-35</v>
      </c>
      <c r="F765" s="2" t="s">
        <v>46</v>
      </c>
      <c r="G765" s="2" t="s">
        <v>21</v>
      </c>
      <c r="H765" s="2">
        <v>24</v>
      </c>
      <c r="I765" s="2" t="str">
        <f t="shared" si="44"/>
        <v>13-24 months</v>
      </c>
      <c r="J765" s="3">
        <v>549</v>
      </c>
      <c r="K765" s="3">
        <v>13176</v>
      </c>
      <c r="L765" s="2" t="s">
        <v>66</v>
      </c>
      <c r="M765" s="4">
        <v>45202</v>
      </c>
      <c r="N765" s="2" t="s">
        <v>32</v>
      </c>
      <c r="O765" s="2">
        <f t="shared" si="47"/>
        <v>1</v>
      </c>
      <c r="P765" s="2" t="s">
        <v>23</v>
      </c>
      <c r="Q765" s="2" t="s">
        <v>23</v>
      </c>
      <c r="R765" s="2" t="s">
        <v>23</v>
      </c>
      <c r="S765" s="2" t="s">
        <v>23</v>
      </c>
      <c r="T765" s="2" t="s">
        <v>23</v>
      </c>
      <c r="U765" s="25">
        <f t="shared" si="45"/>
        <v>13176.000765000001</v>
      </c>
    </row>
    <row r="766" spans="1:21">
      <c r="A766" s="2" t="s">
        <v>1337</v>
      </c>
      <c r="B766" s="2" t="s">
        <v>316</v>
      </c>
      <c r="C766" s="2" t="s">
        <v>19</v>
      </c>
      <c r="D766" s="2">
        <v>24</v>
      </c>
      <c r="E766" s="2" t="str">
        <f t="shared" si="46"/>
        <v>18-25</v>
      </c>
      <c r="F766" s="2" t="s">
        <v>36</v>
      </c>
      <c r="G766" s="2" t="s">
        <v>47</v>
      </c>
      <c r="H766" s="2">
        <v>15</v>
      </c>
      <c r="I766" s="2" t="str">
        <f t="shared" si="44"/>
        <v>13-24 months</v>
      </c>
      <c r="J766" s="3">
        <v>699</v>
      </c>
      <c r="K766" s="3">
        <v>10485</v>
      </c>
      <c r="L766" s="2" t="s">
        <v>31</v>
      </c>
      <c r="M766" s="4">
        <v>45467</v>
      </c>
      <c r="N766" s="2" t="s">
        <v>23</v>
      </c>
      <c r="O766" s="2">
        <f t="shared" si="47"/>
        <v>0</v>
      </c>
      <c r="P766" s="2" t="s">
        <v>23</v>
      </c>
      <c r="Q766" s="2" t="s">
        <v>23</v>
      </c>
      <c r="R766" s="2" t="s">
        <v>23</v>
      </c>
      <c r="S766" s="2" t="s">
        <v>23</v>
      </c>
      <c r="T766" s="2" t="s">
        <v>23</v>
      </c>
      <c r="U766" s="25">
        <f t="shared" si="45"/>
        <v>10485.000765999999</v>
      </c>
    </row>
    <row r="767" spans="1:21">
      <c r="A767" s="2" t="s">
        <v>1338</v>
      </c>
      <c r="B767" s="2" t="s">
        <v>1206</v>
      </c>
      <c r="C767" s="2" t="s">
        <v>35</v>
      </c>
      <c r="D767" s="2">
        <v>69</v>
      </c>
      <c r="E767" s="2" t="str">
        <f t="shared" si="46"/>
        <v>60+</v>
      </c>
      <c r="F767" s="2" t="s">
        <v>91</v>
      </c>
      <c r="G767" s="2" t="s">
        <v>47</v>
      </c>
      <c r="H767" s="2">
        <v>9</v>
      </c>
      <c r="I767" s="2" t="str">
        <f t="shared" si="44"/>
        <v>7-12 months</v>
      </c>
      <c r="J767" s="3">
        <v>399</v>
      </c>
      <c r="K767" s="3">
        <v>3591</v>
      </c>
      <c r="L767" s="2" t="s">
        <v>66</v>
      </c>
      <c r="M767" s="4">
        <v>45652</v>
      </c>
      <c r="N767" s="2" t="s">
        <v>23</v>
      </c>
      <c r="O767" s="2">
        <f t="shared" si="47"/>
        <v>0</v>
      </c>
      <c r="P767" s="2" t="s">
        <v>23</v>
      </c>
      <c r="Q767" s="2" t="s">
        <v>23</v>
      </c>
      <c r="R767" s="2" t="s">
        <v>23</v>
      </c>
      <c r="S767" s="2" t="s">
        <v>23</v>
      </c>
      <c r="T767" s="2" t="s">
        <v>23</v>
      </c>
      <c r="U767" s="25">
        <f t="shared" si="45"/>
        <v>3591.000767</v>
      </c>
    </row>
    <row r="768" spans="1:21">
      <c r="A768" s="2" t="s">
        <v>1339</v>
      </c>
      <c r="B768" s="2" t="s">
        <v>208</v>
      </c>
      <c r="C768" s="2" t="s">
        <v>35</v>
      </c>
      <c r="D768" s="2">
        <v>56</v>
      </c>
      <c r="E768" s="2" t="str">
        <f t="shared" si="46"/>
        <v>46-60</v>
      </c>
      <c r="F768" s="2" t="s">
        <v>105</v>
      </c>
      <c r="G768" s="2" t="s">
        <v>47</v>
      </c>
      <c r="H768" s="2">
        <v>6</v>
      </c>
      <c r="I768" s="2" t="str">
        <f t="shared" si="44"/>
        <v>0-6 months</v>
      </c>
      <c r="J768" s="3">
        <v>899</v>
      </c>
      <c r="K768" s="3">
        <v>5394</v>
      </c>
      <c r="L768" s="2" t="s">
        <v>31</v>
      </c>
      <c r="M768" s="4">
        <v>45731</v>
      </c>
      <c r="N768" s="2" t="s">
        <v>23</v>
      </c>
      <c r="O768" s="2">
        <f t="shared" si="47"/>
        <v>0</v>
      </c>
      <c r="P768" s="2" t="s">
        <v>23</v>
      </c>
      <c r="Q768" s="2" t="s">
        <v>32</v>
      </c>
      <c r="R768" s="2" t="s">
        <v>23</v>
      </c>
      <c r="S768" s="2" t="s">
        <v>23</v>
      </c>
      <c r="T768" s="2" t="s">
        <v>23</v>
      </c>
      <c r="U768" s="25">
        <f t="shared" si="45"/>
        <v>5394.0007679999999</v>
      </c>
    </row>
    <row r="769" spans="1:21">
      <c r="A769" s="2" t="s">
        <v>1340</v>
      </c>
      <c r="B769" s="2" t="s">
        <v>1341</v>
      </c>
      <c r="C769" s="2" t="s">
        <v>35</v>
      </c>
      <c r="D769" s="2">
        <v>33</v>
      </c>
      <c r="E769" s="2" t="str">
        <f t="shared" si="46"/>
        <v>26-35</v>
      </c>
      <c r="F769" s="2" t="s">
        <v>36</v>
      </c>
      <c r="G769" s="2" t="s">
        <v>27</v>
      </c>
      <c r="H769" s="2">
        <v>9</v>
      </c>
      <c r="I769" s="2" t="str">
        <f t="shared" si="44"/>
        <v>7-12 months</v>
      </c>
      <c r="J769" s="3">
        <v>899</v>
      </c>
      <c r="K769" s="3">
        <v>8091</v>
      </c>
      <c r="L769" s="2" t="s">
        <v>31</v>
      </c>
      <c r="M769" s="4">
        <v>45652</v>
      </c>
      <c r="N769" s="2" t="s">
        <v>23</v>
      </c>
      <c r="O769" s="2">
        <f t="shared" si="47"/>
        <v>0</v>
      </c>
      <c r="P769" s="2" t="s">
        <v>23</v>
      </c>
      <c r="Q769" s="2" t="s">
        <v>23</v>
      </c>
      <c r="R769" s="2" t="s">
        <v>23</v>
      </c>
      <c r="S769" s="2" t="s">
        <v>23</v>
      </c>
      <c r="T769" s="2" t="s">
        <v>23</v>
      </c>
      <c r="U769" s="25">
        <f t="shared" si="45"/>
        <v>8091.0007690000002</v>
      </c>
    </row>
    <row r="770" spans="1:21">
      <c r="A770" s="2" t="s">
        <v>1342</v>
      </c>
      <c r="B770" s="2" t="s">
        <v>774</v>
      </c>
      <c r="C770" s="2" t="s">
        <v>19</v>
      </c>
      <c r="D770" s="2">
        <v>57</v>
      </c>
      <c r="E770" s="2" t="str">
        <f t="shared" si="46"/>
        <v>46-60</v>
      </c>
      <c r="F770" s="2" t="s">
        <v>41</v>
      </c>
      <c r="G770" s="2" t="s">
        <v>21</v>
      </c>
      <c r="H770" s="2">
        <v>21</v>
      </c>
      <c r="I770" s="2" t="str">
        <f t="shared" ref="I770:I833" si="48">IF(H770="","Unknown",IF(H770&lt;=6,"0-6 months",IF(H770&lt;=12,"7-12 months",IF(H770&lt;=24,"13-24 months",IF(H770&lt;=48,"25-48 months","49+ months")))))</f>
        <v>13-24 months</v>
      </c>
      <c r="J770" s="3">
        <v>1149</v>
      </c>
      <c r="K770" s="3">
        <v>24129</v>
      </c>
      <c r="L770" s="2" t="s">
        <v>22</v>
      </c>
      <c r="M770" s="4">
        <v>45284</v>
      </c>
      <c r="N770" s="2" t="s">
        <v>23</v>
      </c>
      <c r="O770" s="2">
        <f t="shared" si="47"/>
        <v>0</v>
      </c>
      <c r="P770" s="2" t="s">
        <v>23</v>
      </c>
      <c r="Q770" s="2" t="s">
        <v>23</v>
      </c>
      <c r="R770" s="2" t="s">
        <v>23</v>
      </c>
      <c r="S770" s="2" t="s">
        <v>23</v>
      </c>
      <c r="T770" s="2" t="s">
        <v>23</v>
      </c>
      <c r="U770" s="25">
        <f t="shared" ref="U770:U833" si="49">IF(K770="","",K770+ROW()/1000000)</f>
        <v>24129.000769999999</v>
      </c>
    </row>
    <row r="771" spans="1:21">
      <c r="A771" s="2" t="s">
        <v>1343</v>
      </c>
      <c r="B771" s="2" t="s">
        <v>527</v>
      </c>
      <c r="C771" s="2" t="s">
        <v>19</v>
      </c>
      <c r="D771" s="2">
        <v>41</v>
      </c>
      <c r="E771" s="2" t="str">
        <f t="shared" ref="E771:E834" si="50">IF(D771&lt;=25,"18-25",IF(D771&lt;=35,"26-35",IF(D771&lt;=45,"36-45",IF(D771&lt;=60,"46-60","60+"))))</f>
        <v>36-45</v>
      </c>
      <c r="F771" s="2" t="s">
        <v>26</v>
      </c>
      <c r="G771" s="2" t="s">
        <v>27</v>
      </c>
      <c r="H771" s="2">
        <v>32</v>
      </c>
      <c r="I771" s="2" t="str">
        <f t="shared" si="48"/>
        <v>25-48 months</v>
      </c>
      <c r="J771" s="3">
        <v>1049</v>
      </c>
      <c r="K771" s="3">
        <v>33568</v>
      </c>
      <c r="L771" s="2" t="s">
        <v>22</v>
      </c>
      <c r="M771" s="4">
        <v>44939</v>
      </c>
      <c r="N771" s="2" t="s">
        <v>23</v>
      </c>
      <c r="O771" s="2">
        <f t="shared" ref="O771:O834" si="51">IF(N771="Yes",1,IF(N771="No",0,""))</f>
        <v>0</v>
      </c>
      <c r="P771" s="2" t="s">
        <v>23</v>
      </c>
      <c r="Q771" s="2" t="s">
        <v>23</v>
      </c>
      <c r="R771" s="2" t="s">
        <v>23</v>
      </c>
      <c r="S771" s="2" t="s">
        <v>23</v>
      </c>
      <c r="T771" s="2" t="s">
        <v>23</v>
      </c>
      <c r="U771" s="25">
        <f t="shared" si="49"/>
        <v>33568.000770999999</v>
      </c>
    </row>
    <row r="772" spans="1:21">
      <c r="A772" s="2" t="s">
        <v>1344</v>
      </c>
      <c r="B772" s="2" t="s">
        <v>1345</v>
      </c>
      <c r="C772" s="2" t="s">
        <v>19</v>
      </c>
      <c r="D772" s="2">
        <v>75</v>
      </c>
      <c r="E772" s="2" t="str">
        <f t="shared" si="50"/>
        <v>60+</v>
      </c>
      <c r="F772" s="2" t="s">
        <v>20</v>
      </c>
      <c r="G772" s="2" t="s">
        <v>21</v>
      </c>
      <c r="H772" s="2">
        <v>7</v>
      </c>
      <c r="I772" s="2" t="str">
        <f t="shared" si="48"/>
        <v>7-12 months</v>
      </c>
      <c r="J772" s="3">
        <v>699</v>
      </c>
      <c r="K772" s="3">
        <v>4893</v>
      </c>
      <c r="L772" s="2" t="s">
        <v>31</v>
      </c>
      <c r="M772" s="4">
        <v>45689</v>
      </c>
      <c r="N772" s="2" t="s">
        <v>23</v>
      </c>
      <c r="O772" s="2">
        <f t="shared" si="51"/>
        <v>0</v>
      </c>
      <c r="P772" s="2" t="s">
        <v>23</v>
      </c>
      <c r="Q772" s="2" t="s">
        <v>23</v>
      </c>
      <c r="R772" s="2" t="s">
        <v>23</v>
      </c>
      <c r="S772" s="2" t="s">
        <v>23</v>
      </c>
      <c r="T772" s="2" t="s">
        <v>23</v>
      </c>
      <c r="U772" s="25">
        <f t="shared" si="49"/>
        <v>4893.0007720000003</v>
      </c>
    </row>
    <row r="773" spans="1:21">
      <c r="A773" s="2" t="s">
        <v>1346</v>
      </c>
      <c r="B773" s="2" t="s">
        <v>1347</v>
      </c>
      <c r="C773" s="2" t="s">
        <v>35</v>
      </c>
      <c r="D773" s="2">
        <v>23</v>
      </c>
      <c r="E773" s="2" t="str">
        <f t="shared" si="50"/>
        <v>18-25</v>
      </c>
      <c r="F773" s="2" t="s">
        <v>63</v>
      </c>
      <c r="G773" s="2" t="s">
        <v>27</v>
      </c>
      <c r="H773" s="2">
        <v>34</v>
      </c>
      <c r="I773" s="2" t="str">
        <f t="shared" si="48"/>
        <v>25-48 months</v>
      </c>
      <c r="J773" s="3">
        <v>699</v>
      </c>
      <c r="K773" s="3">
        <v>23766</v>
      </c>
      <c r="L773" s="2" t="s">
        <v>31</v>
      </c>
      <c r="M773" s="4">
        <v>44892</v>
      </c>
      <c r="N773" s="2" t="s">
        <v>32</v>
      </c>
      <c r="O773" s="2">
        <f t="shared" si="51"/>
        <v>1</v>
      </c>
      <c r="P773" s="2" t="s">
        <v>23</v>
      </c>
      <c r="Q773" s="2" t="s">
        <v>23</v>
      </c>
      <c r="R773" s="2" t="s">
        <v>23</v>
      </c>
      <c r="S773" s="2" t="s">
        <v>32</v>
      </c>
      <c r="T773" s="2" t="s">
        <v>23</v>
      </c>
      <c r="U773" s="25">
        <f t="shared" si="49"/>
        <v>23766.000773</v>
      </c>
    </row>
    <row r="774" spans="1:21">
      <c r="A774" s="2" t="s">
        <v>1348</v>
      </c>
      <c r="B774" s="2" t="s">
        <v>944</v>
      </c>
      <c r="C774" s="2" t="s">
        <v>35</v>
      </c>
      <c r="D774" s="2">
        <v>47</v>
      </c>
      <c r="E774" s="2" t="str">
        <f t="shared" si="50"/>
        <v>46-60</v>
      </c>
      <c r="F774" s="2" t="s">
        <v>105</v>
      </c>
      <c r="G774" s="2" t="s">
        <v>21</v>
      </c>
      <c r="H774" s="2">
        <v>11</v>
      </c>
      <c r="I774" s="2" t="str">
        <f t="shared" si="48"/>
        <v>7-12 months</v>
      </c>
      <c r="J774" s="3">
        <v>349</v>
      </c>
      <c r="K774" s="3">
        <v>3839</v>
      </c>
      <c r="L774" s="2" t="s">
        <v>66</v>
      </c>
      <c r="M774" s="4">
        <v>45591</v>
      </c>
      <c r="N774" s="2" t="s">
        <v>32</v>
      </c>
      <c r="O774" s="2">
        <f t="shared" si="51"/>
        <v>1</v>
      </c>
      <c r="P774" s="2" t="s">
        <v>23</v>
      </c>
      <c r="Q774" s="2" t="s">
        <v>23</v>
      </c>
      <c r="R774" s="2" t="s">
        <v>23</v>
      </c>
      <c r="S774" s="2" t="s">
        <v>32</v>
      </c>
      <c r="T774" s="2" t="s">
        <v>23</v>
      </c>
      <c r="U774" s="25">
        <f t="shared" si="49"/>
        <v>3839.0007740000001</v>
      </c>
    </row>
    <row r="775" spans="1:21">
      <c r="A775" s="2" t="s">
        <v>1349</v>
      </c>
      <c r="B775" s="2" t="s">
        <v>1350</v>
      </c>
      <c r="C775" s="2" t="s">
        <v>35</v>
      </c>
      <c r="D775" s="2">
        <v>75</v>
      </c>
      <c r="E775" s="2" t="str">
        <f t="shared" si="50"/>
        <v>60+</v>
      </c>
      <c r="F775" s="2" t="s">
        <v>41</v>
      </c>
      <c r="G775" s="2" t="s">
        <v>21</v>
      </c>
      <c r="H775" s="2">
        <v>18</v>
      </c>
      <c r="I775" s="2" t="str">
        <f t="shared" si="48"/>
        <v>13-24 months</v>
      </c>
      <c r="J775" s="3">
        <v>899</v>
      </c>
      <c r="K775" s="3">
        <v>16182</v>
      </c>
      <c r="L775" s="2" t="s">
        <v>22</v>
      </c>
      <c r="M775" s="4">
        <v>45385</v>
      </c>
      <c r="N775" s="2" t="s">
        <v>23</v>
      </c>
      <c r="O775" s="2">
        <f t="shared" si="51"/>
        <v>0</v>
      </c>
      <c r="P775" s="2" t="s">
        <v>23</v>
      </c>
      <c r="Q775" s="2" t="s">
        <v>23</v>
      </c>
      <c r="R775" s="2" t="s">
        <v>23</v>
      </c>
      <c r="S775" s="2" t="s">
        <v>23</v>
      </c>
      <c r="T775" s="2" t="s">
        <v>23</v>
      </c>
      <c r="U775" s="25">
        <f t="shared" si="49"/>
        <v>16182.000775</v>
      </c>
    </row>
    <row r="776" spans="1:21">
      <c r="A776" s="2" t="s">
        <v>1351</v>
      </c>
      <c r="B776" s="2" t="s">
        <v>1352</v>
      </c>
      <c r="C776" s="2" t="s">
        <v>19</v>
      </c>
      <c r="D776" s="2">
        <v>20</v>
      </c>
      <c r="E776" s="2" t="str">
        <f t="shared" si="50"/>
        <v>18-25</v>
      </c>
      <c r="F776" s="2" t="s">
        <v>26</v>
      </c>
      <c r="G776" s="2" t="s">
        <v>21</v>
      </c>
      <c r="H776" s="2">
        <v>11</v>
      </c>
      <c r="I776" s="2" t="str">
        <f t="shared" si="48"/>
        <v>7-12 months</v>
      </c>
      <c r="J776" s="3">
        <v>699</v>
      </c>
      <c r="K776" s="3">
        <v>7689</v>
      </c>
      <c r="L776" s="2" t="s">
        <v>31</v>
      </c>
      <c r="M776" s="4">
        <v>45579</v>
      </c>
      <c r="N776" s="2" t="s">
        <v>32</v>
      </c>
      <c r="O776" s="2">
        <f t="shared" si="51"/>
        <v>1</v>
      </c>
      <c r="P776" s="2" t="s">
        <v>23</v>
      </c>
      <c r="Q776" s="2" t="s">
        <v>23</v>
      </c>
      <c r="R776" s="2" t="s">
        <v>23</v>
      </c>
      <c r="S776" s="2" t="s">
        <v>23</v>
      </c>
      <c r="T776" s="2" t="s">
        <v>23</v>
      </c>
      <c r="U776" s="25">
        <f t="shared" si="49"/>
        <v>7689.0007759999999</v>
      </c>
    </row>
    <row r="777" spans="1:21">
      <c r="A777" s="2" t="s">
        <v>1353</v>
      </c>
      <c r="B777" s="2" t="s">
        <v>1254</v>
      </c>
      <c r="C777" s="2" t="s">
        <v>19</v>
      </c>
      <c r="D777" s="2">
        <v>18</v>
      </c>
      <c r="E777" s="2" t="str">
        <f t="shared" si="50"/>
        <v>18-25</v>
      </c>
      <c r="F777" s="2" t="s">
        <v>110</v>
      </c>
      <c r="G777" s="2" t="s">
        <v>21</v>
      </c>
      <c r="H777" s="2">
        <v>13</v>
      </c>
      <c r="I777" s="2" t="str">
        <f t="shared" si="48"/>
        <v>13-24 months</v>
      </c>
      <c r="J777" s="3">
        <v>549</v>
      </c>
      <c r="K777" s="3">
        <v>7137</v>
      </c>
      <c r="L777" s="2" t="s">
        <v>66</v>
      </c>
      <c r="M777" s="4">
        <v>45538</v>
      </c>
      <c r="N777" s="2" t="s">
        <v>23</v>
      </c>
      <c r="O777" s="2">
        <f t="shared" si="51"/>
        <v>0</v>
      </c>
      <c r="P777" s="2" t="s">
        <v>23</v>
      </c>
      <c r="Q777" s="2" t="s">
        <v>23</v>
      </c>
      <c r="R777" s="2" t="s">
        <v>23</v>
      </c>
      <c r="S777" s="2" t="s">
        <v>23</v>
      </c>
      <c r="T777" s="2" t="s">
        <v>23</v>
      </c>
      <c r="U777" s="25">
        <f t="shared" si="49"/>
        <v>7137.0007770000002</v>
      </c>
    </row>
    <row r="778" spans="1:21">
      <c r="A778" s="2" t="s">
        <v>1354</v>
      </c>
      <c r="B778" s="2" t="s">
        <v>1355</v>
      </c>
      <c r="C778" s="2" t="s">
        <v>35</v>
      </c>
      <c r="D778" s="2">
        <v>73</v>
      </c>
      <c r="E778" s="2" t="str">
        <f t="shared" si="50"/>
        <v>60+</v>
      </c>
      <c r="F778" s="2" t="s">
        <v>105</v>
      </c>
      <c r="G778" s="2" t="s">
        <v>21</v>
      </c>
      <c r="H778" s="2">
        <v>7</v>
      </c>
      <c r="I778" s="2" t="str">
        <f t="shared" si="48"/>
        <v>7-12 months</v>
      </c>
      <c r="J778" s="3">
        <v>999</v>
      </c>
      <c r="K778" s="3">
        <v>6993</v>
      </c>
      <c r="L778" s="2" t="s">
        <v>22</v>
      </c>
      <c r="M778" s="4">
        <v>45701</v>
      </c>
      <c r="N778" s="2" t="s">
        <v>23</v>
      </c>
      <c r="O778" s="2">
        <f t="shared" si="51"/>
        <v>0</v>
      </c>
      <c r="P778" s="2" t="s">
        <v>23</v>
      </c>
      <c r="Q778" s="2" t="s">
        <v>23</v>
      </c>
      <c r="R778" s="2" t="s">
        <v>23</v>
      </c>
      <c r="S778" s="2" t="s">
        <v>23</v>
      </c>
      <c r="T778" s="2" t="s">
        <v>23</v>
      </c>
      <c r="U778" s="25">
        <f t="shared" si="49"/>
        <v>6993.0007779999996</v>
      </c>
    </row>
    <row r="779" spans="1:21">
      <c r="A779" s="2" t="s">
        <v>1356</v>
      </c>
      <c r="B779" s="2" t="s">
        <v>1357</v>
      </c>
      <c r="C779" s="2" t="s">
        <v>35</v>
      </c>
      <c r="D779" s="2">
        <v>68</v>
      </c>
      <c r="E779" s="2" t="str">
        <f t="shared" si="50"/>
        <v>60+</v>
      </c>
      <c r="F779" s="2" t="s">
        <v>41</v>
      </c>
      <c r="G779" s="2" t="s">
        <v>21</v>
      </c>
      <c r="H779" s="2">
        <v>23</v>
      </c>
      <c r="I779" s="2" t="str">
        <f t="shared" si="48"/>
        <v>13-24 months</v>
      </c>
      <c r="J779" s="3">
        <v>749</v>
      </c>
      <c r="K779" s="3">
        <v>17227</v>
      </c>
      <c r="L779" s="2" t="s">
        <v>31</v>
      </c>
      <c r="M779" s="4">
        <v>45221</v>
      </c>
      <c r="N779" s="2" t="s">
        <v>23</v>
      </c>
      <c r="O779" s="2">
        <f t="shared" si="51"/>
        <v>0</v>
      </c>
      <c r="P779" s="2" t="s">
        <v>23</v>
      </c>
      <c r="Q779" s="2" t="s">
        <v>23</v>
      </c>
      <c r="R779" s="2" t="s">
        <v>32</v>
      </c>
      <c r="S779" s="2" t="s">
        <v>23</v>
      </c>
      <c r="T779" s="2" t="s">
        <v>23</v>
      </c>
      <c r="U779" s="25">
        <f t="shared" si="49"/>
        <v>17227.000779000002</v>
      </c>
    </row>
    <row r="780" spans="1:21">
      <c r="A780" s="2" t="s">
        <v>1358</v>
      </c>
      <c r="B780" s="2" t="s">
        <v>1359</v>
      </c>
      <c r="C780" s="2" t="s">
        <v>19</v>
      </c>
      <c r="D780" s="2">
        <v>54</v>
      </c>
      <c r="E780" s="2" t="str">
        <f t="shared" si="50"/>
        <v>46-60</v>
      </c>
      <c r="F780" s="2" t="s">
        <v>57</v>
      </c>
      <c r="G780" s="2" t="s">
        <v>21</v>
      </c>
      <c r="H780" s="2">
        <v>1</v>
      </c>
      <c r="I780" s="2" t="str">
        <f t="shared" si="48"/>
        <v>0-6 months</v>
      </c>
      <c r="J780" s="3">
        <v>449</v>
      </c>
      <c r="K780" s="3">
        <v>449</v>
      </c>
      <c r="L780" s="2" t="s">
        <v>66</v>
      </c>
      <c r="M780" s="4">
        <v>45885</v>
      </c>
      <c r="N780" s="2" t="s">
        <v>32</v>
      </c>
      <c r="O780" s="2">
        <f t="shared" si="51"/>
        <v>1</v>
      </c>
      <c r="P780" s="2" t="s">
        <v>23</v>
      </c>
      <c r="Q780" s="2" t="s">
        <v>23</v>
      </c>
      <c r="R780" s="2" t="s">
        <v>23</v>
      </c>
      <c r="S780" s="2" t="s">
        <v>23</v>
      </c>
      <c r="T780" s="2" t="s">
        <v>23</v>
      </c>
      <c r="U780" s="25">
        <f t="shared" si="49"/>
        <v>449.00078000000002</v>
      </c>
    </row>
    <row r="781" spans="1:21">
      <c r="A781" s="2" t="s">
        <v>1360</v>
      </c>
      <c r="B781" s="2" t="s">
        <v>1361</v>
      </c>
      <c r="C781" s="2" t="s">
        <v>35</v>
      </c>
      <c r="D781" s="2">
        <v>52</v>
      </c>
      <c r="E781" s="2" t="str">
        <f t="shared" si="50"/>
        <v>46-60</v>
      </c>
      <c r="F781" s="2" t="s">
        <v>37</v>
      </c>
      <c r="G781" s="2" t="s">
        <v>21</v>
      </c>
      <c r="H781" s="2">
        <v>2</v>
      </c>
      <c r="I781" s="2" t="str">
        <f t="shared" si="48"/>
        <v>0-6 months</v>
      </c>
      <c r="J781" s="3">
        <v>649</v>
      </c>
      <c r="K781" s="3">
        <v>1298</v>
      </c>
      <c r="L781" s="2" t="s">
        <v>31</v>
      </c>
      <c r="M781" s="4">
        <v>45843</v>
      </c>
      <c r="N781" s="2" t="s">
        <v>32</v>
      </c>
      <c r="O781" s="2">
        <f t="shared" si="51"/>
        <v>1</v>
      </c>
      <c r="P781" s="2" t="s">
        <v>23</v>
      </c>
      <c r="Q781" s="2" t="s">
        <v>23</v>
      </c>
      <c r="R781" s="2" t="s">
        <v>23</v>
      </c>
      <c r="S781" s="2" t="s">
        <v>23</v>
      </c>
      <c r="T781" s="2" t="s">
        <v>23</v>
      </c>
      <c r="U781" s="25">
        <f t="shared" si="49"/>
        <v>1298.000781</v>
      </c>
    </row>
    <row r="782" spans="1:21">
      <c r="A782" s="2" t="s">
        <v>1362</v>
      </c>
      <c r="B782" s="2" t="s">
        <v>1363</v>
      </c>
      <c r="C782" s="2" t="s">
        <v>35</v>
      </c>
      <c r="D782" s="2">
        <v>43</v>
      </c>
      <c r="E782" s="2" t="str">
        <f t="shared" si="50"/>
        <v>36-45</v>
      </c>
      <c r="F782" s="2" t="s">
        <v>41</v>
      </c>
      <c r="G782" s="2" t="s">
        <v>21</v>
      </c>
      <c r="H782" s="2">
        <v>4</v>
      </c>
      <c r="I782" s="2" t="str">
        <f t="shared" si="48"/>
        <v>0-6 months</v>
      </c>
      <c r="J782" s="3">
        <v>699</v>
      </c>
      <c r="K782" s="3">
        <v>2796</v>
      </c>
      <c r="L782" s="2" t="s">
        <v>31</v>
      </c>
      <c r="M782" s="4">
        <v>45799</v>
      </c>
      <c r="N782" s="2" t="s">
        <v>23</v>
      </c>
      <c r="O782" s="2">
        <f t="shared" si="51"/>
        <v>0</v>
      </c>
      <c r="P782" s="2" t="s">
        <v>23</v>
      </c>
      <c r="Q782" s="2" t="s">
        <v>23</v>
      </c>
      <c r="R782" s="2" t="s">
        <v>23</v>
      </c>
      <c r="S782" s="2" t="s">
        <v>23</v>
      </c>
      <c r="T782" s="2" t="s">
        <v>23</v>
      </c>
      <c r="U782" s="25">
        <f t="shared" si="49"/>
        <v>2796.0007820000001</v>
      </c>
    </row>
    <row r="783" spans="1:21">
      <c r="A783" s="2" t="s">
        <v>1364</v>
      </c>
      <c r="B783" s="2" t="s">
        <v>689</v>
      </c>
      <c r="C783" s="2" t="s">
        <v>19</v>
      </c>
      <c r="D783" s="2">
        <v>61</v>
      </c>
      <c r="E783" s="2" t="str">
        <f t="shared" si="50"/>
        <v>60+</v>
      </c>
      <c r="F783" s="2" t="s">
        <v>26</v>
      </c>
      <c r="G783" s="2" t="s">
        <v>21</v>
      </c>
      <c r="H783" s="2">
        <v>20</v>
      </c>
      <c r="I783" s="2" t="str">
        <f t="shared" si="48"/>
        <v>13-24 months</v>
      </c>
      <c r="J783" s="3">
        <v>399</v>
      </c>
      <c r="K783" s="3">
        <v>7980</v>
      </c>
      <c r="L783" s="2" t="s">
        <v>66</v>
      </c>
      <c r="M783" s="4">
        <v>45299</v>
      </c>
      <c r="N783" s="2" t="s">
        <v>32</v>
      </c>
      <c r="O783" s="2">
        <f t="shared" si="51"/>
        <v>1</v>
      </c>
      <c r="P783" s="2" t="s">
        <v>23</v>
      </c>
      <c r="Q783" s="2" t="s">
        <v>23</v>
      </c>
      <c r="R783" s="2" t="s">
        <v>23</v>
      </c>
      <c r="S783" s="2" t="s">
        <v>23</v>
      </c>
      <c r="T783" s="2" t="s">
        <v>23</v>
      </c>
      <c r="U783" s="25">
        <f t="shared" si="49"/>
        <v>7980.0007830000004</v>
      </c>
    </row>
    <row r="784" spans="1:21">
      <c r="A784" s="2" t="s">
        <v>1365</v>
      </c>
      <c r="B784" s="2" t="s">
        <v>1366</v>
      </c>
      <c r="C784" s="2" t="s">
        <v>35</v>
      </c>
      <c r="D784" s="2">
        <v>32</v>
      </c>
      <c r="E784" s="2" t="str">
        <f t="shared" si="50"/>
        <v>26-35</v>
      </c>
      <c r="F784" s="2" t="s">
        <v>46</v>
      </c>
      <c r="G784" s="2" t="s">
        <v>27</v>
      </c>
      <c r="H784" s="2">
        <v>4</v>
      </c>
      <c r="I784" s="2" t="str">
        <f t="shared" si="48"/>
        <v>0-6 months</v>
      </c>
      <c r="J784" s="3">
        <v>699</v>
      </c>
      <c r="K784" s="3">
        <v>2796</v>
      </c>
      <c r="L784" s="2" t="s">
        <v>31</v>
      </c>
      <c r="M784" s="4">
        <v>45781</v>
      </c>
      <c r="N784" s="2" t="s">
        <v>32</v>
      </c>
      <c r="O784" s="2">
        <f t="shared" si="51"/>
        <v>1</v>
      </c>
      <c r="P784" s="2" t="s">
        <v>23</v>
      </c>
      <c r="Q784" s="2" t="s">
        <v>23</v>
      </c>
      <c r="R784" s="2" t="s">
        <v>23</v>
      </c>
      <c r="S784" s="2" t="s">
        <v>23</v>
      </c>
      <c r="T784" s="2" t="s">
        <v>23</v>
      </c>
      <c r="U784" s="25">
        <f t="shared" si="49"/>
        <v>2796.0007839999998</v>
      </c>
    </row>
    <row r="785" spans="1:21">
      <c r="A785" s="2" t="s">
        <v>1367</v>
      </c>
      <c r="B785" s="2" t="s">
        <v>1368</v>
      </c>
      <c r="C785" s="2" t="s">
        <v>35</v>
      </c>
      <c r="D785" s="2">
        <v>25</v>
      </c>
      <c r="E785" s="2" t="str">
        <f t="shared" si="50"/>
        <v>18-25</v>
      </c>
      <c r="F785" s="2" t="s">
        <v>63</v>
      </c>
      <c r="G785" s="2" t="s">
        <v>21</v>
      </c>
      <c r="H785" s="2">
        <v>3</v>
      </c>
      <c r="I785" s="2" t="str">
        <f t="shared" si="48"/>
        <v>0-6 months</v>
      </c>
      <c r="J785" s="3">
        <v>1299</v>
      </c>
      <c r="K785" s="3">
        <v>3897</v>
      </c>
      <c r="L785" s="2" t="s">
        <v>22</v>
      </c>
      <c r="M785" s="4">
        <v>45832</v>
      </c>
      <c r="N785" s="2" t="s">
        <v>32</v>
      </c>
      <c r="O785" s="2">
        <f t="shared" si="51"/>
        <v>1</v>
      </c>
      <c r="P785" s="2" t="s">
        <v>23</v>
      </c>
      <c r="Q785" s="2" t="s">
        <v>23</v>
      </c>
      <c r="R785" s="2" t="s">
        <v>23</v>
      </c>
      <c r="S785" s="2" t="s">
        <v>23</v>
      </c>
      <c r="T785" s="2" t="s">
        <v>23</v>
      </c>
      <c r="U785" s="25">
        <f t="shared" si="49"/>
        <v>3897.0007850000002</v>
      </c>
    </row>
    <row r="786" spans="1:21">
      <c r="A786" s="2" t="s">
        <v>1369</v>
      </c>
      <c r="B786" s="2" t="s">
        <v>418</v>
      </c>
      <c r="C786" s="2" t="s">
        <v>35</v>
      </c>
      <c r="D786" s="2">
        <v>60</v>
      </c>
      <c r="E786" s="2" t="str">
        <f t="shared" si="50"/>
        <v>46-60</v>
      </c>
      <c r="F786" s="2" t="s">
        <v>60</v>
      </c>
      <c r="G786" s="2" t="s">
        <v>21</v>
      </c>
      <c r="H786" s="2">
        <v>10</v>
      </c>
      <c r="I786" s="2" t="str">
        <f t="shared" si="48"/>
        <v>7-12 months</v>
      </c>
      <c r="J786" s="3">
        <v>999</v>
      </c>
      <c r="K786" s="3">
        <v>9990</v>
      </c>
      <c r="L786" s="2" t="s">
        <v>22</v>
      </c>
      <c r="M786" s="4">
        <v>45614</v>
      </c>
      <c r="N786" s="2" t="s">
        <v>23</v>
      </c>
      <c r="O786" s="2">
        <f t="shared" si="51"/>
        <v>0</v>
      </c>
      <c r="P786" s="2" t="s">
        <v>23</v>
      </c>
      <c r="Q786" s="2" t="s">
        <v>23</v>
      </c>
      <c r="R786" s="2" t="s">
        <v>23</v>
      </c>
      <c r="S786" s="2" t="s">
        <v>23</v>
      </c>
      <c r="T786" s="2" t="s">
        <v>23</v>
      </c>
      <c r="U786" s="25">
        <f t="shared" si="49"/>
        <v>9990.0007860000005</v>
      </c>
    </row>
    <row r="787" spans="1:21">
      <c r="A787" s="2" t="s">
        <v>1370</v>
      </c>
      <c r="B787" s="2" t="s">
        <v>1371</v>
      </c>
      <c r="C787" s="2" t="s">
        <v>35</v>
      </c>
      <c r="D787" s="2">
        <v>27</v>
      </c>
      <c r="E787" s="2" t="str">
        <f t="shared" si="50"/>
        <v>26-35</v>
      </c>
      <c r="F787" s="2" t="s">
        <v>60</v>
      </c>
      <c r="G787" s="2" t="s">
        <v>21</v>
      </c>
      <c r="H787" s="2">
        <v>8</v>
      </c>
      <c r="I787" s="2" t="str">
        <f t="shared" si="48"/>
        <v>7-12 months</v>
      </c>
      <c r="J787" s="3">
        <v>1049</v>
      </c>
      <c r="K787" s="3">
        <v>8392</v>
      </c>
      <c r="L787" s="2" t="s">
        <v>22</v>
      </c>
      <c r="M787" s="4">
        <v>45674</v>
      </c>
      <c r="N787" s="2" t="s">
        <v>23</v>
      </c>
      <c r="O787" s="2">
        <f t="shared" si="51"/>
        <v>0</v>
      </c>
      <c r="P787" s="2" t="s">
        <v>23</v>
      </c>
      <c r="Q787" s="2" t="s">
        <v>23</v>
      </c>
      <c r="R787" s="2" t="s">
        <v>23</v>
      </c>
      <c r="S787" s="2" t="s">
        <v>32</v>
      </c>
      <c r="T787" s="2" t="s">
        <v>23</v>
      </c>
      <c r="U787" s="25">
        <f t="shared" si="49"/>
        <v>8392.0007870000009</v>
      </c>
    </row>
    <row r="788" spans="1:21">
      <c r="A788" s="2" t="s">
        <v>1372</v>
      </c>
      <c r="B788" s="2" t="s">
        <v>366</v>
      </c>
      <c r="C788" s="2" t="s">
        <v>35</v>
      </c>
      <c r="D788" s="2">
        <v>65</v>
      </c>
      <c r="E788" s="2" t="str">
        <f t="shared" si="50"/>
        <v>60+</v>
      </c>
      <c r="F788" s="2" t="s">
        <v>41</v>
      </c>
      <c r="G788" s="2" t="s">
        <v>21</v>
      </c>
      <c r="H788" s="2">
        <v>15</v>
      </c>
      <c r="I788" s="2" t="str">
        <f t="shared" si="48"/>
        <v>13-24 months</v>
      </c>
      <c r="J788" s="3">
        <v>449</v>
      </c>
      <c r="K788" s="3">
        <v>6735</v>
      </c>
      <c r="L788" s="2" t="s">
        <v>66</v>
      </c>
      <c r="M788" s="4">
        <v>45452</v>
      </c>
      <c r="N788" s="2" t="s">
        <v>32</v>
      </c>
      <c r="O788" s="2">
        <f t="shared" si="51"/>
        <v>1</v>
      </c>
      <c r="P788" s="2" t="s">
        <v>23</v>
      </c>
      <c r="Q788" s="2" t="s">
        <v>32</v>
      </c>
      <c r="R788" s="2" t="s">
        <v>23</v>
      </c>
      <c r="S788" s="2" t="s">
        <v>23</v>
      </c>
      <c r="T788" s="2" t="s">
        <v>23</v>
      </c>
      <c r="U788" s="25">
        <f t="shared" si="49"/>
        <v>6735.0007880000003</v>
      </c>
    </row>
    <row r="789" spans="1:21">
      <c r="A789" s="2" t="s">
        <v>1373</v>
      </c>
      <c r="B789" s="2" t="s">
        <v>916</v>
      </c>
      <c r="C789" s="2" t="s">
        <v>19</v>
      </c>
      <c r="D789" s="2">
        <v>29</v>
      </c>
      <c r="E789" s="2" t="str">
        <f t="shared" si="50"/>
        <v>26-35</v>
      </c>
      <c r="F789" s="2" t="s">
        <v>37</v>
      </c>
      <c r="G789" s="2" t="s">
        <v>27</v>
      </c>
      <c r="H789" s="2">
        <v>12</v>
      </c>
      <c r="I789" s="2" t="str">
        <f t="shared" si="48"/>
        <v>7-12 months</v>
      </c>
      <c r="J789" s="3">
        <v>1149</v>
      </c>
      <c r="K789" s="3">
        <v>13788</v>
      </c>
      <c r="L789" s="2" t="s">
        <v>22</v>
      </c>
      <c r="M789" s="4">
        <v>45567</v>
      </c>
      <c r="N789" s="2" t="s">
        <v>23</v>
      </c>
      <c r="O789" s="2">
        <f t="shared" si="51"/>
        <v>0</v>
      </c>
      <c r="P789" s="2" t="s">
        <v>23</v>
      </c>
      <c r="Q789" s="2" t="s">
        <v>23</v>
      </c>
      <c r="R789" s="2" t="s">
        <v>23</v>
      </c>
      <c r="S789" s="2" t="s">
        <v>23</v>
      </c>
      <c r="T789" s="2" t="s">
        <v>23</v>
      </c>
      <c r="U789" s="25">
        <f t="shared" si="49"/>
        <v>13788.000789</v>
      </c>
    </row>
    <row r="790" spans="1:21">
      <c r="A790" s="2" t="s">
        <v>1374</v>
      </c>
      <c r="B790" s="2" t="s">
        <v>316</v>
      </c>
      <c r="C790" s="2" t="s">
        <v>19</v>
      </c>
      <c r="D790" s="2">
        <v>74</v>
      </c>
      <c r="E790" s="2" t="str">
        <f t="shared" si="50"/>
        <v>60+</v>
      </c>
      <c r="F790" s="2" t="s">
        <v>71</v>
      </c>
      <c r="G790" s="2" t="s">
        <v>21</v>
      </c>
      <c r="H790" s="2">
        <v>3</v>
      </c>
      <c r="I790" s="2" t="str">
        <f t="shared" si="48"/>
        <v>0-6 months</v>
      </c>
      <c r="J790" s="3">
        <v>1199</v>
      </c>
      <c r="K790" s="3">
        <v>3597</v>
      </c>
      <c r="L790" s="2" t="s">
        <v>22</v>
      </c>
      <c r="M790" s="4">
        <v>45825</v>
      </c>
      <c r="N790" s="2" t="s">
        <v>23</v>
      </c>
      <c r="O790" s="2">
        <f t="shared" si="51"/>
        <v>0</v>
      </c>
      <c r="P790" s="2" t="s">
        <v>23</v>
      </c>
      <c r="Q790" s="2" t="s">
        <v>23</v>
      </c>
      <c r="R790" s="2" t="s">
        <v>23</v>
      </c>
      <c r="S790" s="2" t="s">
        <v>23</v>
      </c>
      <c r="T790" s="2" t="s">
        <v>23</v>
      </c>
      <c r="U790" s="25">
        <f t="shared" si="49"/>
        <v>3597.0007900000001</v>
      </c>
    </row>
    <row r="791" spans="1:21">
      <c r="A791" s="2" t="s">
        <v>1375</v>
      </c>
      <c r="B791" s="2" t="s">
        <v>1376</v>
      </c>
      <c r="C791" s="2" t="s">
        <v>19</v>
      </c>
      <c r="D791" s="2">
        <v>66</v>
      </c>
      <c r="E791" s="2" t="str">
        <f t="shared" si="50"/>
        <v>60+</v>
      </c>
      <c r="F791" s="2" t="s">
        <v>41</v>
      </c>
      <c r="G791" s="2" t="s">
        <v>21</v>
      </c>
      <c r="H791" s="2">
        <v>14</v>
      </c>
      <c r="I791" s="2" t="str">
        <f t="shared" si="48"/>
        <v>13-24 months</v>
      </c>
      <c r="J791" s="3">
        <v>999</v>
      </c>
      <c r="K791" s="3">
        <v>13986</v>
      </c>
      <c r="L791" s="2" t="s">
        <v>22</v>
      </c>
      <c r="M791" s="4"/>
      <c r="N791" s="2" t="s">
        <v>32</v>
      </c>
      <c r="O791" s="2">
        <f t="shared" si="51"/>
        <v>1</v>
      </c>
      <c r="P791" s="2" t="s">
        <v>23</v>
      </c>
      <c r="Q791" s="2" t="s">
        <v>23</v>
      </c>
      <c r="R791" s="2" t="s">
        <v>23</v>
      </c>
      <c r="S791" s="2" t="s">
        <v>23</v>
      </c>
      <c r="T791" s="2" t="s">
        <v>54</v>
      </c>
      <c r="U791" s="25">
        <f t="shared" si="49"/>
        <v>13986.000791</v>
      </c>
    </row>
    <row r="792" spans="1:21">
      <c r="A792" s="2" t="s">
        <v>1377</v>
      </c>
      <c r="B792" s="2" t="s">
        <v>1378</v>
      </c>
      <c r="C792" s="2" t="s">
        <v>37</v>
      </c>
      <c r="D792" s="2">
        <v>58</v>
      </c>
      <c r="E792" s="2" t="str">
        <f t="shared" si="50"/>
        <v>46-60</v>
      </c>
      <c r="F792" s="2" t="s">
        <v>141</v>
      </c>
      <c r="G792" s="2" t="s">
        <v>27</v>
      </c>
      <c r="H792" s="2">
        <v>22</v>
      </c>
      <c r="I792" s="2" t="str">
        <f t="shared" si="48"/>
        <v>13-24 months</v>
      </c>
      <c r="J792" s="3">
        <v>1099</v>
      </c>
      <c r="K792" s="3">
        <v>24178</v>
      </c>
      <c r="L792" s="2" t="s">
        <v>22</v>
      </c>
      <c r="M792" s="4">
        <v>45268</v>
      </c>
      <c r="N792" s="2" t="s">
        <v>23</v>
      </c>
      <c r="O792" s="2">
        <f t="shared" si="51"/>
        <v>0</v>
      </c>
      <c r="P792" s="2" t="s">
        <v>23</v>
      </c>
      <c r="Q792" s="2" t="s">
        <v>23</v>
      </c>
      <c r="R792" s="2" t="s">
        <v>23</v>
      </c>
      <c r="S792" s="2" t="s">
        <v>23</v>
      </c>
      <c r="T792" s="2" t="s">
        <v>23</v>
      </c>
      <c r="U792" s="25">
        <f t="shared" si="49"/>
        <v>24178.000791999999</v>
      </c>
    </row>
    <row r="793" spans="1:21">
      <c r="A793" s="2" t="s">
        <v>1379</v>
      </c>
      <c r="B793" s="2" t="s">
        <v>37</v>
      </c>
      <c r="C793" s="2" t="s">
        <v>37</v>
      </c>
      <c r="D793" s="2">
        <v>26</v>
      </c>
      <c r="E793" s="2" t="str">
        <f t="shared" si="50"/>
        <v>26-35</v>
      </c>
      <c r="F793" s="2" t="s">
        <v>30</v>
      </c>
      <c r="G793" s="2" t="s">
        <v>27</v>
      </c>
      <c r="H793" s="2">
        <v>30</v>
      </c>
      <c r="I793" s="2" t="str">
        <f t="shared" si="48"/>
        <v>25-48 months</v>
      </c>
      <c r="J793" s="3">
        <v>899</v>
      </c>
      <c r="K793" s="3">
        <v>26970</v>
      </c>
      <c r="L793" s="2" t="s">
        <v>22</v>
      </c>
      <c r="M793" s="4">
        <v>45006</v>
      </c>
      <c r="N793" s="2" t="s">
        <v>23</v>
      </c>
      <c r="O793" s="2">
        <f t="shared" si="51"/>
        <v>0</v>
      </c>
      <c r="P793" s="2" t="s">
        <v>23</v>
      </c>
      <c r="Q793" s="2" t="s">
        <v>23</v>
      </c>
      <c r="R793" s="2" t="s">
        <v>23</v>
      </c>
      <c r="S793" s="2" t="s">
        <v>23</v>
      </c>
      <c r="T793" s="2" t="s">
        <v>23</v>
      </c>
      <c r="U793" s="25">
        <f t="shared" si="49"/>
        <v>26970.000792999999</v>
      </c>
    </row>
    <row r="794" spans="1:21">
      <c r="A794" s="2" t="s">
        <v>1380</v>
      </c>
      <c r="B794" s="2" t="s">
        <v>1273</v>
      </c>
      <c r="C794" s="2" t="s">
        <v>35</v>
      </c>
      <c r="D794" s="2">
        <v>70</v>
      </c>
      <c r="E794" s="2" t="str">
        <f t="shared" si="50"/>
        <v>60+</v>
      </c>
      <c r="F794" s="2" t="s">
        <v>46</v>
      </c>
      <c r="G794" s="2" t="s">
        <v>47</v>
      </c>
      <c r="H794" s="2">
        <v>3</v>
      </c>
      <c r="I794" s="2" t="str">
        <f t="shared" si="48"/>
        <v>0-6 months</v>
      </c>
      <c r="J794" s="3">
        <v>799</v>
      </c>
      <c r="K794" s="3">
        <v>2397</v>
      </c>
      <c r="L794" s="2" t="s">
        <v>31</v>
      </c>
      <c r="M794" s="4">
        <v>45821</v>
      </c>
      <c r="N794" s="2" t="s">
        <v>23</v>
      </c>
      <c r="O794" s="2">
        <f t="shared" si="51"/>
        <v>0</v>
      </c>
      <c r="P794" s="2" t="s">
        <v>23</v>
      </c>
      <c r="Q794" s="2" t="s">
        <v>23</v>
      </c>
      <c r="R794" s="2" t="s">
        <v>23</v>
      </c>
      <c r="S794" s="2" t="s">
        <v>23</v>
      </c>
      <c r="T794" s="2" t="s">
        <v>23</v>
      </c>
      <c r="U794" s="25">
        <f t="shared" si="49"/>
        <v>2397.000794</v>
      </c>
    </row>
    <row r="795" spans="1:21">
      <c r="A795" s="2" t="s">
        <v>1381</v>
      </c>
      <c r="B795" s="2" t="s">
        <v>1382</v>
      </c>
      <c r="C795" s="2" t="s">
        <v>37</v>
      </c>
      <c r="D795" s="2">
        <v>60</v>
      </c>
      <c r="E795" s="2" t="str">
        <f t="shared" si="50"/>
        <v>46-60</v>
      </c>
      <c r="F795" s="2" t="s">
        <v>110</v>
      </c>
      <c r="G795" s="2" t="s">
        <v>21</v>
      </c>
      <c r="H795" s="2">
        <v>15</v>
      </c>
      <c r="I795" s="2" t="str">
        <f t="shared" si="48"/>
        <v>13-24 months</v>
      </c>
      <c r="J795" s="3">
        <v>699</v>
      </c>
      <c r="K795" s="3">
        <v>10485</v>
      </c>
      <c r="L795" s="2" t="s">
        <v>31</v>
      </c>
      <c r="M795" s="4">
        <v>45450</v>
      </c>
      <c r="N795" s="2" t="s">
        <v>23</v>
      </c>
      <c r="O795" s="2">
        <f t="shared" si="51"/>
        <v>0</v>
      </c>
      <c r="P795" s="2" t="s">
        <v>23</v>
      </c>
      <c r="Q795" s="2" t="s">
        <v>32</v>
      </c>
      <c r="R795" s="2" t="s">
        <v>23</v>
      </c>
      <c r="S795" s="2" t="s">
        <v>23</v>
      </c>
      <c r="T795" s="2" t="s">
        <v>23</v>
      </c>
      <c r="U795" s="25">
        <f t="shared" si="49"/>
        <v>10485.000795</v>
      </c>
    </row>
    <row r="796" spans="1:21">
      <c r="A796" s="2" t="s">
        <v>1383</v>
      </c>
      <c r="B796" s="2" t="s">
        <v>492</v>
      </c>
      <c r="C796" s="2" t="s">
        <v>19</v>
      </c>
      <c r="D796" s="2">
        <v>21</v>
      </c>
      <c r="E796" s="2" t="str">
        <f t="shared" si="50"/>
        <v>18-25</v>
      </c>
      <c r="F796" s="2" t="s">
        <v>57</v>
      </c>
      <c r="G796" s="2" t="s">
        <v>27</v>
      </c>
      <c r="H796" s="2">
        <v>7</v>
      </c>
      <c r="I796" s="2" t="str">
        <f t="shared" si="48"/>
        <v>7-12 months</v>
      </c>
      <c r="J796" s="3">
        <v>1199</v>
      </c>
      <c r="K796" s="3">
        <v>8393</v>
      </c>
      <c r="L796" s="2" t="s">
        <v>22</v>
      </c>
      <c r="M796" s="4">
        <v>45699</v>
      </c>
      <c r="N796" s="2" t="s">
        <v>23</v>
      </c>
      <c r="O796" s="2">
        <f t="shared" si="51"/>
        <v>0</v>
      </c>
      <c r="P796" s="2" t="s">
        <v>23</v>
      </c>
      <c r="Q796" s="2" t="s">
        <v>23</v>
      </c>
      <c r="R796" s="2" t="s">
        <v>23</v>
      </c>
      <c r="S796" s="2" t="s">
        <v>23</v>
      </c>
      <c r="T796" s="2" t="s">
        <v>23</v>
      </c>
      <c r="U796" s="25">
        <f t="shared" si="49"/>
        <v>8393.0007960000003</v>
      </c>
    </row>
    <row r="797" spans="1:21">
      <c r="A797" s="2" t="s">
        <v>1384</v>
      </c>
      <c r="B797" s="2" t="s">
        <v>538</v>
      </c>
      <c r="C797" s="2" t="s">
        <v>19</v>
      </c>
      <c r="D797" s="2">
        <v>67</v>
      </c>
      <c r="E797" s="2" t="str">
        <f t="shared" si="50"/>
        <v>60+</v>
      </c>
      <c r="F797" s="2" t="s">
        <v>20</v>
      </c>
      <c r="G797" s="2" t="s">
        <v>47</v>
      </c>
      <c r="H797" s="2">
        <v>31</v>
      </c>
      <c r="I797" s="2" t="str">
        <f t="shared" si="48"/>
        <v>25-48 months</v>
      </c>
      <c r="J797" s="3">
        <v>899</v>
      </c>
      <c r="K797" s="3">
        <v>27869</v>
      </c>
      <c r="L797" s="2" t="s">
        <v>22</v>
      </c>
      <c r="M797" s="4">
        <v>44998</v>
      </c>
      <c r="N797" s="2" t="s">
        <v>23</v>
      </c>
      <c r="O797" s="2">
        <f t="shared" si="51"/>
        <v>0</v>
      </c>
      <c r="P797" s="2" t="s">
        <v>23</v>
      </c>
      <c r="Q797" s="2" t="s">
        <v>23</v>
      </c>
      <c r="R797" s="2" t="s">
        <v>23</v>
      </c>
      <c r="S797" s="2" t="s">
        <v>23</v>
      </c>
      <c r="T797" s="2" t="s">
        <v>23</v>
      </c>
      <c r="U797" s="25">
        <f t="shared" si="49"/>
        <v>27869.000797000001</v>
      </c>
    </row>
    <row r="798" spans="1:21">
      <c r="A798" s="2" t="s">
        <v>1385</v>
      </c>
      <c r="B798" s="2" t="s">
        <v>93</v>
      </c>
      <c r="C798" s="2" t="s">
        <v>35</v>
      </c>
      <c r="D798" s="2">
        <v>60</v>
      </c>
      <c r="E798" s="2" t="str">
        <f t="shared" si="50"/>
        <v>46-60</v>
      </c>
      <c r="F798" s="2" t="s">
        <v>41</v>
      </c>
      <c r="G798" s="2" t="s">
        <v>21</v>
      </c>
      <c r="H798" s="2">
        <v>22</v>
      </c>
      <c r="I798" s="2" t="str">
        <f t="shared" si="48"/>
        <v>13-24 months</v>
      </c>
      <c r="J798" s="3">
        <v>399</v>
      </c>
      <c r="K798" s="3">
        <v>8778</v>
      </c>
      <c r="L798" s="2" t="s">
        <v>66</v>
      </c>
      <c r="M798" s="4">
        <v>45252</v>
      </c>
      <c r="N798" s="2" t="s">
        <v>32</v>
      </c>
      <c r="O798" s="2">
        <f t="shared" si="51"/>
        <v>1</v>
      </c>
      <c r="P798" s="2" t="s">
        <v>23</v>
      </c>
      <c r="Q798" s="2" t="s">
        <v>23</v>
      </c>
      <c r="R798" s="2" t="s">
        <v>23</v>
      </c>
      <c r="S798" s="2" t="s">
        <v>23</v>
      </c>
      <c r="T798" s="2" t="s">
        <v>23</v>
      </c>
      <c r="U798" s="25">
        <f t="shared" si="49"/>
        <v>8778.0007979999991</v>
      </c>
    </row>
    <row r="799" spans="1:21">
      <c r="A799" s="2" t="s">
        <v>1386</v>
      </c>
      <c r="B799" s="2" t="s">
        <v>736</v>
      </c>
      <c r="C799" s="2" t="s">
        <v>19</v>
      </c>
      <c r="D799" s="2">
        <v>53</v>
      </c>
      <c r="E799" s="2" t="str">
        <f t="shared" si="50"/>
        <v>46-60</v>
      </c>
      <c r="F799" s="2" t="s">
        <v>71</v>
      </c>
      <c r="G799" s="2" t="s">
        <v>21</v>
      </c>
      <c r="H799" s="2">
        <v>18</v>
      </c>
      <c r="I799" s="2" t="str">
        <f t="shared" si="48"/>
        <v>13-24 months</v>
      </c>
      <c r="J799" s="3">
        <v>749</v>
      </c>
      <c r="K799" s="3">
        <v>13482</v>
      </c>
      <c r="L799" s="2" t="s">
        <v>31</v>
      </c>
      <c r="M799" s="4">
        <v>45385</v>
      </c>
      <c r="N799" s="2" t="s">
        <v>32</v>
      </c>
      <c r="O799" s="2">
        <f t="shared" si="51"/>
        <v>1</v>
      </c>
      <c r="P799" s="2" t="s">
        <v>23</v>
      </c>
      <c r="Q799" s="2" t="s">
        <v>23</v>
      </c>
      <c r="R799" s="2" t="s">
        <v>23</v>
      </c>
      <c r="S799" s="2" t="s">
        <v>23</v>
      </c>
      <c r="T799" s="2" t="s">
        <v>23</v>
      </c>
      <c r="U799" s="25">
        <f t="shared" si="49"/>
        <v>13482.000798999999</v>
      </c>
    </row>
    <row r="800" spans="1:21">
      <c r="A800" s="2" t="s">
        <v>1387</v>
      </c>
      <c r="B800" s="2" t="s">
        <v>1388</v>
      </c>
      <c r="C800" s="2" t="s">
        <v>35</v>
      </c>
      <c r="D800" s="2">
        <v>18</v>
      </c>
      <c r="E800" s="2" t="str">
        <f t="shared" si="50"/>
        <v>18-25</v>
      </c>
      <c r="F800" s="2" t="s">
        <v>105</v>
      </c>
      <c r="G800" s="2" t="s">
        <v>27</v>
      </c>
      <c r="H800" s="2">
        <v>14</v>
      </c>
      <c r="I800" s="2" t="str">
        <f t="shared" si="48"/>
        <v>13-24 months</v>
      </c>
      <c r="J800" s="3">
        <v>749</v>
      </c>
      <c r="K800" s="3">
        <v>10486</v>
      </c>
      <c r="L800" s="2" t="s">
        <v>31</v>
      </c>
      <c r="M800" s="4">
        <v>45500</v>
      </c>
      <c r="N800" s="2" t="s">
        <v>23</v>
      </c>
      <c r="O800" s="2">
        <f t="shared" si="51"/>
        <v>0</v>
      </c>
      <c r="P800" s="2" t="s">
        <v>23</v>
      </c>
      <c r="Q800" s="2" t="s">
        <v>23</v>
      </c>
      <c r="R800" s="2" t="s">
        <v>23</v>
      </c>
      <c r="S800" s="2" t="s">
        <v>32</v>
      </c>
      <c r="T800" s="2" t="s">
        <v>23</v>
      </c>
      <c r="U800" s="25">
        <f t="shared" si="49"/>
        <v>10486.0008</v>
      </c>
    </row>
    <row r="801" spans="1:21">
      <c r="A801" s="2" t="s">
        <v>1389</v>
      </c>
      <c r="B801" s="2" t="s">
        <v>344</v>
      </c>
      <c r="C801" s="2" t="s">
        <v>35</v>
      </c>
      <c r="D801" s="2">
        <v>74</v>
      </c>
      <c r="E801" s="2" t="str">
        <f t="shared" si="50"/>
        <v>60+</v>
      </c>
      <c r="F801" s="2" t="s">
        <v>20</v>
      </c>
      <c r="G801" s="2" t="s">
        <v>21</v>
      </c>
      <c r="H801" s="2">
        <v>16</v>
      </c>
      <c r="I801" s="2" t="str">
        <f t="shared" si="48"/>
        <v>13-24 months</v>
      </c>
      <c r="J801" s="3">
        <v>1199</v>
      </c>
      <c r="K801" s="3">
        <v>19184</v>
      </c>
      <c r="L801" s="2" t="s">
        <v>22</v>
      </c>
      <c r="M801" s="4">
        <v>45419</v>
      </c>
      <c r="N801" s="2" t="s">
        <v>23</v>
      </c>
      <c r="O801" s="2">
        <f t="shared" si="51"/>
        <v>0</v>
      </c>
      <c r="P801" s="2" t="s">
        <v>23</v>
      </c>
      <c r="Q801" s="2" t="s">
        <v>23</v>
      </c>
      <c r="R801" s="2" t="s">
        <v>23</v>
      </c>
      <c r="S801" s="2" t="s">
        <v>32</v>
      </c>
      <c r="T801" s="2" t="s">
        <v>23</v>
      </c>
      <c r="U801" s="25">
        <f t="shared" si="49"/>
        <v>19184.000800999998</v>
      </c>
    </row>
    <row r="802" spans="1:21">
      <c r="A802" s="2" t="s">
        <v>1390</v>
      </c>
      <c r="B802" s="2" t="s">
        <v>1391</v>
      </c>
      <c r="C802" s="2" t="s">
        <v>19</v>
      </c>
      <c r="D802" s="2">
        <v>56</v>
      </c>
      <c r="E802" s="2" t="str">
        <f t="shared" si="50"/>
        <v>46-60</v>
      </c>
      <c r="F802" s="2" t="s">
        <v>30</v>
      </c>
      <c r="G802" s="2" t="s">
        <v>47</v>
      </c>
      <c r="H802" s="2">
        <v>18</v>
      </c>
      <c r="I802" s="2" t="str">
        <f t="shared" si="48"/>
        <v>13-24 months</v>
      </c>
      <c r="J802" s="3">
        <v>999</v>
      </c>
      <c r="K802" s="3">
        <v>17982</v>
      </c>
      <c r="L802" s="2" t="s">
        <v>22</v>
      </c>
      <c r="M802" s="4">
        <v>45367</v>
      </c>
      <c r="N802" s="2" t="s">
        <v>23</v>
      </c>
      <c r="O802" s="2">
        <f t="shared" si="51"/>
        <v>0</v>
      </c>
      <c r="P802" s="2" t="s">
        <v>23</v>
      </c>
      <c r="Q802" s="2" t="s">
        <v>23</v>
      </c>
      <c r="R802" s="2" t="s">
        <v>23</v>
      </c>
      <c r="S802" s="2" t="s">
        <v>23</v>
      </c>
      <c r="T802" s="2" t="s">
        <v>23</v>
      </c>
      <c r="U802" s="25">
        <f t="shared" si="49"/>
        <v>17982.000801999999</v>
      </c>
    </row>
    <row r="803" spans="1:21">
      <c r="A803" s="2" t="s">
        <v>1392</v>
      </c>
      <c r="B803" s="2" t="s">
        <v>1393</v>
      </c>
      <c r="C803" s="2" t="s">
        <v>35</v>
      </c>
      <c r="D803" s="2">
        <v>19</v>
      </c>
      <c r="E803" s="2" t="str">
        <f t="shared" si="50"/>
        <v>18-25</v>
      </c>
      <c r="F803" s="2" t="s">
        <v>91</v>
      </c>
      <c r="G803" s="2" t="s">
        <v>47</v>
      </c>
      <c r="H803" s="2">
        <v>66</v>
      </c>
      <c r="I803" s="2" t="str">
        <f t="shared" si="48"/>
        <v>49+ months</v>
      </c>
      <c r="J803" s="3">
        <v>1199</v>
      </c>
      <c r="K803" s="3">
        <v>79134</v>
      </c>
      <c r="L803" s="2" t="s">
        <v>22</v>
      </c>
      <c r="M803" s="4">
        <v>43926</v>
      </c>
      <c r="N803" s="2" t="s">
        <v>23</v>
      </c>
      <c r="O803" s="2">
        <f t="shared" si="51"/>
        <v>0</v>
      </c>
      <c r="P803" s="2" t="s">
        <v>23</v>
      </c>
      <c r="Q803" s="2" t="s">
        <v>23</v>
      </c>
      <c r="R803" s="2" t="s">
        <v>23</v>
      </c>
      <c r="S803" s="2" t="s">
        <v>23</v>
      </c>
      <c r="T803" s="2" t="s">
        <v>23</v>
      </c>
      <c r="U803" s="25">
        <f t="shared" si="49"/>
        <v>79134.000803000003</v>
      </c>
    </row>
    <row r="804" spans="1:21">
      <c r="A804" s="2" t="s">
        <v>1394</v>
      </c>
      <c r="B804" s="2" t="s">
        <v>1395</v>
      </c>
      <c r="C804" s="2" t="s">
        <v>19</v>
      </c>
      <c r="D804" s="2">
        <v>57</v>
      </c>
      <c r="E804" s="2" t="str">
        <f t="shared" si="50"/>
        <v>46-60</v>
      </c>
      <c r="F804" s="2" t="s">
        <v>110</v>
      </c>
      <c r="G804" s="2" t="s">
        <v>47</v>
      </c>
      <c r="H804" s="2">
        <v>55</v>
      </c>
      <c r="I804" s="2" t="str">
        <f t="shared" si="48"/>
        <v>49+ months</v>
      </c>
      <c r="J804" s="3">
        <v>899</v>
      </c>
      <c r="K804" s="3">
        <v>49445</v>
      </c>
      <c r="L804" s="2" t="s">
        <v>31</v>
      </c>
      <c r="M804" s="4">
        <v>44274</v>
      </c>
      <c r="N804" s="2" t="s">
        <v>23</v>
      </c>
      <c r="O804" s="2">
        <f t="shared" si="51"/>
        <v>0</v>
      </c>
      <c r="P804" s="2" t="s">
        <v>23</v>
      </c>
      <c r="Q804" s="2" t="s">
        <v>23</v>
      </c>
      <c r="R804" s="2" t="s">
        <v>23</v>
      </c>
      <c r="S804" s="2" t="s">
        <v>23</v>
      </c>
      <c r="T804" s="2" t="s">
        <v>23</v>
      </c>
      <c r="U804" s="25">
        <f t="shared" si="49"/>
        <v>49445.000804000003</v>
      </c>
    </row>
    <row r="805" spans="1:21">
      <c r="A805" s="2" t="s">
        <v>1396</v>
      </c>
      <c r="B805" s="2" t="s">
        <v>1251</v>
      </c>
      <c r="C805" s="2" t="s">
        <v>35</v>
      </c>
      <c r="D805" s="2">
        <v>30</v>
      </c>
      <c r="E805" s="2" t="str">
        <f t="shared" si="50"/>
        <v>26-35</v>
      </c>
      <c r="F805" s="2" t="s">
        <v>63</v>
      </c>
      <c r="G805" s="2" t="s">
        <v>21</v>
      </c>
      <c r="H805" s="2">
        <v>8</v>
      </c>
      <c r="I805" s="2" t="str">
        <f t="shared" si="48"/>
        <v>7-12 months</v>
      </c>
      <c r="J805" s="3">
        <v>1149</v>
      </c>
      <c r="K805" s="3">
        <v>9192</v>
      </c>
      <c r="L805" s="2" t="s">
        <v>22</v>
      </c>
      <c r="M805" s="4">
        <v>45678</v>
      </c>
      <c r="N805" s="2" t="s">
        <v>23</v>
      </c>
      <c r="O805" s="2">
        <f t="shared" si="51"/>
        <v>0</v>
      </c>
      <c r="P805" s="2" t="s">
        <v>23</v>
      </c>
      <c r="Q805" s="2" t="s">
        <v>23</v>
      </c>
      <c r="R805" s="2" t="s">
        <v>23</v>
      </c>
      <c r="S805" s="2" t="s">
        <v>23</v>
      </c>
      <c r="T805" s="2" t="s">
        <v>23</v>
      </c>
      <c r="U805" s="25">
        <f t="shared" si="49"/>
        <v>9192.0008049999997</v>
      </c>
    </row>
    <row r="806" spans="1:21">
      <c r="A806" s="2" t="s">
        <v>1397</v>
      </c>
      <c r="B806" s="2" t="s">
        <v>1398</v>
      </c>
      <c r="C806" s="2" t="s">
        <v>19</v>
      </c>
      <c r="D806" s="2">
        <v>59</v>
      </c>
      <c r="E806" s="2" t="str">
        <f t="shared" si="50"/>
        <v>46-60</v>
      </c>
      <c r="F806" s="2" t="s">
        <v>110</v>
      </c>
      <c r="G806" s="2" t="s">
        <v>27</v>
      </c>
      <c r="H806" s="2">
        <v>27</v>
      </c>
      <c r="I806" s="2" t="str">
        <f t="shared" si="48"/>
        <v>25-48 months</v>
      </c>
      <c r="J806" s="3">
        <v>1299</v>
      </c>
      <c r="K806" s="3">
        <v>35073</v>
      </c>
      <c r="L806" s="2" t="s">
        <v>22</v>
      </c>
      <c r="M806" s="4">
        <v>45111</v>
      </c>
      <c r="N806" s="2" t="s">
        <v>23</v>
      </c>
      <c r="O806" s="2">
        <f t="shared" si="51"/>
        <v>0</v>
      </c>
      <c r="P806" s="2" t="s">
        <v>23</v>
      </c>
      <c r="Q806" s="2" t="s">
        <v>23</v>
      </c>
      <c r="R806" s="2" t="s">
        <v>23</v>
      </c>
      <c r="S806" s="2" t="s">
        <v>23</v>
      </c>
      <c r="T806" s="2" t="s">
        <v>23</v>
      </c>
      <c r="U806" s="25">
        <f t="shared" si="49"/>
        <v>35073.000805999996</v>
      </c>
    </row>
    <row r="807" spans="1:21">
      <c r="A807" s="2" t="s">
        <v>1399</v>
      </c>
      <c r="B807" s="2" t="s">
        <v>1400</v>
      </c>
      <c r="C807" s="2" t="s">
        <v>35</v>
      </c>
      <c r="D807" s="2">
        <v>31</v>
      </c>
      <c r="E807" s="2" t="str">
        <f t="shared" si="50"/>
        <v>26-35</v>
      </c>
      <c r="F807" s="2" t="s">
        <v>26</v>
      </c>
      <c r="G807" s="2" t="s">
        <v>21</v>
      </c>
      <c r="H807" s="2">
        <v>8</v>
      </c>
      <c r="I807" s="2" t="str">
        <f t="shared" si="48"/>
        <v>7-12 months</v>
      </c>
      <c r="J807" s="3">
        <v>399</v>
      </c>
      <c r="K807" s="3">
        <v>3192</v>
      </c>
      <c r="L807" s="2" t="s">
        <v>66</v>
      </c>
      <c r="M807" s="4">
        <v>45676</v>
      </c>
      <c r="N807" s="2" t="s">
        <v>23</v>
      </c>
      <c r="O807" s="2">
        <f t="shared" si="51"/>
        <v>0</v>
      </c>
      <c r="P807" s="2" t="s">
        <v>23</v>
      </c>
      <c r="Q807" s="2" t="s">
        <v>23</v>
      </c>
      <c r="R807" s="2" t="s">
        <v>23</v>
      </c>
      <c r="S807" s="2" t="s">
        <v>23</v>
      </c>
      <c r="T807" s="2" t="s">
        <v>23</v>
      </c>
      <c r="U807" s="25">
        <f t="shared" si="49"/>
        <v>3192.0008069999999</v>
      </c>
    </row>
    <row r="808" spans="1:21">
      <c r="A808" s="2" t="s">
        <v>1401</v>
      </c>
      <c r="B808" s="2" t="s">
        <v>1402</v>
      </c>
      <c r="C808" s="2" t="s">
        <v>35</v>
      </c>
      <c r="D808" s="2">
        <v>58</v>
      </c>
      <c r="E808" s="2" t="str">
        <f t="shared" si="50"/>
        <v>46-60</v>
      </c>
      <c r="F808" s="2" t="s">
        <v>36</v>
      </c>
      <c r="G808" s="2" t="s">
        <v>21</v>
      </c>
      <c r="H808" s="2">
        <v>7</v>
      </c>
      <c r="I808" s="2" t="str">
        <f t="shared" si="48"/>
        <v>7-12 months</v>
      </c>
      <c r="J808" s="3">
        <v>1199</v>
      </c>
      <c r="K808" s="3">
        <v>8393</v>
      </c>
      <c r="L808" s="2" t="s">
        <v>22</v>
      </c>
      <c r="M808" s="4">
        <v>45714</v>
      </c>
      <c r="N808" s="2" t="s">
        <v>23</v>
      </c>
      <c r="O808" s="2">
        <f t="shared" si="51"/>
        <v>0</v>
      </c>
      <c r="P808" s="2" t="s">
        <v>23</v>
      </c>
      <c r="Q808" s="2" t="s">
        <v>23</v>
      </c>
      <c r="R808" s="2" t="s">
        <v>23</v>
      </c>
      <c r="S808" s="2" t="s">
        <v>23</v>
      </c>
      <c r="T808" s="2" t="s">
        <v>23</v>
      </c>
      <c r="U808" s="25">
        <f t="shared" si="49"/>
        <v>8393.0008080000007</v>
      </c>
    </row>
    <row r="809" spans="1:21">
      <c r="A809" s="2" t="s">
        <v>1403</v>
      </c>
      <c r="B809" s="2" t="s">
        <v>648</v>
      </c>
      <c r="C809" s="2" t="s">
        <v>19</v>
      </c>
      <c r="D809" s="2">
        <v>53</v>
      </c>
      <c r="E809" s="2" t="str">
        <f t="shared" si="50"/>
        <v>46-60</v>
      </c>
      <c r="F809" s="2" t="s">
        <v>57</v>
      </c>
      <c r="G809" s="2" t="s">
        <v>27</v>
      </c>
      <c r="H809" s="2">
        <v>33</v>
      </c>
      <c r="I809" s="2" t="str">
        <f t="shared" si="48"/>
        <v>25-48 months</v>
      </c>
      <c r="J809" s="3">
        <v>599</v>
      </c>
      <c r="K809" s="3">
        <v>19767</v>
      </c>
      <c r="L809" s="2" t="s">
        <v>37</v>
      </c>
      <c r="M809" s="4">
        <v>44915</v>
      </c>
      <c r="N809" s="2" t="s">
        <v>23</v>
      </c>
      <c r="O809" s="2">
        <f t="shared" si="51"/>
        <v>0</v>
      </c>
      <c r="P809" s="2" t="s">
        <v>23</v>
      </c>
      <c r="Q809" s="2" t="s">
        <v>23</v>
      </c>
      <c r="R809" s="2" t="s">
        <v>23</v>
      </c>
      <c r="S809" s="2" t="s">
        <v>23</v>
      </c>
      <c r="T809" s="2" t="s">
        <v>23</v>
      </c>
      <c r="U809" s="25">
        <f t="shared" si="49"/>
        <v>19767.000809000001</v>
      </c>
    </row>
    <row r="810" spans="1:21">
      <c r="A810" s="2" t="s">
        <v>1404</v>
      </c>
      <c r="B810" s="2" t="s">
        <v>1237</v>
      </c>
      <c r="C810" s="2" t="s">
        <v>19</v>
      </c>
      <c r="D810" s="2">
        <v>29</v>
      </c>
      <c r="E810" s="2" t="str">
        <f t="shared" si="50"/>
        <v>26-35</v>
      </c>
      <c r="F810" s="2" t="s">
        <v>91</v>
      </c>
      <c r="G810" s="2" t="s">
        <v>21</v>
      </c>
      <c r="H810" s="2">
        <v>15</v>
      </c>
      <c r="I810" s="2" t="str">
        <f t="shared" si="48"/>
        <v>13-24 months</v>
      </c>
      <c r="J810" s="3">
        <v>849</v>
      </c>
      <c r="K810" s="3">
        <v>12735</v>
      </c>
      <c r="L810" s="2" t="s">
        <v>31</v>
      </c>
      <c r="M810" s="4">
        <v>45463</v>
      </c>
      <c r="N810" s="2" t="s">
        <v>23</v>
      </c>
      <c r="O810" s="2">
        <f t="shared" si="51"/>
        <v>0</v>
      </c>
      <c r="P810" s="2" t="s">
        <v>23</v>
      </c>
      <c r="Q810" s="2" t="s">
        <v>23</v>
      </c>
      <c r="R810" s="2" t="s">
        <v>23</v>
      </c>
      <c r="S810" s="2" t="s">
        <v>23</v>
      </c>
      <c r="T810" s="2" t="s">
        <v>23</v>
      </c>
      <c r="U810" s="25">
        <f t="shared" si="49"/>
        <v>12735.00081</v>
      </c>
    </row>
    <row r="811" spans="1:21">
      <c r="A811" s="2" t="s">
        <v>1405</v>
      </c>
      <c r="B811" s="2" t="s">
        <v>1406</v>
      </c>
      <c r="C811" s="2" t="s">
        <v>19</v>
      </c>
      <c r="D811" s="2">
        <v>42</v>
      </c>
      <c r="E811" s="2" t="str">
        <f t="shared" si="50"/>
        <v>36-45</v>
      </c>
      <c r="F811" s="2" t="s">
        <v>63</v>
      </c>
      <c r="G811" s="2" t="s">
        <v>21</v>
      </c>
      <c r="H811" s="2">
        <v>20</v>
      </c>
      <c r="I811" s="2" t="str">
        <f t="shared" si="48"/>
        <v>13-24 months</v>
      </c>
      <c r="J811" s="3">
        <v>1099</v>
      </c>
      <c r="K811" s="3">
        <v>21980</v>
      </c>
      <c r="L811" s="2" t="s">
        <v>22</v>
      </c>
      <c r="M811" s="4">
        <v>45303</v>
      </c>
      <c r="N811" s="2" t="s">
        <v>23</v>
      </c>
      <c r="O811" s="2">
        <f t="shared" si="51"/>
        <v>0</v>
      </c>
      <c r="P811" s="2" t="s">
        <v>23</v>
      </c>
      <c r="Q811" s="2" t="s">
        <v>23</v>
      </c>
      <c r="R811" s="2" t="s">
        <v>23</v>
      </c>
      <c r="S811" s="2" t="s">
        <v>23</v>
      </c>
      <c r="T811" s="2" t="s">
        <v>23</v>
      </c>
      <c r="U811" s="25">
        <f t="shared" si="49"/>
        <v>21980.000811000002</v>
      </c>
    </row>
    <row r="812" spans="1:21">
      <c r="A812" s="2" t="s">
        <v>1407</v>
      </c>
      <c r="B812" s="2" t="s">
        <v>1408</v>
      </c>
      <c r="C812" s="2" t="s">
        <v>35</v>
      </c>
      <c r="D812" s="2">
        <v>45</v>
      </c>
      <c r="E812" s="2" t="str">
        <f t="shared" si="50"/>
        <v>36-45</v>
      </c>
      <c r="F812" s="2" t="s">
        <v>57</v>
      </c>
      <c r="G812" s="2" t="s">
        <v>21</v>
      </c>
      <c r="H812" s="2">
        <v>10</v>
      </c>
      <c r="I812" s="2" t="str">
        <f t="shared" si="48"/>
        <v>7-12 months</v>
      </c>
      <c r="J812" s="3">
        <v>399</v>
      </c>
      <c r="K812" s="3">
        <v>3990</v>
      </c>
      <c r="L812" s="2" t="s">
        <v>66</v>
      </c>
      <c r="M812" s="4">
        <v>45623</v>
      </c>
      <c r="N812" s="2" t="s">
        <v>23</v>
      </c>
      <c r="O812" s="2">
        <f t="shared" si="51"/>
        <v>0</v>
      </c>
      <c r="P812" s="2" t="s">
        <v>23</v>
      </c>
      <c r="Q812" s="2" t="s">
        <v>23</v>
      </c>
      <c r="R812" s="2" t="s">
        <v>23</v>
      </c>
      <c r="S812" s="2" t="s">
        <v>23</v>
      </c>
      <c r="T812" s="2" t="s">
        <v>23</v>
      </c>
      <c r="U812" s="25">
        <f t="shared" si="49"/>
        <v>3990.0008120000002</v>
      </c>
    </row>
    <row r="813" spans="1:21">
      <c r="A813" s="2" t="s">
        <v>1409</v>
      </c>
      <c r="B813" s="2" t="s">
        <v>464</v>
      </c>
      <c r="C813" s="2" t="s">
        <v>35</v>
      </c>
      <c r="D813" s="2">
        <v>47</v>
      </c>
      <c r="E813" s="2" t="str">
        <f t="shared" si="50"/>
        <v>46-60</v>
      </c>
      <c r="F813" s="2" t="s">
        <v>60</v>
      </c>
      <c r="G813" s="2" t="s">
        <v>21</v>
      </c>
      <c r="H813" s="2">
        <v>16</v>
      </c>
      <c r="I813" s="2" t="str">
        <f t="shared" si="48"/>
        <v>13-24 months</v>
      </c>
      <c r="J813" s="3">
        <v>1049</v>
      </c>
      <c r="K813" s="3">
        <v>16784</v>
      </c>
      <c r="L813" s="2" t="s">
        <v>22</v>
      </c>
      <c r="M813" s="4">
        <v>45442</v>
      </c>
      <c r="N813" s="2" t="s">
        <v>23</v>
      </c>
      <c r="O813" s="2">
        <f t="shared" si="51"/>
        <v>0</v>
      </c>
      <c r="P813" s="2" t="s">
        <v>32</v>
      </c>
      <c r="Q813" s="2" t="s">
        <v>23</v>
      </c>
      <c r="R813" s="2" t="s">
        <v>23</v>
      </c>
      <c r="S813" s="2" t="s">
        <v>23</v>
      </c>
      <c r="T813" s="2" t="s">
        <v>23</v>
      </c>
      <c r="U813" s="25">
        <f t="shared" si="49"/>
        <v>16784.000812999999</v>
      </c>
    </row>
    <row r="814" spans="1:21">
      <c r="A814" s="2" t="s">
        <v>1410</v>
      </c>
      <c r="B814" s="2" t="s">
        <v>37</v>
      </c>
      <c r="C814" s="2" t="s">
        <v>19</v>
      </c>
      <c r="D814" s="2">
        <v>18</v>
      </c>
      <c r="E814" s="2" t="str">
        <f t="shared" si="50"/>
        <v>18-25</v>
      </c>
      <c r="F814" s="2" t="s">
        <v>57</v>
      </c>
      <c r="G814" s="2" t="s">
        <v>21</v>
      </c>
      <c r="H814" s="2">
        <v>16</v>
      </c>
      <c r="I814" s="2" t="str">
        <f t="shared" si="48"/>
        <v>13-24 months</v>
      </c>
      <c r="J814" s="3">
        <v>1099</v>
      </c>
      <c r="K814" s="3">
        <v>17584</v>
      </c>
      <c r="L814" s="2" t="s">
        <v>22</v>
      </c>
      <c r="M814" s="4">
        <v>45437</v>
      </c>
      <c r="N814" s="2" t="s">
        <v>23</v>
      </c>
      <c r="O814" s="2">
        <f t="shared" si="51"/>
        <v>0</v>
      </c>
      <c r="P814" s="2" t="s">
        <v>23</v>
      </c>
      <c r="Q814" s="2" t="s">
        <v>23</v>
      </c>
      <c r="R814" s="2" t="s">
        <v>23</v>
      </c>
      <c r="S814" s="2" t="s">
        <v>23</v>
      </c>
      <c r="T814" s="2" t="s">
        <v>23</v>
      </c>
      <c r="U814" s="25">
        <f t="shared" si="49"/>
        <v>17584.000813999999</v>
      </c>
    </row>
    <row r="815" spans="1:21">
      <c r="A815" s="2" t="s">
        <v>1411</v>
      </c>
      <c r="B815" s="2" t="s">
        <v>1251</v>
      </c>
      <c r="C815" s="2" t="s">
        <v>37</v>
      </c>
      <c r="D815" s="2">
        <v>59</v>
      </c>
      <c r="E815" s="2" t="str">
        <f t="shared" si="50"/>
        <v>46-60</v>
      </c>
      <c r="F815" s="2" t="s">
        <v>91</v>
      </c>
      <c r="G815" s="2" t="s">
        <v>21</v>
      </c>
      <c r="H815" s="2">
        <v>4</v>
      </c>
      <c r="I815" s="2" t="str">
        <f t="shared" si="48"/>
        <v>0-6 months</v>
      </c>
      <c r="J815" s="3">
        <v>399</v>
      </c>
      <c r="K815" s="3">
        <v>1596</v>
      </c>
      <c r="L815" s="2" t="s">
        <v>66</v>
      </c>
      <c r="M815" s="4">
        <v>45795</v>
      </c>
      <c r="N815" s="2" t="s">
        <v>32</v>
      </c>
      <c r="O815" s="2">
        <f t="shared" si="51"/>
        <v>1</v>
      </c>
      <c r="P815" s="2" t="s">
        <v>23</v>
      </c>
      <c r="Q815" s="2" t="s">
        <v>23</v>
      </c>
      <c r="R815" s="2" t="s">
        <v>23</v>
      </c>
      <c r="S815" s="2" t="s">
        <v>23</v>
      </c>
      <c r="T815" s="2" t="s">
        <v>23</v>
      </c>
      <c r="U815" s="25">
        <f t="shared" si="49"/>
        <v>1596.0008150000001</v>
      </c>
    </row>
    <row r="816" spans="1:21">
      <c r="A816" s="2" t="s">
        <v>1412</v>
      </c>
      <c r="B816" s="2" t="s">
        <v>1413</v>
      </c>
      <c r="C816" s="2" t="s">
        <v>35</v>
      </c>
      <c r="D816" s="2">
        <v>63</v>
      </c>
      <c r="E816" s="2" t="str">
        <f t="shared" si="50"/>
        <v>60+</v>
      </c>
      <c r="F816" s="2" t="s">
        <v>37</v>
      </c>
      <c r="G816" s="2" t="s">
        <v>27</v>
      </c>
      <c r="H816" s="2">
        <v>4</v>
      </c>
      <c r="I816" s="2" t="str">
        <f t="shared" si="48"/>
        <v>0-6 months</v>
      </c>
      <c r="J816" s="3">
        <v>1099</v>
      </c>
      <c r="K816" s="3">
        <v>4396</v>
      </c>
      <c r="L816" s="2" t="s">
        <v>22</v>
      </c>
      <c r="M816" s="4">
        <v>45801</v>
      </c>
      <c r="N816" s="2" t="s">
        <v>23</v>
      </c>
      <c r="O816" s="2">
        <f t="shared" si="51"/>
        <v>0</v>
      </c>
      <c r="P816" s="2" t="s">
        <v>23</v>
      </c>
      <c r="Q816" s="2" t="s">
        <v>32</v>
      </c>
      <c r="R816" s="2" t="s">
        <v>23</v>
      </c>
      <c r="S816" s="2" t="s">
        <v>23</v>
      </c>
      <c r="T816" s="2" t="s">
        <v>23</v>
      </c>
      <c r="U816" s="25">
        <f t="shared" si="49"/>
        <v>4396.0008159999998</v>
      </c>
    </row>
    <row r="817" spans="1:21">
      <c r="A817" s="2" t="s">
        <v>1414</v>
      </c>
      <c r="B817" s="2" t="s">
        <v>1415</v>
      </c>
      <c r="C817" s="2" t="s">
        <v>35</v>
      </c>
      <c r="D817" s="2">
        <v>58</v>
      </c>
      <c r="E817" s="2" t="str">
        <f t="shared" si="50"/>
        <v>46-60</v>
      </c>
      <c r="F817" s="2" t="s">
        <v>141</v>
      </c>
      <c r="G817" s="2" t="s">
        <v>27</v>
      </c>
      <c r="H817" s="2">
        <v>10</v>
      </c>
      <c r="I817" s="2" t="str">
        <f t="shared" si="48"/>
        <v>7-12 months</v>
      </c>
      <c r="J817" s="3">
        <v>1149</v>
      </c>
      <c r="K817" s="3">
        <v>11490</v>
      </c>
      <c r="L817" s="2" t="s">
        <v>22</v>
      </c>
      <c r="M817" s="4">
        <v>45624</v>
      </c>
      <c r="N817" s="2" t="s">
        <v>23</v>
      </c>
      <c r="O817" s="2">
        <f t="shared" si="51"/>
        <v>0</v>
      </c>
      <c r="P817" s="2" t="s">
        <v>23</v>
      </c>
      <c r="Q817" s="2" t="s">
        <v>23</v>
      </c>
      <c r="R817" s="2" t="s">
        <v>23</v>
      </c>
      <c r="S817" s="2" t="s">
        <v>23</v>
      </c>
      <c r="T817" s="2" t="s">
        <v>23</v>
      </c>
      <c r="U817" s="25">
        <f t="shared" si="49"/>
        <v>11490.000817</v>
      </c>
    </row>
    <row r="818" spans="1:21">
      <c r="A818" s="2" t="s">
        <v>1416</v>
      </c>
      <c r="B818" s="2" t="s">
        <v>228</v>
      </c>
      <c r="C818" s="2" t="s">
        <v>35</v>
      </c>
      <c r="D818" s="2">
        <v>55</v>
      </c>
      <c r="E818" s="2" t="str">
        <f t="shared" si="50"/>
        <v>46-60</v>
      </c>
      <c r="F818" s="2" t="s">
        <v>71</v>
      </c>
      <c r="G818" s="2" t="s">
        <v>47</v>
      </c>
      <c r="H818" s="2">
        <v>12</v>
      </c>
      <c r="I818" s="2" t="str">
        <f t="shared" si="48"/>
        <v>7-12 months</v>
      </c>
      <c r="J818" s="3">
        <v>849</v>
      </c>
      <c r="K818" s="3">
        <v>10188</v>
      </c>
      <c r="L818" s="2" t="s">
        <v>31</v>
      </c>
      <c r="M818" s="4">
        <v>45550</v>
      </c>
      <c r="N818" s="2" t="s">
        <v>23</v>
      </c>
      <c r="O818" s="2">
        <f t="shared" si="51"/>
        <v>0</v>
      </c>
      <c r="P818" s="2" t="s">
        <v>23</v>
      </c>
      <c r="Q818" s="2" t="s">
        <v>23</v>
      </c>
      <c r="R818" s="2" t="s">
        <v>23</v>
      </c>
      <c r="S818" s="2" t="s">
        <v>23</v>
      </c>
      <c r="T818" s="2" t="s">
        <v>23</v>
      </c>
      <c r="U818" s="25">
        <f t="shared" si="49"/>
        <v>10188.000818</v>
      </c>
    </row>
    <row r="819" spans="1:21">
      <c r="A819" s="2" t="s">
        <v>1417</v>
      </c>
      <c r="B819" s="2" t="s">
        <v>1121</v>
      </c>
      <c r="C819" s="2" t="s">
        <v>19</v>
      </c>
      <c r="D819" s="2">
        <v>74</v>
      </c>
      <c r="E819" s="2" t="str">
        <f t="shared" si="50"/>
        <v>60+</v>
      </c>
      <c r="F819" s="2" t="s">
        <v>105</v>
      </c>
      <c r="G819" s="2" t="s">
        <v>21</v>
      </c>
      <c r="H819" s="2">
        <v>23</v>
      </c>
      <c r="I819" s="2" t="str">
        <f t="shared" si="48"/>
        <v>13-24 months</v>
      </c>
      <c r="J819" s="3">
        <v>1149</v>
      </c>
      <c r="K819" s="3">
        <v>26427</v>
      </c>
      <c r="L819" s="2" t="s">
        <v>22</v>
      </c>
      <c r="M819" s="4">
        <v>45226</v>
      </c>
      <c r="N819" s="2" t="s">
        <v>23</v>
      </c>
      <c r="O819" s="2">
        <f t="shared" si="51"/>
        <v>0</v>
      </c>
      <c r="P819" s="2" t="s">
        <v>23</v>
      </c>
      <c r="Q819" s="2" t="s">
        <v>23</v>
      </c>
      <c r="R819" s="2" t="s">
        <v>23</v>
      </c>
      <c r="S819" s="2" t="s">
        <v>23</v>
      </c>
      <c r="T819" s="2" t="s">
        <v>23</v>
      </c>
      <c r="U819" s="25">
        <f t="shared" si="49"/>
        <v>26427.000819000001</v>
      </c>
    </row>
    <row r="820" spans="1:21">
      <c r="A820" s="2" t="s">
        <v>1418</v>
      </c>
      <c r="B820" s="2" t="s">
        <v>260</v>
      </c>
      <c r="C820" s="2" t="s">
        <v>35</v>
      </c>
      <c r="D820" s="2">
        <v>47</v>
      </c>
      <c r="E820" s="2" t="str">
        <f t="shared" si="50"/>
        <v>46-60</v>
      </c>
      <c r="F820" s="2" t="s">
        <v>41</v>
      </c>
      <c r="G820" s="2" t="s">
        <v>21</v>
      </c>
      <c r="H820" s="2">
        <v>12</v>
      </c>
      <c r="I820" s="2" t="str">
        <f t="shared" si="48"/>
        <v>7-12 months</v>
      </c>
      <c r="J820" s="3">
        <v>999</v>
      </c>
      <c r="K820" s="3">
        <v>11988</v>
      </c>
      <c r="L820" s="2" t="s">
        <v>22</v>
      </c>
      <c r="M820" s="4">
        <v>45539</v>
      </c>
      <c r="N820" s="2" t="s">
        <v>23</v>
      </c>
      <c r="O820" s="2">
        <f t="shared" si="51"/>
        <v>0</v>
      </c>
      <c r="P820" s="2" t="s">
        <v>32</v>
      </c>
      <c r="Q820" s="2" t="s">
        <v>23</v>
      </c>
      <c r="R820" s="2" t="s">
        <v>23</v>
      </c>
      <c r="S820" s="2" t="s">
        <v>23</v>
      </c>
      <c r="T820" s="2" t="s">
        <v>23</v>
      </c>
      <c r="U820" s="25">
        <f t="shared" si="49"/>
        <v>11988.000819999999</v>
      </c>
    </row>
    <row r="821" spans="1:21">
      <c r="A821" s="2" t="s">
        <v>1419</v>
      </c>
      <c r="B821" s="2" t="s">
        <v>1420</v>
      </c>
      <c r="C821" s="2" t="s">
        <v>35</v>
      </c>
      <c r="D821" s="2">
        <v>28</v>
      </c>
      <c r="E821" s="2" t="str">
        <f t="shared" si="50"/>
        <v>26-35</v>
      </c>
      <c r="F821" s="2" t="s">
        <v>57</v>
      </c>
      <c r="G821" s="2" t="s">
        <v>21</v>
      </c>
      <c r="H821" s="2">
        <v>23</v>
      </c>
      <c r="I821" s="2" t="str">
        <f t="shared" si="48"/>
        <v>13-24 months</v>
      </c>
      <c r="J821" s="3">
        <v>749</v>
      </c>
      <c r="K821" s="3">
        <v>17227</v>
      </c>
      <c r="L821" s="2" t="s">
        <v>31</v>
      </c>
      <c r="M821" s="4">
        <v>45215</v>
      </c>
      <c r="N821" s="2" t="s">
        <v>23</v>
      </c>
      <c r="O821" s="2">
        <f t="shared" si="51"/>
        <v>0</v>
      </c>
      <c r="P821" s="2" t="s">
        <v>23</v>
      </c>
      <c r="Q821" s="2" t="s">
        <v>23</v>
      </c>
      <c r="R821" s="2" t="s">
        <v>23</v>
      </c>
      <c r="S821" s="2" t="s">
        <v>23</v>
      </c>
      <c r="T821" s="2" t="s">
        <v>23</v>
      </c>
      <c r="U821" s="25">
        <f t="shared" si="49"/>
        <v>17227.000821000001</v>
      </c>
    </row>
    <row r="822" spans="1:21">
      <c r="A822" s="2" t="s">
        <v>1421</v>
      </c>
      <c r="B822" s="2" t="s">
        <v>629</v>
      </c>
      <c r="C822" s="2" t="s">
        <v>35</v>
      </c>
      <c r="D822" s="2">
        <v>41</v>
      </c>
      <c r="E822" s="2" t="str">
        <f t="shared" si="50"/>
        <v>36-45</v>
      </c>
      <c r="F822" s="2" t="s">
        <v>63</v>
      </c>
      <c r="G822" s="2" t="s">
        <v>27</v>
      </c>
      <c r="H822" s="2">
        <v>12</v>
      </c>
      <c r="I822" s="2" t="str">
        <f t="shared" si="48"/>
        <v>7-12 months</v>
      </c>
      <c r="J822" s="3">
        <v>799</v>
      </c>
      <c r="K822" s="3">
        <v>9588</v>
      </c>
      <c r="L822" s="2" t="s">
        <v>31</v>
      </c>
      <c r="M822" s="4">
        <v>45562</v>
      </c>
      <c r="N822" s="2" t="s">
        <v>23</v>
      </c>
      <c r="O822" s="2">
        <f t="shared" si="51"/>
        <v>0</v>
      </c>
      <c r="P822" s="2" t="s">
        <v>23</v>
      </c>
      <c r="Q822" s="2" t="s">
        <v>23</v>
      </c>
      <c r="R822" s="2" t="s">
        <v>23</v>
      </c>
      <c r="S822" s="2" t="s">
        <v>23</v>
      </c>
      <c r="T822" s="2" t="s">
        <v>23</v>
      </c>
      <c r="U822" s="25">
        <f t="shared" si="49"/>
        <v>9588.000822</v>
      </c>
    </row>
    <row r="823" spans="1:21">
      <c r="A823" s="2" t="s">
        <v>1422</v>
      </c>
      <c r="B823" s="2" t="s">
        <v>1423</v>
      </c>
      <c r="C823" s="2" t="s">
        <v>19</v>
      </c>
      <c r="D823" s="2">
        <v>65</v>
      </c>
      <c r="E823" s="2" t="str">
        <f t="shared" si="50"/>
        <v>60+</v>
      </c>
      <c r="F823" s="2" t="s">
        <v>63</v>
      </c>
      <c r="G823" s="2" t="s">
        <v>47</v>
      </c>
      <c r="H823" s="2">
        <v>53</v>
      </c>
      <c r="I823" s="2" t="str">
        <f t="shared" si="48"/>
        <v>49+ months</v>
      </c>
      <c r="J823" s="3">
        <v>749</v>
      </c>
      <c r="K823" s="3">
        <v>39697</v>
      </c>
      <c r="L823" s="2" t="s">
        <v>31</v>
      </c>
      <c r="M823" s="4">
        <v>44318</v>
      </c>
      <c r="N823" s="2" t="s">
        <v>23</v>
      </c>
      <c r="O823" s="2">
        <f t="shared" si="51"/>
        <v>0</v>
      </c>
      <c r="P823" s="2" t="s">
        <v>23</v>
      </c>
      <c r="Q823" s="2" t="s">
        <v>23</v>
      </c>
      <c r="R823" s="2" t="s">
        <v>23</v>
      </c>
      <c r="S823" s="2" t="s">
        <v>23</v>
      </c>
      <c r="T823" s="2" t="s">
        <v>23</v>
      </c>
      <c r="U823" s="25">
        <f t="shared" si="49"/>
        <v>39697.000823000002</v>
      </c>
    </row>
    <row r="824" spans="1:21">
      <c r="A824" s="2" t="s">
        <v>1424</v>
      </c>
      <c r="B824" s="2" t="s">
        <v>1157</v>
      </c>
      <c r="C824" s="2" t="s">
        <v>19</v>
      </c>
      <c r="D824" s="2">
        <v>23</v>
      </c>
      <c r="E824" s="2" t="str">
        <f t="shared" si="50"/>
        <v>18-25</v>
      </c>
      <c r="F824" s="2" t="s">
        <v>105</v>
      </c>
      <c r="G824" s="2" t="s">
        <v>21</v>
      </c>
      <c r="H824" s="2">
        <v>1</v>
      </c>
      <c r="I824" s="2" t="str">
        <f t="shared" si="48"/>
        <v>0-6 months</v>
      </c>
      <c r="J824" s="3">
        <v>799</v>
      </c>
      <c r="K824" s="3">
        <v>799</v>
      </c>
      <c r="L824" s="2" t="s">
        <v>31</v>
      </c>
      <c r="M824" s="4">
        <v>45874</v>
      </c>
      <c r="N824" s="2" t="s">
        <v>32</v>
      </c>
      <c r="O824" s="2">
        <f t="shared" si="51"/>
        <v>1</v>
      </c>
      <c r="P824" s="2" t="s">
        <v>23</v>
      </c>
      <c r="Q824" s="2" t="s">
        <v>23</v>
      </c>
      <c r="R824" s="2" t="s">
        <v>23</v>
      </c>
      <c r="S824" s="2" t="s">
        <v>23</v>
      </c>
      <c r="T824" s="2" t="s">
        <v>23</v>
      </c>
      <c r="U824" s="25">
        <f t="shared" si="49"/>
        <v>799.00082399999997</v>
      </c>
    </row>
    <row r="825" spans="1:21">
      <c r="A825" s="2" t="s">
        <v>1425</v>
      </c>
      <c r="B825" s="2" t="s">
        <v>1035</v>
      </c>
      <c r="C825" s="2" t="s">
        <v>19</v>
      </c>
      <c r="D825" s="2">
        <v>35</v>
      </c>
      <c r="E825" s="2" t="str">
        <f t="shared" si="50"/>
        <v>26-35</v>
      </c>
      <c r="F825" s="2" t="s">
        <v>110</v>
      </c>
      <c r="G825" s="2" t="s">
        <v>47</v>
      </c>
      <c r="H825" s="2">
        <v>6</v>
      </c>
      <c r="I825" s="2" t="str">
        <f t="shared" si="48"/>
        <v>0-6 months</v>
      </c>
      <c r="J825" s="3">
        <v>999</v>
      </c>
      <c r="K825" s="3">
        <v>5994</v>
      </c>
      <c r="L825" s="2" t="s">
        <v>22</v>
      </c>
      <c r="M825" s="4">
        <v>45736</v>
      </c>
      <c r="N825" s="2" t="s">
        <v>37</v>
      </c>
      <c r="O825" s="2" t="str">
        <f t="shared" si="51"/>
        <v/>
      </c>
      <c r="P825" s="2" t="s">
        <v>23</v>
      </c>
      <c r="Q825" s="2" t="s">
        <v>23</v>
      </c>
      <c r="R825" s="2" t="s">
        <v>23</v>
      </c>
      <c r="S825" s="2" t="s">
        <v>23</v>
      </c>
      <c r="T825" s="2" t="s">
        <v>38</v>
      </c>
      <c r="U825" s="25">
        <f t="shared" si="49"/>
        <v>5994.0008250000001</v>
      </c>
    </row>
    <row r="826" spans="1:21">
      <c r="A826" s="2" t="s">
        <v>1426</v>
      </c>
      <c r="B826" s="2" t="s">
        <v>1427</v>
      </c>
      <c r="C826" s="2" t="s">
        <v>35</v>
      </c>
      <c r="D826" s="2">
        <v>66</v>
      </c>
      <c r="E826" s="2" t="str">
        <f t="shared" si="50"/>
        <v>60+</v>
      </c>
      <c r="F826" s="2" t="s">
        <v>30</v>
      </c>
      <c r="G826" s="2" t="s">
        <v>27</v>
      </c>
      <c r="H826" s="2">
        <v>22</v>
      </c>
      <c r="I826" s="2" t="str">
        <f t="shared" si="48"/>
        <v>13-24 months</v>
      </c>
      <c r="J826" s="3">
        <v>699</v>
      </c>
      <c r="K826" s="3">
        <v>15378</v>
      </c>
      <c r="L826" s="2" t="s">
        <v>31</v>
      </c>
      <c r="M826" s="4">
        <v>45247</v>
      </c>
      <c r="N826" s="2" t="s">
        <v>23</v>
      </c>
      <c r="O826" s="2">
        <f t="shared" si="51"/>
        <v>0</v>
      </c>
      <c r="P826" s="2" t="s">
        <v>23</v>
      </c>
      <c r="Q826" s="2" t="s">
        <v>23</v>
      </c>
      <c r="R826" s="2" t="s">
        <v>23</v>
      </c>
      <c r="S826" s="2" t="s">
        <v>23</v>
      </c>
      <c r="T826" s="2" t="s">
        <v>23</v>
      </c>
      <c r="U826" s="25">
        <f t="shared" si="49"/>
        <v>15378.000826</v>
      </c>
    </row>
    <row r="827" spans="1:21">
      <c r="A827" s="2" t="s">
        <v>1428</v>
      </c>
      <c r="B827" s="2" t="s">
        <v>1429</v>
      </c>
      <c r="C827" s="2" t="s">
        <v>35</v>
      </c>
      <c r="D827" s="2">
        <v>21</v>
      </c>
      <c r="E827" s="2" t="str">
        <f t="shared" si="50"/>
        <v>18-25</v>
      </c>
      <c r="F827" s="2" t="s">
        <v>30</v>
      </c>
      <c r="G827" s="2" t="s">
        <v>47</v>
      </c>
      <c r="H827" s="2">
        <v>1</v>
      </c>
      <c r="I827" s="2" t="str">
        <f t="shared" si="48"/>
        <v>0-6 months</v>
      </c>
      <c r="J827" s="3">
        <v>499</v>
      </c>
      <c r="K827" s="3">
        <v>499</v>
      </c>
      <c r="L827" s="2" t="s">
        <v>66</v>
      </c>
      <c r="M827" s="4">
        <v>45870</v>
      </c>
      <c r="N827" s="2" t="s">
        <v>23</v>
      </c>
      <c r="O827" s="2">
        <f t="shared" si="51"/>
        <v>0</v>
      </c>
      <c r="P827" s="2" t="s">
        <v>23</v>
      </c>
      <c r="Q827" s="2" t="s">
        <v>23</v>
      </c>
      <c r="R827" s="2" t="s">
        <v>23</v>
      </c>
      <c r="S827" s="2" t="s">
        <v>23</v>
      </c>
      <c r="T827" s="2" t="s">
        <v>23</v>
      </c>
      <c r="U827" s="25">
        <f t="shared" si="49"/>
        <v>499.00082700000002</v>
      </c>
    </row>
    <row r="828" spans="1:21">
      <c r="A828" s="2" t="s">
        <v>1430</v>
      </c>
      <c r="B828" s="2" t="s">
        <v>1431</v>
      </c>
      <c r="C828" s="2" t="s">
        <v>19</v>
      </c>
      <c r="D828" s="2">
        <v>25</v>
      </c>
      <c r="E828" s="2" t="str">
        <f t="shared" si="50"/>
        <v>18-25</v>
      </c>
      <c r="F828" s="2" t="s">
        <v>57</v>
      </c>
      <c r="G828" s="2" t="s">
        <v>21</v>
      </c>
      <c r="H828" s="2">
        <v>8</v>
      </c>
      <c r="I828" s="2" t="str">
        <f t="shared" si="48"/>
        <v>7-12 months</v>
      </c>
      <c r="J828" s="3">
        <v>549</v>
      </c>
      <c r="K828" s="3">
        <v>4392</v>
      </c>
      <c r="L828" s="2" t="s">
        <v>66</v>
      </c>
      <c r="M828" s="4">
        <v>45661</v>
      </c>
      <c r="N828" s="2" t="s">
        <v>23</v>
      </c>
      <c r="O828" s="2">
        <f t="shared" si="51"/>
        <v>0</v>
      </c>
      <c r="P828" s="2" t="s">
        <v>23</v>
      </c>
      <c r="Q828" s="2" t="s">
        <v>23</v>
      </c>
      <c r="R828" s="2" t="s">
        <v>23</v>
      </c>
      <c r="S828" s="2" t="s">
        <v>23</v>
      </c>
      <c r="T828" s="2" t="s">
        <v>23</v>
      </c>
      <c r="U828" s="25">
        <f t="shared" si="49"/>
        <v>4392.0008280000002</v>
      </c>
    </row>
    <row r="829" spans="1:21">
      <c r="A829" s="2" t="s">
        <v>1432</v>
      </c>
      <c r="B829" s="2" t="s">
        <v>358</v>
      </c>
      <c r="C829" s="2" t="s">
        <v>35</v>
      </c>
      <c r="D829" s="2">
        <v>60</v>
      </c>
      <c r="E829" s="2" t="str">
        <f t="shared" si="50"/>
        <v>46-60</v>
      </c>
      <c r="F829" s="2" t="s">
        <v>20</v>
      </c>
      <c r="G829" s="2" t="s">
        <v>21</v>
      </c>
      <c r="H829" s="2">
        <v>11</v>
      </c>
      <c r="I829" s="2" t="str">
        <f t="shared" si="48"/>
        <v>7-12 months</v>
      </c>
      <c r="J829" s="3">
        <v>1199</v>
      </c>
      <c r="K829" s="3">
        <v>13189</v>
      </c>
      <c r="L829" s="2" t="s">
        <v>22</v>
      </c>
      <c r="M829" s="4">
        <v>45573</v>
      </c>
      <c r="N829" s="2" t="s">
        <v>23</v>
      </c>
      <c r="O829" s="2">
        <f t="shared" si="51"/>
        <v>0</v>
      </c>
      <c r="P829" s="2" t="s">
        <v>23</v>
      </c>
      <c r="Q829" s="2" t="s">
        <v>32</v>
      </c>
      <c r="R829" s="2" t="s">
        <v>23</v>
      </c>
      <c r="S829" s="2" t="s">
        <v>23</v>
      </c>
      <c r="T829" s="2" t="s">
        <v>23</v>
      </c>
      <c r="U829" s="25">
        <f t="shared" si="49"/>
        <v>13189.000829000001</v>
      </c>
    </row>
    <row r="830" spans="1:21">
      <c r="A830" s="2" t="s">
        <v>1433</v>
      </c>
      <c r="B830" s="2" t="s">
        <v>161</v>
      </c>
      <c r="C830" s="2" t="s">
        <v>35</v>
      </c>
      <c r="D830" s="2">
        <v>56</v>
      </c>
      <c r="E830" s="2" t="str">
        <f t="shared" si="50"/>
        <v>46-60</v>
      </c>
      <c r="F830" s="2" t="s">
        <v>60</v>
      </c>
      <c r="G830" s="2" t="s">
        <v>21</v>
      </c>
      <c r="H830" s="2">
        <v>3</v>
      </c>
      <c r="I830" s="2" t="str">
        <f t="shared" si="48"/>
        <v>0-6 months</v>
      </c>
      <c r="J830" s="3">
        <v>1099</v>
      </c>
      <c r="K830" s="3">
        <v>3297</v>
      </c>
      <c r="L830" s="2" t="s">
        <v>22</v>
      </c>
      <c r="M830" s="4">
        <v>45811</v>
      </c>
      <c r="N830" s="2" t="s">
        <v>23</v>
      </c>
      <c r="O830" s="2">
        <f t="shared" si="51"/>
        <v>0</v>
      </c>
      <c r="P830" s="2" t="s">
        <v>23</v>
      </c>
      <c r="Q830" s="2" t="s">
        <v>23</v>
      </c>
      <c r="R830" s="2" t="s">
        <v>23</v>
      </c>
      <c r="S830" s="2" t="s">
        <v>23</v>
      </c>
      <c r="T830" s="2" t="s">
        <v>23</v>
      </c>
      <c r="U830" s="25">
        <f t="shared" si="49"/>
        <v>3297.00083</v>
      </c>
    </row>
    <row r="831" spans="1:21">
      <c r="A831" s="2" t="s">
        <v>1434</v>
      </c>
      <c r="B831" s="2" t="s">
        <v>1435</v>
      </c>
      <c r="C831" s="2" t="s">
        <v>19</v>
      </c>
      <c r="D831" s="2">
        <v>56</v>
      </c>
      <c r="E831" s="2" t="str">
        <f t="shared" si="50"/>
        <v>46-60</v>
      </c>
      <c r="F831" s="2" t="s">
        <v>20</v>
      </c>
      <c r="G831" s="2" t="s">
        <v>27</v>
      </c>
      <c r="H831" s="2">
        <v>37</v>
      </c>
      <c r="I831" s="2" t="str">
        <f t="shared" si="48"/>
        <v>25-48 months</v>
      </c>
      <c r="J831" s="3">
        <v>549</v>
      </c>
      <c r="K831" s="3">
        <v>20313</v>
      </c>
      <c r="L831" s="2" t="s">
        <v>66</v>
      </c>
      <c r="M831" s="4">
        <v>44803</v>
      </c>
      <c r="N831" s="2" t="s">
        <v>32</v>
      </c>
      <c r="O831" s="2">
        <f t="shared" si="51"/>
        <v>1</v>
      </c>
      <c r="P831" s="2" t="s">
        <v>23</v>
      </c>
      <c r="Q831" s="2" t="s">
        <v>23</v>
      </c>
      <c r="R831" s="2" t="s">
        <v>23</v>
      </c>
      <c r="S831" s="2" t="s">
        <v>23</v>
      </c>
      <c r="T831" s="2" t="s">
        <v>23</v>
      </c>
      <c r="U831" s="25">
        <f t="shared" si="49"/>
        <v>20313.000831000001</v>
      </c>
    </row>
    <row r="832" spans="1:21">
      <c r="A832" s="2" t="s">
        <v>1436</v>
      </c>
      <c r="B832" s="2" t="s">
        <v>560</v>
      </c>
      <c r="C832" s="2" t="s">
        <v>19</v>
      </c>
      <c r="D832" s="2">
        <v>53</v>
      </c>
      <c r="E832" s="2" t="str">
        <f t="shared" si="50"/>
        <v>46-60</v>
      </c>
      <c r="F832" s="2" t="s">
        <v>57</v>
      </c>
      <c r="G832" s="2" t="s">
        <v>21</v>
      </c>
      <c r="H832" s="2">
        <v>4</v>
      </c>
      <c r="I832" s="2" t="str">
        <f t="shared" si="48"/>
        <v>0-6 months</v>
      </c>
      <c r="J832" s="3">
        <v>549</v>
      </c>
      <c r="K832" s="3">
        <v>2196</v>
      </c>
      <c r="L832" s="2" t="s">
        <v>66</v>
      </c>
      <c r="M832" s="4">
        <v>45802</v>
      </c>
      <c r="N832" s="2" t="s">
        <v>32</v>
      </c>
      <c r="O832" s="2">
        <f t="shared" si="51"/>
        <v>1</v>
      </c>
      <c r="P832" s="2" t="s">
        <v>23</v>
      </c>
      <c r="Q832" s="2" t="s">
        <v>23</v>
      </c>
      <c r="R832" s="2" t="s">
        <v>23</v>
      </c>
      <c r="S832" s="2" t="s">
        <v>23</v>
      </c>
      <c r="T832" s="2" t="s">
        <v>23</v>
      </c>
      <c r="U832" s="25">
        <f t="shared" si="49"/>
        <v>2196.0008320000002</v>
      </c>
    </row>
    <row r="833" spans="1:21">
      <c r="A833" s="2" t="s">
        <v>1437</v>
      </c>
      <c r="B833" s="2" t="s">
        <v>1438</v>
      </c>
      <c r="C833" s="2" t="s">
        <v>19</v>
      </c>
      <c r="D833" s="2">
        <v>45</v>
      </c>
      <c r="E833" s="2" t="str">
        <f t="shared" si="50"/>
        <v>36-45</v>
      </c>
      <c r="F833" s="2" t="s">
        <v>141</v>
      </c>
      <c r="G833" s="2" t="s">
        <v>21</v>
      </c>
      <c r="H833" s="2">
        <v>11</v>
      </c>
      <c r="I833" s="2" t="str">
        <f t="shared" si="48"/>
        <v>7-12 months</v>
      </c>
      <c r="J833" s="3">
        <v>449</v>
      </c>
      <c r="K833" s="3">
        <v>4939</v>
      </c>
      <c r="L833" s="2" t="s">
        <v>66</v>
      </c>
      <c r="M833" s="4">
        <v>45590</v>
      </c>
      <c r="N833" s="2" t="s">
        <v>32</v>
      </c>
      <c r="O833" s="2">
        <f t="shared" si="51"/>
        <v>1</v>
      </c>
      <c r="P833" s="2" t="s">
        <v>23</v>
      </c>
      <c r="Q833" s="2" t="s">
        <v>23</v>
      </c>
      <c r="R833" s="2" t="s">
        <v>23</v>
      </c>
      <c r="S833" s="2" t="s">
        <v>23</v>
      </c>
      <c r="T833" s="2" t="s">
        <v>23</v>
      </c>
      <c r="U833" s="25">
        <f t="shared" si="49"/>
        <v>4939.0008330000001</v>
      </c>
    </row>
    <row r="834" spans="1:21">
      <c r="A834" s="2" t="s">
        <v>1439</v>
      </c>
      <c r="B834" s="2" t="s">
        <v>1315</v>
      </c>
      <c r="C834" s="2" t="s">
        <v>35</v>
      </c>
      <c r="D834" s="2">
        <v>26</v>
      </c>
      <c r="E834" s="2" t="str">
        <f t="shared" si="50"/>
        <v>26-35</v>
      </c>
      <c r="F834" s="2" t="s">
        <v>26</v>
      </c>
      <c r="G834" s="2" t="s">
        <v>27</v>
      </c>
      <c r="H834" s="2">
        <v>22</v>
      </c>
      <c r="I834" s="2" t="str">
        <f t="shared" ref="I834:I897" si="52">IF(H834="","Unknown",IF(H834&lt;=6,"0-6 months",IF(H834&lt;=12,"7-12 months",IF(H834&lt;=24,"13-24 months",IF(H834&lt;=48,"25-48 months","49+ months")))))</f>
        <v>13-24 months</v>
      </c>
      <c r="J834" s="3">
        <v>999</v>
      </c>
      <c r="K834" s="3">
        <v>21978</v>
      </c>
      <c r="L834" s="2" t="s">
        <v>22</v>
      </c>
      <c r="M834" s="4">
        <v>45249</v>
      </c>
      <c r="N834" s="2" t="s">
        <v>23</v>
      </c>
      <c r="O834" s="2">
        <f t="shared" si="51"/>
        <v>0</v>
      </c>
      <c r="P834" s="2" t="s">
        <v>23</v>
      </c>
      <c r="Q834" s="2" t="s">
        <v>23</v>
      </c>
      <c r="R834" s="2" t="s">
        <v>23</v>
      </c>
      <c r="S834" s="2" t="s">
        <v>23</v>
      </c>
      <c r="T834" s="2" t="s">
        <v>23</v>
      </c>
      <c r="U834" s="25">
        <f t="shared" ref="U834:U897" si="53">IF(K834="","",K834+ROW()/1000000)</f>
        <v>21978.000833999999</v>
      </c>
    </row>
    <row r="835" spans="1:21">
      <c r="A835" s="2" t="s">
        <v>1440</v>
      </c>
      <c r="B835" s="2" t="s">
        <v>490</v>
      </c>
      <c r="C835" s="2" t="s">
        <v>19</v>
      </c>
      <c r="D835" s="2">
        <v>63</v>
      </c>
      <c r="E835" s="2" t="str">
        <f t="shared" ref="E835:E898" si="54">IF(D835&lt;=25,"18-25",IF(D835&lt;=35,"26-35",IF(D835&lt;=45,"36-45",IF(D835&lt;=60,"46-60","60+"))))</f>
        <v>60+</v>
      </c>
      <c r="F835" s="2" t="s">
        <v>141</v>
      </c>
      <c r="G835" s="2" t="s">
        <v>27</v>
      </c>
      <c r="H835" s="2">
        <v>36</v>
      </c>
      <c r="I835" s="2" t="str">
        <f t="shared" si="52"/>
        <v>25-48 months</v>
      </c>
      <c r="J835" s="3">
        <v>1099</v>
      </c>
      <c r="K835" s="3">
        <v>39564</v>
      </c>
      <c r="L835" s="2" t="s">
        <v>22</v>
      </c>
      <c r="M835" s="4">
        <v>44845</v>
      </c>
      <c r="N835" s="2" t="s">
        <v>23</v>
      </c>
      <c r="O835" s="2">
        <f t="shared" ref="O835:O898" si="55">IF(N835="Yes",1,IF(N835="No",0,""))</f>
        <v>0</v>
      </c>
      <c r="P835" s="2" t="s">
        <v>23</v>
      </c>
      <c r="Q835" s="2" t="s">
        <v>23</v>
      </c>
      <c r="R835" s="2" t="s">
        <v>23</v>
      </c>
      <c r="S835" s="2" t="s">
        <v>23</v>
      </c>
      <c r="T835" s="2" t="s">
        <v>23</v>
      </c>
      <c r="U835" s="25">
        <f t="shared" si="53"/>
        <v>39564.000834999999</v>
      </c>
    </row>
    <row r="836" spans="1:21">
      <c r="A836" s="2" t="s">
        <v>1441</v>
      </c>
      <c r="B836" s="2" t="s">
        <v>37</v>
      </c>
      <c r="C836" s="2" t="s">
        <v>35</v>
      </c>
      <c r="D836" s="2">
        <v>23</v>
      </c>
      <c r="E836" s="2" t="str">
        <f t="shared" si="54"/>
        <v>18-25</v>
      </c>
      <c r="F836" s="2" t="s">
        <v>30</v>
      </c>
      <c r="G836" s="2" t="s">
        <v>27</v>
      </c>
      <c r="H836" s="2">
        <v>8</v>
      </c>
      <c r="I836" s="2" t="str">
        <f t="shared" si="52"/>
        <v>7-12 months</v>
      </c>
      <c r="J836" s="3">
        <v>399</v>
      </c>
      <c r="K836" s="3">
        <v>3192</v>
      </c>
      <c r="L836" s="2" t="s">
        <v>66</v>
      </c>
      <c r="M836" s="4">
        <v>45676</v>
      </c>
      <c r="N836" s="2" t="s">
        <v>23</v>
      </c>
      <c r="O836" s="2">
        <f t="shared" si="55"/>
        <v>0</v>
      </c>
      <c r="P836" s="2" t="s">
        <v>23</v>
      </c>
      <c r="Q836" s="2" t="s">
        <v>23</v>
      </c>
      <c r="R836" s="2" t="s">
        <v>23</v>
      </c>
      <c r="S836" s="2" t="s">
        <v>23</v>
      </c>
      <c r="T836" s="2" t="s">
        <v>23</v>
      </c>
      <c r="U836" s="25">
        <f t="shared" si="53"/>
        <v>3192.0008360000002</v>
      </c>
    </row>
    <row r="837" spans="1:21">
      <c r="A837" s="2" t="s">
        <v>1442</v>
      </c>
      <c r="B837" s="2" t="s">
        <v>524</v>
      </c>
      <c r="C837" s="2" t="s">
        <v>19</v>
      </c>
      <c r="D837" s="2">
        <v>55</v>
      </c>
      <c r="E837" s="2" t="str">
        <f t="shared" si="54"/>
        <v>46-60</v>
      </c>
      <c r="F837" s="2" t="s">
        <v>26</v>
      </c>
      <c r="G837" s="2" t="s">
        <v>21</v>
      </c>
      <c r="H837" s="2">
        <v>14</v>
      </c>
      <c r="I837" s="2" t="str">
        <f t="shared" si="52"/>
        <v>13-24 months</v>
      </c>
      <c r="J837" s="3">
        <v>1299</v>
      </c>
      <c r="K837" s="3">
        <v>18186</v>
      </c>
      <c r="L837" s="2" t="s">
        <v>22</v>
      </c>
      <c r="M837" s="4">
        <v>45479</v>
      </c>
      <c r="N837" s="2" t="s">
        <v>23</v>
      </c>
      <c r="O837" s="2">
        <f t="shared" si="55"/>
        <v>0</v>
      </c>
      <c r="P837" s="2" t="s">
        <v>23</v>
      </c>
      <c r="Q837" s="2" t="s">
        <v>23</v>
      </c>
      <c r="R837" s="2" t="s">
        <v>23</v>
      </c>
      <c r="S837" s="2" t="s">
        <v>23</v>
      </c>
      <c r="T837" s="2" t="s">
        <v>23</v>
      </c>
      <c r="U837" s="25">
        <f t="shared" si="53"/>
        <v>18186.000837</v>
      </c>
    </row>
    <row r="838" spans="1:21">
      <c r="A838" s="2" t="s">
        <v>1443</v>
      </c>
      <c r="B838" s="2" t="s">
        <v>653</v>
      </c>
      <c r="C838" s="2" t="s">
        <v>19</v>
      </c>
      <c r="D838" s="2">
        <v>56</v>
      </c>
      <c r="E838" s="2" t="str">
        <f t="shared" si="54"/>
        <v>46-60</v>
      </c>
      <c r="F838" s="2" t="s">
        <v>91</v>
      </c>
      <c r="G838" s="2" t="s">
        <v>21</v>
      </c>
      <c r="H838" s="2">
        <v>18</v>
      </c>
      <c r="I838" s="2" t="str">
        <f t="shared" si="52"/>
        <v>13-24 months</v>
      </c>
      <c r="J838" s="3">
        <v>1099</v>
      </c>
      <c r="K838" s="3">
        <v>19782</v>
      </c>
      <c r="L838" s="2" t="s">
        <v>22</v>
      </c>
      <c r="M838" s="4">
        <v>45379</v>
      </c>
      <c r="N838" s="2" t="s">
        <v>32</v>
      </c>
      <c r="O838" s="2">
        <f t="shared" si="55"/>
        <v>1</v>
      </c>
      <c r="P838" s="2" t="s">
        <v>23</v>
      </c>
      <c r="Q838" s="2" t="s">
        <v>23</v>
      </c>
      <c r="R838" s="2" t="s">
        <v>23</v>
      </c>
      <c r="S838" s="2" t="s">
        <v>23</v>
      </c>
      <c r="T838" s="2" t="s">
        <v>23</v>
      </c>
      <c r="U838" s="25">
        <f t="shared" si="53"/>
        <v>19782.000838</v>
      </c>
    </row>
    <row r="839" spans="1:21">
      <c r="A839" s="2" t="s">
        <v>1444</v>
      </c>
      <c r="B839" s="2" t="s">
        <v>774</v>
      </c>
      <c r="C839" s="2" t="s">
        <v>19</v>
      </c>
      <c r="D839" s="2">
        <v>47</v>
      </c>
      <c r="E839" s="2" t="str">
        <f t="shared" si="54"/>
        <v>46-60</v>
      </c>
      <c r="F839" s="2" t="s">
        <v>63</v>
      </c>
      <c r="G839" s="2" t="s">
        <v>27</v>
      </c>
      <c r="H839" s="2">
        <v>3</v>
      </c>
      <c r="I839" s="2" t="str">
        <f t="shared" si="52"/>
        <v>0-6 months</v>
      </c>
      <c r="J839" s="3">
        <v>799</v>
      </c>
      <c r="K839" s="3">
        <v>2397</v>
      </c>
      <c r="L839" s="2" t="s">
        <v>31</v>
      </c>
      <c r="M839" s="4">
        <v>45816</v>
      </c>
      <c r="N839" s="2" t="s">
        <v>23</v>
      </c>
      <c r="O839" s="2">
        <f t="shared" si="55"/>
        <v>0</v>
      </c>
      <c r="P839" s="2" t="s">
        <v>23</v>
      </c>
      <c r="Q839" s="2" t="s">
        <v>23</v>
      </c>
      <c r="R839" s="2" t="s">
        <v>23</v>
      </c>
      <c r="S839" s="2" t="s">
        <v>32</v>
      </c>
      <c r="T839" s="2" t="s">
        <v>23</v>
      </c>
      <c r="U839" s="25">
        <f t="shared" si="53"/>
        <v>2397.0008389999998</v>
      </c>
    </row>
    <row r="840" spans="1:21">
      <c r="A840" s="2" t="s">
        <v>1445</v>
      </c>
      <c r="B840" s="2" t="s">
        <v>564</v>
      </c>
      <c r="C840" s="2" t="s">
        <v>19</v>
      </c>
      <c r="D840" s="2">
        <v>54</v>
      </c>
      <c r="E840" s="2" t="str">
        <f t="shared" si="54"/>
        <v>46-60</v>
      </c>
      <c r="F840" s="2" t="s">
        <v>60</v>
      </c>
      <c r="G840" s="2" t="s">
        <v>27</v>
      </c>
      <c r="H840" s="2"/>
      <c r="I840" s="2" t="str">
        <f t="shared" si="52"/>
        <v>Unknown</v>
      </c>
      <c r="J840" s="3">
        <v>849</v>
      </c>
      <c r="K840" s="3"/>
      <c r="L840" s="2" t="s">
        <v>31</v>
      </c>
      <c r="M840" s="4">
        <v>45348</v>
      </c>
      <c r="N840" s="2" t="s">
        <v>23</v>
      </c>
      <c r="O840" s="2">
        <f t="shared" si="55"/>
        <v>0</v>
      </c>
      <c r="P840" s="2" t="s">
        <v>23</v>
      </c>
      <c r="Q840" s="2" t="s">
        <v>23</v>
      </c>
      <c r="R840" s="2" t="s">
        <v>23</v>
      </c>
      <c r="S840" s="2" t="s">
        <v>23</v>
      </c>
      <c r="T840" s="2" t="s">
        <v>214</v>
      </c>
      <c r="U840" s="25" t="str">
        <f t="shared" si="53"/>
        <v/>
      </c>
    </row>
    <row r="841" spans="1:21">
      <c r="A841" s="2" t="s">
        <v>1446</v>
      </c>
      <c r="B841" s="2" t="s">
        <v>1447</v>
      </c>
      <c r="C841" s="2" t="s">
        <v>19</v>
      </c>
      <c r="D841" s="2">
        <v>69</v>
      </c>
      <c r="E841" s="2" t="str">
        <f t="shared" si="54"/>
        <v>60+</v>
      </c>
      <c r="F841" s="2" t="s">
        <v>20</v>
      </c>
      <c r="G841" s="2" t="s">
        <v>27</v>
      </c>
      <c r="H841" s="2">
        <v>12</v>
      </c>
      <c r="I841" s="2" t="str">
        <f t="shared" si="52"/>
        <v>7-12 months</v>
      </c>
      <c r="J841" s="3">
        <v>899</v>
      </c>
      <c r="K841" s="3">
        <v>10788</v>
      </c>
      <c r="L841" s="2" t="s">
        <v>31</v>
      </c>
      <c r="M841" s="4">
        <v>45542</v>
      </c>
      <c r="N841" s="2" t="s">
        <v>23</v>
      </c>
      <c r="O841" s="2">
        <f t="shared" si="55"/>
        <v>0</v>
      </c>
      <c r="P841" s="2" t="s">
        <v>23</v>
      </c>
      <c r="Q841" s="2" t="s">
        <v>23</v>
      </c>
      <c r="R841" s="2" t="s">
        <v>23</v>
      </c>
      <c r="S841" s="2" t="s">
        <v>23</v>
      </c>
      <c r="T841" s="2" t="s">
        <v>23</v>
      </c>
      <c r="U841" s="25">
        <f t="shared" si="53"/>
        <v>10788.000840999999</v>
      </c>
    </row>
    <row r="842" spans="1:21">
      <c r="A842" s="2" t="s">
        <v>1448</v>
      </c>
      <c r="B842" s="2" t="s">
        <v>404</v>
      </c>
      <c r="C842" s="2" t="s">
        <v>19</v>
      </c>
      <c r="D842" s="2">
        <v>43</v>
      </c>
      <c r="E842" s="2" t="str">
        <f t="shared" si="54"/>
        <v>36-45</v>
      </c>
      <c r="F842" s="2" t="s">
        <v>30</v>
      </c>
      <c r="G842" s="2" t="s">
        <v>21</v>
      </c>
      <c r="H842" s="2">
        <v>12</v>
      </c>
      <c r="I842" s="2" t="str">
        <f t="shared" si="52"/>
        <v>7-12 months</v>
      </c>
      <c r="J842" s="3">
        <v>1099</v>
      </c>
      <c r="K842" s="3">
        <v>13188</v>
      </c>
      <c r="L842" s="2" t="s">
        <v>22</v>
      </c>
      <c r="M842" s="4">
        <v>45545</v>
      </c>
      <c r="N842" s="2" t="s">
        <v>32</v>
      </c>
      <c r="O842" s="2">
        <f t="shared" si="55"/>
        <v>1</v>
      </c>
      <c r="P842" s="2" t="s">
        <v>23</v>
      </c>
      <c r="Q842" s="2" t="s">
        <v>23</v>
      </c>
      <c r="R842" s="2" t="s">
        <v>23</v>
      </c>
      <c r="S842" s="2" t="s">
        <v>23</v>
      </c>
      <c r="T842" s="2" t="s">
        <v>23</v>
      </c>
      <c r="U842" s="25">
        <f t="shared" si="53"/>
        <v>13188.000841999999</v>
      </c>
    </row>
    <row r="843" spans="1:21">
      <c r="A843" s="2" t="s">
        <v>1449</v>
      </c>
      <c r="B843" s="2" t="s">
        <v>1450</v>
      </c>
      <c r="C843" s="2" t="s">
        <v>35</v>
      </c>
      <c r="D843" s="2">
        <v>30</v>
      </c>
      <c r="E843" s="2" t="str">
        <f t="shared" si="54"/>
        <v>26-35</v>
      </c>
      <c r="F843" s="2" t="s">
        <v>141</v>
      </c>
      <c r="G843" s="2" t="s">
        <v>47</v>
      </c>
      <c r="H843" s="2">
        <v>17</v>
      </c>
      <c r="I843" s="2" t="str">
        <f t="shared" si="52"/>
        <v>13-24 months</v>
      </c>
      <c r="J843" s="3">
        <v>1299</v>
      </c>
      <c r="K843" s="3">
        <v>22083</v>
      </c>
      <c r="L843" s="2" t="s">
        <v>22</v>
      </c>
      <c r="M843" s="4">
        <v>45417</v>
      </c>
      <c r="N843" s="2" t="s">
        <v>23</v>
      </c>
      <c r="O843" s="2">
        <f t="shared" si="55"/>
        <v>0</v>
      </c>
      <c r="P843" s="2" t="s">
        <v>23</v>
      </c>
      <c r="Q843" s="2" t="s">
        <v>23</v>
      </c>
      <c r="R843" s="2" t="s">
        <v>23</v>
      </c>
      <c r="S843" s="2" t="s">
        <v>23</v>
      </c>
      <c r="T843" s="2" t="s">
        <v>23</v>
      </c>
      <c r="U843" s="25">
        <f t="shared" si="53"/>
        <v>22083.000843000002</v>
      </c>
    </row>
    <row r="844" spans="1:21">
      <c r="A844" s="2" t="s">
        <v>1451</v>
      </c>
      <c r="B844" s="2" t="s">
        <v>43</v>
      </c>
      <c r="C844" s="2" t="s">
        <v>35</v>
      </c>
      <c r="D844" s="2">
        <v>28</v>
      </c>
      <c r="E844" s="2" t="str">
        <f t="shared" si="54"/>
        <v>26-35</v>
      </c>
      <c r="F844" s="2" t="s">
        <v>91</v>
      </c>
      <c r="G844" s="2" t="s">
        <v>21</v>
      </c>
      <c r="H844" s="2">
        <v>10</v>
      </c>
      <c r="I844" s="2" t="str">
        <f t="shared" si="52"/>
        <v>7-12 months</v>
      </c>
      <c r="J844" s="3">
        <v>999</v>
      </c>
      <c r="K844" s="3">
        <v>9990</v>
      </c>
      <c r="L844" s="2" t="s">
        <v>22</v>
      </c>
      <c r="M844" s="4">
        <v>45622</v>
      </c>
      <c r="N844" s="2" t="s">
        <v>23</v>
      </c>
      <c r="O844" s="2">
        <f t="shared" si="55"/>
        <v>0</v>
      </c>
      <c r="P844" s="2" t="s">
        <v>23</v>
      </c>
      <c r="Q844" s="2" t="s">
        <v>23</v>
      </c>
      <c r="R844" s="2" t="s">
        <v>23</v>
      </c>
      <c r="S844" s="2" t="s">
        <v>23</v>
      </c>
      <c r="T844" s="2" t="s">
        <v>23</v>
      </c>
      <c r="U844" s="25">
        <f t="shared" si="53"/>
        <v>9990.0008440000001</v>
      </c>
    </row>
    <row r="845" spans="1:21">
      <c r="A845" s="2" t="s">
        <v>1452</v>
      </c>
      <c r="B845" s="2" t="s">
        <v>1453</v>
      </c>
      <c r="C845" s="2" t="s">
        <v>19</v>
      </c>
      <c r="D845" s="2">
        <v>72</v>
      </c>
      <c r="E845" s="2" t="str">
        <f t="shared" si="54"/>
        <v>60+</v>
      </c>
      <c r="F845" s="2" t="s">
        <v>91</v>
      </c>
      <c r="G845" s="2" t="s">
        <v>21</v>
      </c>
      <c r="H845" s="2">
        <v>5</v>
      </c>
      <c r="I845" s="2" t="str">
        <f t="shared" si="52"/>
        <v>0-6 months</v>
      </c>
      <c r="J845" s="3">
        <v>1099</v>
      </c>
      <c r="K845" s="3">
        <v>5495</v>
      </c>
      <c r="L845" s="2" t="s">
        <v>22</v>
      </c>
      <c r="M845" s="4">
        <v>45775</v>
      </c>
      <c r="N845" s="2" t="s">
        <v>23</v>
      </c>
      <c r="O845" s="2">
        <f t="shared" si="55"/>
        <v>0</v>
      </c>
      <c r="P845" s="2" t="s">
        <v>23</v>
      </c>
      <c r="Q845" s="2" t="s">
        <v>23</v>
      </c>
      <c r="R845" s="2" t="s">
        <v>32</v>
      </c>
      <c r="S845" s="2" t="s">
        <v>23</v>
      </c>
      <c r="T845" s="2" t="s">
        <v>23</v>
      </c>
      <c r="U845" s="25">
        <f t="shared" si="53"/>
        <v>5495.0008449999996</v>
      </c>
    </row>
    <row r="846" spans="1:21">
      <c r="A846" s="2" t="s">
        <v>1454</v>
      </c>
      <c r="B846" s="2" t="s">
        <v>816</v>
      </c>
      <c r="C846" s="2" t="s">
        <v>35</v>
      </c>
      <c r="D846" s="2">
        <v>21</v>
      </c>
      <c r="E846" s="2" t="str">
        <f t="shared" si="54"/>
        <v>18-25</v>
      </c>
      <c r="F846" s="2" t="s">
        <v>41</v>
      </c>
      <c r="G846" s="2" t="s">
        <v>47</v>
      </c>
      <c r="H846" s="2">
        <v>56</v>
      </c>
      <c r="I846" s="2" t="str">
        <f t="shared" si="52"/>
        <v>49+ months</v>
      </c>
      <c r="J846" s="3">
        <v>1199</v>
      </c>
      <c r="K846" s="3">
        <v>67144</v>
      </c>
      <c r="L846" s="2" t="s">
        <v>22</v>
      </c>
      <c r="M846" s="4">
        <v>44245</v>
      </c>
      <c r="N846" s="2" t="s">
        <v>23</v>
      </c>
      <c r="O846" s="2">
        <f t="shared" si="55"/>
        <v>0</v>
      </c>
      <c r="P846" s="2" t="s">
        <v>23</v>
      </c>
      <c r="Q846" s="2" t="s">
        <v>23</v>
      </c>
      <c r="R846" s="2" t="s">
        <v>32</v>
      </c>
      <c r="S846" s="2" t="s">
        <v>23</v>
      </c>
      <c r="T846" s="2" t="s">
        <v>23</v>
      </c>
      <c r="U846" s="25">
        <f t="shared" si="53"/>
        <v>67144.000845999995</v>
      </c>
    </row>
    <row r="847" spans="1:21">
      <c r="A847" s="2" t="s">
        <v>1455</v>
      </c>
      <c r="B847" s="2" t="s">
        <v>1456</v>
      </c>
      <c r="C847" s="2" t="s">
        <v>19</v>
      </c>
      <c r="D847" s="2">
        <v>37</v>
      </c>
      <c r="E847" s="2" t="str">
        <f t="shared" si="54"/>
        <v>36-45</v>
      </c>
      <c r="F847" s="2" t="s">
        <v>141</v>
      </c>
      <c r="G847" s="2" t="s">
        <v>27</v>
      </c>
      <c r="H847" s="2">
        <v>25</v>
      </c>
      <c r="I847" s="2" t="str">
        <f t="shared" si="52"/>
        <v>25-48 months</v>
      </c>
      <c r="J847" s="3">
        <v>899</v>
      </c>
      <c r="K847" s="3">
        <v>22475</v>
      </c>
      <c r="L847" s="2" t="s">
        <v>31</v>
      </c>
      <c r="M847" s="4"/>
      <c r="N847" s="2" t="s">
        <v>23</v>
      </c>
      <c r="O847" s="2">
        <f t="shared" si="55"/>
        <v>0</v>
      </c>
      <c r="P847" s="2" t="s">
        <v>23</v>
      </c>
      <c r="Q847" s="2" t="s">
        <v>23</v>
      </c>
      <c r="R847" s="2" t="s">
        <v>23</v>
      </c>
      <c r="S847" s="2" t="s">
        <v>23</v>
      </c>
      <c r="T847" s="2" t="s">
        <v>54</v>
      </c>
      <c r="U847" s="25">
        <f t="shared" si="53"/>
        <v>22475.000846999999</v>
      </c>
    </row>
    <row r="848" spans="1:21">
      <c r="A848" s="2" t="s">
        <v>1457</v>
      </c>
      <c r="B848" s="2" t="s">
        <v>1284</v>
      </c>
      <c r="C848" s="2" t="s">
        <v>35</v>
      </c>
      <c r="D848" s="2">
        <v>59</v>
      </c>
      <c r="E848" s="2" t="str">
        <f t="shared" si="54"/>
        <v>46-60</v>
      </c>
      <c r="F848" s="2" t="s">
        <v>60</v>
      </c>
      <c r="G848" s="2" t="s">
        <v>21</v>
      </c>
      <c r="H848" s="2">
        <v>3</v>
      </c>
      <c r="I848" s="2" t="str">
        <f t="shared" si="52"/>
        <v>0-6 months</v>
      </c>
      <c r="J848" s="3">
        <v>599</v>
      </c>
      <c r="K848" s="3">
        <v>1797</v>
      </c>
      <c r="L848" s="2" t="s">
        <v>37</v>
      </c>
      <c r="M848" s="4">
        <v>45820</v>
      </c>
      <c r="N848" s="2" t="s">
        <v>32</v>
      </c>
      <c r="O848" s="2">
        <f t="shared" si="55"/>
        <v>1</v>
      </c>
      <c r="P848" s="2" t="s">
        <v>23</v>
      </c>
      <c r="Q848" s="2" t="s">
        <v>23</v>
      </c>
      <c r="R848" s="2" t="s">
        <v>23</v>
      </c>
      <c r="S848" s="2" t="s">
        <v>23</v>
      </c>
      <c r="T848" s="2" t="s">
        <v>23</v>
      </c>
      <c r="U848" s="25">
        <f t="shared" si="53"/>
        <v>1797.0008479999999</v>
      </c>
    </row>
    <row r="849" spans="1:21">
      <c r="A849" s="2" t="s">
        <v>1458</v>
      </c>
      <c r="B849" s="2" t="s">
        <v>1082</v>
      </c>
      <c r="C849" s="2" t="s">
        <v>35</v>
      </c>
      <c r="D849" s="2">
        <v>65</v>
      </c>
      <c r="E849" s="2" t="str">
        <f t="shared" si="54"/>
        <v>60+</v>
      </c>
      <c r="F849" s="2" t="s">
        <v>41</v>
      </c>
      <c r="G849" s="2" t="s">
        <v>27</v>
      </c>
      <c r="H849" s="2">
        <v>31</v>
      </c>
      <c r="I849" s="2" t="str">
        <f t="shared" si="52"/>
        <v>25-48 months</v>
      </c>
      <c r="J849" s="3">
        <v>849</v>
      </c>
      <c r="K849" s="3">
        <v>26319</v>
      </c>
      <c r="L849" s="2" t="s">
        <v>31</v>
      </c>
      <c r="M849" s="4">
        <v>44994</v>
      </c>
      <c r="N849" s="2" t="s">
        <v>23</v>
      </c>
      <c r="O849" s="2">
        <f t="shared" si="55"/>
        <v>0</v>
      </c>
      <c r="P849" s="2" t="s">
        <v>23</v>
      </c>
      <c r="Q849" s="2" t="s">
        <v>23</v>
      </c>
      <c r="R849" s="2" t="s">
        <v>23</v>
      </c>
      <c r="S849" s="2" t="s">
        <v>23</v>
      </c>
      <c r="T849" s="2" t="s">
        <v>23</v>
      </c>
      <c r="U849" s="25">
        <f t="shared" si="53"/>
        <v>26319.000849</v>
      </c>
    </row>
    <row r="850" spans="1:21">
      <c r="A850" s="2" t="s">
        <v>1459</v>
      </c>
      <c r="B850" s="2" t="s">
        <v>856</v>
      </c>
      <c r="C850" s="2" t="s">
        <v>19</v>
      </c>
      <c r="D850" s="2">
        <v>63</v>
      </c>
      <c r="E850" s="2" t="str">
        <f t="shared" si="54"/>
        <v>60+</v>
      </c>
      <c r="F850" s="2" t="s">
        <v>57</v>
      </c>
      <c r="G850" s="2" t="s">
        <v>27</v>
      </c>
      <c r="H850" s="2">
        <v>2</v>
      </c>
      <c r="I850" s="2" t="str">
        <f t="shared" si="52"/>
        <v>0-6 months</v>
      </c>
      <c r="J850" s="3">
        <v>749</v>
      </c>
      <c r="K850" s="3">
        <v>1498</v>
      </c>
      <c r="L850" s="2" t="s">
        <v>31</v>
      </c>
      <c r="M850" s="4">
        <v>45852</v>
      </c>
      <c r="N850" s="2" t="s">
        <v>23</v>
      </c>
      <c r="O850" s="2">
        <f t="shared" si="55"/>
        <v>0</v>
      </c>
      <c r="P850" s="2" t="s">
        <v>23</v>
      </c>
      <c r="Q850" s="2" t="s">
        <v>23</v>
      </c>
      <c r="R850" s="2" t="s">
        <v>23</v>
      </c>
      <c r="S850" s="2" t="s">
        <v>32</v>
      </c>
      <c r="T850" s="2" t="s">
        <v>23</v>
      </c>
      <c r="U850" s="25">
        <f t="shared" si="53"/>
        <v>1498.0008499999999</v>
      </c>
    </row>
    <row r="851" spans="1:21">
      <c r="A851" s="2" t="s">
        <v>1460</v>
      </c>
      <c r="B851" s="2" t="s">
        <v>297</v>
      </c>
      <c r="C851" s="2" t="s">
        <v>35</v>
      </c>
      <c r="D851" s="2">
        <v>71</v>
      </c>
      <c r="E851" s="2" t="str">
        <f t="shared" si="54"/>
        <v>60+</v>
      </c>
      <c r="F851" s="2" t="s">
        <v>91</v>
      </c>
      <c r="G851" s="2" t="s">
        <v>21</v>
      </c>
      <c r="H851" s="2">
        <v>21</v>
      </c>
      <c r="I851" s="2" t="str">
        <f t="shared" si="52"/>
        <v>13-24 months</v>
      </c>
      <c r="J851" s="3">
        <v>399</v>
      </c>
      <c r="K851" s="3">
        <v>8379</v>
      </c>
      <c r="L851" s="2" t="s">
        <v>66</v>
      </c>
      <c r="M851" s="4">
        <v>45270</v>
      </c>
      <c r="N851" s="2" t="s">
        <v>23</v>
      </c>
      <c r="O851" s="2">
        <f t="shared" si="55"/>
        <v>0</v>
      </c>
      <c r="P851" s="2" t="s">
        <v>23</v>
      </c>
      <c r="Q851" s="2" t="s">
        <v>23</v>
      </c>
      <c r="R851" s="2" t="s">
        <v>23</v>
      </c>
      <c r="S851" s="2" t="s">
        <v>23</v>
      </c>
      <c r="T851" s="2" t="s">
        <v>23</v>
      </c>
      <c r="U851" s="25">
        <f t="shared" si="53"/>
        <v>8379.0008510000007</v>
      </c>
    </row>
    <row r="852" spans="1:21">
      <c r="A852" s="2" t="s">
        <v>1461</v>
      </c>
      <c r="B852" s="2" t="s">
        <v>273</v>
      </c>
      <c r="C852" s="2" t="s">
        <v>19</v>
      </c>
      <c r="D852" s="2">
        <v>62</v>
      </c>
      <c r="E852" s="2" t="str">
        <f t="shared" si="54"/>
        <v>60+</v>
      </c>
      <c r="F852" s="2" t="s">
        <v>63</v>
      </c>
      <c r="G852" s="2" t="s">
        <v>21</v>
      </c>
      <c r="H852" s="2">
        <v>11</v>
      </c>
      <c r="I852" s="2" t="str">
        <f t="shared" si="52"/>
        <v>7-12 months</v>
      </c>
      <c r="J852" s="3">
        <v>899</v>
      </c>
      <c r="K852" s="3">
        <v>9889</v>
      </c>
      <c r="L852" s="2" t="s">
        <v>22</v>
      </c>
      <c r="M852" s="4">
        <v>45578</v>
      </c>
      <c r="N852" s="2" t="s">
        <v>23</v>
      </c>
      <c r="O852" s="2">
        <f t="shared" si="55"/>
        <v>0</v>
      </c>
      <c r="P852" s="2" t="s">
        <v>23</v>
      </c>
      <c r="Q852" s="2" t="s">
        <v>23</v>
      </c>
      <c r="R852" s="2" t="s">
        <v>23</v>
      </c>
      <c r="S852" s="2" t="s">
        <v>23</v>
      </c>
      <c r="T852" s="2" t="s">
        <v>23</v>
      </c>
      <c r="U852" s="25">
        <f t="shared" si="53"/>
        <v>9889.0008519999992</v>
      </c>
    </row>
    <row r="853" spans="1:21">
      <c r="A853" s="2" t="s">
        <v>1462</v>
      </c>
      <c r="B853" s="2" t="s">
        <v>246</v>
      </c>
      <c r="C853" s="2" t="s">
        <v>19</v>
      </c>
      <c r="D853" s="2">
        <v>34</v>
      </c>
      <c r="E853" s="2" t="str">
        <f t="shared" si="54"/>
        <v>26-35</v>
      </c>
      <c r="F853" s="2" t="s">
        <v>57</v>
      </c>
      <c r="G853" s="2" t="s">
        <v>27</v>
      </c>
      <c r="H853" s="2">
        <v>8</v>
      </c>
      <c r="I853" s="2" t="str">
        <f t="shared" si="52"/>
        <v>7-12 months</v>
      </c>
      <c r="J853" s="3">
        <v>799</v>
      </c>
      <c r="K853" s="3">
        <v>6392</v>
      </c>
      <c r="L853" s="2" t="s">
        <v>31</v>
      </c>
      <c r="M853" s="4">
        <v>45683</v>
      </c>
      <c r="N853" s="2" t="s">
        <v>23</v>
      </c>
      <c r="O853" s="2">
        <f t="shared" si="55"/>
        <v>0</v>
      </c>
      <c r="P853" s="2" t="s">
        <v>23</v>
      </c>
      <c r="Q853" s="2" t="s">
        <v>23</v>
      </c>
      <c r="R853" s="2" t="s">
        <v>23</v>
      </c>
      <c r="S853" s="2" t="s">
        <v>23</v>
      </c>
      <c r="T853" s="2" t="s">
        <v>23</v>
      </c>
      <c r="U853" s="25">
        <f t="shared" si="53"/>
        <v>6392.0008529999996</v>
      </c>
    </row>
    <row r="854" spans="1:21">
      <c r="A854" s="2" t="s">
        <v>1463</v>
      </c>
      <c r="B854" s="2" t="s">
        <v>573</v>
      </c>
      <c r="C854" s="2" t="s">
        <v>35</v>
      </c>
      <c r="D854" s="2">
        <v>37</v>
      </c>
      <c r="E854" s="2" t="str">
        <f t="shared" si="54"/>
        <v>36-45</v>
      </c>
      <c r="F854" s="2" t="s">
        <v>36</v>
      </c>
      <c r="G854" s="2" t="s">
        <v>47</v>
      </c>
      <c r="H854" s="2">
        <v>38</v>
      </c>
      <c r="I854" s="2" t="str">
        <f t="shared" si="52"/>
        <v>25-48 months</v>
      </c>
      <c r="J854" s="3">
        <v>1149</v>
      </c>
      <c r="K854" s="3">
        <v>43662</v>
      </c>
      <c r="L854" s="2" t="s">
        <v>22</v>
      </c>
      <c r="M854" s="4">
        <v>44773</v>
      </c>
      <c r="N854" s="2" t="s">
        <v>23</v>
      </c>
      <c r="O854" s="2">
        <f t="shared" si="55"/>
        <v>0</v>
      </c>
      <c r="P854" s="2" t="s">
        <v>23</v>
      </c>
      <c r="Q854" s="2" t="s">
        <v>23</v>
      </c>
      <c r="R854" s="2" t="s">
        <v>23</v>
      </c>
      <c r="S854" s="2" t="s">
        <v>32</v>
      </c>
      <c r="T854" s="2" t="s">
        <v>23</v>
      </c>
      <c r="U854" s="25">
        <f t="shared" si="53"/>
        <v>43662.000853999998</v>
      </c>
    </row>
    <row r="855" spans="1:21">
      <c r="A855" s="2" t="s">
        <v>1464</v>
      </c>
      <c r="B855" s="2" t="s">
        <v>1465</v>
      </c>
      <c r="C855" s="2" t="s">
        <v>35</v>
      </c>
      <c r="D855" s="2">
        <v>56</v>
      </c>
      <c r="E855" s="2" t="str">
        <f t="shared" si="54"/>
        <v>46-60</v>
      </c>
      <c r="F855" s="2" t="s">
        <v>37</v>
      </c>
      <c r="G855" s="2" t="s">
        <v>21</v>
      </c>
      <c r="H855" s="2">
        <v>22</v>
      </c>
      <c r="I855" s="2" t="str">
        <f t="shared" si="52"/>
        <v>13-24 months</v>
      </c>
      <c r="J855" s="3">
        <v>899</v>
      </c>
      <c r="K855" s="3">
        <v>19778</v>
      </c>
      <c r="L855" s="2" t="s">
        <v>22</v>
      </c>
      <c r="M855" s="4">
        <v>45264</v>
      </c>
      <c r="N855" s="2" t="s">
        <v>32</v>
      </c>
      <c r="O855" s="2">
        <f t="shared" si="55"/>
        <v>1</v>
      </c>
      <c r="P855" s="2" t="s">
        <v>23</v>
      </c>
      <c r="Q855" s="2" t="s">
        <v>23</v>
      </c>
      <c r="R855" s="2" t="s">
        <v>23</v>
      </c>
      <c r="S855" s="2" t="s">
        <v>23</v>
      </c>
      <c r="T855" s="2" t="s">
        <v>23</v>
      </c>
      <c r="U855" s="25">
        <f t="shared" si="53"/>
        <v>19778.000854999998</v>
      </c>
    </row>
    <row r="856" spans="1:21">
      <c r="A856" s="2" t="s">
        <v>1466</v>
      </c>
      <c r="B856" s="2" t="s">
        <v>772</v>
      </c>
      <c r="C856" s="2" t="s">
        <v>35</v>
      </c>
      <c r="D856" s="2">
        <v>56</v>
      </c>
      <c r="E856" s="2" t="str">
        <f t="shared" si="54"/>
        <v>46-60</v>
      </c>
      <c r="F856" s="2" t="s">
        <v>26</v>
      </c>
      <c r="G856" s="2" t="s">
        <v>21</v>
      </c>
      <c r="H856" s="2">
        <v>5</v>
      </c>
      <c r="I856" s="2" t="str">
        <f t="shared" si="52"/>
        <v>0-6 months</v>
      </c>
      <c r="J856" s="3">
        <v>1149</v>
      </c>
      <c r="K856" s="3">
        <v>5745</v>
      </c>
      <c r="L856" s="2" t="s">
        <v>22</v>
      </c>
      <c r="M856" s="4">
        <v>45770</v>
      </c>
      <c r="N856" s="2" t="s">
        <v>32</v>
      </c>
      <c r="O856" s="2">
        <f t="shared" si="55"/>
        <v>1</v>
      </c>
      <c r="P856" s="2" t="s">
        <v>23</v>
      </c>
      <c r="Q856" s="2" t="s">
        <v>23</v>
      </c>
      <c r="R856" s="2" t="s">
        <v>23</v>
      </c>
      <c r="S856" s="2" t="s">
        <v>23</v>
      </c>
      <c r="T856" s="2" t="s">
        <v>23</v>
      </c>
      <c r="U856" s="25">
        <f t="shared" si="53"/>
        <v>5745.0008559999997</v>
      </c>
    </row>
    <row r="857" spans="1:21">
      <c r="A857" s="2" t="s">
        <v>1467</v>
      </c>
      <c r="B857" s="2" t="s">
        <v>1468</v>
      </c>
      <c r="C857" s="2" t="s">
        <v>35</v>
      </c>
      <c r="D857" s="2">
        <v>75</v>
      </c>
      <c r="E857" s="2" t="str">
        <f t="shared" si="54"/>
        <v>60+</v>
      </c>
      <c r="F857" s="2" t="s">
        <v>63</v>
      </c>
      <c r="G857" s="2" t="s">
        <v>21</v>
      </c>
      <c r="H857" s="2">
        <v>9</v>
      </c>
      <c r="I857" s="2" t="str">
        <f t="shared" si="52"/>
        <v>7-12 months</v>
      </c>
      <c r="J857" s="3">
        <v>849</v>
      </c>
      <c r="K857" s="3">
        <v>7641</v>
      </c>
      <c r="L857" s="2" t="s">
        <v>31</v>
      </c>
      <c r="M857" s="4">
        <v>45656</v>
      </c>
      <c r="N857" s="2" t="s">
        <v>23</v>
      </c>
      <c r="O857" s="2">
        <f t="shared" si="55"/>
        <v>0</v>
      </c>
      <c r="P857" s="2" t="s">
        <v>23</v>
      </c>
      <c r="Q857" s="2" t="s">
        <v>23</v>
      </c>
      <c r="R857" s="2" t="s">
        <v>23</v>
      </c>
      <c r="S857" s="2" t="s">
        <v>23</v>
      </c>
      <c r="T857" s="2" t="s">
        <v>23</v>
      </c>
      <c r="U857" s="25">
        <f t="shared" si="53"/>
        <v>7641.000857</v>
      </c>
    </row>
    <row r="858" spans="1:21">
      <c r="A858" s="2" t="s">
        <v>1469</v>
      </c>
      <c r="B858" s="2" t="s">
        <v>536</v>
      </c>
      <c r="C858" s="2" t="s">
        <v>35</v>
      </c>
      <c r="D858" s="2">
        <v>41</v>
      </c>
      <c r="E858" s="2" t="str">
        <f t="shared" si="54"/>
        <v>36-45</v>
      </c>
      <c r="F858" s="2" t="s">
        <v>91</v>
      </c>
      <c r="G858" s="2" t="s">
        <v>27</v>
      </c>
      <c r="H858" s="2">
        <v>39</v>
      </c>
      <c r="I858" s="2" t="str">
        <f t="shared" si="52"/>
        <v>25-48 months</v>
      </c>
      <c r="J858" s="3">
        <v>399</v>
      </c>
      <c r="K858" s="3">
        <v>15561</v>
      </c>
      <c r="L858" s="2" t="s">
        <v>66</v>
      </c>
      <c r="M858" s="4">
        <v>44733</v>
      </c>
      <c r="N858" s="2" t="s">
        <v>23</v>
      </c>
      <c r="O858" s="2">
        <f t="shared" si="55"/>
        <v>0</v>
      </c>
      <c r="P858" s="2" t="s">
        <v>23</v>
      </c>
      <c r="Q858" s="2" t="s">
        <v>23</v>
      </c>
      <c r="R858" s="2" t="s">
        <v>23</v>
      </c>
      <c r="S858" s="2" t="s">
        <v>23</v>
      </c>
      <c r="T858" s="2" t="s">
        <v>23</v>
      </c>
      <c r="U858" s="25">
        <f t="shared" si="53"/>
        <v>15561.000857999999</v>
      </c>
    </row>
    <row r="859" spans="1:21">
      <c r="A859" s="2" t="s">
        <v>1470</v>
      </c>
      <c r="B859" s="2" t="s">
        <v>508</v>
      </c>
      <c r="C859" s="2" t="s">
        <v>35</v>
      </c>
      <c r="D859" s="2">
        <v>56</v>
      </c>
      <c r="E859" s="2" t="str">
        <f t="shared" si="54"/>
        <v>46-60</v>
      </c>
      <c r="F859" s="2" t="s">
        <v>20</v>
      </c>
      <c r="G859" s="2" t="s">
        <v>21</v>
      </c>
      <c r="H859" s="2">
        <v>4</v>
      </c>
      <c r="I859" s="2" t="str">
        <f t="shared" si="52"/>
        <v>0-6 months</v>
      </c>
      <c r="J859" s="3">
        <v>849</v>
      </c>
      <c r="K859" s="3">
        <v>3396</v>
      </c>
      <c r="L859" s="2" t="s">
        <v>31</v>
      </c>
      <c r="M859" s="4">
        <v>45788</v>
      </c>
      <c r="N859" s="2" t="s">
        <v>32</v>
      </c>
      <c r="O859" s="2">
        <f t="shared" si="55"/>
        <v>1</v>
      </c>
      <c r="P859" s="2" t="s">
        <v>23</v>
      </c>
      <c r="Q859" s="2" t="s">
        <v>23</v>
      </c>
      <c r="R859" s="2" t="s">
        <v>23</v>
      </c>
      <c r="S859" s="2" t="s">
        <v>23</v>
      </c>
      <c r="T859" s="2" t="s">
        <v>23</v>
      </c>
      <c r="U859" s="25">
        <f t="shared" si="53"/>
        <v>3396.0008590000002</v>
      </c>
    </row>
    <row r="860" spans="1:21">
      <c r="A860" s="2" t="s">
        <v>1471</v>
      </c>
      <c r="B860" s="2" t="s">
        <v>1472</v>
      </c>
      <c r="C860" s="2" t="s">
        <v>19</v>
      </c>
      <c r="D860" s="2">
        <v>67</v>
      </c>
      <c r="E860" s="2" t="str">
        <f t="shared" si="54"/>
        <v>60+</v>
      </c>
      <c r="F860" s="2" t="s">
        <v>46</v>
      </c>
      <c r="G860" s="2" t="s">
        <v>21</v>
      </c>
      <c r="H860" s="2">
        <v>9</v>
      </c>
      <c r="I860" s="2" t="str">
        <f t="shared" si="52"/>
        <v>7-12 months</v>
      </c>
      <c r="J860" s="3">
        <v>899</v>
      </c>
      <c r="K860" s="3">
        <v>8091</v>
      </c>
      <c r="L860" s="2" t="s">
        <v>22</v>
      </c>
      <c r="M860" s="4">
        <v>45651</v>
      </c>
      <c r="N860" s="2" t="s">
        <v>23</v>
      </c>
      <c r="O860" s="2">
        <f t="shared" si="55"/>
        <v>0</v>
      </c>
      <c r="P860" s="2" t="s">
        <v>23</v>
      </c>
      <c r="Q860" s="2" t="s">
        <v>23</v>
      </c>
      <c r="R860" s="2" t="s">
        <v>23</v>
      </c>
      <c r="S860" s="2" t="s">
        <v>23</v>
      </c>
      <c r="T860" s="2" t="s">
        <v>23</v>
      </c>
      <c r="U860" s="25">
        <f t="shared" si="53"/>
        <v>8091.0008600000001</v>
      </c>
    </row>
    <row r="861" spans="1:21">
      <c r="A861" s="2" t="s">
        <v>1473</v>
      </c>
      <c r="B861" s="2" t="s">
        <v>37</v>
      </c>
      <c r="C861" s="2" t="s">
        <v>35</v>
      </c>
      <c r="D861" s="2">
        <v>29</v>
      </c>
      <c r="E861" s="2" t="str">
        <f t="shared" si="54"/>
        <v>26-35</v>
      </c>
      <c r="F861" s="2" t="s">
        <v>26</v>
      </c>
      <c r="G861" s="2" t="s">
        <v>27</v>
      </c>
      <c r="H861" s="2">
        <v>32</v>
      </c>
      <c r="I861" s="2" t="str">
        <f t="shared" si="52"/>
        <v>25-48 months</v>
      </c>
      <c r="J861" s="3">
        <v>599</v>
      </c>
      <c r="K861" s="3">
        <v>19168</v>
      </c>
      <c r="L861" s="2" t="s">
        <v>31</v>
      </c>
      <c r="M861" s="4">
        <v>44941</v>
      </c>
      <c r="N861" s="2" t="s">
        <v>23</v>
      </c>
      <c r="O861" s="2">
        <f t="shared" si="55"/>
        <v>0</v>
      </c>
      <c r="P861" s="2" t="s">
        <v>23</v>
      </c>
      <c r="Q861" s="2" t="s">
        <v>32</v>
      </c>
      <c r="R861" s="2" t="s">
        <v>23</v>
      </c>
      <c r="S861" s="2" t="s">
        <v>23</v>
      </c>
      <c r="T861" s="2" t="s">
        <v>23</v>
      </c>
      <c r="U861" s="25">
        <f t="shared" si="53"/>
        <v>19168.000861</v>
      </c>
    </row>
    <row r="862" spans="1:21">
      <c r="A862" s="2" t="s">
        <v>1474</v>
      </c>
      <c r="B862" s="2" t="s">
        <v>730</v>
      </c>
      <c r="C862" s="2" t="s">
        <v>35</v>
      </c>
      <c r="D862" s="2">
        <v>56</v>
      </c>
      <c r="E862" s="2" t="str">
        <f t="shared" si="54"/>
        <v>46-60</v>
      </c>
      <c r="F862" s="2" t="s">
        <v>41</v>
      </c>
      <c r="G862" s="2" t="s">
        <v>47</v>
      </c>
      <c r="H862" s="2">
        <v>50</v>
      </c>
      <c r="I862" s="2" t="str">
        <f t="shared" si="52"/>
        <v>49+ months</v>
      </c>
      <c r="J862" s="3">
        <v>649</v>
      </c>
      <c r="K862" s="3">
        <v>32450</v>
      </c>
      <c r="L862" s="2" t="s">
        <v>31</v>
      </c>
      <c r="M862" s="4">
        <v>44400</v>
      </c>
      <c r="N862" s="2" t="s">
        <v>23</v>
      </c>
      <c r="O862" s="2">
        <f t="shared" si="55"/>
        <v>0</v>
      </c>
      <c r="P862" s="2" t="s">
        <v>23</v>
      </c>
      <c r="Q862" s="2" t="s">
        <v>23</v>
      </c>
      <c r="R862" s="2" t="s">
        <v>23</v>
      </c>
      <c r="S862" s="2" t="s">
        <v>23</v>
      </c>
      <c r="T862" s="2" t="s">
        <v>23</v>
      </c>
      <c r="U862" s="25">
        <f t="shared" si="53"/>
        <v>32450.000862000001</v>
      </c>
    </row>
    <row r="863" spans="1:21">
      <c r="A863" s="2" t="s">
        <v>1475</v>
      </c>
      <c r="B863" s="2" t="s">
        <v>1095</v>
      </c>
      <c r="C863" s="2" t="s">
        <v>35</v>
      </c>
      <c r="D863" s="2">
        <v>26</v>
      </c>
      <c r="E863" s="2" t="str">
        <f t="shared" si="54"/>
        <v>26-35</v>
      </c>
      <c r="F863" s="2" t="s">
        <v>46</v>
      </c>
      <c r="G863" s="2" t="s">
        <v>21</v>
      </c>
      <c r="H863" s="2">
        <v>5</v>
      </c>
      <c r="I863" s="2" t="str">
        <f t="shared" si="52"/>
        <v>0-6 months</v>
      </c>
      <c r="J863" s="3">
        <v>999</v>
      </c>
      <c r="K863" s="3">
        <v>4995</v>
      </c>
      <c r="L863" s="2" t="s">
        <v>22</v>
      </c>
      <c r="M863" s="4">
        <v>45755</v>
      </c>
      <c r="N863" s="2" t="s">
        <v>32</v>
      </c>
      <c r="O863" s="2">
        <f t="shared" si="55"/>
        <v>1</v>
      </c>
      <c r="P863" s="2" t="s">
        <v>23</v>
      </c>
      <c r="Q863" s="2" t="s">
        <v>23</v>
      </c>
      <c r="R863" s="2" t="s">
        <v>23</v>
      </c>
      <c r="S863" s="2" t="s">
        <v>23</v>
      </c>
      <c r="T863" s="2" t="s">
        <v>23</v>
      </c>
      <c r="U863" s="25">
        <f t="shared" si="53"/>
        <v>4995.0008630000002</v>
      </c>
    </row>
    <row r="864" spans="1:21">
      <c r="A864" s="2" t="s">
        <v>1476</v>
      </c>
      <c r="B864" s="2" t="s">
        <v>890</v>
      </c>
      <c r="C864" s="2" t="s">
        <v>35</v>
      </c>
      <c r="D864" s="2">
        <v>58</v>
      </c>
      <c r="E864" s="2" t="str">
        <f t="shared" si="54"/>
        <v>46-60</v>
      </c>
      <c r="F864" s="2" t="s">
        <v>30</v>
      </c>
      <c r="G864" s="2" t="s">
        <v>27</v>
      </c>
      <c r="H864" s="2">
        <v>39</v>
      </c>
      <c r="I864" s="2" t="str">
        <f t="shared" si="52"/>
        <v>25-48 months</v>
      </c>
      <c r="J864" s="3">
        <v>749</v>
      </c>
      <c r="K864" s="3">
        <v>29211</v>
      </c>
      <c r="L864" s="2" t="s">
        <v>31</v>
      </c>
      <c r="M864" s="4">
        <v>44747</v>
      </c>
      <c r="N864" s="2" t="s">
        <v>23</v>
      </c>
      <c r="O864" s="2">
        <f t="shared" si="55"/>
        <v>0</v>
      </c>
      <c r="P864" s="2" t="s">
        <v>23</v>
      </c>
      <c r="Q864" s="2" t="s">
        <v>23</v>
      </c>
      <c r="R864" s="2" t="s">
        <v>23</v>
      </c>
      <c r="S864" s="2" t="s">
        <v>23</v>
      </c>
      <c r="T864" s="2" t="s">
        <v>23</v>
      </c>
      <c r="U864" s="25">
        <f t="shared" si="53"/>
        <v>29211.000864000001</v>
      </c>
    </row>
    <row r="865" spans="1:21">
      <c r="A865" s="2" t="s">
        <v>1477</v>
      </c>
      <c r="B865" s="2" t="s">
        <v>665</v>
      </c>
      <c r="C865" s="2" t="s">
        <v>35</v>
      </c>
      <c r="D865" s="2">
        <v>35</v>
      </c>
      <c r="E865" s="2" t="str">
        <f t="shared" si="54"/>
        <v>26-35</v>
      </c>
      <c r="F865" s="2" t="s">
        <v>105</v>
      </c>
      <c r="G865" s="2" t="s">
        <v>21</v>
      </c>
      <c r="H865" s="2">
        <v>8</v>
      </c>
      <c r="I865" s="2" t="str">
        <f t="shared" si="52"/>
        <v>7-12 months</v>
      </c>
      <c r="J865" s="3">
        <v>1199</v>
      </c>
      <c r="K865" s="3">
        <v>9592</v>
      </c>
      <c r="L865" s="2" t="s">
        <v>22</v>
      </c>
      <c r="M865" s="4">
        <v>45675</v>
      </c>
      <c r="N865" s="2" t="s">
        <v>23</v>
      </c>
      <c r="O865" s="2">
        <f t="shared" si="55"/>
        <v>0</v>
      </c>
      <c r="P865" s="2" t="s">
        <v>23</v>
      </c>
      <c r="Q865" s="2" t="s">
        <v>23</v>
      </c>
      <c r="R865" s="2" t="s">
        <v>32</v>
      </c>
      <c r="S865" s="2" t="s">
        <v>23</v>
      </c>
      <c r="T865" s="2" t="s">
        <v>23</v>
      </c>
      <c r="U865" s="25">
        <f t="shared" si="53"/>
        <v>9592.000865</v>
      </c>
    </row>
    <row r="866" spans="1:21">
      <c r="A866" s="2" t="s">
        <v>1478</v>
      </c>
      <c r="B866" s="2" t="s">
        <v>622</v>
      </c>
      <c r="C866" s="2" t="s">
        <v>35</v>
      </c>
      <c r="D866" s="2">
        <v>23</v>
      </c>
      <c r="E866" s="2" t="str">
        <f t="shared" si="54"/>
        <v>18-25</v>
      </c>
      <c r="F866" s="2" t="s">
        <v>41</v>
      </c>
      <c r="G866" s="2" t="s">
        <v>27</v>
      </c>
      <c r="H866" s="2">
        <v>11</v>
      </c>
      <c r="I866" s="2" t="str">
        <f t="shared" si="52"/>
        <v>7-12 months</v>
      </c>
      <c r="J866" s="3">
        <v>349</v>
      </c>
      <c r="K866" s="3">
        <v>3839</v>
      </c>
      <c r="L866" s="2" t="s">
        <v>66</v>
      </c>
      <c r="M866" s="4">
        <v>45581</v>
      </c>
      <c r="N866" s="2" t="s">
        <v>23</v>
      </c>
      <c r="O866" s="2">
        <f t="shared" si="55"/>
        <v>0</v>
      </c>
      <c r="P866" s="2" t="s">
        <v>23</v>
      </c>
      <c r="Q866" s="2" t="s">
        <v>23</v>
      </c>
      <c r="R866" s="2" t="s">
        <v>23</v>
      </c>
      <c r="S866" s="2" t="s">
        <v>23</v>
      </c>
      <c r="T866" s="2" t="s">
        <v>23</v>
      </c>
      <c r="U866" s="25">
        <f t="shared" si="53"/>
        <v>3839.0008659999999</v>
      </c>
    </row>
    <row r="867" spans="1:21">
      <c r="A867" s="2" t="s">
        <v>1479</v>
      </c>
      <c r="B867" s="2" t="s">
        <v>1480</v>
      </c>
      <c r="C867" s="2" t="s">
        <v>35</v>
      </c>
      <c r="D867" s="2">
        <v>61</v>
      </c>
      <c r="E867" s="2" t="str">
        <f t="shared" si="54"/>
        <v>60+</v>
      </c>
      <c r="F867" s="2" t="s">
        <v>26</v>
      </c>
      <c r="G867" s="2" t="s">
        <v>47</v>
      </c>
      <c r="H867" s="2">
        <v>64</v>
      </c>
      <c r="I867" s="2" t="str">
        <f t="shared" si="52"/>
        <v>49+ months</v>
      </c>
      <c r="J867" s="3">
        <v>799</v>
      </c>
      <c r="K867" s="3">
        <v>51136</v>
      </c>
      <c r="L867" s="2" t="s">
        <v>31</v>
      </c>
      <c r="M867" s="4">
        <v>43996</v>
      </c>
      <c r="N867" s="2" t="s">
        <v>23</v>
      </c>
      <c r="O867" s="2">
        <f t="shared" si="55"/>
        <v>0</v>
      </c>
      <c r="P867" s="2" t="s">
        <v>23</v>
      </c>
      <c r="Q867" s="2" t="s">
        <v>23</v>
      </c>
      <c r="R867" s="2" t="s">
        <v>23</v>
      </c>
      <c r="S867" s="2" t="s">
        <v>23</v>
      </c>
      <c r="T867" s="2" t="s">
        <v>23</v>
      </c>
      <c r="U867" s="25">
        <f t="shared" si="53"/>
        <v>51136.000867000002</v>
      </c>
    </row>
    <row r="868" spans="1:21">
      <c r="A868" s="2" t="s">
        <v>1481</v>
      </c>
      <c r="B868" s="2" t="s">
        <v>1249</v>
      </c>
      <c r="C868" s="2" t="s">
        <v>37</v>
      </c>
      <c r="D868" s="2">
        <v>71</v>
      </c>
      <c r="E868" s="2" t="str">
        <f t="shared" si="54"/>
        <v>60+</v>
      </c>
      <c r="F868" s="2" t="s">
        <v>141</v>
      </c>
      <c r="G868" s="2" t="s">
        <v>21</v>
      </c>
      <c r="H868" s="2">
        <v>18</v>
      </c>
      <c r="I868" s="2" t="str">
        <f t="shared" si="52"/>
        <v>13-24 months</v>
      </c>
      <c r="J868" s="3">
        <v>1049</v>
      </c>
      <c r="K868" s="3">
        <v>18882</v>
      </c>
      <c r="L868" s="2" t="s">
        <v>22</v>
      </c>
      <c r="M868" s="4">
        <v>45367</v>
      </c>
      <c r="N868" s="2" t="s">
        <v>23</v>
      </c>
      <c r="O868" s="2">
        <f t="shared" si="55"/>
        <v>0</v>
      </c>
      <c r="P868" s="2" t="s">
        <v>23</v>
      </c>
      <c r="Q868" s="2" t="s">
        <v>23</v>
      </c>
      <c r="R868" s="2" t="s">
        <v>23</v>
      </c>
      <c r="S868" s="2" t="s">
        <v>23</v>
      </c>
      <c r="T868" s="2" t="s">
        <v>23</v>
      </c>
      <c r="U868" s="25">
        <f t="shared" si="53"/>
        <v>18882.000867999999</v>
      </c>
    </row>
    <row r="869" spans="1:21">
      <c r="A869" s="2" t="s">
        <v>1482</v>
      </c>
      <c r="B869" s="2" t="s">
        <v>1219</v>
      </c>
      <c r="C869" s="2" t="s">
        <v>19</v>
      </c>
      <c r="D869" s="2">
        <v>28</v>
      </c>
      <c r="E869" s="2" t="str">
        <f t="shared" si="54"/>
        <v>26-35</v>
      </c>
      <c r="F869" s="2" t="s">
        <v>71</v>
      </c>
      <c r="G869" s="2" t="s">
        <v>47</v>
      </c>
      <c r="H869" s="2">
        <v>29</v>
      </c>
      <c r="I869" s="2" t="str">
        <f t="shared" si="52"/>
        <v>25-48 months</v>
      </c>
      <c r="J869" s="3">
        <v>899</v>
      </c>
      <c r="K869" s="3">
        <v>26071</v>
      </c>
      <c r="L869" s="2" t="s">
        <v>22</v>
      </c>
      <c r="M869" s="4">
        <v>45042</v>
      </c>
      <c r="N869" s="2" t="s">
        <v>23</v>
      </c>
      <c r="O869" s="2">
        <f t="shared" si="55"/>
        <v>0</v>
      </c>
      <c r="P869" s="2" t="s">
        <v>23</v>
      </c>
      <c r="Q869" s="2" t="s">
        <v>23</v>
      </c>
      <c r="R869" s="2" t="s">
        <v>23</v>
      </c>
      <c r="S869" s="2" t="s">
        <v>23</v>
      </c>
      <c r="T869" s="2" t="s">
        <v>23</v>
      </c>
      <c r="U869" s="25">
        <f t="shared" si="53"/>
        <v>26071.000869</v>
      </c>
    </row>
    <row r="870" spans="1:21">
      <c r="A870" s="2" t="s">
        <v>1483</v>
      </c>
      <c r="B870" s="2" t="s">
        <v>1484</v>
      </c>
      <c r="C870" s="2" t="s">
        <v>35</v>
      </c>
      <c r="D870" s="2">
        <v>49</v>
      </c>
      <c r="E870" s="2" t="str">
        <f t="shared" si="54"/>
        <v>46-60</v>
      </c>
      <c r="F870" s="2" t="s">
        <v>105</v>
      </c>
      <c r="G870" s="2" t="s">
        <v>21</v>
      </c>
      <c r="H870" s="2">
        <v>11</v>
      </c>
      <c r="I870" s="2" t="str">
        <f t="shared" si="52"/>
        <v>7-12 months</v>
      </c>
      <c r="J870" s="3">
        <v>549</v>
      </c>
      <c r="K870" s="3">
        <v>6039</v>
      </c>
      <c r="L870" s="2" t="s">
        <v>66</v>
      </c>
      <c r="M870" s="4">
        <v>45571</v>
      </c>
      <c r="N870" s="2" t="s">
        <v>23</v>
      </c>
      <c r="O870" s="2">
        <f t="shared" si="55"/>
        <v>0</v>
      </c>
      <c r="P870" s="2" t="s">
        <v>23</v>
      </c>
      <c r="Q870" s="2" t="s">
        <v>23</v>
      </c>
      <c r="R870" s="2" t="s">
        <v>23</v>
      </c>
      <c r="S870" s="2" t="s">
        <v>23</v>
      </c>
      <c r="T870" s="2" t="s">
        <v>23</v>
      </c>
      <c r="U870" s="25">
        <f t="shared" si="53"/>
        <v>6039.0008699999998</v>
      </c>
    </row>
    <row r="871" spans="1:21">
      <c r="A871" s="2" t="s">
        <v>1485</v>
      </c>
      <c r="B871" s="2" t="s">
        <v>124</v>
      </c>
      <c r="C871" s="2" t="s">
        <v>19</v>
      </c>
      <c r="D871" s="2">
        <v>48</v>
      </c>
      <c r="E871" s="2" t="str">
        <f t="shared" si="54"/>
        <v>46-60</v>
      </c>
      <c r="F871" s="2" t="s">
        <v>46</v>
      </c>
      <c r="G871" s="2" t="s">
        <v>21</v>
      </c>
      <c r="H871" s="2">
        <v>21</v>
      </c>
      <c r="I871" s="2" t="str">
        <f t="shared" si="52"/>
        <v>13-24 months</v>
      </c>
      <c r="J871" s="3">
        <v>799</v>
      </c>
      <c r="K871" s="3">
        <v>16779</v>
      </c>
      <c r="L871" s="2" t="s">
        <v>31</v>
      </c>
      <c r="M871" s="4">
        <v>45269</v>
      </c>
      <c r="N871" s="2" t="s">
        <v>23</v>
      </c>
      <c r="O871" s="2">
        <f t="shared" si="55"/>
        <v>0</v>
      </c>
      <c r="P871" s="2" t="s">
        <v>23</v>
      </c>
      <c r="Q871" s="2" t="s">
        <v>23</v>
      </c>
      <c r="R871" s="2" t="s">
        <v>23</v>
      </c>
      <c r="S871" s="2" t="s">
        <v>23</v>
      </c>
      <c r="T871" s="2" t="s">
        <v>23</v>
      </c>
      <c r="U871" s="25">
        <f t="shared" si="53"/>
        <v>16779.000871</v>
      </c>
    </row>
    <row r="872" spans="1:21">
      <c r="A872" s="2" t="s">
        <v>1486</v>
      </c>
      <c r="B872" s="2" t="s">
        <v>928</v>
      </c>
      <c r="C872" s="2" t="s">
        <v>19</v>
      </c>
      <c r="D872" s="2">
        <v>72</v>
      </c>
      <c r="E872" s="2" t="str">
        <f t="shared" si="54"/>
        <v>60+</v>
      </c>
      <c r="F872" s="2" t="s">
        <v>60</v>
      </c>
      <c r="G872" s="2" t="s">
        <v>21</v>
      </c>
      <c r="H872" s="2">
        <v>15</v>
      </c>
      <c r="I872" s="2" t="str">
        <f t="shared" si="52"/>
        <v>13-24 months</v>
      </c>
      <c r="J872" s="3">
        <v>699</v>
      </c>
      <c r="K872" s="3">
        <v>10485</v>
      </c>
      <c r="L872" s="2" t="s">
        <v>31</v>
      </c>
      <c r="M872" s="4">
        <v>45467</v>
      </c>
      <c r="N872" s="2" t="s">
        <v>32</v>
      </c>
      <c r="O872" s="2">
        <f t="shared" si="55"/>
        <v>1</v>
      </c>
      <c r="P872" s="2" t="s">
        <v>23</v>
      </c>
      <c r="Q872" s="2" t="s">
        <v>23</v>
      </c>
      <c r="R872" s="2" t="s">
        <v>23</v>
      </c>
      <c r="S872" s="2" t="s">
        <v>32</v>
      </c>
      <c r="T872" s="2" t="s">
        <v>23</v>
      </c>
      <c r="U872" s="25">
        <f t="shared" si="53"/>
        <v>10485.000872000001</v>
      </c>
    </row>
    <row r="873" spans="1:21">
      <c r="A873" s="2" t="s">
        <v>1487</v>
      </c>
      <c r="B873" s="2" t="s">
        <v>1488</v>
      </c>
      <c r="C873" s="2" t="s">
        <v>19</v>
      </c>
      <c r="D873" s="2">
        <v>18</v>
      </c>
      <c r="E873" s="2" t="str">
        <f t="shared" si="54"/>
        <v>18-25</v>
      </c>
      <c r="F873" s="2" t="s">
        <v>41</v>
      </c>
      <c r="G873" s="2" t="s">
        <v>21</v>
      </c>
      <c r="H873" s="2">
        <v>17</v>
      </c>
      <c r="I873" s="2" t="str">
        <f t="shared" si="52"/>
        <v>13-24 months</v>
      </c>
      <c r="J873" s="3">
        <v>799</v>
      </c>
      <c r="K873" s="3">
        <v>13583</v>
      </c>
      <c r="L873" s="2" t="s">
        <v>31</v>
      </c>
      <c r="M873" s="4">
        <v>45403</v>
      </c>
      <c r="N873" s="2" t="s">
        <v>32</v>
      </c>
      <c r="O873" s="2">
        <f t="shared" si="55"/>
        <v>1</v>
      </c>
      <c r="P873" s="2" t="s">
        <v>23</v>
      </c>
      <c r="Q873" s="2" t="s">
        <v>23</v>
      </c>
      <c r="R873" s="2" t="s">
        <v>23</v>
      </c>
      <c r="S873" s="2" t="s">
        <v>23</v>
      </c>
      <c r="T873" s="2" t="s">
        <v>23</v>
      </c>
      <c r="U873" s="25">
        <f t="shared" si="53"/>
        <v>13583.000873000001</v>
      </c>
    </row>
    <row r="874" spans="1:21">
      <c r="A874" s="2" t="s">
        <v>1489</v>
      </c>
      <c r="B874" s="2" t="s">
        <v>68</v>
      </c>
      <c r="C874" s="2" t="s">
        <v>19</v>
      </c>
      <c r="D874" s="2">
        <v>34</v>
      </c>
      <c r="E874" s="2" t="str">
        <f t="shared" si="54"/>
        <v>26-35</v>
      </c>
      <c r="F874" s="2" t="s">
        <v>20</v>
      </c>
      <c r="G874" s="2" t="s">
        <v>21</v>
      </c>
      <c r="H874" s="2">
        <v>12</v>
      </c>
      <c r="I874" s="2" t="str">
        <f t="shared" si="52"/>
        <v>7-12 months</v>
      </c>
      <c r="J874" s="3">
        <v>999</v>
      </c>
      <c r="K874" s="3">
        <v>11988</v>
      </c>
      <c r="L874" s="2" t="s">
        <v>22</v>
      </c>
      <c r="M874" s="4">
        <v>45565</v>
      </c>
      <c r="N874" s="2" t="s">
        <v>23</v>
      </c>
      <c r="O874" s="2">
        <f t="shared" si="55"/>
        <v>0</v>
      </c>
      <c r="P874" s="2" t="s">
        <v>23</v>
      </c>
      <c r="Q874" s="2" t="s">
        <v>23</v>
      </c>
      <c r="R874" s="2" t="s">
        <v>23</v>
      </c>
      <c r="S874" s="2" t="s">
        <v>23</v>
      </c>
      <c r="T874" s="2" t="s">
        <v>23</v>
      </c>
      <c r="U874" s="25">
        <f t="shared" si="53"/>
        <v>11988.000873999999</v>
      </c>
    </row>
    <row r="875" spans="1:21">
      <c r="A875" s="2" t="s">
        <v>1490</v>
      </c>
      <c r="B875" s="2" t="s">
        <v>1491</v>
      </c>
      <c r="C875" s="2" t="s">
        <v>35</v>
      </c>
      <c r="D875" s="2">
        <v>26</v>
      </c>
      <c r="E875" s="2" t="str">
        <f t="shared" si="54"/>
        <v>26-35</v>
      </c>
      <c r="F875" s="2" t="s">
        <v>30</v>
      </c>
      <c r="G875" s="2" t="s">
        <v>27</v>
      </c>
      <c r="H875" s="2">
        <v>13</v>
      </c>
      <c r="I875" s="2" t="str">
        <f t="shared" si="52"/>
        <v>13-24 months</v>
      </c>
      <c r="J875" s="3">
        <v>599</v>
      </c>
      <c r="K875" s="3">
        <v>7787</v>
      </c>
      <c r="L875" s="2" t="s">
        <v>31</v>
      </c>
      <c r="M875" s="4">
        <v>45526</v>
      </c>
      <c r="N875" s="2" t="s">
        <v>32</v>
      </c>
      <c r="O875" s="2">
        <f t="shared" si="55"/>
        <v>1</v>
      </c>
      <c r="P875" s="2" t="s">
        <v>23</v>
      </c>
      <c r="Q875" s="2" t="s">
        <v>23</v>
      </c>
      <c r="R875" s="2" t="s">
        <v>23</v>
      </c>
      <c r="S875" s="2" t="s">
        <v>32</v>
      </c>
      <c r="T875" s="2" t="s">
        <v>23</v>
      </c>
      <c r="U875" s="25">
        <f t="shared" si="53"/>
        <v>7787.0008749999997</v>
      </c>
    </row>
    <row r="876" spans="1:21">
      <c r="A876" s="2" t="s">
        <v>1492</v>
      </c>
      <c r="B876" s="2" t="s">
        <v>1153</v>
      </c>
      <c r="C876" s="2" t="s">
        <v>35</v>
      </c>
      <c r="D876" s="2">
        <v>28</v>
      </c>
      <c r="E876" s="2" t="str">
        <f t="shared" si="54"/>
        <v>26-35</v>
      </c>
      <c r="F876" s="2" t="s">
        <v>71</v>
      </c>
      <c r="G876" s="2" t="s">
        <v>21</v>
      </c>
      <c r="H876" s="2">
        <v>22</v>
      </c>
      <c r="I876" s="2" t="str">
        <f t="shared" si="52"/>
        <v>13-24 months</v>
      </c>
      <c r="J876" s="3">
        <v>899</v>
      </c>
      <c r="K876" s="3">
        <v>19778</v>
      </c>
      <c r="L876" s="2" t="s">
        <v>22</v>
      </c>
      <c r="M876" s="4">
        <v>45253</v>
      </c>
      <c r="N876" s="2" t="s">
        <v>23</v>
      </c>
      <c r="O876" s="2">
        <f t="shared" si="55"/>
        <v>0</v>
      </c>
      <c r="P876" s="2" t="s">
        <v>23</v>
      </c>
      <c r="Q876" s="2" t="s">
        <v>23</v>
      </c>
      <c r="R876" s="2" t="s">
        <v>23</v>
      </c>
      <c r="S876" s="2" t="s">
        <v>23</v>
      </c>
      <c r="T876" s="2" t="s">
        <v>23</v>
      </c>
      <c r="U876" s="25">
        <f t="shared" si="53"/>
        <v>19778.000875999998</v>
      </c>
    </row>
    <row r="877" spans="1:21">
      <c r="A877" s="2" t="s">
        <v>1493</v>
      </c>
      <c r="B877" s="2" t="s">
        <v>490</v>
      </c>
      <c r="C877" s="2" t="s">
        <v>37</v>
      </c>
      <c r="D877" s="2">
        <v>47</v>
      </c>
      <c r="E877" s="2" t="str">
        <f t="shared" si="54"/>
        <v>46-60</v>
      </c>
      <c r="F877" s="2" t="s">
        <v>141</v>
      </c>
      <c r="G877" s="2" t="s">
        <v>47</v>
      </c>
      <c r="H877" s="2">
        <v>50</v>
      </c>
      <c r="I877" s="2" t="str">
        <f t="shared" si="52"/>
        <v>49+ months</v>
      </c>
      <c r="J877" s="3">
        <v>349</v>
      </c>
      <c r="K877" s="3">
        <v>17450</v>
      </c>
      <c r="L877" s="2" t="s">
        <v>66</v>
      </c>
      <c r="M877" s="4">
        <v>44424</v>
      </c>
      <c r="N877" s="2" t="s">
        <v>23</v>
      </c>
      <c r="O877" s="2">
        <f t="shared" si="55"/>
        <v>0</v>
      </c>
      <c r="P877" s="2" t="s">
        <v>32</v>
      </c>
      <c r="Q877" s="2" t="s">
        <v>23</v>
      </c>
      <c r="R877" s="2" t="s">
        <v>23</v>
      </c>
      <c r="S877" s="2" t="s">
        <v>23</v>
      </c>
      <c r="T877" s="2" t="s">
        <v>23</v>
      </c>
      <c r="U877" s="25">
        <f t="shared" si="53"/>
        <v>17450.000876999999</v>
      </c>
    </row>
    <row r="878" spans="1:21">
      <c r="A878" s="2" t="s">
        <v>1494</v>
      </c>
      <c r="B878" s="2" t="s">
        <v>1117</v>
      </c>
      <c r="C878" s="2" t="s">
        <v>19</v>
      </c>
      <c r="D878" s="2">
        <v>18</v>
      </c>
      <c r="E878" s="2" t="str">
        <f t="shared" si="54"/>
        <v>18-25</v>
      </c>
      <c r="F878" s="2" t="s">
        <v>110</v>
      </c>
      <c r="G878" s="2" t="s">
        <v>27</v>
      </c>
      <c r="H878" s="2">
        <v>22</v>
      </c>
      <c r="I878" s="2" t="str">
        <f t="shared" si="52"/>
        <v>13-24 months</v>
      </c>
      <c r="J878" s="3">
        <v>749</v>
      </c>
      <c r="K878" s="3">
        <v>16478</v>
      </c>
      <c r="L878" s="2" t="s">
        <v>31</v>
      </c>
      <c r="M878" s="4">
        <v>45259</v>
      </c>
      <c r="N878" s="2" t="s">
        <v>23</v>
      </c>
      <c r="O878" s="2">
        <f t="shared" si="55"/>
        <v>0</v>
      </c>
      <c r="P878" s="2" t="s">
        <v>23</v>
      </c>
      <c r="Q878" s="2" t="s">
        <v>23</v>
      </c>
      <c r="R878" s="2" t="s">
        <v>23</v>
      </c>
      <c r="S878" s="2" t="s">
        <v>23</v>
      </c>
      <c r="T878" s="2" t="s">
        <v>23</v>
      </c>
      <c r="U878" s="25">
        <f t="shared" si="53"/>
        <v>16478.000877999999</v>
      </c>
    </row>
    <row r="879" spans="1:21">
      <c r="A879" s="2" t="s">
        <v>1495</v>
      </c>
      <c r="B879" s="2" t="s">
        <v>176</v>
      </c>
      <c r="C879" s="2" t="s">
        <v>35</v>
      </c>
      <c r="D879" s="2">
        <v>66</v>
      </c>
      <c r="E879" s="2" t="str">
        <f t="shared" si="54"/>
        <v>60+</v>
      </c>
      <c r="F879" s="2" t="s">
        <v>105</v>
      </c>
      <c r="G879" s="2" t="s">
        <v>21</v>
      </c>
      <c r="H879" s="2">
        <v>17</v>
      </c>
      <c r="I879" s="2" t="str">
        <f t="shared" si="52"/>
        <v>13-24 months</v>
      </c>
      <c r="J879" s="3">
        <v>649</v>
      </c>
      <c r="K879" s="3">
        <v>11033</v>
      </c>
      <c r="L879" s="2" t="s">
        <v>31</v>
      </c>
      <c r="M879" s="4">
        <v>45391</v>
      </c>
      <c r="N879" s="2" t="s">
        <v>23</v>
      </c>
      <c r="O879" s="2">
        <f t="shared" si="55"/>
        <v>0</v>
      </c>
      <c r="P879" s="2" t="s">
        <v>23</v>
      </c>
      <c r="Q879" s="2" t="s">
        <v>23</v>
      </c>
      <c r="R879" s="2" t="s">
        <v>23</v>
      </c>
      <c r="S879" s="2" t="s">
        <v>23</v>
      </c>
      <c r="T879" s="2" t="s">
        <v>23</v>
      </c>
      <c r="U879" s="25">
        <f t="shared" si="53"/>
        <v>11033.000878999999</v>
      </c>
    </row>
    <row r="880" spans="1:21">
      <c r="A880" s="2" t="s">
        <v>1496</v>
      </c>
      <c r="B880" s="2" t="s">
        <v>606</v>
      </c>
      <c r="C880" s="2" t="s">
        <v>35</v>
      </c>
      <c r="D880" s="2">
        <v>70</v>
      </c>
      <c r="E880" s="2" t="str">
        <f t="shared" si="54"/>
        <v>60+</v>
      </c>
      <c r="F880" s="2" t="s">
        <v>105</v>
      </c>
      <c r="G880" s="2" t="s">
        <v>37</v>
      </c>
      <c r="H880" s="2">
        <v>4</v>
      </c>
      <c r="I880" s="2" t="str">
        <f t="shared" si="52"/>
        <v>0-6 months</v>
      </c>
      <c r="J880" s="3">
        <v>1199</v>
      </c>
      <c r="K880" s="3">
        <v>4796</v>
      </c>
      <c r="L880" s="2" t="s">
        <v>22</v>
      </c>
      <c r="M880" s="4">
        <v>45802</v>
      </c>
      <c r="N880" s="2" t="s">
        <v>32</v>
      </c>
      <c r="O880" s="2">
        <f t="shared" si="55"/>
        <v>1</v>
      </c>
      <c r="P880" s="2" t="s">
        <v>23</v>
      </c>
      <c r="Q880" s="2" t="s">
        <v>23</v>
      </c>
      <c r="R880" s="2" t="s">
        <v>23</v>
      </c>
      <c r="S880" s="2" t="s">
        <v>23</v>
      </c>
      <c r="T880" s="2" t="s">
        <v>23</v>
      </c>
      <c r="U880" s="25">
        <f t="shared" si="53"/>
        <v>4796.0008799999996</v>
      </c>
    </row>
    <row r="881" spans="1:21">
      <c r="A881" s="2" t="s">
        <v>1497</v>
      </c>
      <c r="B881" s="2" t="s">
        <v>1173</v>
      </c>
      <c r="C881" s="2" t="s">
        <v>19</v>
      </c>
      <c r="D881" s="2">
        <v>26</v>
      </c>
      <c r="E881" s="2" t="str">
        <f t="shared" si="54"/>
        <v>26-35</v>
      </c>
      <c r="F881" s="2" t="s">
        <v>105</v>
      </c>
      <c r="G881" s="2" t="s">
        <v>21</v>
      </c>
      <c r="H881" s="2">
        <v>5</v>
      </c>
      <c r="I881" s="2" t="str">
        <f t="shared" si="52"/>
        <v>0-6 months</v>
      </c>
      <c r="J881" s="3">
        <v>549</v>
      </c>
      <c r="K881" s="3">
        <v>2745</v>
      </c>
      <c r="L881" s="2" t="s">
        <v>66</v>
      </c>
      <c r="M881" s="4">
        <v>45751</v>
      </c>
      <c r="N881" s="2" t="s">
        <v>32</v>
      </c>
      <c r="O881" s="2">
        <f t="shared" si="55"/>
        <v>1</v>
      </c>
      <c r="P881" s="2" t="s">
        <v>23</v>
      </c>
      <c r="Q881" s="2" t="s">
        <v>23</v>
      </c>
      <c r="R881" s="2" t="s">
        <v>23</v>
      </c>
      <c r="S881" s="2" t="s">
        <v>23</v>
      </c>
      <c r="T881" s="2" t="s">
        <v>23</v>
      </c>
      <c r="U881" s="25">
        <f t="shared" si="53"/>
        <v>2745.0008809999999</v>
      </c>
    </row>
    <row r="882" spans="1:21">
      <c r="A882" s="2" t="s">
        <v>1498</v>
      </c>
      <c r="B882" s="2" t="s">
        <v>271</v>
      </c>
      <c r="C882" s="2" t="s">
        <v>19</v>
      </c>
      <c r="D882" s="2">
        <v>51</v>
      </c>
      <c r="E882" s="2" t="str">
        <f t="shared" si="54"/>
        <v>46-60</v>
      </c>
      <c r="F882" s="2" t="s">
        <v>46</v>
      </c>
      <c r="G882" s="2" t="s">
        <v>27</v>
      </c>
      <c r="H882" s="2">
        <v>15</v>
      </c>
      <c r="I882" s="2" t="str">
        <f t="shared" si="52"/>
        <v>13-24 months</v>
      </c>
      <c r="J882" s="3">
        <v>499</v>
      </c>
      <c r="K882" s="3">
        <v>7485</v>
      </c>
      <c r="L882" s="2" t="s">
        <v>66</v>
      </c>
      <c r="M882" s="4">
        <v>45465</v>
      </c>
      <c r="N882" s="2" t="s">
        <v>32</v>
      </c>
      <c r="O882" s="2">
        <f t="shared" si="55"/>
        <v>1</v>
      </c>
      <c r="P882" s="2" t="s">
        <v>23</v>
      </c>
      <c r="Q882" s="2" t="s">
        <v>23</v>
      </c>
      <c r="R882" s="2" t="s">
        <v>23</v>
      </c>
      <c r="S882" s="2" t="s">
        <v>23</v>
      </c>
      <c r="T882" s="2" t="s">
        <v>23</v>
      </c>
      <c r="U882" s="25">
        <f t="shared" si="53"/>
        <v>7485.0008820000003</v>
      </c>
    </row>
    <row r="883" spans="1:21">
      <c r="A883" s="2" t="s">
        <v>1499</v>
      </c>
      <c r="B883" s="2" t="s">
        <v>1049</v>
      </c>
      <c r="C883" s="2" t="s">
        <v>19</v>
      </c>
      <c r="D883" s="2">
        <v>35</v>
      </c>
      <c r="E883" s="2" t="str">
        <f t="shared" si="54"/>
        <v>26-35</v>
      </c>
      <c r="F883" s="2" t="s">
        <v>30</v>
      </c>
      <c r="G883" s="2" t="s">
        <v>21</v>
      </c>
      <c r="H883" s="2">
        <v>14</v>
      </c>
      <c r="I883" s="2" t="str">
        <f t="shared" si="52"/>
        <v>13-24 months</v>
      </c>
      <c r="J883" s="3">
        <v>1049</v>
      </c>
      <c r="K883" s="3">
        <v>14686</v>
      </c>
      <c r="L883" s="2" t="s">
        <v>22</v>
      </c>
      <c r="M883" s="4">
        <v>45508</v>
      </c>
      <c r="N883" s="2" t="s">
        <v>32</v>
      </c>
      <c r="O883" s="2">
        <f t="shared" si="55"/>
        <v>1</v>
      </c>
      <c r="P883" s="2" t="s">
        <v>23</v>
      </c>
      <c r="Q883" s="2" t="s">
        <v>23</v>
      </c>
      <c r="R883" s="2" t="s">
        <v>23</v>
      </c>
      <c r="S883" s="2" t="s">
        <v>23</v>
      </c>
      <c r="T883" s="2" t="s">
        <v>23</v>
      </c>
      <c r="U883" s="25">
        <f t="shared" si="53"/>
        <v>14686.000883000001</v>
      </c>
    </row>
    <row r="884" spans="1:21">
      <c r="A884" s="2" t="s">
        <v>1500</v>
      </c>
      <c r="B884" s="2" t="s">
        <v>1501</v>
      </c>
      <c r="C884" s="2" t="s">
        <v>19</v>
      </c>
      <c r="D884" s="2">
        <v>47</v>
      </c>
      <c r="E884" s="2" t="str">
        <f t="shared" si="54"/>
        <v>46-60</v>
      </c>
      <c r="F884" s="2" t="s">
        <v>60</v>
      </c>
      <c r="G884" s="2" t="s">
        <v>21</v>
      </c>
      <c r="H884" s="2">
        <v>14</v>
      </c>
      <c r="I884" s="2" t="str">
        <f t="shared" si="52"/>
        <v>13-24 months</v>
      </c>
      <c r="J884" s="3">
        <v>1049</v>
      </c>
      <c r="K884" s="3">
        <v>14686</v>
      </c>
      <c r="L884" s="2" t="s">
        <v>22</v>
      </c>
      <c r="M884" s="4">
        <v>45499</v>
      </c>
      <c r="N884" s="2" t="s">
        <v>32</v>
      </c>
      <c r="O884" s="2">
        <f t="shared" si="55"/>
        <v>1</v>
      </c>
      <c r="P884" s="2" t="s">
        <v>32</v>
      </c>
      <c r="Q884" s="2" t="s">
        <v>23</v>
      </c>
      <c r="R884" s="2" t="s">
        <v>23</v>
      </c>
      <c r="S884" s="2" t="s">
        <v>32</v>
      </c>
      <c r="T884" s="2" t="s">
        <v>23</v>
      </c>
      <c r="U884" s="25">
        <f t="shared" si="53"/>
        <v>14686.000883999999</v>
      </c>
    </row>
    <row r="885" spans="1:21">
      <c r="A885" s="2" t="s">
        <v>1502</v>
      </c>
      <c r="B885" s="2" t="s">
        <v>78</v>
      </c>
      <c r="C885" s="2" t="s">
        <v>19</v>
      </c>
      <c r="D885" s="2">
        <v>18</v>
      </c>
      <c r="E885" s="2" t="str">
        <f t="shared" si="54"/>
        <v>18-25</v>
      </c>
      <c r="F885" s="2" t="s">
        <v>71</v>
      </c>
      <c r="G885" s="2" t="s">
        <v>27</v>
      </c>
      <c r="H885" s="2">
        <v>22</v>
      </c>
      <c r="I885" s="2" t="str">
        <f t="shared" si="52"/>
        <v>13-24 months</v>
      </c>
      <c r="J885" s="3">
        <v>449</v>
      </c>
      <c r="K885" s="3">
        <v>9878</v>
      </c>
      <c r="L885" s="2" t="s">
        <v>66</v>
      </c>
      <c r="M885" s="4">
        <v>45250</v>
      </c>
      <c r="N885" s="2" t="s">
        <v>23</v>
      </c>
      <c r="O885" s="2">
        <f t="shared" si="55"/>
        <v>0</v>
      </c>
      <c r="P885" s="2" t="s">
        <v>23</v>
      </c>
      <c r="Q885" s="2" t="s">
        <v>23</v>
      </c>
      <c r="R885" s="2" t="s">
        <v>23</v>
      </c>
      <c r="S885" s="2" t="s">
        <v>23</v>
      </c>
      <c r="T885" s="2" t="s">
        <v>23</v>
      </c>
      <c r="U885" s="25">
        <f t="shared" si="53"/>
        <v>9878.0008849999995</v>
      </c>
    </row>
    <row r="886" spans="1:21">
      <c r="A886" s="2" t="s">
        <v>1503</v>
      </c>
      <c r="B886" s="2" t="s">
        <v>738</v>
      </c>
      <c r="C886" s="2" t="s">
        <v>35</v>
      </c>
      <c r="D886" s="2">
        <v>35</v>
      </c>
      <c r="E886" s="2" t="str">
        <f t="shared" si="54"/>
        <v>26-35</v>
      </c>
      <c r="F886" s="2" t="s">
        <v>20</v>
      </c>
      <c r="G886" s="2" t="s">
        <v>27</v>
      </c>
      <c r="H886" s="2">
        <v>7</v>
      </c>
      <c r="I886" s="2" t="str">
        <f t="shared" si="52"/>
        <v>7-12 months</v>
      </c>
      <c r="J886" s="3">
        <v>649</v>
      </c>
      <c r="K886" s="3">
        <v>4543</v>
      </c>
      <c r="L886" s="2" t="s">
        <v>31</v>
      </c>
      <c r="M886" s="4">
        <v>45700</v>
      </c>
      <c r="N886" s="2" t="s">
        <v>32</v>
      </c>
      <c r="O886" s="2">
        <f t="shared" si="55"/>
        <v>1</v>
      </c>
      <c r="P886" s="2" t="s">
        <v>23</v>
      </c>
      <c r="Q886" s="2" t="s">
        <v>23</v>
      </c>
      <c r="R886" s="2" t="s">
        <v>23</v>
      </c>
      <c r="S886" s="2" t="s">
        <v>32</v>
      </c>
      <c r="T886" s="2" t="s">
        <v>23</v>
      </c>
      <c r="U886" s="25">
        <f t="shared" si="53"/>
        <v>4543.0008859999998</v>
      </c>
    </row>
    <row r="887" spans="1:21">
      <c r="A887" s="2" t="s">
        <v>1504</v>
      </c>
      <c r="B887" s="2" t="s">
        <v>1505</v>
      </c>
      <c r="C887" s="2" t="s">
        <v>19</v>
      </c>
      <c r="D887" s="2">
        <v>46</v>
      </c>
      <c r="E887" s="2" t="str">
        <f t="shared" si="54"/>
        <v>46-60</v>
      </c>
      <c r="F887" s="2" t="s">
        <v>41</v>
      </c>
      <c r="G887" s="2" t="s">
        <v>21</v>
      </c>
      <c r="H887" s="2">
        <v>11</v>
      </c>
      <c r="I887" s="2" t="str">
        <f t="shared" si="52"/>
        <v>7-12 months</v>
      </c>
      <c r="J887" s="3">
        <v>1199</v>
      </c>
      <c r="K887" s="3">
        <v>13189</v>
      </c>
      <c r="L887" s="2" t="s">
        <v>22</v>
      </c>
      <c r="M887" s="4">
        <v>45592</v>
      </c>
      <c r="N887" s="2" t="s">
        <v>37</v>
      </c>
      <c r="O887" s="2" t="str">
        <f t="shared" si="55"/>
        <v/>
      </c>
      <c r="P887" s="2" t="s">
        <v>23</v>
      </c>
      <c r="Q887" s="2" t="s">
        <v>23</v>
      </c>
      <c r="R887" s="2" t="s">
        <v>23</v>
      </c>
      <c r="S887" s="2" t="s">
        <v>23</v>
      </c>
      <c r="T887" s="2" t="s">
        <v>38</v>
      </c>
      <c r="U887" s="25">
        <f t="shared" si="53"/>
        <v>13189.000887</v>
      </c>
    </row>
    <row r="888" spans="1:21">
      <c r="A888" s="2" t="s">
        <v>1506</v>
      </c>
      <c r="B888" s="2" t="s">
        <v>1507</v>
      </c>
      <c r="C888" s="2" t="s">
        <v>19</v>
      </c>
      <c r="D888" s="2">
        <v>30</v>
      </c>
      <c r="E888" s="2" t="str">
        <f t="shared" si="54"/>
        <v>26-35</v>
      </c>
      <c r="F888" s="2" t="s">
        <v>105</v>
      </c>
      <c r="G888" s="2" t="s">
        <v>27</v>
      </c>
      <c r="H888" s="2">
        <v>36</v>
      </c>
      <c r="I888" s="2" t="str">
        <f t="shared" si="52"/>
        <v>25-48 months</v>
      </c>
      <c r="J888" s="3">
        <v>699</v>
      </c>
      <c r="K888" s="3">
        <v>25164</v>
      </c>
      <c r="L888" s="2" t="s">
        <v>31</v>
      </c>
      <c r="M888" s="4">
        <v>44845</v>
      </c>
      <c r="N888" s="2" t="s">
        <v>23</v>
      </c>
      <c r="O888" s="2">
        <f t="shared" si="55"/>
        <v>0</v>
      </c>
      <c r="P888" s="2" t="s">
        <v>23</v>
      </c>
      <c r="Q888" s="2" t="s">
        <v>23</v>
      </c>
      <c r="R888" s="2" t="s">
        <v>23</v>
      </c>
      <c r="S888" s="2" t="s">
        <v>23</v>
      </c>
      <c r="T888" s="2" t="s">
        <v>23</v>
      </c>
      <c r="U888" s="25">
        <f t="shared" si="53"/>
        <v>25164.000887999999</v>
      </c>
    </row>
    <row r="889" spans="1:21">
      <c r="A889" s="2" t="s">
        <v>1508</v>
      </c>
      <c r="B889" s="2" t="s">
        <v>967</v>
      </c>
      <c r="C889" s="2" t="s">
        <v>35</v>
      </c>
      <c r="D889" s="2">
        <v>44</v>
      </c>
      <c r="E889" s="2" t="str">
        <f t="shared" si="54"/>
        <v>36-45</v>
      </c>
      <c r="F889" s="2" t="s">
        <v>26</v>
      </c>
      <c r="G889" s="2" t="s">
        <v>47</v>
      </c>
      <c r="H889" s="2">
        <v>3</v>
      </c>
      <c r="I889" s="2" t="str">
        <f t="shared" si="52"/>
        <v>0-6 months</v>
      </c>
      <c r="J889" s="3">
        <v>1149</v>
      </c>
      <c r="K889" s="3">
        <v>3447</v>
      </c>
      <c r="L889" s="2" t="s">
        <v>22</v>
      </c>
      <c r="M889" s="4">
        <v>45834</v>
      </c>
      <c r="N889" s="2" t="s">
        <v>23</v>
      </c>
      <c r="O889" s="2">
        <f t="shared" si="55"/>
        <v>0</v>
      </c>
      <c r="P889" s="2" t="s">
        <v>23</v>
      </c>
      <c r="Q889" s="2" t="s">
        <v>23</v>
      </c>
      <c r="R889" s="2" t="s">
        <v>23</v>
      </c>
      <c r="S889" s="2" t="s">
        <v>23</v>
      </c>
      <c r="T889" s="2" t="s">
        <v>23</v>
      </c>
      <c r="U889" s="25">
        <f t="shared" si="53"/>
        <v>3447.0008889999999</v>
      </c>
    </row>
    <row r="890" spans="1:21">
      <c r="A890" s="2" t="s">
        <v>1509</v>
      </c>
      <c r="B890" s="2" t="s">
        <v>1510</v>
      </c>
      <c r="C890" s="2" t="s">
        <v>35</v>
      </c>
      <c r="D890" s="2">
        <v>21</v>
      </c>
      <c r="E890" s="2" t="str">
        <f t="shared" si="54"/>
        <v>18-25</v>
      </c>
      <c r="F890" s="2" t="s">
        <v>110</v>
      </c>
      <c r="G890" s="2" t="s">
        <v>47</v>
      </c>
      <c r="H890" s="2">
        <v>51</v>
      </c>
      <c r="I890" s="2" t="str">
        <f t="shared" si="52"/>
        <v>49+ months</v>
      </c>
      <c r="J890" s="3">
        <v>749</v>
      </c>
      <c r="K890" s="3">
        <v>38199</v>
      </c>
      <c r="L890" s="2" t="s">
        <v>31</v>
      </c>
      <c r="M890" s="4">
        <v>44396</v>
      </c>
      <c r="N890" s="2" t="s">
        <v>23</v>
      </c>
      <c r="O890" s="2">
        <f t="shared" si="55"/>
        <v>0</v>
      </c>
      <c r="P890" s="2" t="s">
        <v>23</v>
      </c>
      <c r="Q890" s="2" t="s">
        <v>23</v>
      </c>
      <c r="R890" s="2" t="s">
        <v>23</v>
      </c>
      <c r="S890" s="2" t="s">
        <v>23</v>
      </c>
      <c r="T890" s="2" t="s">
        <v>23</v>
      </c>
      <c r="U890" s="25">
        <f t="shared" si="53"/>
        <v>38199.000890000003</v>
      </c>
    </row>
    <row r="891" spans="1:21">
      <c r="A891" s="2" t="s">
        <v>1511</v>
      </c>
      <c r="B891" s="2" t="s">
        <v>252</v>
      </c>
      <c r="C891" s="2" t="s">
        <v>19</v>
      </c>
      <c r="D891" s="2">
        <v>42</v>
      </c>
      <c r="E891" s="2" t="str">
        <f t="shared" si="54"/>
        <v>36-45</v>
      </c>
      <c r="F891" s="2" t="s">
        <v>26</v>
      </c>
      <c r="G891" s="2" t="s">
        <v>27</v>
      </c>
      <c r="H891" s="2">
        <v>18</v>
      </c>
      <c r="I891" s="2" t="str">
        <f t="shared" si="52"/>
        <v>13-24 months</v>
      </c>
      <c r="J891" s="3">
        <v>999</v>
      </c>
      <c r="K891" s="3">
        <v>17982</v>
      </c>
      <c r="L891" s="2" t="s">
        <v>22</v>
      </c>
      <c r="M891" s="4">
        <v>45382</v>
      </c>
      <c r="N891" s="2" t="s">
        <v>32</v>
      </c>
      <c r="O891" s="2">
        <f t="shared" si="55"/>
        <v>1</v>
      </c>
      <c r="P891" s="2" t="s">
        <v>23</v>
      </c>
      <c r="Q891" s="2" t="s">
        <v>23</v>
      </c>
      <c r="R891" s="2" t="s">
        <v>23</v>
      </c>
      <c r="S891" s="2" t="s">
        <v>23</v>
      </c>
      <c r="T891" s="2" t="s">
        <v>23</v>
      </c>
      <c r="U891" s="25">
        <f t="shared" si="53"/>
        <v>17982.000891</v>
      </c>
    </row>
    <row r="892" spans="1:21">
      <c r="A892" s="2" t="s">
        <v>1512</v>
      </c>
      <c r="B892" s="2" t="s">
        <v>1513</v>
      </c>
      <c r="C892" s="2" t="s">
        <v>19</v>
      </c>
      <c r="D892" s="2">
        <v>50</v>
      </c>
      <c r="E892" s="2" t="str">
        <f t="shared" si="54"/>
        <v>46-60</v>
      </c>
      <c r="F892" s="2" t="s">
        <v>141</v>
      </c>
      <c r="G892" s="2" t="s">
        <v>27</v>
      </c>
      <c r="H892" s="2">
        <v>15</v>
      </c>
      <c r="I892" s="2" t="str">
        <f t="shared" si="52"/>
        <v>13-24 months</v>
      </c>
      <c r="J892" s="3">
        <v>699</v>
      </c>
      <c r="K892" s="3">
        <v>10485</v>
      </c>
      <c r="L892" s="2" t="s">
        <v>31</v>
      </c>
      <c r="M892" s="4">
        <v>45473</v>
      </c>
      <c r="N892" s="2" t="s">
        <v>23</v>
      </c>
      <c r="O892" s="2">
        <f t="shared" si="55"/>
        <v>0</v>
      </c>
      <c r="P892" s="2" t="s">
        <v>23</v>
      </c>
      <c r="Q892" s="2" t="s">
        <v>23</v>
      </c>
      <c r="R892" s="2" t="s">
        <v>23</v>
      </c>
      <c r="S892" s="2" t="s">
        <v>23</v>
      </c>
      <c r="T892" s="2" t="s">
        <v>23</v>
      </c>
      <c r="U892" s="25">
        <f t="shared" si="53"/>
        <v>10485.000892</v>
      </c>
    </row>
    <row r="893" spans="1:21">
      <c r="A893" s="2" t="s">
        <v>1514</v>
      </c>
      <c r="B893" s="2" t="s">
        <v>1515</v>
      </c>
      <c r="C893" s="2" t="s">
        <v>19</v>
      </c>
      <c r="D893" s="2">
        <v>33</v>
      </c>
      <c r="E893" s="2" t="str">
        <f t="shared" si="54"/>
        <v>26-35</v>
      </c>
      <c r="F893" s="2" t="s">
        <v>46</v>
      </c>
      <c r="G893" s="2" t="s">
        <v>21</v>
      </c>
      <c r="H893" s="2">
        <v>9</v>
      </c>
      <c r="I893" s="2" t="str">
        <f t="shared" si="52"/>
        <v>7-12 months</v>
      </c>
      <c r="J893" s="3">
        <v>649</v>
      </c>
      <c r="K893" s="3">
        <v>5841</v>
      </c>
      <c r="L893" s="2" t="s">
        <v>31</v>
      </c>
      <c r="M893" s="4">
        <v>45651</v>
      </c>
      <c r="N893" s="2" t="s">
        <v>23</v>
      </c>
      <c r="O893" s="2">
        <f t="shared" si="55"/>
        <v>0</v>
      </c>
      <c r="P893" s="2" t="s">
        <v>23</v>
      </c>
      <c r="Q893" s="2" t="s">
        <v>23</v>
      </c>
      <c r="R893" s="2" t="s">
        <v>23</v>
      </c>
      <c r="S893" s="2" t="s">
        <v>23</v>
      </c>
      <c r="T893" s="2" t="s">
        <v>23</v>
      </c>
      <c r="U893" s="25">
        <f t="shared" si="53"/>
        <v>5841.0008930000004</v>
      </c>
    </row>
    <row r="894" spans="1:21">
      <c r="A894" s="2" t="s">
        <v>1516</v>
      </c>
      <c r="B894" s="2" t="s">
        <v>1517</v>
      </c>
      <c r="C894" s="2" t="s">
        <v>19</v>
      </c>
      <c r="D894" s="2">
        <v>18</v>
      </c>
      <c r="E894" s="2" t="str">
        <f t="shared" si="54"/>
        <v>18-25</v>
      </c>
      <c r="F894" s="2" t="s">
        <v>71</v>
      </c>
      <c r="G894" s="2" t="s">
        <v>21</v>
      </c>
      <c r="H894" s="2">
        <v>12</v>
      </c>
      <c r="I894" s="2" t="str">
        <f t="shared" si="52"/>
        <v>7-12 months</v>
      </c>
      <c r="J894" s="3">
        <v>899</v>
      </c>
      <c r="K894" s="3">
        <v>10788</v>
      </c>
      <c r="L894" s="2" t="s">
        <v>37</v>
      </c>
      <c r="M894" s="4">
        <v>45564</v>
      </c>
      <c r="N894" s="2" t="s">
        <v>32</v>
      </c>
      <c r="O894" s="2">
        <f t="shared" si="55"/>
        <v>1</v>
      </c>
      <c r="P894" s="2" t="s">
        <v>23</v>
      </c>
      <c r="Q894" s="2" t="s">
        <v>23</v>
      </c>
      <c r="R894" s="2" t="s">
        <v>23</v>
      </c>
      <c r="S894" s="2" t="s">
        <v>23</v>
      </c>
      <c r="T894" s="2" t="s">
        <v>23</v>
      </c>
      <c r="U894" s="25">
        <f t="shared" si="53"/>
        <v>10788.000894000001</v>
      </c>
    </row>
    <row r="895" spans="1:21">
      <c r="A895" s="2" t="s">
        <v>1518</v>
      </c>
      <c r="B895" s="2" t="s">
        <v>1519</v>
      </c>
      <c r="C895" s="2" t="s">
        <v>35</v>
      </c>
      <c r="D895" s="2">
        <v>38</v>
      </c>
      <c r="E895" s="2" t="str">
        <f t="shared" si="54"/>
        <v>36-45</v>
      </c>
      <c r="F895" s="2" t="s">
        <v>36</v>
      </c>
      <c r="G895" s="2" t="s">
        <v>27</v>
      </c>
      <c r="H895" s="2">
        <v>23</v>
      </c>
      <c r="I895" s="2" t="str">
        <f t="shared" si="52"/>
        <v>13-24 months</v>
      </c>
      <c r="J895" s="3">
        <v>649</v>
      </c>
      <c r="K895" s="3">
        <v>14927</v>
      </c>
      <c r="L895" s="2" t="s">
        <v>31</v>
      </c>
      <c r="M895" s="4">
        <v>45238</v>
      </c>
      <c r="N895" s="2" t="s">
        <v>23</v>
      </c>
      <c r="O895" s="2">
        <f t="shared" si="55"/>
        <v>0</v>
      </c>
      <c r="P895" s="2" t="s">
        <v>23</v>
      </c>
      <c r="Q895" s="2" t="s">
        <v>23</v>
      </c>
      <c r="R895" s="2" t="s">
        <v>32</v>
      </c>
      <c r="S895" s="2" t="s">
        <v>23</v>
      </c>
      <c r="T895" s="2" t="s">
        <v>23</v>
      </c>
      <c r="U895" s="25">
        <f t="shared" si="53"/>
        <v>14927.000894999999</v>
      </c>
    </row>
    <row r="896" spans="1:21">
      <c r="A896" s="2" t="s">
        <v>1520</v>
      </c>
      <c r="B896" s="2" t="s">
        <v>674</v>
      </c>
      <c r="C896" s="2" t="s">
        <v>19</v>
      </c>
      <c r="D896" s="2">
        <v>34</v>
      </c>
      <c r="E896" s="2" t="str">
        <f t="shared" si="54"/>
        <v>26-35</v>
      </c>
      <c r="F896" s="2" t="s">
        <v>57</v>
      </c>
      <c r="G896" s="2" t="s">
        <v>27</v>
      </c>
      <c r="H896" s="2">
        <v>14</v>
      </c>
      <c r="I896" s="2" t="str">
        <f t="shared" si="52"/>
        <v>13-24 months</v>
      </c>
      <c r="J896" s="3">
        <v>1099</v>
      </c>
      <c r="K896" s="3">
        <v>15386</v>
      </c>
      <c r="L896" s="2" t="s">
        <v>22</v>
      </c>
      <c r="M896" s="4">
        <v>45502</v>
      </c>
      <c r="N896" s="2" t="s">
        <v>23</v>
      </c>
      <c r="O896" s="2">
        <f t="shared" si="55"/>
        <v>0</v>
      </c>
      <c r="P896" s="2" t="s">
        <v>23</v>
      </c>
      <c r="Q896" s="2" t="s">
        <v>23</v>
      </c>
      <c r="R896" s="2" t="s">
        <v>23</v>
      </c>
      <c r="S896" s="2" t="s">
        <v>23</v>
      </c>
      <c r="T896" s="2" t="s">
        <v>23</v>
      </c>
      <c r="U896" s="25">
        <f t="shared" si="53"/>
        <v>15386.000896</v>
      </c>
    </row>
    <row r="897" spans="1:21">
      <c r="A897" s="2" t="s">
        <v>1521</v>
      </c>
      <c r="B897" s="2" t="s">
        <v>291</v>
      </c>
      <c r="C897" s="2" t="s">
        <v>35</v>
      </c>
      <c r="D897" s="2">
        <v>32</v>
      </c>
      <c r="E897" s="2" t="str">
        <f t="shared" si="54"/>
        <v>26-35</v>
      </c>
      <c r="F897" s="2" t="s">
        <v>141</v>
      </c>
      <c r="G897" s="2" t="s">
        <v>27</v>
      </c>
      <c r="H897" s="2">
        <v>31</v>
      </c>
      <c r="I897" s="2" t="str">
        <f t="shared" si="52"/>
        <v>25-48 months</v>
      </c>
      <c r="J897" s="3">
        <v>1099</v>
      </c>
      <c r="K897" s="3">
        <v>34069</v>
      </c>
      <c r="L897" s="2" t="s">
        <v>22</v>
      </c>
      <c r="M897" s="4">
        <v>44972</v>
      </c>
      <c r="N897" s="2" t="s">
        <v>23</v>
      </c>
      <c r="O897" s="2">
        <f t="shared" si="55"/>
        <v>0</v>
      </c>
      <c r="P897" s="2" t="s">
        <v>23</v>
      </c>
      <c r="Q897" s="2" t="s">
        <v>23</v>
      </c>
      <c r="R897" s="2" t="s">
        <v>23</v>
      </c>
      <c r="S897" s="2" t="s">
        <v>23</v>
      </c>
      <c r="T897" s="2" t="s">
        <v>23</v>
      </c>
      <c r="U897" s="25">
        <f t="shared" si="53"/>
        <v>34069.000896999998</v>
      </c>
    </row>
    <row r="898" spans="1:21">
      <c r="A898" s="2" t="s">
        <v>1522</v>
      </c>
      <c r="B898" s="2" t="s">
        <v>444</v>
      </c>
      <c r="C898" s="2" t="s">
        <v>19</v>
      </c>
      <c r="D898" s="2">
        <v>49</v>
      </c>
      <c r="E898" s="2" t="str">
        <f t="shared" si="54"/>
        <v>46-60</v>
      </c>
      <c r="F898" s="2" t="s">
        <v>141</v>
      </c>
      <c r="G898" s="2" t="s">
        <v>21</v>
      </c>
      <c r="H898" s="2">
        <v>10</v>
      </c>
      <c r="I898" s="2" t="str">
        <f t="shared" ref="I898:I961" si="56">IF(H898="","Unknown",IF(H898&lt;=6,"0-6 months",IF(H898&lt;=12,"7-12 months",IF(H898&lt;=24,"13-24 months",IF(H898&lt;=48,"25-48 months","49+ months")))))</f>
        <v>7-12 months</v>
      </c>
      <c r="J898" s="3">
        <v>649</v>
      </c>
      <c r="K898" s="3">
        <v>6490</v>
      </c>
      <c r="L898" s="2" t="s">
        <v>31</v>
      </c>
      <c r="M898" s="4">
        <v>45622</v>
      </c>
      <c r="N898" s="2" t="s">
        <v>23</v>
      </c>
      <c r="O898" s="2">
        <f t="shared" si="55"/>
        <v>0</v>
      </c>
      <c r="P898" s="2" t="s">
        <v>23</v>
      </c>
      <c r="Q898" s="2" t="s">
        <v>23</v>
      </c>
      <c r="R898" s="2" t="s">
        <v>23</v>
      </c>
      <c r="S898" s="2" t="s">
        <v>23</v>
      </c>
      <c r="T898" s="2" t="s">
        <v>23</v>
      </c>
      <c r="U898" s="25">
        <f t="shared" ref="U898:U961" si="57">IF(K898="","",K898+ROW()/1000000)</f>
        <v>6490.0008980000002</v>
      </c>
    </row>
    <row r="899" spans="1:21">
      <c r="A899" s="2" t="s">
        <v>1523</v>
      </c>
      <c r="B899" s="2" t="s">
        <v>544</v>
      </c>
      <c r="C899" s="2" t="s">
        <v>19</v>
      </c>
      <c r="D899" s="2">
        <v>45</v>
      </c>
      <c r="E899" s="2" t="str">
        <f t="shared" ref="E899:E962" si="58">IF(D899&lt;=25,"18-25",IF(D899&lt;=35,"26-35",IF(D899&lt;=45,"36-45",IF(D899&lt;=60,"46-60","60+"))))</f>
        <v>36-45</v>
      </c>
      <c r="F899" s="2" t="s">
        <v>20</v>
      </c>
      <c r="G899" s="2" t="s">
        <v>21</v>
      </c>
      <c r="H899" s="2">
        <v>13</v>
      </c>
      <c r="I899" s="2" t="str">
        <f t="shared" si="56"/>
        <v>13-24 months</v>
      </c>
      <c r="J899" s="3">
        <v>1199</v>
      </c>
      <c r="K899" s="3">
        <v>15587</v>
      </c>
      <c r="L899" s="2" t="s">
        <v>22</v>
      </c>
      <c r="M899" s="4"/>
      <c r="N899" s="2" t="s">
        <v>32</v>
      </c>
      <c r="O899" s="2">
        <f t="shared" ref="O899:O962" si="59">IF(N899="Yes",1,IF(N899="No",0,""))</f>
        <v>1</v>
      </c>
      <c r="P899" s="2" t="s">
        <v>23</v>
      </c>
      <c r="Q899" s="2" t="s">
        <v>23</v>
      </c>
      <c r="R899" s="2" t="s">
        <v>23</v>
      </c>
      <c r="S899" s="2" t="s">
        <v>23</v>
      </c>
      <c r="T899" s="2" t="s">
        <v>54</v>
      </c>
      <c r="U899" s="25">
        <f t="shared" si="57"/>
        <v>15587.000899000001</v>
      </c>
    </row>
    <row r="900" spans="1:21">
      <c r="A900" s="2" t="s">
        <v>1524</v>
      </c>
      <c r="B900" s="2" t="s">
        <v>1525</v>
      </c>
      <c r="C900" s="2" t="s">
        <v>37</v>
      </c>
      <c r="D900" s="2">
        <v>42</v>
      </c>
      <c r="E900" s="2" t="str">
        <f t="shared" si="58"/>
        <v>36-45</v>
      </c>
      <c r="F900" s="2" t="s">
        <v>105</v>
      </c>
      <c r="G900" s="2" t="s">
        <v>21</v>
      </c>
      <c r="H900" s="2">
        <v>21</v>
      </c>
      <c r="I900" s="2" t="str">
        <f t="shared" si="56"/>
        <v>13-24 months</v>
      </c>
      <c r="J900" s="3">
        <v>399</v>
      </c>
      <c r="K900" s="3">
        <v>8379</v>
      </c>
      <c r="L900" s="2" t="s">
        <v>66</v>
      </c>
      <c r="M900" s="4">
        <v>45290</v>
      </c>
      <c r="N900" s="2" t="s">
        <v>23</v>
      </c>
      <c r="O900" s="2">
        <f t="shared" si="59"/>
        <v>0</v>
      </c>
      <c r="P900" s="2" t="s">
        <v>23</v>
      </c>
      <c r="Q900" s="2" t="s">
        <v>23</v>
      </c>
      <c r="R900" s="2" t="s">
        <v>23</v>
      </c>
      <c r="S900" s="2" t="s">
        <v>23</v>
      </c>
      <c r="T900" s="2" t="s">
        <v>23</v>
      </c>
      <c r="U900" s="25">
        <f t="shared" si="57"/>
        <v>8379.0008999999991</v>
      </c>
    </row>
    <row r="901" spans="1:21">
      <c r="A901" s="2" t="s">
        <v>1526</v>
      </c>
      <c r="B901" s="2" t="s">
        <v>1527</v>
      </c>
      <c r="C901" s="2" t="s">
        <v>19</v>
      </c>
      <c r="D901" s="2">
        <v>68</v>
      </c>
      <c r="E901" s="2" t="str">
        <f t="shared" si="58"/>
        <v>60+</v>
      </c>
      <c r="F901" s="2" t="s">
        <v>36</v>
      </c>
      <c r="G901" s="2" t="s">
        <v>47</v>
      </c>
      <c r="H901" s="2">
        <v>44</v>
      </c>
      <c r="I901" s="2" t="str">
        <f t="shared" si="56"/>
        <v>25-48 months</v>
      </c>
      <c r="J901" s="3">
        <v>899</v>
      </c>
      <c r="K901" s="3">
        <v>39556</v>
      </c>
      <c r="L901" s="2" t="s">
        <v>31</v>
      </c>
      <c r="M901" s="4">
        <v>44593</v>
      </c>
      <c r="N901" s="2" t="s">
        <v>23</v>
      </c>
      <c r="O901" s="2">
        <f t="shared" si="59"/>
        <v>0</v>
      </c>
      <c r="P901" s="2" t="s">
        <v>23</v>
      </c>
      <c r="Q901" s="2" t="s">
        <v>23</v>
      </c>
      <c r="R901" s="2" t="s">
        <v>23</v>
      </c>
      <c r="S901" s="2" t="s">
        <v>23</v>
      </c>
      <c r="T901" s="2" t="s">
        <v>23</v>
      </c>
      <c r="U901" s="25">
        <f t="shared" si="57"/>
        <v>39556.000900999999</v>
      </c>
    </row>
    <row r="902" spans="1:21">
      <c r="A902" s="2" t="s">
        <v>1528</v>
      </c>
      <c r="B902" s="2" t="s">
        <v>1529</v>
      </c>
      <c r="C902" s="2" t="s">
        <v>35</v>
      </c>
      <c r="D902" s="2">
        <v>39</v>
      </c>
      <c r="E902" s="2" t="str">
        <f t="shared" si="58"/>
        <v>36-45</v>
      </c>
      <c r="F902" s="2" t="s">
        <v>60</v>
      </c>
      <c r="G902" s="2" t="s">
        <v>21</v>
      </c>
      <c r="H902" s="2">
        <v>23</v>
      </c>
      <c r="I902" s="2" t="str">
        <f t="shared" si="56"/>
        <v>13-24 months</v>
      </c>
      <c r="J902" s="3">
        <v>699</v>
      </c>
      <c r="K902" s="3">
        <v>16077</v>
      </c>
      <c r="L902" s="2" t="s">
        <v>31</v>
      </c>
      <c r="M902" s="4">
        <v>45212</v>
      </c>
      <c r="N902" s="2" t="s">
        <v>32</v>
      </c>
      <c r="O902" s="2">
        <f t="shared" si="59"/>
        <v>1</v>
      </c>
      <c r="P902" s="2" t="s">
        <v>23</v>
      </c>
      <c r="Q902" s="2" t="s">
        <v>23</v>
      </c>
      <c r="R902" s="2" t="s">
        <v>23</v>
      </c>
      <c r="S902" s="2" t="s">
        <v>23</v>
      </c>
      <c r="T902" s="2" t="s">
        <v>23</v>
      </c>
      <c r="U902" s="25">
        <f t="shared" si="57"/>
        <v>16077.000902</v>
      </c>
    </row>
    <row r="903" spans="1:21">
      <c r="A903" s="2" t="s">
        <v>1530</v>
      </c>
      <c r="B903" s="2" t="s">
        <v>1531</v>
      </c>
      <c r="C903" s="2" t="s">
        <v>19</v>
      </c>
      <c r="D903" s="2">
        <v>36</v>
      </c>
      <c r="E903" s="2" t="str">
        <f t="shared" si="58"/>
        <v>36-45</v>
      </c>
      <c r="F903" s="2" t="s">
        <v>41</v>
      </c>
      <c r="G903" s="2" t="s">
        <v>21</v>
      </c>
      <c r="H903" s="2">
        <v>5</v>
      </c>
      <c r="I903" s="2" t="str">
        <f t="shared" si="56"/>
        <v>0-6 months</v>
      </c>
      <c r="J903" s="3">
        <v>349</v>
      </c>
      <c r="K903" s="3">
        <v>1745</v>
      </c>
      <c r="L903" s="2" t="s">
        <v>66</v>
      </c>
      <c r="M903" s="4">
        <v>45766</v>
      </c>
      <c r="N903" s="2" t="s">
        <v>32</v>
      </c>
      <c r="O903" s="2">
        <f t="shared" si="59"/>
        <v>1</v>
      </c>
      <c r="P903" s="2" t="s">
        <v>23</v>
      </c>
      <c r="Q903" s="2" t="s">
        <v>23</v>
      </c>
      <c r="R903" s="2" t="s">
        <v>32</v>
      </c>
      <c r="S903" s="2" t="s">
        <v>23</v>
      </c>
      <c r="T903" s="2" t="s">
        <v>23</v>
      </c>
      <c r="U903" s="25">
        <f t="shared" si="57"/>
        <v>1745.0009030000001</v>
      </c>
    </row>
    <row r="904" spans="1:21">
      <c r="A904" s="2" t="s">
        <v>1532</v>
      </c>
      <c r="B904" s="2" t="s">
        <v>1080</v>
      </c>
      <c r="C904" s="2" t="s">
        <v>19</v>
      </c>
      <c r="D904" s="2">
        <v>36</v>
      </c>
      <c r="E904" s="2" t="str">
        <f t="shared" si="58"/>
        <v>36-45</v>
      </c>
      <c r="F904" s="2" t="s">
        <v>20</v>
      </c>
      <c r="G904" s="2" t="s">
        <v>47</v>
      </c>
      <c r="H904" s="2">
        <v>15</v>
      </c>
      <c r="I904" s="2" t="str">
        <f t="shared" si="56"/>
        <v>13-24 months</v>
      </c>
      <c r="J904" s="3">
        <v>999</v>
      </c>
      <c r="K904" s="3">
        <v>14985</v>
      </c>
      <c r="L904" s="2" t="s">
        <v>22</v>
      </c>
      <c r="M904" s="4">
        <v>45469</v>
      </c>
      <c r="N904" s="2" t="s">
        <v>23</v>
      </c>
      <c r="O904" s="2">
        <f t="shared" si="59"/>
        <v>0</v>
      </c>
      <c r="P904" s="2" t="s">
        <v>23</v>
      </c>
      <c r="Q904" s="2" t="s">
        <v>23</v>
      </c>
      <c r="R904" s="2" t="s">
        <v>23</v>
      </c>
      <c r="S904" s="2" t="s">
        <v>23</v>
      </c>
      <c r="T904" s="2" t="s">
        <v>23</v>
      </c>
      <c r="U904" s="25">
        <f t="shared" si="57"/>
        <v>14985.000904</v>
      </c>
    </row>
    <row r="905" spans="1:21">
      <c r="A905" s="2" t="s">
        <v>1533</v>
      </c>
      <c r="B905" s="2" t="s">
        <v>798</v>
      </c>
      <c r="C905" s="2" t="s">
        <v>35</v>
      </c>
      <c r="D905" s="2">
        <v>39</v>
      </c>
      <c r="E905" s="2" t="str">
        <f t="shared" si="58"/>
        <v>36-45</v>
      </c>
      <c r="F905" s="2" t="s">
        <v>41</v>
      </c>
      <c r="G905" s="2" t="s">
        <v>21</v>
      </c>
      <c r="H905" s="2">
        <v>3</v>
      </c>
      <c r="I905" s="2" t="str">
        <f t="shared" si="56"/>
        <v>0-6 months</v>
      </c>
      <c r="J905" s="3">
        <v>399</v>
      </c>
      <c r="K905" s="3">
        <v>1197</v>
      </c>
      <c r="L905" s="2" t="s">
        <v>66</v>
      </c>
      <c r="M905" s="4">
        <v>45822</v>
      </c>
      <c r="N905" s="2" t="s">
        <v>37</v>
      </c>
      <c r="O905" s="2" t="str">
        <f t="shared" si="59"/>
        <v/>
      </c>
      <c r="P905" s="2" t="s">
        <v>23</v>
      </c>
      <c r="Q905" s="2" t="s">
        <v>23</v>
      </c>
      <c r="R905" s="2" t="s">
        <v>23</v>
      </c>
      <c r="S905" s="2" t="s">
        <v>23</v>
      </c>
      <c r="T905" s="2" t="s">
        <v>38</v>
      </c>
      <c r="U905" s="25">
        <f t="shared" si="57"/>
        <v>1197.0009050000001</v>
      </c>
    </row>
    <row r="906" spans="1:21">
      <c r="A906" s="2" t="s">
        <v>1534</v>
      </c>
      <c r="B906" s="2" t="s">
        <v>1535</v>
      </c>
      <c r="C906" s="2" t="s">
        <v>35</v>
      </c>
      <c r="D906" s="2">
        <v>61</v>
      </c>
      <c r="E906" s="2" t="str">
        <f t="shared" si="58"/>
        <v>60+</v>
      </c>
      <c r="F906" s="2" t="s">
        <v>105</v>
      </c>
      <c r="G906" s="2" t="s">
        <v>21</v>
      </c>
      <c r="H906" s="2">
        <v>10</v>
      </c>
      <c r="I906" s="2" t="str">
        <f t="shared" si="56"/>
        <v>7-12 months</v>
      </c>
      <c r="J906" s="3">
        <v>1299</v>
      </c>
      <c r="K906" s="3">
        <v>12990</v>
      </c>
      <c r="L906" s="2" t="s">
        <v>22</v>
      </c>
      <c r="M906" s="4">
        <v>45625</v>
      </c>
      <c r="N906" s="2" t="s">
        <v>32</v>
      </c>
      <c r="O906" s="2">
        <f t="shared" si="59"/>
        <v>1</v>
      </c>
      <c r="P906" s="2" t="s">
        <v>23</v>
      </c>
      <c r="Q906" s="2" t="s">
        <v>23</v>
      </c>
      <c r="R906" s="2" t="s">
        <v>23</v>
      </c>
      <c r="S906" s="2" t="s">
        <v>23</v>
      </c>
      <c r="T906" s="2" t="s">
        <v>23</v>
      </c>
      <c r="U906" s="25">
        <f t="shared" si="57"/>
        <v>12990.000905999999</v>
      </c>
    </row>
    <row r="907" spans="1:21">
      <c r="A907" s="2" t="s">
        <v>1536</v>
      </c>
      <c r="B907" s="2" t="s">
        <v>1537</v>
      </c>
      <c r="C907" s="2" t="s">
        <v>35</v>
      </c>
      <c r="D907" s="2">
        <v>41</v>
      </c>
      <c r="E907" s="2" t="str">
        <f t="shared" si="58"/>
        <v>36-45</v>
      </c>
      <c r="F907" s="2" t="s">
        <v>46</v>
      </c>
      <c r="G907" s="2" t="s">
        <v>47</v>
      </c>
      <c r="H907" s="2">
        <v>10</v>
      </c>
      <c r="I907" s="2" t="str">
        <f t="shared" si="56"/>
        <v>7-12 months</v>
      </c>
      <c r="J907" s="3">
        <v>899</v>
      </c>
      <c r="K907" s="3">
        <v>8990</v>
      </c>
      <c r="L907" s="2" t="s">
        <v>22</v>
      </c>
      <c r="M907" s="4">
        <v>45624</v>
      </c>
      <c r="N907" s="2" t="s">
        <v>23</v>
      </c>
      <c r="O907" s="2">
        <f t="shared" si="59"/>
        <v>0</v>
      </c>
      <c r="P907" s="2" t="s">
        <v>23</v>
      </c>
      <c r="Q907" s="2" t="s">
        <v>23</v>
      </c>
      <c r="R907" s="2" t="s">
        <v>23</v>
      </c>
      <c r="S907" s="2" t="s">
        <v>32</v>
      </c>
      <c r="T907" s="2" t="s">
        <v>23</v>
      </c>
      <c r="U907" s="25">
        <f t="shared" si="57"/>
        <v>8990.0009069999996</v>
      </c>
    </row>
    <row r="908" spans="1:21">
      <c r="A908" s="2" t="s">
        <v>1538</v>
      </c>
      <c r="B908" s="2" t="s">
        <v>1539</v>
      </c>
      <c r="C908" s="2" t="s">
        <v>35</v>
      </c>
      <c r="D908" s="2">
        <v>46</v>
      </c>
      <c r="E908" s="2" t="str">
        <f t="shared" si="58"/>
        <v>46-60</v>
      </c>
      <c r="F908" s="2" t="s">
        <v>141</v>
      </c>
      <c r="G908" s="2" t="s">
        <v>27</v>
      </c>
      <c r="H908" s="2">
        <v>5</v>
      </c>
      <c r="I908" s="2" t="str">
        <f t="shared" si="56"/>
        <v>0-6 months</v>
      </c>
      <c r="J908" s="3">
        <v>499</v>
      </c>
      <c r="K908" s="3">
        <v>2495</v>
      </c>
      <c r="L908" s="2" t="s">
        <v>66</v>
      </c>
      <c r="M908" s="4">
        <v>45770</v>
      </c>
      <c r="N908" s="2" t="s">
        <v>23</v>
      </c>
      <c r="O908" s="2">
        <f t="shared" si="59"/>
        <v>0</v>
      </c>
      <c r="P908" s="2" t="s">
        <v>23</v>
      </c>
      <c r="Q908" s="2" t="s">
        <v>23</v>
      </c>
      <c r="R908" s="2" t="s">
        <v>23</v>
      </c>
      <c r="S908" s="2" t="s">
        <v>23</v>
      </c>
      <c r="T908" s="2" t="s">
        <v>23</v>
      </c>
      <c r="U908" s="25">
        <f t="shared" si="57"/>
        <v>2495.000908</v>
      </c>
    </row>
    <row r="909" spans="1:21">
      <c r="A909" s="2" t="s">
        <v>1540</v>
      </c>
      <c r="B909" s="2" t="s">
        <v>473</v>
      </c>
      <c r="C909" s="2" t="s">
        <v>19</v>
      </c>
      <c r="D909" s="2">
        <v>26</v>
      </c>
      <c r="E909" s="2" t="str">
        <f t="shared" si="58"/>
        <v>26-35</v>
      </c>
      <c r="F909" s="2" t="s">
        <v>63</v>
      </c>
      <c r="G909" s="2" t="s">
        <v>27</v>
      </c>
      <c r="H909" s="2">
        <v>32</v>
      </c>
      <c r="I909" s="2" t="str">
        <f t="shared" si="56"/>
        <v>25-48 months</v>
      </c>
      <c r="J909" s="3">
        <v>1099</v>
      </c>
      <c r="K909" s="3">
        <v>35168</v>
      </c>
      <c r="L909" s="2" t="s">
        <v>22</v>
      </c>
      <c r="M909" s="4">
        <v>44948</v>
      </c>
      <c r="N909" s="2" t="s">
        <v>23</v>
      </c>
      <c r="O909" s="2">
        <f t="shared" si="59"/>
        <v>0</v>
      </c>
      <c r="P909" s="2" t="s">
        <v>23</v>
      </c>
      <c r="Q909" s="2" t="s">
        <v>23</v>
      </c>
      <c r="R909" s="2" t="s">
        <v>23</v>
      </c>
      <c r="S909" s="2" t="s">
        <v>23</v>
      </c>
      <c r="T909" s="2" t="s">
        <v>23</v>
      </c>
      <c r="U909" s="25">
        <f t="shared" si="57"/>
        <v>35168.000909000002</v>
      </c>
    </row>
    <row r="910" spans="1:21">
      <c r="A910" s="2" t="s">
        <v>1541</v>
      </c>
      <c r="B910" s="2" t="s">
        <v>364</v>
      </c>
      <c r="C910" s="2" t="s">
        <v>35</v>
      </c>
      <c r="D910" s="2">
        <v>33</v>
      </c>
      <c r="E910" s="2" t="str">
        <f t="shared" si="58"/>
        <v>26-35</v>
      </c>
      <c r="F910" s="2" t="s">
        <v>105</v>
      </c>
      <c r="G910" s="2" t="s">
        <v>21</v>
      </c>
      <c r="H910" s="2">
        <v>18</v>
      </c>
      <c r="I910" s="2" t="str">
        <f t="shared" si="56"/>
        <v>13-24 months</v>
      </c>
      <c r="J910" s="3">
        <v>1149</v>
      </c>
      <c r="K910" s="3">
        <v>20682</v>
      </c>
      <c r="L910" s="2" t="s">
        <v>22</v>
      </c>
      <c r="M910" s="4">
        <v>45376</v>
      </c>
      <c r="N910" s="2" t="s">
        <v>23</v>
      </c>
      <c r="O910" s="2">
        <f t="shared" si="59"/>
        <v>0</v>
      </c>
      <c r="P910" s="2" t="s">
        <v>23</v>
      </c>
      <c r="Q910" s="2" t="s">
        <v>23</v>
      </c>
      <c r="R910" s="2" t="s">
        <v>23</v>
      </c>
      <c r="S910" s="2" t="s">
        <v>23</v>
      </c>
      <c r="T910" s="2" t="s">
        <v>23</v>
      </c>
      <c r="U910" s="25">
        <f t="shared" si="57"/>
        <v>20682.000909999999</v>
      </c>
    </row>
    <row r="911" spans="1:21">
      <c r="A911" s="2" t="s">
        <v>1542</v>
      </c>
      <c r="B911" s="2" t="s">
        <v>658</v>
      </c>
      <c r="C911" s="2" t="s">
        <v>19</v>
      </c>
      <c r="D911" s="2">
        <v>44</v>
      </c>
      <c r="E911" s="2" t="str">
        <f t="shared" si="58"/>
        <v>36-45</v>
      </c>
      <c r="F911" s="2" t="s">
        <v>26</v>
      </c>
      <c r="G911" s="2" t="s">
        <v>27</v>
      </c>
      <c r="H911" s="2">
        <v>15</v>
      </c>
      <c r="I911" s="2" t="str">
        <f t="shared" si="56"/>
        <v>13-24 months</v>
      </c>
      <c r="J911" s="3">
        <v>899</v>
      </c>
      <c r="K911" s="3">
        <v>13485</v>
      </c>
      <c r="L911" s="2" t="s">
        <v>22</v>
      </c>
      <c r="M911" s="4">
        <v>45472</v>
      </c>
      <c r="N911" s="2" t="s">
        <v>23</v>
      </c>
      <c r="O911" s="2">
        <f t="shared" si="59"/>
        <v>0</v>
      </c>
      <c r="P911" s="2" t="s">
        <v>23</v>
      </c>
      <c r="Q911" s="2" t="s">
        <v>23</v>
      </c>
      <c r="R911" s="2" t="s">
        <v>23</v>
      </c>
      <c r="S911" s="2" t="s">
        <v>23</v>
      </c>
      <c r="T911" s="2" t="s">
        <v>23</v>
      </c>
      <c r="U911" s="25">
        <f t="shared" si="57"/>
        <v>13485.000910999999</v>
      </c>
    </row>
    <row r="912" spans="1:21">
      <c r="A912" s="2" t="s">
        <v>1543</v>
      </c>
      <c r="B912" s="2" t="s">
        <v>1544</v>
      </c>
      <c r="C912" s="2" t="s">
        <v>19</v>
      </c>
      <c r="D912" s="2">
        <v>48</v>
      </c>
      <c r="E912" s="2" t="str">
        <f t="shared" si="58"/>
        <v>46-60</v>
      </c>
      <c r="F912" s="2" t="s">
        <v>63</v>
      </c>
      <c r="G912" s="2" t="s">
        <v>47</v>
      </c>
      <c r="H912" s="2">
        <v>45</v>
      </c>
      <c r="I912" s="2" t="str">
        <f t="shared" si="56"/>
        <v>25-48 months</v>
      </c>
      <c r="J912" s="3">
        <v>699</v>
      </c>
      <c r="K912" s="3">
        <v>31455</v>
      </c>
      <c r="L912" s="2" t="s">
        <v>31</v>
      </c>
      <c r="M912" s="4"/>
      <c r="N912" s="2" t="s">
        <v>23</v>
      </c>
      <c r="O912" s="2">
        <f t="shared" si="59"/>
        <v>0</v>
      </c>
      <c r="P912" s="2" t="s">
        <v>23</v>
      </c>
      <c r="Q912" s="2" t="s">
        <v>23</v>
      </c>
      <c r="R912" s="2" t="s">
        <v>32</v>
      </c>
      <c r="S912" s="2" t="s">
        <v>23</v>
      </c>
      <c r="T912" s="2" t="s">
        <v>54</v>
      </c>
      <c r="U912" s="25">
        <f t="shared" si="57"/>
        <v>31455.000912</v>
      </c>
    </row>
    <row r="913" spans="1:21">
      <c r="A913" s="2" t="s">
        <v>1545</v>
      </c>
      <c r="B913" s="2" t="s">
        <v>1546</v>
      </c>
      <c r="C913" s="2" t="s">
        <v>35</v>
      </c>
      <c r="D913" s="2">
        <v>70</v>
      </c>
      <c r="E913" s="2" t="str">
        <f t="shared" si="58"/>
        <v>60+</v>
      </c>
      <c r="F913" s="2" t="s">
        <v>20</v>
      </c>
      <c r="G913" s="2" t="s">
        <v>21</v>
      </c>
      <c r="H913" s="2">
        <v>23</v>
      </c>
      <c r="I913" s="2" t="str">
        <f t="shared" si="56"/>
        <v>13-24 months</v>
      </c>
      <c r="J913" s="3">
        <v>849</v>
      </c>
      <c r="K913" s="3">
        <v>19527</v>
      </c>
      <c r="L913" s="2" t="s">
        <v>31</v>
      </c>
      <c r="M913" s="4">
        <v>45216</v>
      </c>
      <c r="N913" s="2" t="s">
        <v>23</v>
      </c>
      <c r="O913" s="2">
        <f t="shared" si="59"/>
        <v>0</v>
      </c>
      <c r="P913" s="2" t="s">
        <v>23</v>
      </c>
      <c r="Q913" s="2" t="s">
        <v>23</v>
      </c>
      <c r="R913" s="2" t="s">
        <v>23</v>
      </c>
      <c r="S913" s="2" t="s">
        <v>23</v>
      </c>
      <c r="T913" s="2" t="s">
        <v>23</v>
      </c>
      <c r="U913" s="25">
        <f t="shared" si="57"/>
        <v>19527.000913</v>
      </c>
    </row>
    <row r="914" spans="1:21">
      <c r="A914" s="2" t="s">
        <v>1547</v>
      </c>
      <c r="B914" s="2" t="s">
        <v>458</v>
      </c>
      <c r="C914" s="2" t="s">
        <v>35</v>
      </c>
      <c r="D914" s="2">
        <v>62</v>
      </c>
      <c r="E914" s="2" t="str">
        <f t="shared" si="58"/>
        <v>60+</v>
      </c>
      <c r="F914" s="2" t="s">
        <v>41</v>
      </c>
      <c r="G914" s="2" t="s">
        <v>27</v>
      </c>
      <c r="H914" s="2">
        <v>39</v>
      </c>
      <c r="I914" s="2" t="str">
        <f t="shared" si="56"/>
        <v>25-48 months</v>
      </c>
      <c r="J914" s="3">
        <v>899</v>
      </c>
      <c r="K914" s="3">
        <v>35061</v>
      </c>
      <c r="L914" s="2" t="s">
        <v>31</v>
      </c>
      <c r="M914" s="4">
        <v>44754</v>
      </c>
      <c r="N914" s="2" t="s">
        <v>32</v>
      </c>
      <c r="O914" s="2">
        <f t="shared" si="59"/>
        <v>1</v>
      </c>
      <c r="P914" s="2" t="s">
        <v>23</v>
      </c>
      <c r="Q914" s="2" t="s">
        <v>23</v>
      </c>
      <c r="R914" s="2" t="s">
        <v>23</v>
      </c>
      <c r="S914" s="2" t="s">
        <v>23</v>
      </c>
      <c r="T914" s="2" t="s">
        <v>23</v>
      </c>
      <c r="U914" s="25">
        <f t="shared" si="57"/>
        <v>35061.000913999997</v>
      </c>
    </row>
    <row r="915" spans="1:21">
      <c r="A915" s="2" t="s">
        <v>1548</v>
      </c>
      <c r="B915" s="2" t="s">
        <v>854</v>
      </c>
      <c r="C915" s="2" t="s">
        <v>19</v>
      </c>
      <c r="D915" s="2">
        <v>18</v>
      </c>
      <c r="E915" s="2" t="str">
        <f t="shared" si="58"/>
        <v>18-25</v>
      </c>
      <c r="F915" s="2" t="s">
        <v>91</v>
      </c>
      <c r="G915" s="2" t="s">
        <v>47</v>
      </c>
      <c r="H915" s="2">
        <v>24</v>
      </c>
      <c r="I915" s="2" t="str">
        <f t="shared" si="56"/>
        <v>13-24 months</v>
      </c>
      <c r="J915" s="3">
        <v>1199</v>
      </c>
      <c r="K915" s="3">
        <v>28776</v>
      </c>
      <c r="L915" s="2" t="s">
        <v>22</v>
      </c>
      <c r="M915" s="4">
        <v>45186</v>
      </c>
      <c r="N915" s="2" t="s">
        <v>23</v>
      </c>
      <c r="O915" s="2">
        <f t="shared" si="59"/>
        <v>0</v>
      </c>
      <c r="P915" s="2" t="s">
        <v>23</v>
      </c>
      <c r="Q915" s="2" t="s">
        <v>23</v>
      </c>
      <c r="R915" s="2" t="s">
        <v>23</v>
      </c>
      <c r="S915" s="2" t="s">
        <v>23</v>
      </c>
      <c r="T915" s="2" t="s">
        <v>23</v>
      </c>
      <c r="U915" s="25">
        <f t="shared" si="57"/>
        <v>28776.000915000001</v>
      </c>
    </row>
    <row r="916" spans="1:21">
      <c r="A916" s="2" t="s">
        <v>1549</v>
      </c>
      <c r="B916" s="2" t="s">
        <v>1037</v>
      </c>
      <c r="C916" s="2" t="s">
        <v>35</v>
      </c>
      <c r="D916" s="2">
        <v>64</v>
      </c>
      <c r="E916" s="2" t="str">
        <f t="shared" si="58"/>
        <v>60+</v>
      </c>
      <c r="F916" s="2" t="s">
        <v>30</v>
      </c>
      <c r="G916" s="2" t="s">
        <v>21</v>
      </c>
      <c r="H916" s="2">
        <v>1</v>
      </c>
      <c r="I916" s="2" t="str">
        <f t="shared" si="56"/>
        <v>0-6 months</v>
      </c>
      <c r="J916" s="3">
        <v>899</v>
      </c>
      <c r="K916" s="3">
        <v>899</v>
      </c>
      <c r="L916" s="2" t="s">
        <v>22</v>
      </c>
      <c r="M916" s="4">
        <v>45878</v>
      </c>
      <c r="N916" s="2" t="s">
        <v>32</v>
      </c>
      <c r="O916" s="2">
        <f t="shared" si="59"/>
        <v>1</v>
      </c>
      <c r="P916" s="2" t="s">
        <v>23</v>
      </c>
      <c r="Q916" s="2" t="s">
        <v>23</v>
      </c>
      <c r="R916" s="2" t="s">
        <v>23</v>
      </c>
      <c r="S916" s="2" t="s">
        <v>23</v>
      </c>
      <c r="T916" s="2" t="s">
        <v>23</v>
      </c>
      <c r="U916" s="25">
        <f t="shared" si="57"/>
        <v>899.00091599999996</v>
      </c>
    </row>
    <row r="917" spans="1:21">
      <c r="A917" s="2" t="s">
        <v>1550</v>
      </c>
      <c r="B917" s="2" t="s">
        <v>802</v>
      </c>
      <c r="C917" s="2" t="s">
        <v>19</v>
      </c>
      <c r="D917" s="2">
        <v>50</v>
      </c>
      <c r="E917" s="2" t="str">
        <f t="shared" si="58"/>
        <v>46-60</v>
      </c>
      <c r="F917" s="2" t="s">
        <v>63</v>
      </c>
      <c r="G917" s="2" t="s">
        <v>21</v>
      </c>
      <c r="H917" s="2">
        <v>22</v>
      </c>
      <c r="I917" s="2" t="str">
        <f t="shared" si="56"/>
        <v>13-24 months</v>
      </c>
      <c r="J917" s="3">
        <v>449</v>
      </c>
      <c r="K917" s="3">
        <v>9878</v>
      </c>
      <c r="L917" s="2" t="s">
        <v>66</v>
      </c>
      <c r="M917" s="4">
        <v>45252</v>
      </c>
      <c r="N917" s="2" t="s">
        <v>23</v>
      </c>
      <c r="O917" s="2">
        <f t="shared" si="59"/>
        <v>0</v>
      </c>
      <c r="P917" s="2" t="s">
        <v>23</v>
      </c>
      <c r="Q917" s="2" t="s">
        <v>23</v>
      </c>
      <c r="R917" s="2" t="s">
        <v>23</v>
      </c>
      <c r="S917" s="2" t="s">
        <v>23</v>
      </c>
      <c r="T917" s="2" t="s">
        <v>23</v>
      </c>
      <c r="U917" s="25">
        <f t="shared" si="57"/>
        <v>9878.0009169999994</v>
      </c>
    </row>
    <row r="918" spans="1:21">
      <c r="A918" s="2" t="s">
        <v>1551</v>
      </c>
      <c r="B918" s="2" t="s">
        <v>1552</v>
      </c>
      <c r="C918" s="2" t="s">
        <v>35</v>
      </c>
      <c r="D918" s="2">
        <v>28</v>
      </c>
      <c r="E918" s="2" t="str">
        <f t="shared" si="58"/>
        <v>26-35</v>
      </c>
      <c r="F918" s="2" t="s">
        <v>37</v>
      </c>
      <c r="G918" s="2" t="s">
        <v>47</v>
      </c>
      <c r="H918" s="2">
        <v>17</v>
      </c>
      <c r="I918" s="2" t="str">
        <f t="shared" si="56"/>
        <v>13-24 months</v>
      </c>
      <c r="J918" s="3">
        <v>999</v>
      </c>
      <c r="K918" s="3">
        <v>16983</v>
      </c>
      <c r="L918" s="2" t="s">
        <v>22</v>
      </c>
      <c r="M918" s="4">
        <v>45411</v>
      </c>
      <c r="N918" s="2" t="s">
        <v>23</v>
      </c>
      <c r="O918" s="2">
        <f t="shared" si="59"/>
        <v>0</v>
      </c>
      <c r="P918" s="2" t="s">
        <v>23</v>
      </c>
      <c r="Q918" s="2" t="s">
        <v>23</v>
      </c>
      <c r="R918" s="2" t="s">
        <v>23</v>
      </c>
      <c r="S918" s="2" t="s">
        <v>32</v>
      </c>
      <c r="T918" s="2" t="s">
        <v>23</v>
      </c>
      <c r="U918" s="25">
        <f t="shared" si="57"/>
        <v>16983.000918000002</v>
      </c>
    </row>
    <row r="919" spans="1:21">
      <c r="A919" s="2" t="s">
        <v>1553</v>
      </c>
      <c r="B919" s="2" t="s">
        <v>1554</v>
      </c>
      <c r="C919" s="2" t="s">
        <v>35</v>
      </c>
      <c r="D919" s="2">
        <v>53</v>
      </c>
      <c r="E919" s="2" t="str">
        <f t="shared" si="58"/>
        <v>46-60</v>
      </c>
      <c r="F919" s="2" t="s">
        <v>91</v>
      </c>
      <c r="G919" s="2" t="s">
        <v>47</v>
      </c>
      <c r="H919" s="2">
        <v>60</v>
      </c>
      <c r="I919" s="2" t="str">
        <f t="shared" si="56"/>
        <v>49+ months</v>
      </c>
      <c r="J919" s="3">
        <v>499</v>
      </c>
      <c r="K919" s="3">
        <v>29940</v>
      </c>
      <c r="L919" s="2" t="s">
        <v>66</v>
      </c>
      <c r="M919" s="4">
        <v>44123</v>
      </c>
      <c r="N919" s="2" t="s">
        <v>23</v>
      </c>
      <c r="O919" s="2">
        <f t="shared" si="59"/>
        <v>0</v>
      </c>
      <c r="P919" s="2" t="s">
        <v>23</v>
      </c>
      <c r="Q919" s="2" t="s">
        <v>23</v>
      </c>
      <c r="R919" s="2" t="s">
        <v>23</v>
      </c>
      <c r="S919" s="2" t="s">
        <v>23</v>
      </c>
      <c r="T919" s="2" t="s">
        <v>23</v>
      </c>
      <c r="U919" s="25">
        <f t="shared" si="57"/>
        <v>29940.000918999998</v>
      </c>
    </row>
    <row r="920" spans="1:21">
      <c r="A920" s="2" t="s">
        <v>1555</v>
      </c>
      <c r="B920" s="2" t="s">
        <v>1080</v>
      </c>
      <c r="C920" s="2" t="s">
        <v>19</v>
      </c>
      <c r="D920" s="2">
        <v>45</v>
      </c>
      <c r="E920" s="2" t="str">
        <f t="shared" si="58"/>
        <v>36-45</v>
      </c>
      <c r="F920" s="2" t="s">
        <v>20</v>
      </c>
      <c r="G920" s="2" t="s">
        <v>21</v>
      </c>
      <c r="H920" s="2">
        <v>12</v>
      </c>
      <c r="I920" s="2" t="str">
        <f t="shared" si="56"/>
        <v>7-12 months</v>
      </c>
      <c r="J920" s="3">
        <v>799</v>
      </c>
      <c r="K920" s="3">
        <v>9588</v>
      </c>
      <c r="L920" s="2" t="s">
        <v>31</v>
      </c>
      <c r="M920" s="4">
        <v>45559</v>
      </c>
      <c r="N920" s="2" t="s">
        <v>32</v>
      </c>
      <c r="O920" s="2">
        <f t="shared" si="59"/>
        <v>1</v>
      </c>
      <c r="P920" s="2" t="s">
        <v>23</v>
      </c>
      <c r="Q920" s="2" t="s">
        <v>23</v>
      </c>
      <c r="R920" s="2" t="s">
        <v>23</v>
      </c>
      <c r="S920" s="2" t="s">
        <v>23</v>
      </c>
      <c r="T920" s="2" t="s">
        <v>23</v>
      </c>
      <c r="U920" s="25">
        <f t="shared" si="57"/>
        <v>9588.0009200000004</v>
      </c>
    </row>
    <row r="921" spans="1:21">
      <c r="A921" s="2" t="s">
        <v>1556</v>
      </c>
      <c r="B921" s="2" t="s">
        <v>1517</v>
      </c>
      <c r="C921" s="2" t="s">
        <v>19</v>
      </c>
      <c r="D921" s="2">
        <v>22</v>
      </c>
      <c r="E921" s="2" t="str">
        <f t="shared" si="58"/>
        <v>18-25</v>
      </c>
      <c r="F921" s="2" t="s">
        <v>20</v>
      </c>
      <c r="G921" s="2" t="s">
        <v>27</v>
      </c>
      <c r="H921" s="2">
        <v>20</v>
      </c>
      <c r="I921" s="2" t="str">
        <f t="shared" si="56"/>
        <v>13-24 months</v>
      </c>
      <c r="J921" s="3">
        <v>1149</v>
      </c>
      <c r="K921" s="3">
        <v>22980</v>
      </c>
      <c r="L921" s="2" t="s">
        <v>22</v>
      </c>
      <c r="M921" s="4">
        <v>45327</v>
      </c>
      <c r="N921" s="2" t="s">
        <v>23</v>
      </c>
      <c r="O921" s="2">
        <f t="shared" si="59"/>
        <v>0</v>
      </c>
      <c r="P921" s="2" t="s">
        <v>23</v>
      </c>
      <c r="Q921" s="2" t="s">
        <v>23</v>
      </c>
      <c r="R921" s="2" t="s">
        <v>23</v>
      </c>
      <c r="S921" s="2" t="s">
        <v>23</v>
      </c>
      <c r="T921" s="2" t="s">
        <v>23</v>
      </c>
      <c r="U921" s="25">
        <f t="shared" si="57"/>
        <v>22980.000920999999</v>
      </c>
    </row>
    <row r="922" spans="1:21">
      <c r="A922" s="2" t="s">
        <v>1557</v>
      </c>
      <c r="B922" s="2" t="s">
        <v>556</v>
      </c>
      <c r="C922" s="2" t="s">
        <v>19</v>
      </c>
      <c r="D922" s="2">
        <v>47</v>
      </c>
      <c r="E922" s="2" t="str">
        <f t="shared" si="58"/>
        <v>46-60</v>
      </c>
      <c r="F922" s="2" t="s">
        <v>91</v>
      </c>
      <c r="G922" s="2" t="s">
        <v>21</v>
      </c>
      <c r="H922" s="2">
        <v>16</v>
      </c>
      <c r="I922" s="2" t="str">
        <f t="shared" si="56"/>
        <v>13-24 months</v>
      </c>
      <c r="J922" s="3">
        <v>449</v>
      </c>
      <c r="K922" s="3">
        <v>7184</v>
      </c>
      <c r="L922" s="2" t="s">
        <v>66</v>
      </c>
      <c r="M922" s="4">
        <v>45439</v>
      </c>
      <c r="N922" s="2" t="s">
        <v>32</v>
      </c>
      <c r="O922" s="2">
        <f t="shared" si="59"/>
        <v>1</v>
      </c>
      <c r="P922" s="2" t="s">
        <v>32</v>
      </c>
      <c r="Q922" s="2" t="s">
        <v>23</v>
      </c>
      <c r="R922" s="2" t="s">
        <v>23</v>
      </c>
      <c r="S922" s="2" t="s">
        <v>23</v>
      </c>
      <c r="T922" s="2" t="s">
        <v>23</v>
      </c>
      <c r="U922" s="25">
        <f t="shared" si="57"/>
        <v>7184.0009220000002</v>
      </c>
    </row>
    <row r="923" spans="1:21">
      <c r="A923" s="2" t="s">
        <v>1558</v>
      </c>
      <c r="B923" s="2" t="s">
        <v>845</v>
      </c>
      <c r="C923" s="2" t="s">
        <v>19</v>
      </c>
      <c r="D923" s="2">
        <v>43</v>
      </c>
      <c r="E923" s="2" t="str">
        <f t="shared" si="58"/>
        <v>36-45</v>
      </c>
      <c r="F923" s="2" t="s">
        <v>26</v>
      </c>
      <c r="G923" s="2" t="s">
        <v>21</v>
      </c>
      <c r="H923" s="2">
        <v>24</v>
      </c>
      <c r="I923" s="2" t="str">
        <f t="shared" si="56"/>
        <v>13-24 months</v>
      </c>
      <c r="J923" s="3">
        <v>999</v>
      </c>
      <c r="K923" s="3">
        <v>23976</v>
      </c>
      <c r="L923" s="2" t="s">
        <v>22</v>
      </c>
      <c r="M923" s="4">
        <v>45180</v>
      </c>
      <c r="N923" s="2" t="s">
        <v>32</v>
      </c>
      <c r="O923" s="2">
        <f t="shared" si="59"/>
        <v>1</v>
      </c>
      <c r="P923" s="2" t="s">
        <v>23</v>
      </c>
      <c r="Q923" s="2" t="s">
        <v>23</v>
      </c>
      <c r="R923" s="2" t="s">
        <v>23</v>
      </c>
      <c r="S923" s="2" t="s">
        <v>23</v>
      </c>
      <c r="T923" s="2" t="s">
        <v>23</v>
      </c>
      <c r="U923" s="25">
        <f t="shared" si="57"/>
        <v>23976.000923</v>
      </c>
    </row>
    <row r="924" spans="1:21">
      <c r="A924" s="2" t="s">
        <v>1559</v>
      </c>
      <c r="B924" s="2" t="s">
        <v>1560</v>
      </c>
      <c r="C924" s="2" t="s">
        <v>19</v>
      </c>
      <c r="D924" s="2">
        <v>19</v>
      </c>
      <c r="E924" s="2" t="str">
        <f t="shared" si="58"/>
        <v>18-25</v>
      </c>
      <c r="F924" s="2" t="s">
        <v>91</v>
      </c>
      <c r="G924" s="2" t="s">
        <v>27</v>
      </c>
      <c r="H924" s="2">
        <v>3</v>
      </c>
      <c r="I924" s="2" t="str">
        <f t="shared" si="56"/>
        <v>0-6 months</v>
      </c>
      <c r="J924" s="3">
        <v>999</v>
      </c>
      <c r="K924" s="3">
        <v>2997</v>
      </c>
      <c r="L924" s="2" t="s">
        <v>22</v>
      </c>
      <c r="M924" s="4">
        <v>45836</v>
      </c>
      <c r="N924" s="2" t="s">
        <v>23</v>
      </c>
      <c r="O924" s="2">
        <f t="shared" si="59"/>
        <v>0</v>
      </c>
      <c r="P924" s="2" t="s">
        <v>23</v>
      </c>
      <c r="Q924" s="2" t="s">
        <v>23</v>
      </c>
      <c r="R924" s="2" t="s">
        <v>23</v>
      </c>
      <c r="S924" s="2" t="s">
        <v>23</v>
      </c>
      <c r="T924" s="2" t="s">
        <v>23</v>
      </c>
      <c r="U924" s="25">
        <f t="shared" si="57"/>
        <v>2997.0009239999999</v>
      </c>
    </row>
    <row r="925" spans="1:21">
      <c r="A925" s="2" t="s">
        <v>1561</v>
      </c>
      <c r="B925" s="2" t="s">
        <v>1562</v>
      </c>
      <c r="C925" s="2" t="s">
        <v>19</v>
      </c>
      <c r="D925" s="2">
        <v>69</v>
      </c>
      <c r="E925" s="2" t="str">
        <f t="shared" si="58"/>
        <v>60+</v>
      </c>
      <c r="F925" s="2" t="s">
        <v>71</v>
      </c>
      <c r="G925" s="2" t="s">
        <v>27</v>
      </c>
      <c r="H925" s="2">
        <v>11</v>
      </c>
      <c r="I925" s="2" t="str">
        <f t="shared" si="56"/>
        <v>7-12 months</v>
      </c>
      <c r="J925" s="3">
        <v>1149</v>
      </c>
      <c r="K925" s="3">
        <v>12639</v>
      </c>
      <c r="L925" s="2" t="s">
        <v>22</v>
      </c>
      <c r="M925" s="4">
        <v>45569</v>
      </c>
      <c r="N925" s="2" t="s">
        <v>23</v>
      </c>
      <c r="O925" s="2">
        <f t="shared" si="59"/>
        <v>0</v>
      </c>
      <c r="P925" s="2" t="s">
        <v>23</v>
      </c>
      <c r="Q925" s="2" t="s">
        <v>23</v>
      </c>
      <c r="R925" s="2" t="s">
        <v>23</v>
      </c>
      <c r="S925" s="2" t="s">
        <v>23</v>
      </c>
      <c r="T925" s="2" t="s">
        <v>23</v>
      </c>
      <c r="U925" s="25">
        <f t="shared" si="57"/>
        <v>12639.000925</v>
      </c>
    </row>
    <row r="926" spans="1:21">
      <c r="A926" s="2" t="s">
        <v>1563</v>
      </c>
      <c r="B926" s="2" t="s">
        <v>714</v>
      </c>
      <c r="C926" s="2" t="s">
        <v>35</v>
      </c>
      <c r="D926" s="2">
        <v>39</v>
      </c>
      <c r="E926" s="2" t="str">
        <f t="shared" si="58"/>
        <v>36-45</v>
      </c>
      <c r="F926" s="2" t="s">
        <v>46</v>
      </c>
      <c r="G926" s="2" t="s">
        <v>21</v>
      </c>
      <c r="H926" s="2">
        <v>14</v>
      </c>
      <c r="I926" s="2" t="str">
        <f t="shared" si="56"/>
        <v>13-24 months</v>
      </c>
      <c r="J926" s="3">
        <v>499</v>
      </c>
      <c r="K926" s="3">
        <v>6986</v>
      </c>
      <c r="L926" s="2" t="s">
        <v>66</v>
      </c>
      <c r="M926" s="4">
        <v>45489</v>
      </c>
      <c r="N926" s="2" t="s">
        <v>32</v>
      </c>
      <c r="O926" s="2">
        <f t="shared" si="59"/>
        <v>1</v>
      </c>
      <c r="P926" s="2" t="s">
        <v>23</v>
      </c>
      <c r="Q926" s="2" t="s">
        <v>23</v>
      </c>
      <c r="R926" s="2" t="s">
        <v>23</v>
      </c>
      <c r="S926" s="2" t="s">
        <v>23</v>
      </c>
      <c r="T926" s="2" t="s">
        <v>23</v>
      </c>
      <c r="U926" s="25">
        <f t="shared" si="57"/>
        <v>6986.0009259999997</v>
      </c>
    </row>
    <row r="927" spans="1:21">
      <c r="A927" s="2" t="s">
        <v>1564</v>
      </c>
      <c r="B927" s="2" t="s">
        <v>540</v>
      </c>
      <c r="C927" s="2" t="s">
        <v>19</v>
      </c>
      <c r="D927" s="2">
        <v>58</v>
      </c>
      <c r="E927" s="2" t="str">
        <f t="shared" si="58"/>
        <v>46-60</v>
      </c>
      <c r="F927" s="2" t="s">
        <v>60</v>
      </c>
      <c r="G927" s="2" t="s">
        <v>21</v>
      </c>
      <c r="H927" s="2">
        <v>10</v>
      </c>
      <c r="I927" s="2" t="str">
        <f t="shared" si="56"/>
        <v>7-12 months</v>
      </c>
      <c r="J927" s="3">
        <v>799</v>
      </c>
      <c r="K927" s="3">
        <v>7990</v>
      </c>
      <c r="L927" s="2" t="s">
        <v>31</v>
      </c>
      <c r="M927" s="4">
        <v>45614</v>
      </c>
      <c r="N927" s="2" t="s">
        <v>23</v>
      </c>
      <c r="O927" s="2">
        <f t="shared" si="59"/>
        <v>0</v>
      </c>
      <c r="P927" s="2" t="s">
        <v>23</v>
      </c>
      <c r="Q927" s="2" t="s">
        <v>23</v>
      </c>
      <c r="R927" s="2" t="s">
        <v>23</v>
      </c>
      <c r="S927" s="2" t="s">
        <v>32</v>
      </c>
      <c r="T927" s="2" t="s">
        <v>23</v>
      </c>
      <c r="U927" s="25">
        <f t="shared" si="57"/>
        <v>7990.000927</v>
      </c>
    </row>
    <row r="928" spans="1:21">
      <c r="A928" s="2" t="s">
        <v>1565</v>
      </c>
      <c r="B928" s="2" t="s">
        <v>1529</v>
      </c>
      <c r="C928" s="2" t="s">
        <v>35</v>
      </c>
      <c r="D928" s="2">
        <v>28</v>
      </c>
      <c r="E928" s="2" t="str">
        <f t="shared" si="58"/>
        <v>26-35</v>
      </c>
      <c r="F928" s="2" t="s">
        <v>41</v>
      </c>
      <c r="G928" s="2" t="s">
        <v>21</v>
      </c>
      <c r="H928" s="2"/>
      <c r="I928" s="2" t="str">
        <f t="shared" si="56"/>
        <v>Unknown</v>
      </c>
      <c r="J928" s="3"/>
      <c r="K928" s="3">
        <v>2997</v>
      </c>
      <c r="L928" s="2" t="s">
        <v>22</v>
      </c>
      <c r="M928" s="4">
        <v>45823</v>
      </c>
      <c r="N928" s="2" t="s">
        <v>32</v>
      </c>
      <c r="O928" s="2">
        <f t="shared" si="59"/>
        <v>1</v>
      </c>
      <c r="P928" s="2" t="s">
        <v>23</v>
      </c>
      <c r="Q928" s="2" t="s">
        <v>23</v>
      </c>
      <c r="R928" s="2" t="s">
        <v>23</v>
      </c>
      <c r="S928" s="2" t="s">
        <v>23</v>
      </c>
      <c r="T928" s="2" t="s">
        <v>72</v>
      </c>
      <c r="U928" s="25">
        <f t="shared" si="57"/>
        <v>2997.0009279999999</v>
      </c>
    </row>
    <row r="929" spans="1:21">
      <c r="A929" s="2" t="s">
        <v>1566</v>
      </c>
      <c r="B929" s="2" t="s">
        <v>37</v>
      </c>
      <c r="C929" s="2" t="s">
        <v>35</v>
      </c>
      <c r="D929" s="2">
        <v>26</v>
      </c>
      <c r="E929" s="2" t="str">
        <f t="shared" si="58"/>
        <v>26-35</v>
      </c>
      <c r="F929" s="2" t="s">
        <v>41</v>
      </c>
      <c r="G929" s="2" t="s">
        <v>47</v>
      </c>
      <c r="H929" s="2">
        <v>47</v>
      </c>
      <c r="I929" s="2" t="str">
        <f t="shared" si="56"/>
        <v>25-48 months</v>
      </c>
      <c r="J929" s="3">
        <v>1049</v>
      </c>
      <c r="K929" s="3">
        <v>49303</v>
      </c>
      <c r="L929" s="2" t="s">
        <v>22</v>
      </c>
      <c r="M929" s="4">
        <v>44499</v>
      </c>
      <c r="N929" s="2" t="s">
        <v>23</v>
      </c>
      <c r="O929" s="2">
        <f t="shared" si="59"/>
        <v>0</v>
      </c>
      <c r="P929" s="2" t="s">
        <v>23</v>
      </c>
      <c r="Q929" s="2" t="s">
        <v>23</v>
      </c>
      <c r="R929" s="2" t="s">
        <v>23</v>
      </c>
      <c r="S929" s="2" t="s">
        <v>23</v>
      </c>
      <c r="T929" s="2" t="s">
        <v>23</v>
      </c>
      <c r="U929" s="25">
        <f t="shared" si="57"/>
        <v>49303.000929000002</v>
      </c>
    </row>
    <row r="930" spans="1:21">
      <c r="A930" s="2" t="s">
        <v>1567</v>
      </c>
      <c r="B930" s="2" t="s">
        <v>235</v>
      </c>
      <c r="C930" s="2" t="s">
        <v>19</v>
      </c>
      <c r="D930" s="2">
        <v>50</v>
      </c>
      <c r="E930" s="2" t="str">
        <f t="shared" si="58"/>
        <v>46-60</v>
      </c>
      <c r="F930" s="2" t="s">
        <v>57</v>
      </c>
      <c r="G930" s="2" t="s">
        <v>27</v>
      </c>
      <c r="H930" s="2">
        <v>6</v>
      </c>
      <c r="I930" s="2" t="str">
        <f t="shared" si="56"/>
        <v>0-6 months</v>
      </c>
      <c r="J930" s="3">
        <v>849</v>
      </c>
      <c r="K930" s="3">
        <v>5094</v>
      </c>
      <c r="L930" s="2" t="s">
        <v>31</v>
      </c>
      <c r="M930" s="4">
        <v>45720</v>
      </c>
      <c r="N930" s="2" t="s">
        <v>23</v>
      </c>
      <c r="O930" s="2">
        <f t="shared" si="59"/>
        <v>0</v>
      </c>
      <c r="P930" s="2" t="s">
        <v>23</v>
      </c>
      <c r="Q930" s="2" t="s">
        <v>23</v>
      </c>
      <c r="R930" s="2" t="s">
        <v>23</v>
      </c>
      <c r="S930" s="2" t="s">
        <v>23</v>
      </c>
      <c r="T930" s="2" t="s">
        <v>23</v>
      </c>
      <c r="U930" s="25">
        <f t="shared" si="57"/>
        <v>5094.0009300000002</v>
      </c>
    </row>
    <row r="931" spans="1:21">
      <c r="A931" s="2" t="s">
        <v>1568</v>
      </c>
      <c r="B931" s="2" t="s">
        <v>1028</v>
      </c>
      <c r="C931" s="2" t="s">
        <v>19</v>
      </c>
      <c r="D931" s="2">
        <v>21</v>
      </c>
      <c r="E931" s="2" t="str">
        <f t="shared" si="58"/>
        <v>18-25</v>
      </c>
      <c r="F931" s="2" t="s">
        <v>141</v>
      </c>
      <c r="G931" s="2" t="s">
        <v>27</v>
      </c>
      <c r="H931" s="2">
        <v>36</v>
      </c>
      <c r="I931" s="2" t="str">
        <f t="shared" si="56"/>
        <v>25-48 months</v>
      </c>
      <c r="J931" s="3">
        <v>999</v>
      </c>
      <c r="K931" s="3">
        <v>35964</v>
      </c>
      <c r="L931" s="2" t="s">
        <v>22</v>
      </c>
      <c r="M931" s="4">
        <v>44843</v>
      </c>
      <c r="N931" s="2" t="s">
        <v>23</v>
      </c>
      <c r="O931" s="2">
        <f t="shared" si="59"/>
        <v>0</v>
      </c>
      <c r="P931" s="2" t="s">
        <v>23</v>
      </c>
      <c r="Q931" s="2" t="s">
        <v>23</v>
      </c>
      <c r="R931" s="2" t="s">
        <v>23</v>
      </c>
      <c r="S931" s="2" t="s">
        <v>23</v>
      </c>
      <c r="T931" s="2" t="s">
        <v>23</v>
      </c>
      <c r="U931" s="25">
        <f t="shared" si="57"/>
        <v>35964.000931000002</v>
      </c>
    </row>
    <row r="932" spans="1:21">
      <c r="A932" s="2" t="s">
        <v>1569</v>
      </c>
      <c r="B932" s="2" t="s">
        <v>863</v>
      </c>
      <c r="C932" s="2" t="s">
        <v>35</v>
      </c>
      <c r="D932" s="2">
        <v>42</v>
      </c>
      <c r="E932" s="2" t="str">
        <f t="shared" si="58"/>
        <v>36-45</v>
      </c>
      <c r="F932" s="2" t="s">
        <v>57</v>
      </c>
      <c r="G932" s="2" t="s">
        <v>21</v>
      </c>
      <c r="H932" s="2">
        <v>15</v>
      </c>
      <c r="I932" s="2" t="str">
        <f t="shared" si="56"/>
        <v>13-24 months</v>
      </c>
      <c r="J932" s="3">
        <v>749</v>
      </c>
      <c r="K932" s="3">
        <v>11235</v>
      </c>
      <c r="L932" s="2" t="s">
        <v>31</v>
      </c>
      <c r="M932" s="4">
        <v>45464</v>
      </c>
      <c r="N932" s="2" t="s">
        <v>23</v>
      </c>
      <c r="O932" s="2">
        <f t="shared" si="59"/>
        <v>0</v>
      </c>
      <c r="P932" s="2" t="s">
        <v>23</v>
      </c>
      <c r="Q932" s="2" t="s">
        <v>23</v>
      </c>
      <c r="R932" s="2" t="s">
        <v>23</v>
      </c>
      <c r="S932" s="2" t="s">
        <v>23</v>
      </c>
      <c r="T932" s="2" t="s">
        <v>23</v>
      </c>
      <c r="U932" s="25">
        <f t="shared" si="57"/>
        <v>11235.000932000001</v>
      </c>
    </row>
    <row r="933" spans="1:21">
      <c r="A933" s="2" t="s">
        <v>1570</v>
      </c>
      <c r="B933" s="2" t="s">
        <v>1571</v>
      </c>
      <c r="C933" s="2" t="s">
        <v>19</v>
      </c>
      <c r="D933" s="2">
        <v>64</v>
      </c>
      <c r="E933" s="2" t="str">
        <f t="shared" si="58"/>
        <v>60+</v>
      </c>
      <c r="F933" s="2" t="s">
        <v>41</v>
      </c>
      <c r="G933" s="2" t="s">
        <v>47</v>
      </c>
      <c r="H933" s="2">
        <v>56</v>
      </c>
      <c r="I933" s="2" t="str">
        <f t="shared" si="56"/>
        <v>49+ months</v>
      </c>
      <c r="J933" s="3">
        <v>449</v>
      </c>
      <c r="K933" s="3">
        <v>25144</v>
      </c>
      <c r="L933" s="2" t="s">
        <v>66</v>
      </c>
      <c r="M933" s="4">
        <v>44238</v>
      </c>
      <c r="N933" s="2" t="s">
        <v>32</v>
      </c>
      <c r="O933" s="2">
        <f t="shared" si="59"/>
        <v>1</v>
      </c>
      <c r="P933" s="2" t="s">
        <v>23</v>
      </c>
      <c r="Q933" s="2" t="s">
        <v>23</v>
      </c>
      <c r="R933" s="2" t="s">
        <v>23</v>
      </c>
      <c r="S933" s="2" t="s">
        <v>23</v>
      </c>
      <c r="T933" s="2" t="s">
        <v>23</v>
      </c>
      <c r="U933" s="25">
        <f t="shared" si="57"/>
        <v>25144.000932999999</v>
      </c>
    </row>
    <row r="934" spans="1:21">
      <c r="A934" s="2" t="s">
        <v>1572</v>
      </c>
      <c r="B934" s="2" t="s">
        <v>536</v>
      </c>
      <c r="C934" s="2" t="s">
        <v>37</v>
      </c>
      <c r="D934" s="2">
        <v>65</v>
      </c>
      <c r="E934" s="2" t="str">
        <f t="shared" si="58"/>
        <v>60+</v>
      </c>
      <c r="F934" s="2" t="s">
        <v>60</v>
      </c>
      <c r="G934" s="2" t="s">
        <v>21</v>
      </c>
      <c r="H934" s="2">
        <v>18</v>
      </c>
      <c r="I934" s="2" t="str">
        <f t="shared" si="56"/>
        <v>13-24 months</v>
      </c>
      <c r="J934" s="3">
        <v>1099</v>
      </c>
      <c r="K934" s="3">
        <v>19782</v>
      </c>
      <c r="L934" s="2" t="s">
        <v>22</v>
      </c>
      <c r="M934" s="4">
        <v>45378</v>
      </c>
      <c r="N934" s="2" t="s">
        <v>23</v>
      </c>
      <c r="O934" s="2">
        <f t="shared" si="59"/>
        <v>0</v>
      </c>
      <c r="P934" s="2" t="s">
        <v>23</v>
      </c>
      <c r="Q934" s="2" t="s">
        <v>23</v>
      </c>
      <c r="R934" s="2" t="s">
        <v>23</v>
      </c>
      <c r="S934" s="2" t="s">
        <v>23</v>
      </c>
      <c r="T934" s="2" t="s">
        <v>23</v>
      </c>
      <c r="U934" s="25">
        <f t="shared" si="57"/>
        <v>19782.000934</v>
      </c>
    </row>
    <row r="935" spans="1:21">
      <c r="A935" s="2" t="s">
        <v>1573</v>
      </c>
      <c r="B935" s="2" t="s">
        <v>656</v>
      </c>
      <c r="C935" s="2" t="s">
        <v>19</v>
      </c>
      <c r="D935" s="2">
        <v>21</v>
      </c>
      <c r="E935" s="2" t="str">
        <f t="shared" si="58"/>
        <v>18-25</v>
      </c>
      <c r="F935" s="2" t="s">
        <v>110</v>
      </c>
      <c r="G935" s="2" t="s">
        <v>21</v>
      </c>
      <c r="H935" s="2">
        <v>16</v>
      </c>
      <c r="I935" s="2" t="str">
        <f t="shared" si="56"/>
        <v>13-24 months</v>
      </c>
      <c r="J935" s="3">
        <v>899</v>
      </c>
      <c r="K935" s="3">
        <v>14384</v>
      </c>
      <c r="L935" s="2" t="s">
        <v>22</v>
      </c>
      <c r="M935" s="4">
        <v>45424</v>
      </c>
      <c r="N935" s="2" t="s">
        <v>23</v>
      </c>
      <c r="O935" s="2">
        <f t="shared" si="59"/>
        <v>0</v>
      </c>
      <c r="P935" s="2" t="s">
        <v>23</v>
      </c>
      <c r="Q935" s="2" t="s">
        <v>23</v>
      </c>
      <c r="R935" s="2" t="s">
        <v>23</v>
      </c>
      <c r="S935" s="2" t="s">
        <v>23</v>
      </c>
      <c r="T935" s="2" t="s">
        <v>23</v>
      </c>
      <c r="U935" s="25">
        <f t="shared" si="57"/>
        <v>14384.000935</v>
      </c>
    </row>
    <row r="936" spans="1:21">
      <c r="A936" s="2" t="s">
        <v>1574</v>
      </c>
      <c r="B936" s="2" t="s">
        <v>1575</v>
      </c>
      <c r="C936" s="2" t="s">
        <v>35</v>
      </c>
      <c r="D936" s="2">
        <v>58</v>
      </c>
      <c r="E936" s="2" t="str">
        <f t="shared" si="58"/>
        <v>46-60</v>
      </c>
      <c r="F936" s="2" t="s">
        <v>63</v>
      </c>
      <c r="G936" s="2" t="s">
        <v>21</v>
      </c>
      <c r="H936" s="2">
        <v>13</v>
      </c>
      <c r="I936" s="2" t="str">
        <f t="shared" si="56"/>
        <v>13-24 months</v>
      </c>
      <c r="J936" s="3">
        <v>599</v>
      </c>
      <c r="K936" s="3">
        <v>7787</v>
      </c>
      <c r="L936" s="2" t="s">
        <v>31</v>
      </c>
      <c r="M936" s="4">
        <v>45522</v>
      </c>
      <c r="N936" s="2" t="s">
        <v>23</v>
      </c>
      <c r="O936" s="2">
        <f t="shared" si="59"/>
        <v>0</v>
      </c>
      <c r="P936" s="2" t="s">
        <v>23</v>
      </c>
      <c r="Q936" s="2" t="s">
        <v>23</v>
      </c>
      <c r="R936" s="2" t="s">
        <v>23</v>
      </c>
      <c r="S936" s="2" t="s">
        <v>23</v>
      </c>
      <c r="T936" s="2" t="s">
        <v>23</v>
      </c>
      <c r="U936" s="25">
        <f t="shared" si="57"/>
        <v>7787.0009360000004</v>
      </c>
    </row>
    <row r="937" spans="1:21">
      <c r="A937" s="2" t="s">
        <v>1576</v>
      </c>
      <c r="B937" s="2" t="s">
        <v>102</v>
      </c>
      <c r="C937" s="2" t="s">
        <v>19</v>
      </c>
      <c r="D937" s="2">
        <v>71</v>
      </c>
      <c r="E937" s="2" t="str">
        <f t="shared" si="58"/>
        <v>60+</v>
      </c>
      <c r="F937" s="2" t="s">
        <v>36</v>
      </c>
      <c r="G937" s="2" t="s">
        <v>21</v>
      </c>
      <c r="H937" s="2">
        <v>11</v>
      </c>
      <c r="I937" s="2" t="str">
        <f t="shared" si="56"/>
        <v>7-12 months</v>
      </c>
      <c r="J937" s="3">
        <v>399</v>
      </c>
      <c r="K937" s="3">
        <v>4389</v>
      </c>
      <c r="L937" s="2" t="s">
        <v>66</v>
      </c>
      <c r="M937" s="4">
        <v>45585</v>
      </c>
      <c r="N937" s="2" t="s">
        <v>32</v>
      </c>
      <c r="O937" s="2">
        <f t="shared" si="59"/>
        <v>1</v>
      </c>
      <c r="P937" s="2" t="s">
        <v>23</v>
      </c>
      <c r="Q937" s="2" t="s">
        <v>23</v>
      </c>
      <c r="R937" s="2" t="s">
        <v>23</v>
      </c>
      <c r="S937" s="2" t="s">
        <v>23</v>
      </c>
      <c r="T937" s="2" t="s">
        <v>23</v>
      </c>
      <c r="U937" s="25">
        <f t="shared" si="57"/>
        <v>4389.0009369999998</v>
      </c>
    </row>
    <row r="938" spans="1:21">
      <c r="A938" s="2" t="s">
        <v>1577</v>
      </c>
      <c r="B938" s="2" t="s">
        <v>1151</v>
      </c>
      <c r="C938" s="2" t="s">
        <v>35</v>
      </c>
      <c r="D938" s="2">
        <v>62</v>
      </c>
      <c r="E938" s="2" t="str">
        <f t="shared" si="58"/>
        <v>60+</v>
      </c>
      <c r="F938" s="2" t="s">
        <v>110</v>
      </c>
      <c r="G938" s="2" t="s">
        <v>21</v>
      </c>
      <c r="H938" s="2">
        <v>12</v>
      </c>
      <c r="I938" s="2" t="str">
        <f t="shared" si="56"/>
        <v>7-12 months</v>
      </c>
      <c r="J938" s="3">
        <v>1149</v>
      </c>
      <c r="K938" s="3">
        <v>13788</v>
      </c>
      <c r="L938" s="2" t="s">
        <v>22</v>
      </c>
      <c r="M938" s="4">
        <v>45551</v>
      </c>
      <c r="N938" s="2" t="s">
        <v>23</v>
      </c>
      <c r="O938" s="2">
        <f t="shared" si="59"/>
        <v>0</v>
      </c>
      <c r="P938" s="2" t="s">
        <v>23</v>
      </c>
      <c r="Q938" s="2" t="s">
        <v>23</v>
      </c>
      <c r="R938" s="2" t="s">
        <v>23</v>
      </c>
      <c r="S938" s="2" t="s">
        <v>23</v>
      </c>
      <c r="T938" s="2" t="s">
        <v>23</v>
      </c>
      <c r="U938" s="25">
        <f t="shared" si="57"/>
        <v>13788.000937999999</v>
      </c>
    </row>
    <row r="939" spans="1:21">
      <c r="A939" s="2" t="s">
        <v>1578</v>
      </c>
      <c r="B939" s="2" t="s">
        <v>1579</v>
      </c>
      <c r="C939" s="2" t="s">
        <v>19</v>
      </c>
      <c r="D939" s="2">
        <v>60</v>
      </c>
      <c r="E939" s="2" t="str">
        <f t="shared" si="58"/>
        <v>46-60</v>
      </c>
      <c r="F939" s="2" t="s">
        <v>91</v>
      </c>
      <c r="G939" s="2" t="s">
        <v>27</v>
      </c>
      <c r="H939" s="2">
        <v>21</v>
      </c>
      <c r="I939" s="2" t="str">
        <f t="shared" si="56"/>
        <v>13-24 months</v>
      </c>
      <c r="J939" s="3">
        <v>599</v>
      </c>
      <c r="K939" s="3">
        <v>12579</v>
      </c>
      <c r="L939" s="2" t="s">
        <v>31</v>
      </c>
      <c r="M939" s="4">
        <v>45283</v>
      </c>
      <c r="N939" s="2" t="s">
        <v>23</v>
      </c>
      <c r="O939" s="2">
        <f t="shared" si="59"/>
        <v>0</v>
      </c>
      <c r="P939" s="2" t="s">
        <v>23</v>
      </c>
      <c r="Q939" s="2" t="s">
        <v>23</v>
      </c>
      <c r="R939" s="2" t="s">
        <v>23</v>
      </c>
      <c r="S939" s="2" t="s">
        <v>23</v>
      </c>
      <c r="T939" s="2" t="s">
        <v>23</v>
      </c>
      <c r="U939" s="25">
        <f t="shared" si="57"/>
        <v>12579.000939</v>
      </c>
    </row>
    <row r="940" spans="1:21">
      <c r="A940" s="2" t="s">
        <v>1580</v>
      </c>
      <c r="B940" s="2" t="s">
        <v>1315</v>
      </c>
      <c r="C940" s="2" t="s">
        <v>35</v>
      </c>
      <c r="D940" s="2">
        <v>44</v>
      </c>
      <c r="E940" s="2" t="str">
        <f t="shared" si="58"/>
        <v>36-45</v>
      </c>
      <c r="F940" s="2" t="s">
        <v>46</v>
      </c>
      <c r="G940" s="2" t="s">
        <v>21</v>
      </c>
      <c r="H940" s="2">
        <v>15</v>
      </c>
      <c r="I940" s="2" t="str">
        <f t="shared" si="56"/>
        <v>13-24 months</v>
      </c>
      <c r="J940" s="3">
        <v>899</v>
      </c>
      <c r="K940" s="3">
        <v>13485</v>
      </c>
      <c r="L940" s="2" t="s">
        <v>31</v>
      </c>
      <c r="M940" s="4">
        <v>45458</v>
      </c>
      <c r="N940" s="2" t="s">
        <v>23</v>
      </c>
      <c r="O940" s="2">
        <f t="shared" si="59"/>
        <v>0</v>
      </c>
      <c r="P940" s="2" t="s">
        <v>23</v>
      </c>
      <c r="Q940" s="2" t="s">
        <v>23</v>
      </c>
      <c r="R940" s="2" t="s">
        <v>23</v>
      </c>
      <c r="S940" s="2" t="s">
        <v>23</v>
      </c>
      <c r="T940" s="2" t="s">
        <v>23</v>
      </c>
      <c r="U940" s="25">
        <f t="shared" si="57"/>
        <v>13485.00094</v>
      </c>
    </row>
    <row r="941" spans="1:21">
      <c r="A941" s="2" t="s">
        <v>1581</v>
      </c>
      <c r="B941" s="2" t="s">
        <v>1292</v>
      </c>
      <c r="C941" s="2" t="s">
        <v>19</v>
      </c>
      <c r="D941" s="2">
        <v>65</v>
      </c>
      <c r="E941" s="2" t="str">
        <f t="shared" si="58"/>
        <v>60+</v>
      </c>
      <c r="F941" s="2" t="s">
        <v>20</v>
      </c>
      <c r="G941" s="2" t="s">
        <v>21</v>
      </c>
      <c r="H941" s="2">
        <v>6</v>
      </c>
      <c r="I941" s="2" t="str">
        <f t="shared" si="56"/>
        <v>0-6 months</v>
      </c>
      <c r="J941" s="3">
        <v>1099</v>
      </c>
      <c r="K941" s="3">
        <v>6594</v>
      </c>
      <c r="L941" s="2" t="s">
        <v>22</v>
      </c>
      <c r="M941" s="4"/>
      <c r="N941" s="2" t="s">
        <v>32</v>
      </c>
      <c r="O941" s="2">
        <f t="shared" si="59"/>
        <v>1</v>
      </c>
      <c r="P941" s="2" t="s">
        <v>23</v>
      </c>
      <c r="Q941" s="2" t="s">
        <v>23</v>
      </c>
      <c r="R941" s="2" t="s">
        <v>23</v>
      </c>
      <c r="S941" s="2" t="s">
        <v>23</v>
      </c>
      <c r="T941" s="2" t="s">
        <v>54</v>
      </c>
      <c r="U941" s="25">
        <f t="shared" si="57"/>
        <v>6594.0009410000002</v>
      </c>
    </row>
    <row r="942" spans="1:21">
      <c r="A942" s="2" t="s">
        <v>1582</v>
      </c>
      <c r="B942" s="2" t="s">
        <v>287</v>
      </c>
      <c r="C942" s="2" t="s">
        <v>19</v>
      </c>
      <c r="D942" s="2">
        <v>19</v>
      </c>
      <c r="E942" s="2" t="str">
        <f t="shared" si="58"/>
        <v>18-25</v>
      </c>
      <c r="F942" s="2" t="s">
        <v>46</v>
      </c>
      <c r="G942" s="2" t="s">
        <v>47</v>
      </c>
      <c r="H942" s="2">
        <v>16</v>
      </c>
      <c r="I942" s="2" t="str">
        <f t="shared" si="56"/>
        <v>13-24 months</v>
      </c>
      <c r="J942" s="3">
        <v>1099</v>
      </c>
      <c r="K942" s="3">
        <v>17584</v>
      </c>
      <c r="L942" s="2" t="s">
        <v>22</v>
      </c>
      <c r="M942" s="4">
        <v>45437</v>
      </c>
      <c r="N942" s="2" t="s">
        <v>23</v>
      </c>
      <c r="O942" s="2">
        <f t="shared" si="59"/>
        <v>0</v>
      </c>
      <c r="P942" s="2" t="s">
        <v>23</v>
      </c>
      <c r="Q942" s="2" t="s">
        <v>23</v>
      </c>
      <c r="R942" s="2" t="s">
        <v>23</v>
      </c>
      <c r="S942" s="2" t="s">
        <v>23</v>
      </c>
      <c r="T942" s="2" t="s">
        <v>23</v>
      </c>
      <c r="U942" s="25">
        <f t="shared" si="57"/>
        <v>17584.000941999999</v>
      </c>
    </row>
    <row r="943" spans="1:21">
      <c r="A943" s="2" t="s">
        <v>1583</v>
      </c>
      <c r="B943" s="2" t="s">
        <v>1178</v>
      </c>
      <c r="C943" s="2" t="s">
        <v>35</v>
      </c>
      <c r="D943" s="2">
        <v>51</v>
      </c>
      <c r="E943" s="2" t="str">
        <f t="shared" si="58"/>
        <v>46-60</v>
      </c>
      <c r="F943" s="2" t="s">
        <v>110</v>
      </c>
      <c r="G943" s="2" t="s">
        <v>21</v>
      </c>
      <c r="H943" s="2">
        <v>15</v>
      </c>
      <c r="I943" s="2" t="str">
        <f t="shared" si="56"/>
        <v>13-24 months</v>
      </c>
      <c r="J943" s="3">
        <v>399</v>
      </c>
      <c r="K943" s="3">
        <v>5985</v>
      </c>
      <c r="L943" s="2" t="s">
        <v>66</v>
      </c>
      <c r="M943" s="4"/>
      <c r="N943" s="2" t="s">
        <v>23</v>
      </c>
      <c r="O943" s="2">
        <f t="shared" si="59"/>
        <v>0</v>
      </c>
      <c r="P943" s="2" t="s">
        <v>23</v>
      </c>
      <c r="Q943" s="2" t="s">
        <v>23</v>
      </c>
      <c r="R943" s="2" t="s">
        <v>23</v>
      </c>
      <c r="S943" s="2" t="s">
        <v>23</v>
      </c>
      <c r="T943" s="2" t="s">
        <v>54</v>
      </c>
      <c r="U943" s="25">
        <f t="shared" si="57"/>
        <v>5985.000943</v>
      </c>
    </row>
    <row r="944" spans="1:21">
      <c r="A944" s="2" t="s">
        <v>1584</v>
      </c>
      <c r="B944" s="2" t="s">
        <v>1235</v>
      </c>
      <c r="C944" s="2" t="s">
        <v>35</v>
      </c>
      <c r="D944" s="2">
        <v>72</v>
      </c>
      <c r="E944" s="2" t="str">
        <f t="shared" si="58"/>
        <v>60+</v>
      </c>
      <c r="F944" s="2" t="s">
        <v>71</v>
      </c>
      <c r="G944" s="2" t="s">
        <v>27</v>
      </c>
      <c r="H944" s="2">
        <v>19</v>
      </c>
      <c r="I944" s="2" t="str">
        <f t="shared" si="56"/>
        <v>13-24 months</v>
      </c>
      <c r="J944" s="3">
        <v>1149</v>
      </c>
      <c r="K944" s="3">
        <v>21831</v>
      </c>
      <c r="L944" s="2" t="s">
        <v>22</v>
      </c>
      <c r="M944" s="4">
        <v>45333</v>
      </c>
      <c r="N944" s="2" t="s">
        <v>23</v>
      </c>
      <c r="O944" s="2">
        <f t="shared" si="59"/>
        <v>0</v>
      </c>
      <c r="P944" s="2" t="s">
        <v>23</v>
      </c>
      <c r="Q944" s="2" t="s">
        <v>23</v>
      </c>
      <c r="R944" s="2" t="s">
        <v>23</v>
      </c>
      <c r="S944" s="2" t="s">
        <v>32</v>
      </c>
      <c r="T944" s="2" t="s">
        <v>23</v>
      </c>
      <c r="U944" s="25">
        <f t="shared" si="57"/>
        <v>21831.000943999999</v>
      </c>
    </row>
    <row r="945" spans="1:21">
      <c r="A945" s="2" t="s">
        <v>1585</v>
      </c>
      <c r="B945" s="2" t="s">
        <v>145</v>
      </c>
      <c r="C945" s="2" t="s">
        <v>19</v>
      </c>
      <c r="D945" s="2">
        <v>19</v>
      </c>
      <c r="E945" s="2" t="str">
        <f t="shared" si="58"/>
        <v>18-25</v>
      </c>
      <c r="F945" s="2" t="s">
        <v>91</v>
      </c>
      <c r="G945" s="2" t="s">
        <v>47</v>
      </c>
      <c r="H945" s="2">
        <v>70</v>
      </c>
      <c r="I945" s="2" t="str">
        <f t="shared" si="56"/>
        <v>49+ months</v>
      </c>
      <c r="J945" s="3">
        <v>599</v>
      </c>
      <c r="K945" s="3">
        <v>41930</v>
      </c>
      <c r="L945" s="2" t="s">
        <v>37</v>
      </c>
      <c r="M945" s="4">
        <v>43803</v>
      </c>
      <c r="N945" s="2" t="s">
        <v>23</v>
      </c>
      <c r="O945" s="2">
        <f t="shared" si="59"/>
        <v>0</v>
      </c>
      <c r="P945" s="2" t="s">
        <v>23</v>
      </c>
      <c r="Q945" s="2" t="s">
        <v>23</v>
      </c>
      <c r="R945" s="2" t="s">
        <v>23</v>
      </c>
      <c r="S945" s="2" t="s">
        <v>23</v>
      </c>
      <c r="T945" s="2" t="s">
        <v>23</v>
      </c>
      <c r="U945" s="25">
        <f t="shared" si="57"/>
        <v>41930.000945</v>
      </c>
    </row>
    <row r="946" spans="1:21">
      <c r="A946" s="2" t="s">
        <v>1586</v>
      </c>
      <c r="B946" s="2" t="s">
        <v>59</v>
      </c>
      <c r="C946" s="2" t="s">
        <v>19</v>
      </c>
      <c r="D946" s="2">
        <v>31</v>
      </c>
      <c r="E946" s="2" t="str">
        <f t="shared" si="58"/>
        <v>26-35</v>
      </c>
      <c r="F946" s="2" t="s">
        <v>20</v>
      </c>
      <c r="G946" s="2" t="s">
        <v>27</v>
      </c>
      <c r="H946" s="2">
        <v>8</v>
      </c>
      <c r="I946" s="2" t="str">
        <f t="shared" si="56"/>
        <v>7-12 months</v>
      </c>
      <c r="J946" s="3">
        <v>1299</v>
      </c>
      <c r="K946" s="3">
        <v>10392</v>
      </c>
      <c r="L946" s="2" t="s">
        <v>22</v>
      </c>
      <c r="M946" s="4">
        <v>45677</v>
      </c>
      <c r="N946" s="2" t="s">
        <v>37</v>
      </c>
      <c r="O946" s="2" t="str">
        <f t="shared" si="59"/>
        <v/>
      </c>
      <c r="P946" s="2" t="s">
        <v>23</v>
      </c>
      <c r="Q946" s="2" t="s">
        <v>23</v>
      </c>
      <c r="R946" s="2" t="s">
        <v>23</v>
      </c>
      <c r="S946" s="2" t="s">
        <v>23</v>
      </c>
      <c r="T946" s="2" t="s">
        <v>38</v>
      </c>
      <c r="U946" s="25">
        <f t="shared" si="57"/>
        <v>10392.000946</v>
      </c>
    </row>
    <row r="947" spans="1:21">
      <c r="A947" s="2" t="s">
        <v>1587</v>
      </c>
      <c r="B947" s="2" t="s">
        <v>1588</v>
      </c>
      <c r="C947" s="2" t="s">
        <v>35</v>
      </c>
      <c r="D947" s="2">
        <v>63</v>
      </c>
      <c r="E947" s="2" t="str">
        <f t="shared" si="58"/>
        <v>60+</v>
      </c>
      <c r="F947" s="2" t="s">
        <v>110</v>
      </c>
      <c r="G947" s="2" t="s">
        <v>27</v>
      </c>
      <c r="H947" s="2">
        <v>24</v>
      </c>
      <c r="I947" s="2" t="str">
        <f t="shared" si="56"/>
        <v>13-24 months</v>
      </c>
      <c r="J947" s="3">
        <v>899</v>
      </c>
      <c r="K947" s="3">
        <v>21576</v>
      </c>
      <c r="L947" s="2" t="s">
        <v>31</v>
      </c>
      <c r="M947" s="4">
        <v>45180</v>
      </c>
      <c r="N947" s="2" t="s">
        <v>23</v>
      </c>
      <c r="O947" s="2">
        <f t="shared" si="59"/>
        <v>0</v>
      </c>
      <c r="P947" s="2" t="s">
        <v>23</v>
      </c>
      <c r="Q947" s="2" t="s">
        <v>32</v>
      </c>
      <c r="R947" s="2" t="s">
        <v>23</v>
      </c>
      <c r="S947" s="2" t="s">
        <v>23</v>
      </c>
      <c r="T947" s="2" t="s">
        <v>23</v>
      </c>
      <c r="U947" s="25">
        <f t="shared" si="57"/>
        <v>21576.000947</v>
      </c>
    </row>
    <row r="948" spans="1:21">
      <c r="A948" s="2" t="s">
        <v>1589</v>
      </c>
      <c r="B948" s="2" t="s">
        <v>1590</v>
      </c>
      <c r="C948" s="2" t="s">
        <v>35</v>
      </c>
      <c r="D948" s="2">
        <v>61</v>
      </c>
      <c r="E948" s="2" t="str">
        <f t="shared" si="58"/>
        <v>60+</v>
      </c>
      <c r="F948" s="2" t="s">
        <v>20</v>
      </c>
      <c r="G948" s="2" t="s">
        <v>21</v>
      </c>
      <c r="H948" s="2">
        <v>2</v>
      </c>
      <c r="I948" s="2" t="str">
        <f t="shared" si="56"/>
        <v>0-6 months</v>
      </c>
      <c r="J948" s="3">
        <v>399</v>
      </c>
      <c r="K948" s="3">
        <v>798</v>
      </c>
      <c r="L948" s="2" t="s">
        <v>37</v>
      </c>
      <c r="M948" s="4">
        <v>45842</v>
      </c>
      <c r="N948" s="2" t="s">
        <v>23</v>
      </c>
      <c r="O948" s="2">
        <f t="shared" si="59"/>
        <v>0</v>
      </c>
      <c r="P948" s="2" t="s">
        <v>23</v>
      </c>
      <c r="Q948" s="2" t="s">
        <v>32</v>
      </c>
      <c r="R948" s="2" t="s">
        <v>23</v>
      </c>
      <c r="S948" s="2" t="s">
        <v>23</v>
      </c>
      <c r="T948" s="2" t="s">
        <v>23</v>
      </c>
      <c r="U948" s="25">
        <f t="shared" si="57"/>
        <v>798.00094799999999</v>
      </c>
    </row>
    <row r="949" spans="1:21">
      <c r="A949" s="2" t="s">
        <v>1591</v>
      </c>
      <c r="B949" s="2" t="s">
        <v>1388</v>
      </c>
      <c r="C949" s="2" t="s">
        <v>35</v>
      </c>
      <c r="D949" s="2">
        <v>54</v>
      </c>
      <c r="E949" s="2" t="str">
        <f t="shared" si="58"/>
        <v>46-60</v>
      </c>
      <c r="F949" s="2" t="s">
        <v>105</v>
      </c>
      <c r="G949" s="2" t="s">
        <v>21</v>
      </c>
      <c r="H949" s="2">
        <v>7</v>
      </c>
      <c r="I949" s="2" t="str">
        <f t="shared" si="56"/>
        <v>7-12 months</v>
      </c>
      <c r="J949" s="3">
        <v>499</v>
      </c>
      <c r="K949" s="3">
        <v>3493</v>
      </c>
      <c r="L949" s="2" t="s">
        <v>66</v>
      </c>
      <c r="M949" s="4">
        <v>45693</v>
      </c>
      <c r="N949" s="2" t="s">
        <v>23</v>
      </c>
      <c r="O949" s="2">
        <f t="shared" si="59"/>
        <v>0</v>
      </c>
      <c r="P949" s="2" t="s">
        <v>23</v>
      </c>
      <c r="Q949" s="2" t="s">
        <v>23</v>
      </c>
      <c r="R949" s="2" t="s">
        <v>23</v>
      </c>
      <c r="S949" s="2" t="s">
        <v>23</v>
      </c>
      <c r="T949" s="2" t="s">
        <v>23</v>
      </c>
      <c r="U949" s="25">
        <f t="shared" si="57"/>
        <v>3493.0009490000002</v>
      </c>
    </row>
    <row r="950" spans="1:21">
      <c r="A950" s="2" t="s">
        <v>1592</v>
      </c>
      <c r="B950" s="2" t="s">
        <v>364</v>
      </c>
      <c r="C950" s="2" t="s">
        <v>35</v>
      </c>
      <c r="D950" s="2">
        <v>42</v>
      </c>
      <c r="E950" s="2" t="str">
        <f t="shared" si="58"/>
        <v>36-45</v>
      </c>
      <c r="F950" s="2" t="s">
        <v>141</v>
      </c>
      <c r="G950" s="2" t="s">
        <v>21</v>
      </c>
      <c r="H950" s="2">
        <v>17</v>
      </c>
      <c r="I950" s="2" t="str">
        <f t="shared" si="56"/>
        <v>13-24 months</v>
      </c>
      <c r="J950" s="3">
        <v>399</v>
      </c>
      <c r="K950" s="3">
        <v>6783</v>
      </c>
      <c r="L950" s="2" t="s">
        <v>66</v>
      </c>
      <c r="M950" s="4">
        <v>45393</v>
      </c>
      <c r="N950" s="2" t="s">
        <v>32</v>
      </c>
      <c r="O950" s="2">
        <f t="shared" si="59"/>
        <v>1</v>
      </c>
      <c r="P950" s="2" t="s">
        <v>23</v>
      </c>
      <c r="Q950" s="2" t="s">
        <v>23</v>
      </c>
      <c r="R950" s="2" t="s">
        <v>23</v>
      </c>
      <c r="S950" s="2" t="s">
        <v>23</v>
      </c>
      <c r="T950" s="2" t="s">
        <v>23</v>
      </c>
      <c r="U950" s="25">
        <f t="shared" si="57"/>
        <v>6783.0009499999996</v>
      </c>
    </row>
    <row r="951" spans="1:21">
      <c r="A951" s="2" t="s">
        <v>1593</v>
      </c>
      <c r="B951" s="2" t="s">
        <v>1594</v>
      </c>
      <c r="C951" s="2" t="s">
        <v>19</v>
      </c>
      <c r="D951" s="2">
        <v>58</v>
      </c>
      <c r="E951" s="2" t="str">
        <f t="shared" si="58"/>
        <v>46-60</v>
      </c>
      <c r="F951" s="2" t="s">
        <v>91</v>
      </c>
      <c r="G951" s="2" t="s">
        <v>27</v>
      </c>
      <c r="H951" s="2">
        <v>17</v>
      </c>
      <c r="I951" s="2" t="str">
        <f t="shared" si="56"/>
        <v>13-24 months</v>
      </c>
      <c r="J951" s="3">
        <v>399</v>
      </c>
      <c r="K951" s="3">
        <v>6783</v>
      </c>
      <c r="L951" s="2" t="s">
        <v>66</v>
      </c>
      <c r="M951" s="4">
        <v>45412</v>
      </c>
      <c r="N951" s="2" t="s">
        <v>23</v>
      </c>
      <c r="O951" s="2">
        <f t="shared" si="59"/>
        <v>0</v>
      </c>
      <c r="P951" s="2" t="s">
        <v>23</v>
      </c>
      <c r="Q951" s="2" t="s">
        <v>23</v>
      </c>
      <c r="R951" s="2" t="s">
        <v>23</v>
      </c>
      <c r="S951" s="2" t="s">
        <v>23</v>
      </c>
      <c r="T951" s="2" t="s">
        <v>23</v>
      </c>
      <c r="U951" s="25">
        <f t="shared" si="57"/>
        <v>6783.000951</v>
      </c>
    </row>
    <row r="952" spans="1:21">
      <c r="A952" s="2" t="s">
        <v>1595</v>
      </c>
      <c r="B952" s="2" t="s">
        <v>1596</v>
      </c>
      <c r="C952" s="2" t="s">
        <v>19</v>
      </c>
      <c r="D952" s="2">
        <v>45</v>
      </c>
      <c r="E952" s="2" t="str">
        <f t="shared" si="58"/>
        <v>36-45</v>
      </c>
      <c r="F952" s="2" t="s">
        <v>36</v>
      </c>
      <c r="G952" s="2" t="s">
        <v>27</v>
      </c>
      <c r="H952" s="2">
        <v>2</v>
      </c>
      <c r="I952" s="2" t="str">
        <f t="shared" si="56"/>
        <v>0-6 months</v>
      </c>
      <c r="J952" s="3">
        <v>1199</v>
      </c>
      <c r="K952" s="3">
        <v>2398</v>
      </c>
      <c r="L952" s="2" t="s">
        <v>22</v>
      </c>
      <c r="M952" s="4">
        <v>45866</v>
      </c>
      <c r="N952" s="2" t="s">
        <v>23</v>
      </c>
      <c r="O952" s="2">
        <f t="shared" si="59"/>
        <v>0</v>
      </c>
      <c r="P952" s="2" t="s">
        <v>23</v>
      </c>
      <c r="Q952" s="2" t="s">
        <v>23</v>
      </c>
      <c r="R952" s="2" t="s">
        <v>23</v>
      </c>
      <c r="S952" s="2" t="s">
        <v>23</v>
      </c>
      <c r="T952" s="2" t="s">
        <v>23</v>
      </c>
      <c r="U952" s="25">
        <f t="shared" si="57"/>
        <v>2398.0009519999999</v>
      </c>
    </row>
    <row r="953" spans="1:21">
      <c r="A953" s="2" t="s">
        <v>1597</v>
      </c>
      <c r="B953" s="2" t="s">
        <v>1598</v>
      </c>
      <c r="C953" s="2" t="s">
        <v>37</v>
      </c>
      <c r="D953" s="2">
        <v>64</v>
      </c>
      <c r="E953" s="2" t="str">
        <f t="shared" si="58"/>
        <v>60+</v>
      </c>
      <c r="F953" s="2" t="s">
        <v>63</v>
      </c>
      <c r="G953" s="2" t="s">
        <v>47</v>
      </c>
      <c r="H953" s="2">
        <v>46</v>
      </c>
      <c r="I953" s="2" t="str">
        <f t="shared" si="56"/>
        <v>25-48 months</v>
      </c>
      <c r="J953" s="3">
        <v>999</v>
      </c>
      <c r="K953" s="3">
        <v>45954</v>
      </c>
      <c r="L953" s="2" t="s">
        <v>22</v>
      </c>
      <c r="M953" s="4">
        <v>44531</v>
      </c>
      <c r="N953" s="2" t="s">
        <v>23</v>
      </c>
      <c r="O953" s="2">
        <f t="shared" si="59"/>
        <v>0</v>
      </c>
      <c r="P953" s="2" t="s">
        <v>23</v>
      </c>
      <c r="Q953" s="2" t="s">
        <v>23</v>
      </c>
      <c r="R953" s="2" t="s">
        <v>23</v>
      </c>
      <c r="S953" s="2" t="s">
        <v>23</v>
      </c>
      <c r="T953" s="2" t="s">
        <v>23</v>
      </c>
      <c r="U953" s="25">
        <f t="shared" si="57"/>
        <v>45954.000953000002</v>
      </c>
    </row>
    <row r="954" spans="1:21">
      <c r="A954" s="2" t="s">
        <v>1599</v>
      </c>
      <c r="B954" s="2" t="s">
        <v>1600</v>
      </c>
      <c r="C954" s="2" t="s">
        <v>19</v>
      </c>
      <c r="D954" s="2">
        <v>60</v>
      </c>
      <c r="E954" s="2" t="str">
        <f t="shared" si="58"/>
        <v>46-60</v>
      </c>
      <c r="F954" s="2" t="s">
        <v>36</v>
      </c>
      <c r="G954" s="2" t="s">
        <v>21</v>
      </c>
      <c r="H954" s="2">
        <v>21</v>
      </c>
      <c r="I954" s="2" t="str">
        <f t="shared" si="56"/>
        <v>13-24 months</v>
      </c>
      <c r="J954" s="3">
        <v>549</v>
      </c>
      <c r="K954" s="3">
        <v>11529</v>
      </c>
      <c r="L954" s="2" t="s">
        <v>66</v>
      </c>
      <c r="M954" s="4">
        <v>45295</v>
      </c>
      <c r="N954" s="2" t="s">
        <v>23</v>
      </c>
      <c r="O954" s="2">
        <f t="shared" si="59"/>
        <v>0</v>
      </c>
      <c r="P954" s="2" t="s">
        <v>23</v>
      </c>
      <c r="Q954" s="2" t="s">
        <v>23</v>
      </c>
      <c r="R954" s="2" t="s">
        <v>23</v>
      </c>
      <c r="S954" s="2" t="s">
        <v>23</v>
      </c>
      <c r="T954" s="2" t="s">
        <v>23</v>
      </c>
      <c r="U954" s="25">
        <f t="shared" si="57"/>
        <v>11529.000953999999</v>
      </c>
    </row>
    <row r="955" spans="1:21">
      <c r="A955" s="2" t="s">
        <v>1601</v>
      </c>
      <c r="B955" s="2" t="s">
        <v>155</v>
      </c>
      <c r="C955" s="2" t="s">
        <v>37</v>
      </c>
      <c r="D955" s="2">
        <v>24</v>
      </c>
      <c r="E955" s="2" t="str">
        <f t="shared" si="58"/>
        <v>18-25</v>
      </c>
      <c r="F955" s="2" t="s">
        <v>63</v>
      </c>
      <c r="G955" s="2" t="s">
        <v>21</v>
      </c>
      <c r="H955" s="2">
        <v>3</v>
      </c>
      <c r="I955" s="2" t="str">
        <f t="shared" si="56"/>
        <v>0-6 months</v>
      </c>
      <c r="J955" s="3">
        <v>449</v>
      </c>
      <c r="K955" s="3">
        <v>1347</v>
      </c>
      <c r="L955" s="2" t="s">
        <v>66</v>
      </c>
      <c r="M955" s="4">
        <v>45832</v>
      </c>
      <c r="N955" s="2" t="s">
        <v>23</v>
      </c>
      <c r="O955" s="2">
        <f t="shared" si="59"/>
        <v>0</v>
      </c>
      <c r="P955" s="2" t="s">
        <v>23</v>
      </c>
      <c r="Q955" s="2" t="s">
        <v>23</v>
      </c>
      <c r="R955" s="2" t="s">
        <v>23</v>
      </c>
      <c r="S955" s="2" t="s">
        <v>23</v>
      </c>
      <c r="T955" s="2" t="s">
        <v>23</v>
      </c>
      <c r="U955" s="25">
        <f t="shared" si="57"/>
        <v>1347.000955</v>
      </c>
    </row>
    <row r="956" spans="1:21">
      <c r="A956" s="2" t="s">
        <v>1602</v>
      </c>
      <c r="B956" s="2" t="s">
        <v>1603</v>
      </c>
      <c r="C956" s="2" t="s">
        <v>35</v>
      </c>
      <c r="D956" s="2">
        <v>68</v>
      </c>
      <c r="E956" s="2" t="str">
        <f t="shared" si="58"/>
        <v>60+</v>
      </c>
      <c r="F956" s="2" t="s">
        <v>36</v>
      </c>
      <c r="G956" s="2" t="s">
        <v>21</v>
      </c>
      <c r="H956" s="2">
        <v>21</v>
      </c>
      <c r="I956" s="2" t="str">
        <f t="shared" si="56"/>
        <v>13-24 months</v>
      </c>
      <c r="J956" s="3">
        <v>999</v>
      </c>
      <c r="K956" s="3">
        <v>20979</v>
      </c>
      <c r="L956" s="2" t="s">
        <v>22</v>
      </c>
      <c r="M956" s="4">
        <v>45288</v>
      </c>
      <c r="N956" s="2" t="s">
        <v>32</v>
      </c>
      <c r="O956" s="2">
        <f t="shared" si="59"/>
        <v>1</v>
      </c>
      <c r="P956" s="2" t="s">
        <v>23</v>
      </c>
      <c r="Q956" s="2" t="s">
        <v>23</v>
      </c>
      <c r="R956" s="2" t="s">
        <v>23</v>
      </c>
      <c r="S956" s="2" t="s">
        <v>23</v>
      </c>
      <c r="T956" s="2" t="s">
        <v>23</v>
      </c>
      <c r="U956" s="25">
        <f t="shared" si="57"/>
        <v>20979.000956</v>
      </c>
    </row>
    <row r="957" spans="1:21">
      <c r="A957" s="2" t="s">
        <v>1604</v>
      </c>
      <c r="B957" s="2" t="s">
        <v>629</v>
      </c>
      <c r="C957" s="2" t="s">
        <v>35</v>
      </c>
      <c r="D957" s="2">
        <v>37</v>
      </c>
      <c r="E957" s="2" t="str">
        <f t="shared" si="58"/>
        <v>36-45</v>
      </c>
      <c r="F957" s="2" t="s">
        <v>36</v>
      </c>
      <c r="G957" s="2" t="s">
        <v>47</v>
      </c>
      <c r="H957" s="2">
        <v>5</v>
      </c>
      <c r="I957" s="2" t="str">
        <f t="shared" si="56"/>
        <v>0-6 months</v>
      </c>
      <c r="J957" s="3">
        <v>1049</v>
      </c>
      <c r="K957" s="3">
        <v>5245</v>
      </c>
      <c r="L957" s="2" t="s">
        <v>22</v>
      </c>
      <c r="M957" s="4">
        <v>45759</v>
      </c>
      <c r="N957" s="2" t="s">
        <v>23</v>
      </c>
      <c r="O957" s="2">
        <f t="shared" si="59"/>
        <v>0</v>
      </c>
      <c r="P957" s="2" t="s">
        <v>23</v>
      </c>
      <c r="Q957" s="2" t="s">
        <v>23</v>
      </c>
      <c r="R957" s="2" t="s">
        <v>23</v>
      </c>
      <c r="S957" s="2" t="s">
        <v>23</v>
      </c>
      <c r="T957" s="2" t="s">
        <v>23</v>
      </c>
      <c r="U957" s="25">
        <f t="shared" si="57"/>
        <v>5245.0009570000002</v>
      </c>
    </row>
    <row r="958" spans="1:21">
      <c r="A958" s="2" t="s">
        <v>1605</v>
      </c>
      <c r="B958" s="2" t="s">
        <v>1606</v>
      </c>
      <c r="C958" s="2" t="s">
        <v>19</v>
      </c>
      <c r="D958" s="2">
        <v>65</v>
      </c>
      <c r="E958" s="2" t="str">
        <f t="shared" si="58"/>
        <v>60+</v>
      </c>
      <c r="F958" s="2" t="s">
        <v>46</v>
      </c>
      <c r="G958" s="2" t="s">
        <v>47</v>
      </c>
      <c r="H958" s="2">
        <v>4</v>
      </c>
      <c r="I958" s="2" t="str">
        <f t="shared" si="56"/>
        <v>0-6 months</v>
      </c>
      <c r="J958" s="3">
        <v>799</v>
      </c>
      <c r="K958" s="3">
        <v>3196</v>
      </c>
      <c r="L958" s="2" t="s">
        <v>31</v>
      </c>
      <c r="M958" s="4">
        <v>45804</v>
      </c>
      <c r="N958" s="2" t="s">
        <v>23</v>
      </c>
      <c r="O958" s="2">
        <f t="shared" si="59"/>
        <v>0</v>
      </c>
      <c r="P958" s="2" t="s">
        <v>23</v>
      </c>
      <c r="Q958" s="2" t="s">
        <v>23</v>
      </c>
      <c r="R958" s="2" t="s">
        <v>23</v>
      </c>
      <c r="S958" s="2" t="s">
        <v>23</v>
      </c>
      <c r="T958" s="2" t="s">
        <v>23</v>
      </c>
      <c r="U958" s="25">
        <f t="shared" si="57"/>
        <v>3196.0009580000001</v>
      </c>
    </row>
    <row r="959" spans="1:21">
      <c r="A959" s="2" t="s">
        <v>1607</v>
      </c>
      <c r="B959" s="2" t="s">
        <v>242</v>
      </c>
      <c r="C959" s="2" t="s">
        <v>19</v>
      </c>
      <c r="D959" s="2">
        <v>75</v>
      </c>
      <c r="E959" s="2" t="str">
        <f t="shared" si="58"/>
        <v>60+</v>
      </c>
      <c r="F959" s="2" t="s">
        <v>20</v>
      </c>
      <c r="G959" s="2" t="s">
        <v>21</v>
      </c>
      <c r="H959" s="2">
        <v>3</v>
      </c>
      <c r="I959" s="2" t="str">
        <f t="shared" si="56"/>
        <v>0-6 months</v>
      </c>
      <c r="J959" s="3">
        <v>849</v>
      </c>
      <c r="K959" s="3">
        <v>2547</v>
      </c>
      <c r="L959" s="2" t="s">
        <v>31</v>
      </c>
      <c r="M959" s="4">
        <v>45823</v>
      </c>
      <c r="N959" s="2" t="s">
        <v>32</v>
      </c>
      <c r="O959" s="2">
        <f t="shared" si="59"/>
        <v>1</v>
      </c>
      <c r="P959" s="2" t="s">
        <v>23</v>
      </c>
      <c r="Q959" s="2" t="s">
        <v>23</v>
      </c>
      <c r="R959" s="2" t="s">
        <v>23</v>
      </c>
      <c r="S959" s="2" t="s">
        <v>23</v>
      </c>
      <c r="T959" s="2" t="s">
        <v>23</v>
      </c>
      <c r="U959" s="25">
        <f t="shared" si="57"/>
        <v>2547.000959</v>
      </c>
    </row>
    <row r="960" spans="1:21">
      <c r="A960" s="2" t="s">
        <v>1608</v>
      </c>
      <c r="B960" s="2" t="s">
        <v>1352</v>
      </c>
      <c r="C960" s="2" t="s">
        <v>19</v>
      </c>
      <c r="D960" s="2">
        <v>63</v>
      </c>
      <c r="E960" s="2" t="str">
        <f t="shared" si="58"/>
        <v>60+</v>
      </c>
      <c r="F960" s="2" t="s">
        <v>26</v>
      </c>
      <c r="G960" s="2" t="s">
        <v>27</v>
      </c>
      <c r="H960" s="2">
        <v>32</v>
      </c>
      <c r="I960" s="2" t="str">
        <f t="shared" si="56"/>
        <v>25-48 months</v>
      </c>
      <c r="J960" s="3">
        <v>1149</v>
      </c>
      <c r="K960" s="3">
        <v>36768</v>
      </c>
      <c r="L960" s="2" t="s">
        <v>22</v>
      </c>
      <c r="M960" s="4">
        <v>44960</v>
      </c>
      <c r="N960" s="2" t="s">
        <v>23</v>
      </c>
      <c r="O960" s="2">
        <f t="shared" si="59"/>
        <v>0</v>
      </c>
      <c r="P960" s="2" t="s">
        <v>23</v>
      </c>
      <c r="Q960" s="2" t="s">
        <v>23</v>
      </c>
      <c r="R960" s="2" t="s">
        <v>23</v>
      </c>
      <c r="S960" s="2" t="s">
        <v>23</v>
      </c>
      <c r="T960" s="2" t="s">
        <v>23</v>
      </c>
      <c r="U960" s="25">
        <f t="shared" si="57"/>
        <v>36768.000959999998</v>
      </c>
    </row>
    <row r="961" spans="1:21">
      <c r="A961" s="2" t="s">
        <v>1609</v>
      </c>
      <c r="B961" s="2" t="s">
        <v>1610</v>
      </c>
      <c r="C961" s="2" t="s">
        <v>19</v>
      </c>
      <c r="D961" s="2">
        <v>72</v>
      </c>
      <c r="E961" s="2" t="str">
        <f t="shared" si="58"/>
        <v>60+</v>
      </c>
      <c r="F961" s="2" t="s">
        <v>141</v>
      </c>
      <c r="G961" s="2" t="s">
        <v>21</v>
      </c>
      <c r="H961" s="2">
        <v>19</v>
      </c>
      <c r="I961" s="2" t="str">
        <f t="shared" si="56"/>
        <v>13-24 months</v>
      </c>
      <c r="J961" s="3">
        <v>1299</v>
      </c>
      <c r="K961" s="3">
        <v>24681</v>
      </c>
      <c r="L961" s="2" t="s">
        <v>22</v>
      </c>
      <c r="M961" s="4">
        <v>45333</v>
      </c>
      <c r="N961" s="2" t="s">
        <v>32</v>
      </c>
      <c r="O961" s="2">
        <f t="shared" si="59"/>
        <v>1</v>
      </c>
      <c r="P961" s="2" t="s">
        <v>23</v>
      </c>
      <c r="Q961" s="2" t="s">
        <v>23</v>
      </c>
      <c r="R961" s="2" t="s">
        <v>23</v>
      </c>
      <c r="S961" s="2" t="s">
        <v>23</v>
      </c>
      <c r="T961" s="2" t="s">
        <v>23</v>
      </c>
      <c r="U961" s="25">
        <f t="shared" si="57"/>
        <v>24681.000961000002</v>
      </c>
    </row>
    <row r="962" spans="1:21">
      <c r="A962" s="2" t="s">
        <v>1611</v>
      </c>
      <c r="B962" s="2" t="s">
        <v>1612</v>
      </c>
      <c r="C962" s="2" t="s">
        <v>19</v>
      </c>
      <c r="D962" s="2">
        <v>74</v>
      </c>
      <c r="E962" s="2" t="str">
        <f t="shared" si="58"/>
        <v>60+</v>
      </c>
      <c r="F962" s="2" t="s">
        <v>60</v>
      </c>
      <c r="G962" s="2" t="s">
        <v>21</v>
      </c>
      <c r="H962" s="2">
        <v>11</v>
      </c>
      <c r="I962" s="2" t="str">
        <f t="shared" ref="I962:I1025" si="60">IF(H962="","Unknown",IF(H962&lt;=6,"0-6 months",IF(H962&lt;=12,"7-12 months",IF(H962&lt;=24,"13-24 months",IF(H962&lt;=48,"25-48 months","49+ months")))))</f>
        <v>7-12 months</v>
      </c>
      <c r="J962" s="3">
        <v>899</v>
      </c>
      <c r="K962" s="3">
        <v>9889</v>
      </c>
      <c r="L962" s="2" t="s">
        <v>22</v>
      </c>
      <c r="M962" s="4">
        <v>45592</v>
      </c>
      <c r="N962" s="2" t="s">
        <v>32</v>
      </c>
      <c r="O962" s="2">
        <f t="shared" si="59"/>
        <v>1</v>
      </c>
      <c r="P962" s="2" t="s">
        <v>23</v>
      </c>
      <c r="Q962" s="2" t="s">
        <v>23</v>
      </c>
      <c r="R962" s="2" t="s">
        <v>23</v>
      </c>
      <c r="S962" s="2" t="s">
        <v>23</v>
      </c>
      <c r="T962" s="2" t="s">
        <v>23</v>
      </c>
      <c r="U962" s="25">
        <f t="shared" ref="U962:U1025" si="61">IF(K962="","",K962+ROW()/1000000)</f>
        <v>9889.0009620000001</v>
      </c>
    </row>
    <row r="963" spans="1:21">
      <c r="A963" s="2" t="s">
        <v>1613</v>
      </c>
      <c r="B963" s="2" t="s">
        <v>114</v>
      </c>
      <c r="C963" s="2" t="s">
        <v>35</v>
      </c>
      <c r="D963" s="2">
        <v>70</v>
      </c>
      <c r="E963" s="2" t="str">
        <f t="shared" ref="E963:E1026" si="62">IF(D963&lt;=25,"18-25",IF(D963&lt;=35,"26-35",IF(D963&lt;=45,"36-45",IF(D963&lt;=60,"46-60","60+"))))</f>
        <v>60+</v>
      </c>
      <c r="F963" s="2" t="s">
        <v>41</v>
      </c>
      <c r="G963" s="2" t="s">
        <v>21</v>
      </c>
      <c r="H963" s="2">
        <v>17</v>
      </c>
      <c r="I963" s="2" t="str">
        <f t="shared" si="60"/>
        <v>13-24 months</v>
      </c>
      <c r="J963" s="3">
        <v>499</v>
      </c>
      <c r="K963" s="3">
        <v>8483</v>
      </c>
      <c r="L963" s="2" t="s">
        <v>66</v>
      </c>
      <c r="M963" s="4">
        <v>45392</v>
      </c>
      <c r="N963" s="2" t="s">
        <v>32</v>
      </c>
      <c r="O963" s="2">
        <f t="shared" ref="O963:O1026" si="63">IF(N963="Yes",1,IF(N963="No",0,""))</f>
        <v>1</v>
      </c>
      <c r="P963" s="2" t="s">
        <v>23</v>
      </c>
      <c r="Q963" s="2" t="s">
        <v>23</v>
      </c>
      <c r="R963" s="2" t="s">
        <v>23</v>
      </c>
      <c r="S963" s="2" t="s">
        <v>23</v>
      </c>
      <c r="T963" s="2" t="s">
        <v>23</v>
      </c>
      <c r="U963" s="25">
        <f t="shared" si="61"/>
        <v>8483.0009630000004</v>
      </c>
    </row>
    <row r="964" spans="1:21">
      <c r="A964" s="2" t="s">
        <v>1614</v>
      </c>
      <c r="B964" s="2" t="s">
        <v>508</v>
      </c>
      <c r="C964" s="2" t="s">
        <v>35</v>
      </c>
      <c r="D964" s="2">
        <v>25</v>
      </c>
      <c r="E964" s="2" t="str">
        <f t="shared" si="62"/>
        <v>18-25</v>
      </c>
      <c r="F964" s="2" t="s">
        <v>63</v>
      </c>
      <c r="G964" s="2" t="s">
        <v>47</v>
      </c>
      <c r="H964" s="2">
        <v>24</v>
      </c>
      <c r="I964" s="2" t="str">
        <f t="shared" si="60"/>
        <v>13-24 months</v>
      </c>
      <c r="J964" s="3">
        <v>999</v>
      </c>
      <c r="K964" s="3">
        <v>23976</v>
      </c>
      <c r="L964" s="2" t="s">
        <v>22</v>
      </c>
      <c r="M964" s="4">
        <v>45197</v>
      </c>
      <c r="N964" s="2" t="s">
        <v>23</v>
      </c>
      <c r="O964" s="2">
        <f t="shared" si="63"/>
        <v>0</v>
      </c>
      <c r="P964" s="2" t="s">
        <v>23</v>
      </c>
      <c r="Q964" s="2" t="s">
        <v>23</v>
      </c>
      <c r="R964" s="2" t="s">
        <v>23</v>
      </c>
      <c r="S964" s="2" t="s">
        <v>23</v>
      </c>
      <c r="T964" s="2" t="s">
        <v>23</v>
      </c>
      <c r="U964" s="25">
        <f t="shared" si="61"/>
        <v>23976.000963999999</v>
      </c>
    </row>
    <row r="965" spans="1:21">
      <c r="A965" s="2" t="s">
        <v>1615</v>
      </c>
      <c r="B965" s="2" t="s">
        <v>1341</v>
      </c>
      <c r="C965" s="2" t="s">
        <v>35</v>
      </c>
      <c r="D965" s="2">
        <v>25</v>
      </c>
      <c r="E965" s="2" t="str">
        <f t="shared" si="62"/>
        <v>18-25</v>
      </c>
      <c r="F965" s="2" t="s">
        <v>36</v>
      </c>
      <c r="G965" s="2" t="s">
        <v>21</v>
      </c>
      <c r="H965" s="2">
        <v>11</v>
      </c>
      <c r="I965" s="2" t="str">
        <f t="shared" si="60"/>
        <v>7-12 months</v>
      </c>
      <c r="J965" s="3">
        <v>649</v>
      </c>
      <c r="K965" s="3">
        <v>7139</v>
      </c>
      <c r="L965" s="2" t="s">
        <v>31</v>
      </c>
      <c r="M965" s="4">
        <v>45570</v>
      </c>
      <c r="N965" s="2" t="s">
        <v>23</v>
      </c>
      <c r="O965" s="2">
        <f t="shared" si="63"/>
        <v>0</v>
      </c>
      <c r="P965" s="2" t="s">
        <v>23</v>
      </c>
      <c r="Q965" s="2" t="s">
        <v>23</v>
      </c>
      <c r="R965" s="2" t="s">
        <v>23</v>
      </c>
      <c r="S965" s="2" t="s">
        <v>23</v>
      </c>
      <c r="T965" s="2" t="s">
        <v>23</v>
      </c>
      <c r="U965" s="25">
        <f t="shared" si="61"/>
        <v>7139.0009650000002</v>
      </c>
    </row>
    <row r="966" spans="1:21">
      <c r="A966" s="2" t="s">
        <v>1616</v>
      </c>
      <c r="B966" s="2" t="s">
        <v>1228</v>
      </c>
      <c r="C966" s="2" t="s">
        <v>19</v>
      </c>
      <c r="D966" s="2">
        <v>42</v>
      </c>
      <c r="E966" s="2" t="str">
        <f t="shared" si="62"/>
        <v>36-45</v>
      </c>
      <c r="F966" s="2" t="s">
        <v>46</v>
      </c>
      <c r="G966" s="2" t="s">
        <v>27</v>
      </c>
      <c r="H966" s="2">
        <v>7</v>
      </c>
      <c r="I966" s="2" t="str">
        <f t="shared" si="60"/>
        <v>7-12 months</v>
      </c>
      <c r="J966" s="3">
        <v>1049</v>
      </c>
      <c r="K966" s="3">
        <v>7343</v>
      </c>
      <c r="L966" s="2" t="s">
        <v>22</v>
      </c>
      <c r="M966" s="4">
        <v>45693</v>
      </c>
      <c r="N966" s="2" t="s">
        <v>23</v>
      </c>
      <c r="O966" s="2">
        <f t="shared" si="63"/>
        <v>0</v>
      </c>
      <c r="P966" s="2" t="s">
        <v>23</v>
      </c>
      <c r="Q966" s="2" t="s">
        <v>23</v>
      </c>
      <c r="R966" s="2" t="s">
        <v>23</v>
      </c>
      <c r="S966" s="2" t="s">
        <v>23</v>
      </c>
      <c r="T966" s="2" t="s">
        <v>23</v>
      </c>
      <c r="U966" s="25">
        <f t="shared" si="61"/>
        <v>7343.0009659999996</v>
      </c>
    </row>
    <row r="967" spans="1:21">
      <c r="A967" s="2" t="s">
        <v>1617</v>
      </c>
      <c r="B967" s="2" t="s">
        <v>1618</v>
      </c>
      <c r="C967" s="2" t="s">
        <v>19</v>
      </c>
      <c r="D967" s="2">
        <v>44</v>
      </c>
      <c r="E967" s="2" t="str">
        <f t="shared" si="62"/>
        <v>36-45</v>
      </c>
      <c r="F967" s="2" t="s">
        <v>71</v>
      </c>
      <c r="G967" s="2" t="s">
        <v>27</v>
      </c>
      <c r="H967" s="2">
        <v>21</v>
      </c>
      <c r="I967" s="2" t="str">
        <f t="shared" si="60"/>
        <v>13-24 months</v>
      </c>
      <c r="J967" s="3">
        <v>649</v>
      </c>
      <c r="K967" s="3">
        <v>13629</v>
      </c>
      <c r="L967" s="2" t="s">
        <v>31</v>
      </c>
      <c r="M967" s="4">
        <v>45283</v>
      </c>
      <c r="N967" s="2" t="s">
        <v>23</v>
      </c>
      <c r="O967" s="2">
        <f t="shared" si="63"/>
        <v>0</v>
      </c>
      <c r="P967" s="2" t="s">
        <v>23</v>
      </c>
      <c r="Q967" s="2" t="s">
        <v>23</v>
      </c>
      <c r="R967" s="2" t="s">
        <v>23</v>
      </c>
      <c r="S967" s="2" t="s">
        <v>23</v>
      </c>
      <c r="T967" s="2" t="s">
        <v>23</v>
      </c>
      <c r="U967" s="25">
        <f t="shared" si="61"/>
        <v>13629.000967</v>
      </c>
    </row>
    <row r="968" spans="1:21">
      <c r="A968" s="2" t="s">
        <v>1619</v>
      </c>
      <c r="B968" s="2" t="s">
        <v>1620</v>
      </c>
      <c r="C968" s="2" t="s">
        <v>19</v>
      </c>
      <c r="D968" s="2">
        <v>25</v>
      </c>
      <c r="E968" s="2" t="str">
        <f t="shared" si="62"/>
        <v>18-25</v>
      </c>
      <c r="F968" s="2" t="s">
        <v>41</v>
      </c>
      <c r="G968" s="2" t="s">
        <v>21</v>
      </c>
      <c r="H968" s="2">
        <v>19</v>
      </c>
      <c r="I968" s="2" t="str">
        <f t="shared" si="60"/>
        <v>13-24 months</v>
      </c>
      <c r="J968" s="3">
        <v>999</v>
      </c>
      <c r="K968" s="3">
        <v>18981</v>
      </c>
      <c r="L968" s="2" t="s">
        <v>22</v>
      </c>
      <c r="M968" s="4">
        <v>45358</v>
      </c>
      <c r="N968" s="2" t="s">
        <v>32</v>
      </c>
      <c r="O968" s="2">
        <f t="shared" si="63"/>
        <v>1</v>
      </c>
      <c r="P968" s="2" t="s">
        <v>23</v>
      </c>
      <c r="Q968" s="2" t="s">
        <v>23</v>
      </c>
      <c r="R968" s="2" t="s">
        <v>23</v>
      </c>
      <c r="S968" s="2" t="s">
        <v>23</v>
      </c>
      <c r="T968" s="2" t="s">
        <v>23</v>
      </c>
      <c r="U968" s="25">
        <f t="shared" si="61"/>
        <v>18981.000968</v>
      </c>
    </row>
    <row r="969" spans="1:21">
      <c r="A969" s="2" t="s">
        <v>1621</v>
      </c>
      <c r="B969" s="2" t="s">
        <v>570</v>
      </c>
      <c r="C969" s="2" t="s">
        <v>19</v>
      </c>
      <c r="D969" s="2">
        <v>26</v>
      </c>
      <c r="E969" s="2" t="str">
        <f t="shared" si="62"/>
        <v>26-35</v>
      </c>
      <c r="F969" s="2" t="s">
        <v>57</v>
      </c>
      <c r="G969" s="2" t="s">
        <v>47</v>
      </c>
      <c r="H969" s="2">
        <v>69</v>
      </c>
      <c r="I969" s="2" t="str">
        <f t="shared" si="60"/>
        <v>49+ months</v>
      </c>
      <c r="J969" s="3">
        <v>799</v>
      </c>
      <c r="K969" s="3">
        <v>55131</v>
      </c>
      <c r="L969" s="2" t="s">
        <v>31</v>
      </c>
      <c r="M969" s="4">
        <v>43856</v>
      </c>
      <c r="N969" s="2" t="s">
        <v>23</v>
      </c>
      <c r="O969" s="2">
        <f t="shared" si="63"/>
        <v>0</v>
      </c>
      <c r="P969" s="2" t="s">
        <v>23</v>
      </c>
      <c r="Q969" s="2" t="s">
        <v>23</v>
      </c>
      <c r="R969" s="2" t="s">
        <v>23</v>
      </c>
      <c r="S969" s="2" t="s">
        <v>23</v>
      </c>
      <c r="T969" s="2" t="s">
        <v>23</v>
      </c>
      <c r="U969" s="25">
        <f t="shared" si="61"/>
        <v>55131.000969000001</v>
      </c>
    </row>
    <row r="970" spans="1:21">
      <c r="A970" s="2" t="s">
        <v>1622</v>
      </c>
      <c r="B970" s="2" t="s">
        <v>1623</v>
      </c>
      <c r="C970" s="2" t="s">
        <v>35</v>
      </c>
      <c r="D970" s="2">
        <v>64</v>
      </c>
      <c r="E970" s="2" t="str">
        <f t="shared" si="62"/>
        <v>60+</v>
      </c>
      <c r="F970" s="2" t="s">
        <v>46</v>
      </c>
      <c r="G970" s="2" t="s">
        <v>21</v>
      </c>
      <c r="H970" s="2">
        <v>13</v>
      </c>
      <c r="I970" s="2" t="str">
        <f t="shared" si="60"/>
        <v>13-24 months</v>
      </c>
      <c r="J970" s="3">
        <v>1149</v>
      </c>
      <c r="K970" s="3">
        <v>14937</v>
      </c>
      <c r="L970" s="2" t="s">
        <v>22</v>
      </c>
      <c r="M970" s="4">
        <v>45537</v>
      </c>
      <c r="N970" s="2" t="s">
        <v>23</v>
      </c>
      <c r="O970" s="2">
        <f t="shared" si="63"/>
        <v>0</v>
      </c>
      <c r="P970" s="2" t="s">
        <v>23</v>
      </c>
      <c r="Q970" s="2" t="s">
        <v>23</v>
      </c>
      <c r="R970" s="2" t="s">
        <v>23</v>
      </c>
      <c r="S970" s="2" t="s">
        <v>23</v>
      </c>
      <c r="T970" s="2" t="s">
        <v>23</v>
      </c>
      <c r="U970" s="25">
        <f t="shared" si="61"/>
        <v>14937.000969999999</v>
      </c>
    </row>
    <row r="971" spans="1:21">
      <c r="A971" s="2" t="s">
        <v>1624</v>
      </c>
      <c r="B971" s="2" t="s">
        <v>1450</v>
      </c>
      <c r="C971" s="2" t="s">
        <v>35</v>
      </c>
      <c r="D971" s="2">
        <v>47</v>
      </c>
      <c r="E971" s="2" t="str">
        <f t="shared" si="62"/>
        <v>46-60</v>
      </c>
      <c r="F971" s="2" t="s">
        <v>60</v>
      </c>
      <c r="G971" s="2" t="s">
        <v>47</v>
      </c>
      <c r="H971" s="2">
        <v>16</v>
      </c>
      <c r="I971" s="2" t="str">
        <f t="shared" si="60"/>
        <v>13-24 months</v>
      </c>
      <c r="J971" s="3">
        <v>549</v>
      </c>
      <c r="K971" s="3">
        <v>8784</v>
      </c>
      <c r="L971" s="2" t="s">
        <v>66</v>
      </c>
      <c r="M971" s="4">
        <v>45441</v>
      </c>
      <c r="N971" s="2" t="s">
        <v>23</v>
      </c>
      <c r="O971" s="2">
        <f t="shared" si="63"/>
        <v>0</v>
      </c>
      <c r="P971" s="2" t="s">
        <v>23</v>
      </c>
      <c r="Q971" s="2" t="s">
        <v>23</v>
      </c>
      <c r="R971" s="2" t="s">
        <v>23</v>
      </c>
      <c r="S971" s="2" t="s">
        <v>23</v>
      </c>
      <c r="T971" s="2" t="s">
        <v>23</v>
      </c>
      <c r="U971" s="25">
        <f t="shared" si="61"/>
        <v>8784.0009709999995</v>
      </c>
    </row>
    <row r="972" spans="1:21">
      <c r="A972" s="2" t="s">
        <v>1625</v>
      </c>
      <c r="B972" s="2" t="s">
        <v>1626</v>
      </c>
      <c r="C972" s="2" t="s">
        <v>19</v>
      </c>
      <c r="D972" s="2">
        <v>24</v>
      </c>
      <c r="E972" s="2" t="str">
        <f t="shared" si="62"/>
        <v>18-25</v>
      </c>
      <c r="F972" s="2" t="s">
        <v>30</v>
      </c>
      <c r="G972" s="2" t="s">
        <v>47</v>
      </c>
      <c r="H972" s="2">
        <v>29</v>
      </c>
      <c r="I972" s="2" t="str">
        <f t="shared" si="60"/>
        <v>25-48 months</v>
      </c>
      <c r="J972" s="3">
        <v>899</v>
      </c>
      <c r="K972" s="3">
        <v>26071</v>
      </c>
      <c r="L972" s="2" t="s">
        <v>22</v>
      </c>
      <c r="M972" s="4">
        <v>45033</v>
      </c>
      <c r="N972" s="2" t="s">
        <v>23</v>
      </c>
      <c r="O972" s="2">
        <f t="shared" si="63"/>
        <v>0</v>
      </c>
      <c r="P972" s="2" t="s">
        <v>23</v>
      </c>
      <c r="Q972" s="2" t="s">
        <v>23</v>
      </c>
      <c r="R972" s="2" t="s">
        <v>23</v>
      </c>
      <c r="S972" s="2" t="s">
        <v>23</v>
      </c>
      <c r="T972" s="2" t="s">
        <v>23</v>
      </c>
      <c r="U972" s="25">
        <f t="shared" si="61"/>
        <v>26071.000972000002</v>
      </c>
    </row>
    <row r="973" spans="1:21">
      <c r="A973" s="2" t="s">
        <v>1627</v>
      </c>
      <c r="B973" s="2" t="s">
        <v>1628</v>
      </c>
      <c r="C973" s="2" t="s">
        <v>35</v>
      </c>
      <c r="D973" s="2">
        <v>62</v>
      </c>
      <c r="E973" s="2" t="str">
        <f t="shared" si="62"/>
        <v>60+</v>
      </c>
      <c r="F973" s="2" t="s">
        <v>57</v>
      </c>
      <c r="G973" s="2" t="s">
        <v>21</v>
      </c>
      <c r="H973" s="2">
        <v>2</v>
      </c>
      <c r="I973" s="2" t="str">
        <f t="shared" si="60"/>
        <v>0-6 months</v>
      </c>
      <c r="J973" s="3">
        <v>449</v>
      </c>
      <c r="K973" s="3">
        <v>898</v>
      </c>
      <c r="L973" s="2" t="s">
        <v>66</v>
      </c>
      <c r="M973" s="4">
        <v>45858</v>
      </c>
      <c r="N973" s="2" t="s">
        <v>32</v>
      </c>
      <c r="O973" s="2">
        <f t="shared" si="63"/>
        <v>1</v>
      </c>
      <c r="P973" s="2" t="s">
        <v>23</v>
      </c>
      <c r="Q973" s="2" t="s">
        <v>23</v>
      </c>
      <c r="R973" s="2" t="s">
        <v>32</v>
      </c>
      <c r="S973" s="2" t="s">
        <v>23</v>
      </c>
      <c r="T973" s="2" t="s">
        <v>23</v>
      </c>
      <c r="U973" s="25">
        <f t="shared" si="61"/>
        <v>898.00097300000004</v>
      </c>
    </row>
    <row r="974" spans="1:21">
      <c r="A974" s="2" t="s">
        <v>1629</v>
      </c>
      <c r="B974" s="2" t="s">
        <v>1082</v>
      </c>
      <c r="C974" s="2" t="s">
        <v>35</v>
      </c>
      <c r="D974" s="2">
        <v>47</v>
      </c>
      <c r="E974" s="2" t="str">
        <f t="shared" si="62"/>
        <v>46-60</v>
      </c>
      <c r="F974" s="2" t="s">
        <v>63</v>
      </c>
      <c r="G974" s="2" t="s">
        <v>27</v>
      </c>
      <c r="H974" s="2">
        <v>21</v>
      </c>
      <c r="I974" s="2" t="str">
        <f t="shared" si="60"/>
        <v>13-24 months</v>
      </c>
      <c r="J974" s="3">
        <v>899</v>
      </c>
      <c r="K974" s="3">
        <v>18879</v>
      </c>
      <c r="L974" s="2" t="s">
        <v>31</v>
      </c>
      <c r="M974" s="4">
        <v>45270</v>
      </c>
      <c r="N974" s="2" t="s">
        <v>23</v>
      </c>
      <c r="O974" s="2">
        <f t="shared" si="63"/>
        <v>0</v>
      </c>
      <c r="P974" s="2" t="s">
        <v>32</v>
      </c>
      <c r="Q974" s="2" t="s">
        <v>23</v>
      </c>
      <c r="R974" s="2" t="s">
        <v>23</v>
      </c>
      <c r="S974" s="2" t="s">
        <v>23</v>
      </c>
      <c r="T974" s="2" t="s">
        <v>23</v>
      </c>
      <c r="U974" s="25">
        <f t="shared" si="61"/>
        <v>18879.000973999999</v>
      </c>
    </row>
    <row r="975" spans="1:21">
      <c r="A975" s="2" t="s">
        <v>1630</v>
      </c>
      <c r="B975" s="2" t="s">
        <v>1631</v>
      </c>
      <c r="C975" s="2" t="s">
        <v>35</v>
      </c>
      <c r="D975" s="2">
        <v>25</v>
      </c>
      <c r="E975" s="2" t="str">
        <f t="shared" si="62"/>
        <v>18-25</v>
      </c>
      <c r="F975" s="2" t="s">
        <v>26</v>
      </c>
      <c r="G975" s="2" t="s">
        <v>21</v>
      </c>
      <c r="H975" s="2">
        <v>22</v>
      </c>
      <c r="I975" s="2" t="str">
        <f t="shared" si="60"/>
        <v>13-24 months</v>
      </c>
      <c r="J975" s="3">
        <v>1049</v>
      </c>
      <c r="K975" s="3">
        <v>23078</v>
      </c>
      <c r="L975" s="2" t="s">
        <v>22</v>
      </c>
      <c r="M975" s="4">
        <v>45253</v>
      </c>
      <c r="N975" s="2" t="s">
        <v>23</v>
      </c>
      <c r="O975" s="2">
        <f t="shared" si="63"/>
        <v>0</v>
      </c>
      <c r="P975" s="2" t="s">
        <v>23</v>
      </c>
      <c r="Q975" s="2" t="s">
        <v>23</v>
      </c>
      <c r="R975" s="2" t="s">
        <v>23</v>
      </c>
      <c r="S975" s="2" t="s">
        <v>23</v>
      </c>
      <c r="T975" s="2" t="s">
        <v>23</v>
      </c>
      <c r="U975" s="25">
        <f t="shared" si="61"/>
        <v>23078.000974999999</v>
      </c>
    </row>
    <row r="976" spans="1:21">
      <c r="A976" s="2" t="s">
        <v>1632</v>
      </c>
      <c r="B976" s="2" t="s">
        <v>477</v>
      </c>
      <c r="C976" s="2" t="s">
        <v>19</v>
      </c>
      <c r="D976" s="2">
        <v>67</v>
      </c>
      <c r="E976" s="2" t="str">
        <f t="shared" si="62"/>
        <v>60+</v>
      </c>
      <c r="F976" s="2" t="s">
        <v>46</v>
      </c>
      <c r="G976" s="2" t="s">
        <v>27</v>
      </c>
      <c r="H976" s="2">
        <v>16</v>
      </c>
      <c r="I976" s="2" t="str">
        <f t="shared" si="60"/>
        <v>13-24 months</v>
      </c>
      <c r="J976" s="3">
        <v>1199</v>
      </c>
      <c r="K976" s="3">
        <v>19184</v>
      </c>
      <c r="L976" s="2" t="s">
        <v>22</v>
      </c>
      <c r="M976" s="4">
        <v>45446</v>
      </c>
      <c r="N976" s="2" t="s">
        <v>23</v>
      </c>
      <c r="O976" s="2">
        <f t="shared" si="63"/>
        <v>0</v>
      </c>
      <c r="P976" s="2" t="s">
        <v>23</v>
      </c>
      <c r="Q976" s="2" t="s">
        <v>23</v>
      </c>
      <c r="R976" s="2" t="s">
        <v>23</v>
      </c>
      <c r="S976" s="2" t="s">
        <v>23</v>
      </c>
      <c r="T976" s="2" t="s">
        <v>23</v>
      </c>
      <c r="U976" s="25">
        <f t="shared" si="61"/>
        <v>19184.000975999999</v>
      </c>
    </row>
    <row r="977" spans="1:21">
      <c r="A977" s="2" t="s">
        <v>1633</v>
      </c>
      <c r="B977" s="2" t="s">
        <v>1634</v>
      </c>
      <c r="C977" s="2" t="s">
        <v>35</v>
      </c>
      <c r="D977" s="2">
        <v>18</v>
      </c>
      <c r="E977" s="2" t="str">
        <f t="shared" si="62"/>
        <v>18-25</v>
      </c>
      <c r="F977" s="2" t="s">
        <v>71</v>
      </c>
      <c r="G977" s="2" t="s">
        <v>21</v>
      </c>
      <c r="H977" s="2">
        <v>7</v>
      </c>
      <c r="I977" s="2" t="str">
        <f t="shared" si="60"/>
        <v>7-12 months</v>
      </c>
      <c r="J977" s="3">
        <v>449</v>
      </c>
      <c r="K977" s="3">
        <v>3143</v>
      </c>
      <c r="L977" s="2" t="s">
        <v>66</v>
      </c>
      <c r="M977" s="4">
        <v>45700</v>
      </c>
      <c r="N977" s="2" t="s">
        <v>32</v>
      </c>
      <c r="O977" s="2">
        <f t="shared" si="63"/>
        <v>1</v>
      </c>
      <c r="P977" s="2" t="s">
        <v>23</v>
      </c>
      <c r="Q977" s="2" t="s">
        <v>23</v>
      </c>
      <c r="R977" s="2" t="s">
        <v>23</v>
      </c>
      <c r="S977" s="2" t="s">
        <v>23</v>
      </c>
      <c r="T977" s="2" t="s">
        <v>23</v>
      </c>
      <c r="U977" s="25">
        <f t="shared" si="61"/>
        <v>3143.0009770000001</v>
      </c>
    </row>
    <row r="978" spans="1:21">
      <c r="A978" s="2" t="s">
        <v>1635</v>
      </c>
      <c r="B978" s="2" t="s">
        <v>1450</v>
      </c>
      <c r="C978" s="2" t="s">
        <v>35</v>
      </c>
      <c r="D978" s="2">
        <v>47</v>
      </c>
      <c r="E978" s="2" t="str">
        <f t="shared" si="62"/>
        <v>46-60</v>
      </c>
      <c r="F978" s="2" t="s">
        <v>71</v>
      </c>
      <c r="G978" s="2" t="s">
        <v>21</v>
      </c>
      <c r="H978" s="2">
        <v>5</v>
      </c>
      <c r="I978" s="2" t="str">
        <f t="shared" si="60"/>
        <v>0-6 months</v>
      </c>
      <c r="J978" s="3">
        <v>1049</v>
      </c>
      <c r="K978" s="3">
        <v>5245</v>
      </c>
      <c r="L978" s="2" t="s">
        <v>22</v>
      </c>
      <c r="M978" s="4">
        <v>45751</v>
      </c>
      <c r="N978" s="2" t="s">
        <v>23</v>
      </c>
      <c r="O978" s="2">
        <f t="shared" si="63"/>
        <v>0</v>
      </c>
      <c r="P978" s="2" t="s">
        <v>23</v>
      </c>
      <c r="Q978" s="2" t="s">
        <v>23</v>
      </c>
      <c r="R978" s="2" t="s">
        <v>23</v>
      </c>
      <c r="S978" s="2" t="s">
        <v>23</v>
      </c>
      <c r="T978" s="2" t="s">
        <v>23</v>
      </c>
      <c r="U978" s="25">
        <f t="shared" si="61"/>
        <v>5245.000978</v>
      </c>
    </row>
    <row r="979" spans="1:21">
      <c r="A979" s="2" t="s">
        <v>1636</v>
      </c>
      <c r="B979" s="2" t="s">
        <v>1637</v>
      </c>
      <c r="C979" s="2" t="s">
        <v>19</v>
      </c>
      <c r="D979" s="2">
        <v>22</v>
      </c>
      <c r="E979" s="2" t="str">
        <f t="shared" si="62"/>
        <v>18-25</v>
      </c>
      <c r="F979" s="2" t="s">
        <v>46</v>
      </c>
      <c r="G979" s="2" t="s">
        <v>21</v>
      </c>
      <c r="H979" s="2">
        <v>19</v>
      </c>
      <c r="I979" s="2" t="str">
        <f t="shared" si="60"/>
        <v>13-24 months</v>
      </c>
      <c r="J979" s="3">
        <v>899</v>
      </c>
      <c r="K979" s="3">
        <v>17081</v>
      </c>
      <c r="L979" s="2" t="s">
        <v>22</v>
      </c>
      <c r="M979" s="4">
        <v>45355</v>
      </c>
      <c r="N979" s="2" t="s">
        <v>32</v>
      </c>
      <c r="O979" s="2">
        <f t="shared" si="63"/>
        <v>1</v>
      </c>
      <c r="P979" s="2" t="s">
        <v>23</v>
      </c>
      <c r="Q979" s="2" t="s">
        <v>23</v>
      </c>
      <c r="R979" s="2" t="s">
        <v>23</v>
      </c>
      <c r="S979" s="2" t="s">
        <v>23</v>
      </c>
      <c r="T979" s="2" t="s">
        <v>23</v>
      </c>
      <c r="U979" s="25">
        <f t="shared" si="61"/>
        <v>17081.000979</v>
      </c>
    </row>
    <row r="980" spans="1:21">
      <c r="A980" s="2" t="s">
        <v>1638</v>
      </c>
      <c r="B980" s="2" t="s">
        <v>1395</v>
      </c>
      <c r="C980" s="2" t="s">
        <v>19</v>
      </c>
      <c r="D980" s="2">
        <v>75</v>
      </c>
      <c r="E980" s="2" t="str">
        <f t="shared" si="62"/>
        <v>60+</v>
      </c>
      <c r="F980" s="2" t="s">
        <v>60</v>
      </c>
      <c r="G980" s="2" t="s">
        <v>21</v>
      </c>
      <c r="H980" s="2">
        <v>22</v>
      </c>
      <c r="I980" s="2" t="str">
        <f t="shared" si="60"/>
        <v>13-24 months</v>
      </c>
      <c r="J980" s="3">
        <v>799</v>
      </c>
      <c r="K980" s="3">
        <v>17578</v>
      </c>
      <c r="L980" s="2" t="s">
        <v>31</v>
      </c>
      <c r="M980" s="4">
        <v>45239</v>
      </c>
      <c r="N980" s="2" t="s">
        <v>32</v>
      </c>
      <c r="O980" s="2">
        <f t="shared" si="63"/>
        <v>1</v>
      </c>
      <c r="P980" s="2" t="s">
        <v>23</v>
      </c>
      <c r="Q980" s="2" t="s">
        <v>23</v>
      </c>
      <c r="R980" s="2" t="s">
        <v>23</v>
      </c>
      <c r="S980" s="2" t="s">
        <v>23</v>
      </c>
      <c r="T980" s="2" t="s">
        <v>23</v>
      </c>
      <c r="U980" s="25">
        <f t="shared" si="61"/>
        <v>17578.000980000001</v>
      </c>
    </row>
    <row r="981" spans="1:21">
      <c r="A981" s="2" t="s">
        <v>1639</v>
      </c>
      <c r="B981" s="2" t="s">
        <v>275</v>
      </c>
      <c r="C981" s="2" t="s">
        <v>19</v>
      </c>
      <c r="D981" s="2">
        <v>31</v>
      </c>
      <c r="E981" s="2" t="str">
        <f t="shared" si="62"/>
        <v>26-35</v>
      </c>
      <c r="F981" s="2" t="s">
        <v>63</v>
      </c>
      <c r="G981" s="2" t="s">
        <v>21</v>
      </c>
      <c r="H981" s="2">
        <v>11</v>
      </c>
      <c r="I981" s="2" t="str">
        <f t="shared" si="60"/>
        <v>7-12 months</v>
      </c>
      <c r="J981" s="3">
        <v>1099</v>
      </c>
      <c r="K981" s="3">
        <v>12089</v>
      </c>
      <c r="L981" s="2" t="s">
        <v>22</v>
      </c>
      <c r="M981" s="4">
        <v>45597</v>
      </c>
      <c r="N981" s="2" t="s">
        <v>32</v>
      </c>
      <c r="O981" s="2">
        <f t="shared" si="63"/>
        <v>1</v>
      </c>
      <c r="P981" s="2" t="s">
        <v>23</v>
      </c>
      <c r="Q981" s="2" t="s">
        <v>23</v>
      </c>
      <c r="R981" s="2" t="s">
        <v>23</v>
      </c>
      <c r="S981" s="2" t="s">
        <v>23</v>
      </c>
      <c r="T981" s="2" t="s">
        <v>23</v>
      </c>
      <c r="U981" s="25">
        <f t="shared" si="61"/>
        <v>12089.000980999999</v>
      </c>
    </row>
    <row r="982" spans="1:21">
      <c r="A982" s="2" t="s">
        <v>1640</v>
      </c>
      <c r="B982" s="2" t="s">
        <v>850</v>
      </c>
      <c r="C982" s="2" t="s">
        <v>35</v>
      </c>
      <c r="D982" s="2">
        <v>36</v>
      </c>
      <c r="E982" s="2" t="str">
        <f t="shared" si="62"/>
        <v>36-45</v>
      </c>
      <c r="F982" s="2" t="s">
        <v>20</v>
      </c>
      <c r="G982" s="2" t="s">
        <v>21</v>
      </c>
      <c r="H982" s="2">
        <v>17</v>
      </c>
      <c r="I982" s="2" t="str">
        <f t="shared" si="60"/>
        <v>13-24 months</v>
      </c>
      <c r="J982" s="3">
        <v>1099</v>
      </c>
      <c r="K982" s="3">
        <v>18683</v>
      </c>
      <c r="L982" s="2" t="s">
        <v>22</v>
      </c>
      <c r="M982" s="4">
        <v>45397</v>
      </c>
      <c r="N982" s="2" t="s">
        <v>32</v>
      </c>
      <c r="O982" s="2">
        <f t="shared" si="63"/>
        <v>1</v>
      </c>
      <c r="P982" s="2" t="s">
        <v>23</v>
      </c>
      <c r="Q982" s="2" t="s">
        <v>23</v>
      </c>
      <c r="R982" s="2" t="s">
        <v>23</v>
      </c>
      <c r="S982" s="2" t="s">
        <v>23</v>
      </c>
      <c r="T982" s="2" t="s">
        <v>23</v>
      </c>
      <c r="U982" s="25">
        <f t="shared" si="61"/>
        <v>18683.000982000001</v>
      </c>
    </row>
    <row r="983" spans="1:21">
      <c r="A983" s="2" t="s">
        <v>1641</v>
      </c>
      <c r="B983" s="2" t="s">
        <v>1173</v>
      </c>
      <c r="C983" s="2" t="s">
        <v>19</v>
      </c>
      <c r="D983" s="2">
        <v>32</v>
      </c>
      <c r="E983" s="2" t="str">
        <f t="shared" si="62"/>
        <v>26-35</v>
      </c>
      <c r="F983" s="2" t="s">
        <v>41</v>
      </c>
      <c r="G983" s="2" t="s">
        <v>37</v>
      </c>
      <c r="H983" s="2">
        <v>9</v>
      </c>
      <c r="I983" s="2" t="str">
        <f t="shared" si="60"/>
        <v>7-12 months</v>
      </c>
      <c r="J983" s="3">
        <v>649</v>
      </c>
      <c r="K983" s="3">
        <v>5841</v>
      </c>
      <c r="L983" s="2" t="s">
        <v>31</v>
      </c>
      <c r="M983" s="4">
        <v>45651</v>
      </c>
      <c r="N983" s="2" t="s">
        <v>32</v>
      </c>
      <c r="O983" s="2">
        <f t="shared" si="63"/>
        <v>1</v>
      </c>
      <c r="P983" s="2" t="s">
        <v>23</v>
      </c>
      <c r="Q983" s="2" t="s">
        <v>23</v>
      </c>
      <c r="R983" s="2" t="s">
        <v>32</v>
      </c>
      <c r="S983" s="2" t="s">
        <v>23</v>
      </c>
      <c r="T983" s="2" t="s">
        <v>23</v>
      </c>
      <c r="U983" s="25">
        <f t="shared" si="61"/>
        <v>5841.0009829999999</v>
      </c>
    </row>
    <row r="984" spans="1:21">
      <c r="A984" s="2" t="s">
        <v>1642</v>
      </c>
      <c r="B984" s="2" t="s">
        <v>747</v>
      </c>
      <c r="C984" s="2" t="s">
        <v>35</v>
      </c>
      <c r="D984" s="2">
        <v>47</v>
      </c>
      <c r="E984" s="2" t="str">
        <f t="shared" si="62"/>
        <v>46-60</v>
      </c>
      <c r="F984" s="2" t="s">
        <v>20</v>
      </c>
      <c r="G984" s="2" t="s">
        <v>27</v>
      </c>
      <c r="H984" s="2">
        <v>18</v>
      </c>
      <c r="I984" s="2" t="str">
        <f t="shared" si="60"/>
        <v>13-24 months</v>
      </c>
      <c r="J984" s="3">
        <v>399</v>
      </c>
      <c r="K984" s="3">
        <v>7182</v>
      </c>
      <c r="L984" s="2" t="s">
        <v>66</v>
      </c>
      <c r="M984" s="4">
        <v>45377</v>
      </c>
      <c r="N984" s="2" t="s">
        <v>23</v>
      </c>
      <c r="O984" s="2">
        <f t="shared" si="63"/>
        <v>0</v>
      </c>
      <c r="P984" s="2" t="s">
        <v>32</v>
      </c>
      <c r="Q984" s="2" t="s">
        <v>23</v>
      </c>
      <c r="R984" s="2" t="s">
        <v>23</v>
      </c>
      <c r="S984" s="2" t="s">
        <v>23</v>
      </c>
      <c r="T984" s="2" t="s">
        <v>23</v>
      </c>
      <c r="U984" s="25">
        <f t="shared" si="61"/>
        <v>7182.0009840000002</v>
      </c>
    </row>
    <row r="985" spans="1:21">
      <c r="A985" s="2" t="s">
        <v>1643</v>
      </c>
      <c r="B985" s="2" t="s">
        <v>1519</v>
      </c>
      <c r="C985" s="2" t="s">
        <v>35</v>
      </c>
      <c r="D985" s="2">
        <v>64</v>
      </c>
      <c r="E985" s="2" t="str">
        <f t="shared" si="62"/>
        <v>60+</v>
      </c>
      <c r="F985" s="2" t="s">
        <v>36</v>
      </c>
      <c r="G985" s="2" t="s">
        <v>21</v>
      </c>
      <c r="H985" s="2">
        <v>23</v>
      </c>
      <c r="I985" s="2" t="str">
        <f t="shared" si="60"/>
        <v>13-24 months</v>
      </c>
      <c r="J985" s="3">
        <v>1099</v>
      </c>
      <c r="K985" s="3">
        <v>25277</v>
      </c>
      <c r="L985" s="2" t="s">
        <v>22</v>
      </c>
      <c r="M985" s="4">
        <v>45216</v>
      </c>
      <c r="N985" s="2" t="s">
        <v>23</v>
      </c>
      <c r="O985" s="2">
        <f t="shared" si="63"/>
        <v>0</v>
      </c>
      <c r="P985" s="2" t="s">
        <v>23</v>
      </c>
      <c r="Q985" s="2" t="s">
        <v>23</v>
      </c>
      <c r="R985" s="2" t="s">
        <v>23</v>
      </c>
      <c r="S985" s="2" t="s">
        <v>23</v>
      </c>
      <c r="T985" s="2" t="s">
        <v>23</v>
      </c>
      <c r="U985" s="25">
        <f t="shared" si="61"/>
        <v>25277.000984999999</v>
      </c>
    </row>
    <row r="986" spans="1:21">
      <c r="A986" s="2" t="s">
        <v>1644</v>
      </c>
      <c r="B986" s="2" t="s">
        <v>194</v>
      </c>
      <c r="C986" s="2" t="s">
        <v>19</v>
      </c>
      <c r="D986" s="2">
        <v>61</v>
      </c>
      <c r="E986" s="2" t="str">
        <f t="shared" si="62"/>
        <v>60+</v>
      </c>
      <c r="F986" s="2" t="s">
        <v>41</v>
      </c>
      <c r="G986" s="2" t="s">
        <v>21</v>
      </c>
      <c r="H986" s="2">
        <v>15</v>
      </c>
      <c r="I986" s="2" t="str">
        <f t="shared" si="60"/>
        <v>13-24 months</v>
      </c>
      <c r="J986" s="3">
        <v>649</v>
      </c>
      <c r="K986" s="3">
        <v>9735</v>
      </c>
      <c r="L986" s="2" t="s">
        <v>31</v>
      </c>
      <c r="M986" s="4">
        <v>45478</v>
      </c>
      <c r="N986" s="2" t="s">
        <v>23</v>
      </c>
      <c r="O986" s="2">
        <f t="shared" si="63"/>
        <v>0</v>
      </c>
      <c r="P986" s="2" t="s">
        <v>23</v>
      </c>
      <c r="Q986" s="2" t="s">
        <v>23</v>
      </c>
      <c r="R986" s="2" t="s">
        <v>23</v>
      </c>
      <c r="S986" s="2" t="s">
        <v>23</v>
      </c>
      <c r="T986" s="2" t="s">
        <v>23</v>
      </c>
      <c r="U986" s="25">
        <f t="shared" si="61"/>
        <v>9735.0009859999991</v>
      </c>
    </row>
    <row r="987" spans="1:21">
      <c r="A987" s="2" t="s">
        <v>1645</v>
      </c>
      <c r="B987" s="2" t="s">
        <v>556</v>
      </c>
      <c r="C987" s="2" t="s">
        <v>19</v>
      </c>
      <c r="D987" s="2">
        <v>28</v>
      </c>
      <c r="E987" s="2" t="str">
        <f t="shared" si="62"/>
        <v>26-35</v>
      </c>
      <c r="F987" s="2" t="s">
        <v>71</v>
      </c>
      <c r="G987" s="2" t="s">
        <v>27</v>
      </c>
      <c r="H987" s="2">
        <v>23</v>
      </c>
      <c r="I987" s="2" t="str">
        <f t="shared" si="60"/>
        <v>13-24 months</v>
      </c>
      <c r="J987" s="3">
        <v>749</v>
      </c>
      <c r="K987" s="3">
        <v>17227</v>
      </c>
      <c r="L987" s="2" t="s">
        <v>31</v>
      </c>
      <c r="M987" s="4">
        <v>45231</v>
      </c>
      <c r="N987" s="2" t="s">
        <v>23</v>
      </c>
      <c r="O987" s="2">
        <f t="shared" si="63"/>
        <v>0</v>
      </c>
      <c r="P987" s="2" t="s">
        <v>23</v>
      </c>
      <c r="Q987" s="2" t="s">
        <v>23</v>
      </c>
      <c r="R987" s="2" t="s">
        <v>23</v>
      </c>
      <c r="S987" s="2" t="s">
        <v>32</v>
      </c>
      <c r="T987" s="2" t="s">
        <v>23</v>
      </c>
      <c r="U987" s="25">
        <f t="shared" si="61"/>
        <v>17227.000986999999</v>
      </c>
    </row>
    <row r="988" spans="1:21">
      <c r="A988" s="2" t="s">
        <v>1646</v>
      </c>
      <c r="B988" s="2" t="s">
        <v>324</v>
      </c>
      <c r="C988" s="2" t="s">
        <v>35</v>
      </c>
      <c r="D988" s="2">
        <v>70</v>
      </c>
      <c r="E988" s="2" t="str">
        <f t="shared" si="62"/>
        <v>60+</v>
      </c>
      <c r="F988" s="2" t="s">
        <v>36</v>
      </c>
      <c r="G988" s="2" t="s">
        <v>27</v>
      </c>
      <c r="H988" s="2">
        <v>15</v>
      </c>
      <c r="I988" s="2" t="str">
        <f t="shared" si="60"/>
        <v>13-24 months</v>
      </c>
      <c r="J988" s="3">
        <v>399</v>
      </c>
      <c r="K988" s="3">
        <v>5985</v>
      </c>
      <c r="L988" s="2" t="s">
        <v>66</v>
      </c>
      <c r="M988" s="4">
        <v>45454</v>
      </c>
      <c r="N988" s="2" t="s">
        <v>37</v>
      </c>
      <c r="O988" s="2" t="str">
        <f t="shared" si="63"/>
        <v/>
      </c>
      <c r="P988" s="2" t="s">
        <v>23</v>
      </c>
      <c r="Q988" s="2" t="s">
        <v>23</v>
      </c>
      <c r="R988" s="2" t="s">
        <v>23</v>
      </c>
      <c r="S988" s="2" t="s">
        <v>23</v>
      </c>
      <c r="T988" s="2" t="s">
        <v>38</v>
      </c>
      <c r="U988" s="25">
        <f t="shared" si="61"/>
        <v>5985.0009879999998</v>
      </c>
    </row>
    <row r="989" spans="1:21">
      <c r="A989" s="2" t="s">
        <v>1647</v>
      </c>
      <c r="B989" s="2" t="s">
        <v>755</v>
      </c>
      <c r="C989" s="2" t="s">
        <v>19</v>
      </c>
      <c r="D989" s="2">
        <v>69</v>
      </c>
      <c r="E989" s="2" t="str">
        <f t="shared" si="62"/>
        <v>60+</v>
      </c>
      <c r="F989" s="2" t="s">
        <v>141</v>
      </c>
      <c r="G989" s="2" t="s">
        <v>21</v>
      </c>
      <c r="H989" s="2">
        <v>12</v>
      </c>
      <c r="I989" s="2" t="str">
        <f t="shared" si="60"/>
        <v>7-12 months</v>
      </c>
      <c r="J989" s="3">
        <v>1049</v>
      </c>
      <c r="K989" s="3">
        <v>12588</v>
      </c>
      <c r="L989" s="2" t="s">
        <v>22</v>
      </c>
      <c r="M989" s="4">
        <v>45554</v>
      </c>
      <c r="N989" s="2" t="s">
        <v>32</v>
      </c>
      <c r="O989" s="2">
        <f t="shared" si="63"/>
        <v>1</v>
      </c>
      <c r="P989" s="2" t="s">
        <v>23</v>
      </c>
      <c r="Q989" s="2" t="s">
        <v>23</v>
      </c>
      <c r="R989" s="2" t="s">
        <v>23</v>
      </c>
      <c r="S989" s="2" t="s">
        <v>23</v>
      </c>
      <c r="T989" s="2" t="s">
        <v>23</v>
      </c>
      <c r="U989" s="25">
        <f t="shared" si="61"/>
        <v>12588.000989</v>
      </c>
    </row>
    <row r="990" spans="1:21">
      <c r="A990" s="2" t="s">
        <v>1648</v>
      </c>
      <c r="B990" s="2" t="s">
        <v>845</v>
      </c>
      <c r="C990" s="2" t="s">
        <v>19</v>
      </c>
      <c r="D990" s="2">
        <v>63</v>
      </c>
      <c r="E990" s="2" t="str">
        <f t="shared" si="62"/>
        <v>60+</v>
      </c>
      <c r="F990" s="2" t="s">
        <v>30</v>
      </c>
      <c r="G990" s="2" t="s">
        <v>47</v>
      </c>
      <c r="H990" s="2">
        <v>62</v>
      </c>
      <c r="I990" s="2" t="str">
        <f t="shared" si="60"/>
        <v>49+ months</v>
      </c>
      <c r="J990" s="3">
        <v>1049</v>
      </c>
      <c r="K990" s="3">
        <v>65038</v>
      </c>
      <c r="L990" s="2" t="s">
        <v>22</v>
      </c>
      <c r="M990" s="4">
        <v>44068</v>
      </c>
      <c r="N990" s="2" t="s">
        <v>23</v>
      </c>
      <c r="O990" s="2">
        <f t="shared" si="63"/>
        <v>0</v>
      </c>
      <c r="P990" s="2" t="s">
        <v>23</v>
      </c>
      <c r="Q990" s="2" t="s">
        <v>32</v>
      </c>
      <c r="R990" s="2" t="s">
        <v>23</v>
      </c>
      <c r="S990" s="2" t="s">
        <v>23</v>
      </c>
      <c r="T990" s="2" t="s">
        <v>23</v>
      </c>
      <c r="U990" s="25">
        <f t="shared" si="61"/>
        <v>65038.00099</v>
      </c>
    </row>
    <row r="991" spans="1:21">
      <c r="A991" s="2" t="s">
        <v>1649</v>
      </c>
      <c r="B991" s="2" t="s">
        <v>916</v>
      </c>
      <c r="C991" s="2" t="s">
        <v>19</v>
      </c>
      <c r="D991" s="2">
        <v>60</v>
      </c>
      <c r="E991" s="2" t="str">
        <f t="shared" si="62"/>
        <v>46-60</v>
      </c>
      <c r="F991" s="2" t="s">
        <v>63</v>
      </c>
      <c r="G991" s="2" t="s">
        <v>21</v>
      </c>
      <c r="H991" s="2">
        <v>19</v>
      </c>
      <c r="I991" s="2" t="str">
        <f t="shared" si="60"/>
        <v>13-24 months</v>
      </c>
      <c r="J991" s="3">
        <v>849</v>
      </c>
      <c r="K991" s="3">
        <v>16131</v>
      </c>
      <c r="L991" s="2" t="s">
        <v>31</v>
      </c>
      <c r="M991" s="4">
        <v>45335</v>
      </c>
      <c r="N991" s="2" t="s">
        <v>32</v>
      </c>
      <c r="O991" s="2">
        <f t="shared" si="63"/>
        <v>1</v>
      </c>
      <c r="P991" s="2" t="s">
        <v>23</v>
      </c>
      <c r="Q991" s="2" t="s">
        <v>23</v>
      </c>
      <c r="R991" s="2" t="s">
        <v>23</v>
      </c>
      <c r="S991" s="2" t="s">
        <v>23</v>
      </c>
      <c r="T991" s="2" t="s">
        <v>23</v>
      </c>
      <c r="U991" s="25">
        <f t="shared" si="61"/>
        <v>16131.000991000001</v>
      </c>
    </row>
    <row r="992" spans="1:21">
      <c r="A992" s="2" t="s">
        <v>1650</v>
      </c>
      <c r="B992" s="2" t="s">
        <v>819</v>
      </c>
      <c r="C992" s="2" t="s">
        <v>19</v>
      </c>
      <c r="D992" s="2">
        <v>58</v>
      </c>
      <c r="E992" s="2" t="str">
        <f t="shared" si="62"/>
        <v>46-60</v>
      </c>
      <c r="F992" s="2" t="s">
        <v>41</v>
      </c>
      <c r="G992" s="2" t="s">
        <v>47</v>
      </c>
      <c r="H992" s="2">
        <v>70</v>
      </c>
      <c r="I992" s="2" t="str">
        <f t="shared" si="60"/>
        <v>49+ months</v>
      </c>
      <c r="J992" s="3">
        <v>399</v>
      </c>
      <c r="K992" s="3">
        <v>27930</v>
      </c>
      <c r="L992" s="2" t="s">
        <v>66</v>
      </c>
      <c r="M992" s="4">
        <v>43807</v>
      </c>
      <c r="N992" s="2" t="s">
        <v>23</v>
      </c>
      <c r="O992" s="2">
        <f t="shared" si="63"/>
        <v>0</v>
      </c>
      <c r="P992" s="2" t="s">
        <v>23</v>
      </c>
      <c r="Q992" s="2" t="s">
        <v>23</v>
      </c>
      <c r="R992" s="2" t="s">
        <v>23</v>
      </c>
      <c r="S992" s="2" t="s">
        <v>23</v>
      </c>
      <c r="T992" s="2" t="s">
        <v>23</v>
      </c>
      <c r="U992" s="25">
        <f t="shared" si="61"/>
        <v>27930.000992000001</v>
      </c>
    </row>
    <row r="993" spans="1:21">
      <c r="A993" s="2" t="s">
        <v>1651</v>
      </c>
      <c r="B993" s="2" t="s">
        <v>930</v>
      </c>
      <c r="C993" s="2" t="s">
        <v>35</v>
      </c>
      <c r="D993" s="2">
        <v>55</v>
      </c>
      <c r="E993" s="2" t="str">
        <f t="shared" si="62"/>
        <v>46-60</v>
      </c>
      <c r="F993" s="2" t="s">
        <v>105</v>
      </c>
      <c r="G993" s="2" t="s">
        <v>47</v>
      </c>
      <c r="H993" s="2">
        <v>25</v>
      </c>
      <c r="I993" s="2" t="str">
        <f t="shared" si="60"/>
        <v>25-48 months</v>
      </c>
      <c r="J993" s="3">
        <v>599</v>
      </c>
      <c r="K993" s="3">
        <v>14975</v>
      </c>
      <c r="L993" s="2" t="s">
        <v>31</v>
      </c>
      <c r="M993" s="4">
        <v>45152</v>
      </c>
      <c r="N993" s="2" t="s">
        <v>23</v>
      </c>
      <c r="O993" s="2">
        <f t="shared" si="63"/>
        <v>0</v>
      </c>
      <c r="P993" s="2" t="s">
        <v>23</v>
      </c>
      <c r="Q993" s="2" t="s">
        <v>23</v>
      </c>
      <c r="R993" s="2" t="s">
        <v>23</v>
      </c>
      <c r="S993" s="2" t="s">
        <v>23</v>
      </c>
      <c r="T993" s="2" t="s">
        <v>23</v>
      </c>
      <c r="U993" s="25">
        <f t="shared" si="61"/>
        <v>14975.000993</v>
      </c>
    </row>
    <row r="994" spans="1:21">
      <c r="A994" s="2" t="s">
        <v>1652</v>
      </c>
      <c r="B994" s="2" t="s">
        <v>1126</v>
      </c>
      <c r="C994" s="2" t="s">
        <v>19</v>
      </c>
      <c r="D994" s="2">
        <v>54</v>
      </c>
      <c r="E994" s="2" t="str">
        <f t="shared" si="62"/>
        <v>46-60</v>
      </c>
      <c r="F994" s="2" t="s">
        <v>110</v>
      </c>
      <c r="G994" s="2" t="s">
        <v>27</v>
      </c>
      <c r="H994" s="2">
        <v>1</v>
      </c>
      <c r="I994" s="2" t="str">
        <f t="shared" si="60"/>
        <v>0-6 months</v>
      </c>
      <c r="J994" s="3">
        <v>749</v>
      </c>
      <c r="K994" s="3">
        <v>749</v>
      </c>
      <c r="L994" s="2" t="s">
        <v>31</v>
      </c>
      <c r="M994" s="4">
        <v>45894</v>
      </c>
      <c r="N994" s="2" t="s">
        <v>23</v>
      </c>
      <c r="O994" s="2">
        <f t="shared" si="63"/>
        <v>0</v>
      </c>
      <c r="P994" s="2" t="s">
        <v>23</v>
      </c>
      <c r="Q994" s="2" t="s">
        <v>23</v>
      </c>
      <c r="R994" s="2" t="s">
        <v>23</v>
      </c>
      <c r="S994" s="2" t="s">
        <v>23</v>
      </c>
      <c r="T994" s="2" t="s">
        <v>23</v>
      </c>
      <c r="U994" s="25">
        <f t="shared" si="61"/>
        <v>749.00099399999999</v>
      </c>
    </row>
    <row r="995" spans="1:21">
      <c r="A995" s="2" t="s">
        <v>1653</v>
      </c>
      <c r="B995" s="2" t="s">
        <v>159</v>
      </c>
      <c r="C995" s="2" t="s">
        <v>35</v>
      </c>
      <c r="D995" s="2">
        <v>60</v>
      </c>
      <c r="E995" s="2" t="str">
        <f t="shared" si="62"/>
        <v>46-60</v>
      </c>
      <c r="F995" s="2" t="s">
        <v>63</v>
      </c>
      <c r="G995" s="2" t="s">
        <v>37</v>
      </c>
      <c r="H995" s="2">
        <v>10</v>
      </c>
      <c r="I995" s="2" t="str">
        <f t="shared" si="60"/>
        <v>7-12 months</v>
      </c>
      <c r="J995" s="3">
        <v>599</v>
      </c>
      <c r="K995" s="3">
        <v>5990</v>
      </c>
      <c r="L995" s="2" t="s">
        <v>31</v>
      </c>
      <c r="M995" s="4">
        <v>45602</v>
      </c>
      <c r="N995" s="2" t="s">
        <v>32</v>
      </c>
      <c r="O995" s="2">
        <f t="shared" si="63"/>
        <v>1</v>
      </c>
      <c r="P995" s="2" t="s">
        <v>23</v>
      </c>
      <c r="Q995" s="2" t="s">
        <v>23</v>
      </c>
      <c r="R995" s="2" t="s">
        <v>23</v>
      </c>
      <c r="S995" s="2" t="s">
        <v>32</v>
      </c>
      <c r="T995" s="2" t="s">
        <v>23</v>
      </c>
      <c r="U995" s="25">
        <f t="shared" si="61"/>
        <v>5990.0009950000003</v>
      </c>
    </row>
    <row r="996" spans="1:21">
      <c r="A996" s="2" t="s">
        <v>1654</v>
      </c>
      <c r="B996" s="2" t="s">
        <v>1655</v>
      </c>
      <c r="C996" s="2" t="s">
        <v>19</v>
      </c>
      <c r="D996" s="2">
        <v>37</v>
      </c>
      <c r="E996" s="2" t="str">
        <f t="shared" si="62"/>
        <v>36-45</v>
      </c>
      <c r="F996" s="2" t="s">
        <v>36</v>
      </c>
      <c r="G996" s="2" t="s">
        <v>21</v>
      </c>
      <c r="H996" s="2">
        <v>1</v>
      </c>
      <c r="I996" s="2" t="str">
        <f t="shared" si="60"/>
        <v>0-6 months</v>
      </c>
      <c r="J996" s="3">
        <v>1049</v>
      </c>
      <c r="K996" s="3">
        <v>1049</v>
      </c>
      <c r="L996" s="2" t="s">
        <v>22</v>
      </c>
      <c r="M996" s="4">
        <v>45889</v>
      </c>
      <c r="N996" s="2" t="s">
        <v>32</v>
      </c>
      <c r="O996" s="2">
        <f t="shared" si="63"/>
        <v>1</v>
      </c>
      <c r="P996" s="2" t="s">
        <v>23</v>
      </c>
      <c r="Q996" s="2" t="s">
        <v>23</v>
      </c>
      <c r="R996" s="2" t="s">
        <v>23</v>
      </c>
      <c r="S996" s="2" t="s">
        <v>23</v>
      </c>
      <c r="T996" s="2" t="s">
        <v>23</v>
      </c>
      <c r="U996" s="25">
        <f t="shared" si="61"/>
        <v>1049.000996</v>
      </c>
    </row>
    <row r="997" spans="1:21">
      <c r="A997" s="2" t="s">
        <v>1656</v>
      </c>
      <c r="B997" s="2" t="s">
        <v>1657</v>
      </c>
      <c r="C997" s="2" t="s">
        <v>19</v>
      </c>
      <c r="D997" s="2">
        <v>35</v>
      </c>
      <c r="E997" s="2" t="str">
        <f t="shared" si="62"/>
        <v>26-35</v>
      </c>
      <c r="F997" s="2" t="s">
        <v>63</v>
      </c>
      <c r="G997" s="2" t="s">
        <v>47</v>
      </c>
      <c r="H997" s="2">
        <v>11</v>
      </c>
      <c r="I997" s="2" t="str">
        <f t="shared" si="60"/>
        <v>7-12 months</v>
      </c>
      <c r="J997" s="3">
        <v>699</v>
      </c>
      <c r="K997" s="3">
        <v>7689</v>
      </c>
      <c r="L997" s="2" t="s">
        <v>31</v>
      </c>
      <c r="M997" s="4">
        <v>45587</v>
      </c>
      <c r="N997" s="2" t="s">
        <v>23</v>
      </c>
      <c r="O997" s="2">
        <f t="shared" si="63"/>
        <v>0</v>
      </c>
      <c r="P997" s="2" t="s">
        <v>23</v>
      </c>
      <c r="Q997" s="2" t="s">
        <v>23</v>
      </c>
      <c r="R997" s="2" t="s">
        <v>23</v>
      </c>
      <c r="S997" s="2" t="s">
        <v>23</v>
      </c>
      <c r="T997" s="2" t="s">
        <v>23</v>
      </c>
      <c r="U997" s="25">
        <f t="shared" si="61"/>
        <v>7689.0009970000001</v>
      </c>
    </row>
    <row r="998" spans="1:21">
      <c r="A998" s="2" t="s">
        <v>1658</v>
      </c>
      <c r="B998" s="2" t="s">
        <v>271</v>
      </c>
      <c r="C998" s="2" t="s">
        <v>19</v>
      </c>
      <c r="D998" s="2">
        <v>43</v>
      </c>
      <c r="E998" s="2" t="str">
        <f t="shared" si="62"/>
        <v>36-45</v>
      </c>
      <c r="F998" s="2" t="s">
        <v>41</v>
      </c>
      <c r="G998" s="2" t="s">
        <v>47</v>
      </c>
      <c r="H998" s="2">
        <v>40</v>
      </c>
      <c r="I998" s="2" t="str">
        <f t="shared" si="60"/>
        <v>25-48 months</v>
      </c>
      <c r="J998" s="3">
        <v>499</v>
      </c>
      <c r="K998" s="3">
        <v>19960</v>
      </c>
      <c r="L998" s="2" t="s">
        <v>66</v>
      </c>
      <c r="M998" s="4">
        <v>44718</v>
      </c>
      <c r="N998" s="2" t="s">
        <v>23</v>
      </c>
      <c r="O998" s="2">
        <f t="shared" si="63"/>
        <v>0</v>
      </c>
      <c r="P998" s="2" t="s">
        <v>23</v>
      </c>
      <c r="Q998" s="2" t="s">
        <v>32</v>
      </c>
      <c r="R998" s="2" t="s">
        <v>23</v>
      </c>
      <c r="S998" s="2" t="s">
        <v>23</v>
      </c>
      <c r="T998" s="2" t="s">
        <v>23</v>
      </c>
      <c r="U998" s="25">
        <f t="shared" si="61"/>
        <v>19960.000998</v>
      </c>
    </row>
    <row r="999" spans="1:21">
      <c r="A999" s="2" t="s">
        <v>1659</v>
      </c>
      <c r="B999" s="2" t="s">
        <v>1197</v>
      </c>
      <c r="C999" s="2" t="s">
        <v>19</v>
      </c>
      <c r="D999" s="2">
        <v>26</v>
      </c>
      <c r="E999" s="2" t="str">
        <f t="shared" si="62"/>
        <v>26-35</v>
      </c>
      <c r="F999" s="2" t="s">
        <v>105</v>
      </c>
      <c r="G999" s="2" t="s">
        <v>27</v>
      </c>
      <c r="H999" s="2">
        <v>6</v>
      </c>
      <c r="I999" s="2" t="str">
        <f t="shared" si="60"/>
        <v>0-6 months</v>
      </c>
      <c r="J999" s="3">
        <v>699</v>
      </c>
      <c r="K999" s="3">
        <v>4194</v>
      </c>
      <c r="L999" s="2" t="s">
        <v>37</v>
      </c>
      <c r="M999" s="4">
        <v>45736</v>
      </c>
      <c r="N999" s="2" t="s">
        <v>23</v>
      </c>
      <c r="O999" s="2">
        <f t="shared" si="63"/>
        <v>0</v>
      </c>
      <c r="P999" s="2" t="s">
        <v>23</v>
      </c>
      <c r="Q999" s="2" t="s">
        <v>23</v>
      </c>
      <c r="R999" s="2" t="s">
        <v>23</v>
      </c>
      <c r="S999" s="2" t="s">
        <v>23</v>
      </c>
      <c r="T999" s="2" t="s">
        <v>23</v>
      </c>
      <c r="U999" s="25">
        <f t="shared" si="61"/>
        <v>4194.0009989999999</v>
      </c>
    </row>
    <row r="1000" spans="1:21">
      <c r="A1000" s="2" t="s">
        <v>1660</v>
      </c>
      <c r="B1000" s="2" t="s">
        <v>98</v>
      </c>
      <c r="C1000" s="2" t="s">
        <v>35</v>
      </c>
      <c r="D1000" s="2">
        <v>47</v>
      </c>
      <c r="E1000" s="2" t="str">
        <f t="shared" si="62"/>
        <v>46-60</v>
      </c>
      <c r="F1000" s="2" t="s">
        <v>60</v>
      </c>
      <c r="G1000" s="2" t="s">
        <v>27</v>
      </c>
      <c r="H1000" s="2">
        <v>23</v>
      </c>
      <c r="I1000" s="2" t="str">
        <f t="shared" si="60"/>
        <v>13-24 months</v>
      </c>
      <c r="J1000" s="3">
        <v>1049</v>
      </c>
      <c r="K1000" s="3">
        <v>24127</v>
      </c>
      <c r="L1000" s="2" t="s">
        <v>22</v>
      </c>
      <c r="M1000" s="4">
        <v>45225</v>
      </c>
      <c r="N1000" s="2" t="s">
        <v>23</v>
      </c>
      <c r="O1000" s="2">
        <f t="shared" si="63"/>
        <v>0</v>
      </c>
      <c r="P1000" s="2" t="s">
        <v>32</v>
      </c>
      <c r="Q1000" s="2" t="s">
        <v>23</v>
      </c>
      <c r="R1000" s="2" t="s">
        <v>23</v>
      </c>
      <c r="S1000" s="2" t="s">
        <v>23</v>
      </c>
      <c r="T1000" s="2" t="s">
        <v>23</v>
      </c>
      <c r="U1000" s="25">
        <f t="shared" si="61"/>
        <v>24127.001</v>
      </c>
    </row>
    <row r="1001" spans="1:21">
      <c r="A1001" s="2" t="s">
        <v>1661</v>
      </c>
      <c r="B1001" s="2" t="s">
        <v>914</v>
      </c>
      <c r="C1001" s="2" t="s">
        <v>35</v>
      </c>
      <c r="D1001" s="2">
        <v>47</v>
      </c>
      <c r="E1001" s="2" t="str">
        <f t="shared" si="62"/>
        <v>46-60</v>
      </c>
      <c r="F1001" s="2" t="s">
        <v>110</v>
      </c>
      <c r="G1001" s="2" t="s">
        <v>21</v>
      </c>
      <c r="H1001" s="2">
        <v>20</v>
      </c>
      <c r="I1001" s="2" t="str">
        <f t="shared" si="60"/>
        <v>13-24 months</v>
      </c>
      <c r="J1001" s="3">
        <v>1299</v>
      </c>
      <c r="K1001" s="3">
        <v>25980</v>
      </c>
      <c r="L1001" s="2" t="s">
        <v>22</v>
      </c>
      <c r="M1001" s="4">
        <v>45317</v>
      </c>
      <c r="N1001" s="2" t="s">
        <v>23</v>
      </c>
      <c r="O1001" s="2">
        <f t="shared" si="63"/>
        <v>0</v>
      </c>
      <c r="P1001" s="2" t="s">
        <v>32</v>
      </c>
      <c r="Q1001" s="2" t="s">
        <v>23</v>
      </c>
      <c r="R1001" s="2" t="s">
        <v>23</v>
      </c>
      <c r="S1001" s="2" t="s">
        <v>23</v>
      </c>
      <c r="T1001" s="2" t="s">
        <v>23</v>
      </c>
      <c r="U1001" s="25">
        <f t="shared" si="61"/>
        <v>25980.001001000001</v>
      </c>
    </row>
    <row r="1002" spans="1:21">
      <c r="A1002" s="2" t="s">
        <v>1662</v>
      </c>
      <c r="B1002" s="2" t="s">
        <v>1663</v>
      </c>
      <c r="C1002" s="2" t="s">
        <v>19</v>
      </c>
      <c r="D1002" s="2">
        <v>75</v>
      </c>
      <c r="E1002" s="2" t="str">
        <f t="shared" si="62"/>
        <v>60+</v>
      </c>
      <c r="F1002" s="2" t="s">
        <v>91</v>
      </c>
      <c r="G1002" s="2" t="s">
        <v>47</v>
      </c>
      <c r="H1002" s="2">
        <v>51</v>
      </c>
      <c r="I1002" s="2" t="str">
        <f t="shared" si="60"/>
        <v>49+ months</v>
      </c>
      <c r="J1002" s="3">
        <v>649</v>
      </c>
      <c r="K1002" s="3">
        <v>33099</v>
      </c>
      <c r="L1002" s="2" t="s">
        <v>31</v>
      </c>
      <c r="M1002" s="4">
        <v>44374</v>
      </c>
      <c r="N1002" s="2" t="s">
        <v>23</v>
      </c>
      <c r="O1002" s="2">
        <f t="shared" si="63"/>
        <v>0</v>
      </c>
      <c r="P1002" s="2" t="s">
        <v>23</v>
      </c>
      <c r="Q1002" s="2" t="s">
        <v>23</v>
      </c>
      <c r="R1002" s="2" t="s">
        <v>23</v>
      </c>
      <c r="S1002" s="2" t="s">
        <v>23</v>
      </c>
      <c r="T1002" s="2" t="s">
        <v>23</v>
      </c>
      <c r="U1002" s="25">
        <f t="shared" si="61"/>
        <v>33099.001001999997</v>
      </c>
    </row>
    <row r="1003" spans="1:21">
      <c r="A1003" s="2" t="s">
        <v>1664</v>
      </c>
      <c r="B1003" s="2" t="s">
        <v>344</v>
      </c>
      <c r="C1003" s="2" t="s">
        <v>35</v>
      </c>
      <c r="D1003" s="2">
        <v>21</v>
      </c>
      <c r="E1003" s="2" t="str">
        <f t="shared" si="62"/>
        <v>18-25</v>
      </c>
      <c r="F1003" s="2" t="s">
        <v>46</v>
      </c>
      <c r="G1003" s="2" t="s">
        <v>47</v>
      </c>
      <c r="H1003" s="2">
        <v>43</v>
      </c>
      <c r="I1003" s="2" t="str">
        <f t="shared" si="60"/>
        <v>25-48 months</v>
      </c>
      <c r="J1003" s="3">
        <v>899</v>
      </c>
      <c r="K1003" s="3">
        <v>38657</v>
      </c>
      <c r="L1003" s="2" t="s">
        <v>22</v>
      </c>
      <c r="M1003" s="4">
        <v>44616</v>
      </c>
      <c r="N1003" s="2" t="s">
        <v>23</v>
      </c>
      <c r="O1003" s="2">
        <f t="shared" si="63"/>
        <v>0</v>
      </c>
      <c r="P1003" s="2" t="s">
        <v>23</v>
      </c>
      <c r="Q1003" s="2" t="s">
        <v>23</v>
      </c>
      <c r="R1003" s="2" t="s">
        <v>23</v>
      </c>
      <c r="S1003" s="2" t="s">
        <v>23</v>
      </c>
      <c r="T1003" s="2" t="s">
        <v>23</v>
      </c>
      <c r="U1003" s="25">
        <f t="shared" si="61"/>
        <v>38657.001002999998</v>
      </c>
    </row>
    <row r="1004" spans="1:21">
      <c r="A1004" s="2" t="s">
        <v>1665</v>
      </c>
      <c r="B1004" s="2" t="s">
        <v>1084</v>
      </c>
      <c r="C1004" s="2" t="s">
        <v>35</v>
      </c>
      <c r="D1004" s="2">
        <v>65</v>
      </c>
      <c r="E1004" s="2" t="str">
        <f t="shared" si="62"/>
        <v>60+</v>
      </c>
      <c r="F1004" s="2" t="s">
        <v>91</v>
      </c>
      <c r="G1004" s="2" t="s">
        <v>27</v>
      </c>
      <c r="H1004" s="2">
        <v>4</v>
      </c>
      <c r="I1004" s="2" t="str">
        <f t="shared" si="60"/>
        <v>0-6 months</v>
      </c>
      <c r="J1004" s="3">
        <v>999</v>
      </c>
      <c r="K1004" s="3">
        <v>3996</v>
      </c>
      <c r="L1004" s="2" t="s">
        <v>22</v>
      </c>
      <c r="M1004" s="4">
        <v>45785</v>
      </c>
      <c r="N1004" s="2" t="s">
        <v>32</v>
      </c>
      <c r="O1004" s="2">
        <f t="shared" si="63"/>
        <v>1</v>
      </c>
      <c r="P1004" s="2" t="s">
        <v>23</v>
      </c>
      <c r="Q1004" s="2" t="s">
        <v>23</v>
      </c>
      <c r="R1004" s="2" t="s">
        <v>23</v>
      </c>
      <c r="S1004" s="2" t="s">
        <v>23</v>
      </c>
      <c r="T1004" s="2" t="s">
        <v>23</v>
      </c>
      <c r="U1004" s="25">
        <f t="shared" si="61"/>
        <v>3996.0010040000002</v>
      </c>
    </row>
    <row r="1005" spans="1:21">
      <c r="A1005" s="2" t="s">
        <v>1666</v>
      </c>
      <c r="B1005" s="2" t="s">
        <v>1667</v>
      </c>
      <c r="C1005" s="2" t="s">
        <v>35</v>
      </c>
      <c r="D1005" s="2">
        <v>75</v>
      </c>
      <c r="E1005" s="2" t="str">
        <f t="shared" si="62"/>
        <v>60+</v>
      </c>
      <c r="F1005" s="2" t="s">
        <v>71</v>
      </c>
      <c r="G1005" s="2" t="s">
        <v>27</v>
      </c>
      <c r="H1005" s="2">
        <v>20</v>
      </c>
      <c r="I1005" s="2" t="str">
        <f t="shared" si="60"/>
        <v>13-24 months</v>
      </c>
      <c r="J1005" s="3">
        <v>849</v>
      </c>
      <c r="K1005" s="3">
        <v>16980</v>
      </c>
      <c r="L1005" s="2" t="s">
        <v>31</v>
      </c>
      <c r="M1005" s="4">
        <v>45322</v>
      </c>
      <c r="N1005" s="2" t="s">
        <v>23</v>
      </c>
      <c r="O1005" s="2">
        <f t="shared" si="63"/>
        <v>0</v>
      </c>
      <c r="P1005" s="2" t="s">
        <v>23</v>
      </c>
      <c r="Q1005" s="2" t="s">
        <v>23</v>
      </c>
      <c r="R1005" s="2" t="s">
        <v>23</v>
      </c>
      <c r="S1005" s="2" t="s">
        <v>23</v>
      </c>
      <c r="T1005" s="2" t="s">
        <v>23</v>
      </c>
      <c r="U1005" s="25">
        <f t="shared" si="61"/>
        <v>16980.001004999998</v>
      </c>
    </row>
    <row r="1006" spans="1:21">
      <c r="A1006" s="2" t="s">
        <v>1668</v>
      </c>
      <c r="B1006" s="2" t="s">
        <v>1596</v>
      </c>
      <c r="C1006" s="2" t="s">
        <v>19</v>
      </c>
      <c r="D1006" s="2">
        <v>27</v>
      </c>
      <c r="E1006" s="2" t="str">
        <f t="shared" si="62"/>
        <v>26-35</v>
      </c>
      <c r="F1006" s="2" t="s">
        <v>91</v>
      </c>
      <c r="G1006" s="2" t="s">
        <v>47</v>
      </c>
      <c r="H1006" s="2">
        <v>32</v>
      </c>
      <c r="I1006" s="2" t="str">
        <f t="shared" si="60"/>
        <v>25-48 months</v>
      </c>
      <c r="J1006" s="3">
        <v>899</v>
      </c>
      <c r="K1006" s="3">
        <v>28768</v>
      </c>
      <c r="L1006" s="2" t="s">
        <v>22</v>
      </c>
      <c r="M1006" s="4">
        <v>44952</v>
      </c>
      <c r="N1006" s="2" t="s">
        <v>32</v>
      </c>
      <c r="O1006" s="2">
        <f t="shared" si="63"/>
        <v>1</v>
      </c>
      <c r="P1006" s="2" t="s">
        <v>23</v>
      </c>
      <c r="Q1006" s="2" t="s">
        <v>23</v>
      </c>
      <c r="R1006" s="2" t="s">
        <v>23</v>
      </c>
      <c r="S1006" s="2" t="s">
        <v>23</v>
      </c>
      <c r="T1006" s="2" t="s">
        <v>23</v>
      </c>
      <c r="U1006" s="25">
        <f t="shared" si="61"/>
        <v>28768.001005999999</v>
      </c>
    </row>
    <row r="1007" spans="1:21">
      <c r="A1007" s="2" t="s">
        <v>1669</v>
      </c>
      <c r="B1007" s="2" t="s">
        <v>1670</v>
      </c>
      <c r="C1007" s="2" t="s">
        <v>35</v>
      </c>
      <c r="D1007" s="2">
        <v>25</v>
      </c>
      <c r="E1007" s="2" t="str">
        <f t="shared" si="62"/>
        <v>18-25</v>
      </c>
      <c r="F1007" s="2" t="s">
        <v>46</v>
      </c>
      <c r="G1007" s="2" t="s">
        <v>21</v>
      </c>
      <c r="H1007" s="2">
        <v>8</v>
      </c>
      <c r="I1007" s="2" t="str">
        <f t="shared" si="60"/>
        <v>7-12 months</v>
      </c>
      <c r="J1007" s="3">
        <v>549</v>
      </c>
      <c r="K1007" s="3">
        <v>4392</v>
      </c>
      <c r="L1007" s="2" t="s">
        <v>66</v>
      </c>
      <c r="M1007" s="4">
        <v>45669</v>
      </c>
      <c r="N1007" s="2" t="s">
        <v>32</v>
      </c>
      <c r="O1007" s="2">
        <f t="shared" si="63"/>
        <v>1</v>
      </c>
      <c r="P1007" s="2" t="s">
        <v>23</v>
      </c>
      <c r="Q1007" s="2" t="s">
        <v>23</v>
      </c>
      <c r="R1007" s="2" t="s">
        <v>23</v>
      </c>
      <c r="S1007" s="2" t="s">
        <v>23</v>
      </c>
      <c r="T1007" s="2" t="s">
        <v>23</v>
      </c>
      <c r="U1007" s="25">
        <f t="shared" si="61"/>
        <v>4392.0010069999998</v>
      </c>
    </row>
    <row r="1008" spans="1:21">
      <c r="A1008" s="2" t="s">
        <v>1671</v>
      </c>
      <c r="B1008" s="2" t="s">
        <v>155</v>
      </c>
      <c r="C1008" s="2" t="s">
        <v>35</v>
      </c>
      <c r="D1008" s="2">
        <v>45</v>
      </c>
      <c r="E1008" s="2" t="str">
        <f t="shared" si="62"/>
        <v>36-45</v>
      </c>
      <c r="F1008" s="2" t="s">
        <v>63</v>
      </c>
      <c r="G1008" s="2" t="s">
        <v>27</v>
      </c>
      <c r="H1008" s="2">
        <v>16</v>
      </c>
      <c r="I1008" s="2" t="str">
        <f t="shared" si="60"/>
        <v>13-24 months</v>
      </c>
      <c r="J1008" s="3">
        <v>649</v>
      </c>
      <c r="K1008" s="3">
        <v>10384</v>
      </c>
      <c r="L1008" s="2" t="s">
        <v>31</v>
      </c>
      <c r="M1008" s="4">
        <v>45433</v>
      </c>
      <c r="N1008" s="2" t="s">
        <v>23</v>
      </c>
      <c r="O1008" s="2">
        <f t="shared" si="63"/>
        <v>0</v>
      </c>
      <c r="P1008" s="2" t="s">
        <v>23</v>
      </c>
      <c r="Q1008" s="2" t="s">
        <v>23</v>
      </c>
      <c r="R1008" s="2" t="s">
        <v>23</v>
      </c>
      <c r="S1008" s="2" t="s">
        <v>23</v>
      </c>
      <c r="T1008" s="2" t="s">
        <v>23</v>
      </c>
      <c r="U1008" s="25">
        <f t="shared" si="61"/>
        <v>10384.001007999999</v>
      </c>
    </row>
    <row r="1009" spans="1:21">
      <c r="A1009" s="2" t="s">
        <v>1672</v>
      </c>
      <c r="B1009" s="2" t="s">
        <v>223</v>
      </c>
      <c r="C1009" s="2" t="s">
        <v>35</v>
      </c>
      <c r="D1009" s="2">
        <v>24</v>
      </c>
      <c r="E1009" s="2" t="str">
        <f t="shared" si="62"/>
        <v>18-25</v>
      </c>
      <c r="F1009" s="2" t="s">
        <v>91</v>
      </c>
      <c r="G1009" s="2" t="s">
        <v>21</v>
      </c>
      <c r="H1009" s="2">
        <v>13</v>
      </c>
      <c r="I1009" s="2" t="str">
        <f t="shared" si="60"/>
        <v>13-24 months</v>
      </c>
      <c r="J1009" s="3">
        <v>1199</v>
      </c>
      <c r="K1009" s="3">
        <v>15587</v>
      </c>
      <c r="L1009" s="2" t="s">
        <v>22</v>
      </c>
      <c r="M1009" s="4">
        <v>45512</v>
      </c>
      <c r="N1009" s="2" t="s">
        <v>32</v>
      </c>
      <c r="O1009" s="2">
        <f t="shared" si="63"/>
        <v>1</v>
      </c>
      <c r="P1009" s="2" t="s">
        <v>23</v>
      </c>
      <c r="Q1009" s="2" t="s">
        <v>23</v>
      </c>
      <c r="R1009" s="2" t="s">
        <v>23</v>
      </c>
      <c r="S1009" s="2" t="s">
        <v>23</v>
      </c>
      <c r="T1009" s="2" t="s">
        <v>23</v>
      </c>
      <c r="U1009" s="25">
        <f t="shared" si="61"/>
        <v>15587.001009</v>
      </c>
    </row>
    <row r="1010" spans="1:21">
      <c r="A1010" s="2" t="s">
        <v>1673</v>
      </c>
      <c r="B1010" s="2" t="s">
        <v>1217</v>
      </c>
      <c r="C1010" s="2" t="s">
        <v>35</v>
      </c>
      <c r="D1010" s="2">
        <v>36</v>
      </c>
      <c r="E1010" s="2" t="str">
        <f t="shared" si="62"/>
        <v>36-45</v>
      </c>
      <c r="F1010" s="2" t="s">
        <v>60</v>
      </c>
      <c r="G1010" s="2" t="s">
        <v>21</v>
      </c>
      <c r="H1010" s="2">
        <v>19</v>
      </c>
      <c r="I1010" s="2" t="str">
        <f t="shared" si="60"/>
        <v>13-24 months</v>
      </c>
      <c r="J1010" s="3">
        <v>899</v>
      </c>
      <c r="K1010" s="3">
        <v>17081</v>
      </c>
      <c r="L1010" s="2" t="s">
        <v>22</v>
      </c>
      <c r="M1010" s="4">
        <v>45329</v>
      </c>
      <c r="N1010" s="2" t="s">
        <v>32</v>
      </c>
      <c r="O1010" s="2">
        <f t="shared" si="63"/>
        <v>1</v>
      </c>
      <c r="P1010" s="2" t="s">
        <v>23</v>
      </c>
      <c r="Q1010" s="2" t="s">
        <v>23</v>
      </c>
      <c r="R1010" s="2" t="s">
        <v>23</v>
      </c>
      <c r="S1010" s="2" t="s">
        <v>32</v>
      </c>
      <c r="T1010" s="2" t="s">
        <v>23</v>
      </c>
      <c r="U1010" s="25">
        <f t="shared" si="61"/>
        <v>17081.00101</v>
      </c>
    </row>
    <row r="1011" spans="1:21">
      <c r="A1011" s="2" t="s">
        <v>1674</v>
      </c>
      <c r="B1011" s="2" t="s">
        <v>291</v>
      </c>
      <c r="C1011" s="2" t="s">
        <v>35</v>
      </c>
      <c r="D1011" s="2">
        <v>74</v>
      </c>
      <c r="E1011" s="2" t="str">
        <f t="shared" si="62"/>
        <v>60+</v>
      </c>
      <c r="F1011" s="2" t="s">
        <v>141</v>
      </c>
      <c r="G1011" s="2" t="s">
        <v>21</v>
      </c>
      <c r="H1011" s="2">
        <v>6</v>
      </c>
      <c r="I1011" s="2" t="str">
        <f t="shared" si="60"/>
        <v>0-6 months</v>
      </c>
      <c r="J1011" s="3">
        <v>699</v>
      </c>
      <c r="K1011" s="3">
        <v>4194</v>
      </c>
      <c r="L1011" s="2" t="s">
        <v>31</v>
      </c>
      <c r="M1011" s="4">
        <v>45720</v>
      </c>
      <c r="N1011" s="2" t="s">
        <v>32</v>
      </c>
      <c r="O1011" s="2">
        <f t="shared" si="63"/>
        <v>1</v>
      </c>
      <c r="P1011" s="2" t="s">
        <v>23</v>
      </c>
      <c r="Q1011" s="2" t="s">
        <v>23</v>
      </c>
      <c r="R1011" s="2" t="s">
        <v>23</v>
      </c>
      <c r="S1011" s="2" t="s">
        <v>23</v>
      </c>
      <c r="T1011" s="2" t="s">
        <v>23</v>
      </c>
      <c r="U1011" s="25">
        <f t="shared" si="61"/>
        <v>4194.0010110000003</v>
      </c>
    </row>
    <row r="1012" spans="1:21">
      <c r="A1012" s="2" t="s">
        <v>1675</v>
      </c>
      <c r="B1012" s="2" t="s">
        <v>285</v>
      </c>
      <c r="C1012" s="2" t="s">
        <v>35</v>
      </c>
      <c r="D1012" s="2">
        <v>29</v>
      </c>
      <c r="E1012" s="2" t="str">
        <f t="shared" si="62"/>
        <v>26-35</v>
      </c>
      <c r="F1012" s="2" t="s">
        <v>71</v>
      </c>
      <c r="G1012" s="2" t="s">
        <v>21</v>
      </c>
      <c r="H1012" s="2">
        <v>19</v>
      </c>
      <c r="I1012" s="2" t="str">
        <f t="shared" si="60"/>
        <v>13-24 months</v>
      </c>
      <c r="J1012" s="3">
        <v>1099</v>
      </c>
      <c r="K1012" s="3">
        <v>20881</v>
      </c>
      <c r="L1012" s="2" t="s">
        <v>22</v>
      </c>
      <c r="M1012" s="4">
        <v>45334</v>
      </c>
      <c r="N1012" s="2" t="s">
        <v>32</v>
      </c>
      <c r="O1012" s="2">
        <f t="shared" si="63"/>
        <v>1</v>
      </c>
      <c r="P1012" s="2" t="s">
        <v>23</v>
      </c>
      <c r="Q1012" s="2" t="s">
        <v>23</v>
      </c>
      <c r="R1012" s="2" t="s">
        <v>23</v>
      </c>
      <c r="S1012" s="2" t="s">
        <v>23</v>
      </c>
      <c r="T1012" s="2" t="s">
        <v>23</v>
      </c>
      <c r="U1012" s="25">
        <f t="shared" si="61"/>
        <v>20881.001012000001</v>
      </c>
    </row>
    <row r="1013" spans="1:21">
      <c r="A1013" s="2" t="s">
        <v>1676</v>
      </c>
      <c r="B1013" s="2" t="s">
        <v>1677</v>
      </c>
      <c r="C1013" s="2" t="s">
        <v>35</v>
      </c>
      <c r="D1013" s="2">
        <v>71</v>
      </c>
      <c r="E1013" s="2" t="str">
        <f t="shared" si="62"/>
        <v>60+</v>
      </c>
      <c r="F1013" s="2" t="s">
        <v>71</v>
      </c>
      <c r="G1013" s="2" t="s">
        <v>21</v>
      </c>
      <c r="H1013" s="2">
        <v>20</v>
      </c>
      <c r="I1013" s="2" t="str">
        <f t="shared" si="60"/>
        <v>13-24 months</v>
      </c>
      <c r="J1013" s="3">
        <v>549</v>
      </c>
      <c r="K1013" s="3">
        <v>10980</v>
      </c>
      <c r="L1013" s="2" t="s">
        <v>66</v>
      </c>
      <c r="M1013" s="4">
        <v>45312</v>
      </c>
      <c r="N1013" s="2" t="s">
        <v>23</v>
      </c>
      <c r="O1013" s="2">
        <f t="shared" si="63"/>
        <v>0</v>
      </c>
      <c r="P1013" s="2" t="s">
        <v>23</v>
      </c>
      <c r="Q1013" s="2" t="s">
        <v>23</v>
      </c>
      <c r="R1013" s="2" t="s">
        <v>23</v>
      </c>
      <c r="S1013" s="2" t="s">
        <v>23</v>
      </c>
      <c r="T1013" s="2" t="s">
        <v>23</v>
      </c>
      <c r="U1013" s="25">
        <f t="shared" si="61"/>
        <v>10980.001012999999</v>
      </c>
    </row>
    <row r="1014" spans="1:21">
      <c r="A1014" s="2" t="s">
        <v>1678</v>
      </c>
      <c r="B1014" s="2" t="s">
        <v>706</v>
      </c>
      <c r="C1014" s="2" t="s">
        <v>37</v>
      </c>
      <c r="D1014" s="2">
        <v>38</v>
      </c>
      <c r="E1014" s="2" t="str">
        <f t="shared" si="62"/>
        <v>36-45</v>
      </c>
      <c r="F1014" s="2" t="s">
        <v>91</v>
      </c>
      <c r="G1014" s="2" t="s">
        <v>47</v>
      </c>
      <c r="H1014" s="2">
        <v>52</v>
      </c>
      <c r="I1014" s="2" t="str">
        <f t="shared" si="60"/>
        <v>49+ months</v>
      </c>
      <c r="J1014" s="3">
        <v>599</v>
      </c>
      <c r="K1014" s="3">
        <v>31148</v>
      </c>
      <c r="L1014" s="2" t="s">
        <v>31</v>
      </c>
      <c r="M1014" s="4">
        <v>44363</v>
      </c>
      <c r="N1014" s="2" t="s">
        <v>23</v>
      </c>
      <c r="O1014" s="2">
        <f t="shared" si="63"/>
        <v>0</v>
      </c>
      <c r="P1014" s="2" t="s">
        <v>23</v>
      </c>
      <c r="Q1014" s="2" t="s">
        <v>23</v>
      </c>
      <c r="R1014" s="2" t="s">
        <v>23</v>
      </c>
      <c r="S1014" s="2" t="s">
        <v>23</v>
      </c>
      <c r="T1014" s="2" t="s">
        <v>23</v>
      </c>
      <c r="U1014" s="25">
        <f t="shared" si="61"/>
        <v>31148.001014000001</v>
      </c>
    </row>
    <row r="1015" spans="1:21">
      <c r="A1015" s="2" t="s">
        <v>1679</v>
      </c>
      <c r="B1015" s="2" t="s">
        <v>78</v>
      </c>
      <c r="C1015" s="2" t="s">
        <v>19</v>
      </c>
      <c r="D1015" s="2">
        <v>24</v>
      </c>
      <c r="E1015" s="2" t="str">
        <f t="shared" si="62"/>
        <v>18-25</v>
      </c>
      <c r="F1015" s="2" t="s">
        <v>60</v>
      </c>
      <c r="G1015" s="2" t="s">
        <v>47</v>
      </c>
      <c r="H1015" s="2">
        <v>30</v>
      </c>
      <c r="I1015" s="2" t="str">
        <f t="shared" si="60"/>
        <v>25-48 months</v>
      </c>
      <c r="J1015" s="3">
        <v>1299</v>
      </c>
      <c r="K1015" s="3">
        <v>38970</v>
      </c>
      <c r="L1015" s="2" t="s">
        <v>22</v>
      </c>
      <c r="M1015" s="4">
        <v>45000</v>
      </c>
      <c r="N1015" s="2" t="s">
        <v>32</v>
      </c>
      <c r="O1015" s="2">
        <f t="shared" si="63"/>
        <v>1</v>
      </c>
      <c r="P1015" s="2" t="s">
        <v>23</v>
      </c>
      <c r="Q1015" s="2" t="s">
        <v>23</v>
      </c>
      <c r="R1015" s="2" t="s">
        <v>23</v>
      </c>
      <c r="S1015" s="2" t="s">
        <v>23</v>
      </c>
      <c r="T1015" s="2" t="s">
        <v>23</v>
      </c>
      <c r="U1015" s="25">
        <f t="shared" si="61"/>
        <v>38970.001015000002</v>
      </c>
    </row>
    <row r="1016" spans="1:21">
      <c r="A1016" s="2" t="s">
        <v>1680</v>
      </c>
      <c r="B1016" s="2" t="s">
        <v>271</v>
      </c>
      <c r="C1016" s="2" t="s">
        <v>19</v>
      </c>
      <c r="D1016" s="2">
        <v>22</v>
      </c>
      <c r="E1016" s="2" t="str">
        <f t="shared" si="62"/>
        <v>18-25</v>
      </c>
      <c r="F1016" s="2" t="s">
        <v>36</v>
      </c>
      <c r="G1016" s="2" t="s">
        <v>27</v>
      </c>
      <c r="H1016" s="2">
        <v>5</v>
      </c>
      <c r="I1016" s="2" t="str">
        <f t="shared" si="60"/>
        <v>0-6 months</v>
      </c>
      <c r="J1016" s="3">
        <v>749</v>
      </c>
      <c r="K1016" s="3">
        <v>3745</v>
      </c>
      <c r="L1016" s="2" t="s">
        <v>31</v>
      </c>
      <c r="M1016" s="4">
        <v>45752</v>
      </c>
      <c r="N1016" s="2" t="s">
        <v>23</v>
      </c>
      <c r="O1016" s="2">
        <f t="shared" si="63"/>
        <v>0</v>
      </c>
      <c r="P1016" s="2" t="s">
        <v>23</v>
      </c>
      <c r="Q1016" s="2" t="s">
        <v>23</v>
      </c>
      <c r="R1016" s="2" t="s">
        <v>23</v>
      </c>
      <c r="S1016" s="2" t="s">
        <v>23</v>
      </c>
      <c r="T1016" s="2" t="s">
        <v>23</v>
      </c>
      <c r="U1016" s="25">
        <f t="shared" si="61"/>
        <v>3745.0010160000002</v>
      </c>
    </row>
    <row r="1017" spans="1:21">
      <c r="A1017" s="2" t="s">
        <v>1681</v>
      </c>
      <c r="B1017" s="2" t="s">
        <v>194</v>
      </c>
      <c r="C1017" s="2" t="s">
        <v>19</v>
      </c>
      <c r="D1017" s="2">
        <v>24</v>
      </c>
      <c r="E1017" s="2" t="str">
        <f t="shared" si="62"/>
        <v>18-25</v>
      </c>
      <c r="F1017" s="2" t="s">
        <v>141</v>
      </c>
      <c r="G1017" s="2" t="s">
        <v>21</v>
      </c>
      <c r="H1017" s="2">
        <v>21</v>
      </c>
      <c r="I1017" s="2" t="str">
        <f t="shared" si="60"/>
        <v>13-24 months</v>
      </c>
      <c r="J1017" s="3">
        <v>799</v>
      </c>
      <c r="K1017" s="3">
        <v>16779</v>
      </c>
      <c r="L1017" s="2" t="s">
        <v>31</v>
      </c>
      <c r="M1017" s="4">
        <v>45283</v>
      </c>
      <c r="N1017" s="2" t="s">
        <v>32</v>
      </c>
      <c r="O1017" s="2">
        <f t="shared" si="63"/>
        <v>1</v>
      </c>
      <c r="P1017" s="2" t="s">
        <v>23</v>
      </c>
      <c r="Q1017" s="2" t="s">
        <v>23</v>
      </c>
      <c r="R1017" s="2" t="s">
        <v>23</v>
      </c>
      <c r="S1017" s="2" t="s">
        <v>23</v>
      </c>
      <c r="T1017" s="2" t="s">
        <v>23</v>
      </c>
      <c r="U1017" s="25">
        <f t="shared" si="61"/>
        <v>16779.001016999999</v>
      </c>
    </row>
    <row r="1018" spans="1:21">
      <c r="A1018" s="2" t="s">
        <v>1682</v>
      </c>
      <c r="B1018" s="2" t="s">
        <v>65</v>
      </c>
      <c r="C1018" s="2" t="s">
        <v>35</v>
      </c>
      <c r="D1018" s="2">
        <v>30</v>
      </c>
      <c r="E1018" s="2" t="str">
        <f t="shared" si="62"/>
        <v>26-35</v>
      </c>
      <c r="F1018" s="2" t="s">
        <v>141</v>
      </c>
      <c r="G1018" s="2" t="s">
        <v>21</v>
      </c>
      <c r="H1018" s="2">
        <v>7</v>
      </c>
      <c r="I1018" s="2" t="str">
        <f t="shared" si="60"/>
        <v>7-12 months</v>
      </c>
      <c r="J1018" s="3">
        <v>349</v>
      </c>
      <c r="K1018" s="3">
        <v>2443</v>
      </c>
      <c r="L1018" s="2" t="s">
        <v>66</v>
      </c>
      <c r="M1018" s="4">
        <v>45697</v>
      </c>
      <c r="N1018" s="2" t="s">
        <v>23</v>
      </c>
      <c r="O1018" s="2">
        <f t="shared" si="63"/>
        <v>0</v>
      </c>
      <c r="P1018" s="2" t="s">
        <v>23</v>
      </c>
      <c r="Q1018" s="2" t="s">
        <v>23</v>
      </c>
      <c r="R1018" s="2" t="s">
        <v>23</v>
      </c>
      <c r="S1018" s="2" t="s">
        <v>23</v>
      </c>
      <c r="T1018" s="2" t="s">
        <v>23</v>
      </c>
      <c r="U1018" s="25">
        <f t="shared" si="61"/>
        <v>2443.0010179999999</v>
      </c>
    </row>
    <row r="1019" spans="1:21">
      <c r="A1019" s="2" t="s">
        <v>1683</v>
      </c>
      <c r="B1019" s="2" t="s">
        <v>1423</v>
      </c>
      <c r="C1019" s="2" t="s">
        <v>19</v>
      </c>
      <c r="D1019" s="2">
        <v>69</v>
      </c>
      <c r="E1019" s="2" t="str">
        <f t="shared" si="62"/>
        <v>60+</v>
      </c>
      <c r="F1019" s="2" t="s">
        <v>63</v>
      </c>
      <c r="G1019" s="2" t="s">
        <v>47</v>
      </c>
      <c r="H1019" s="2">
        <v>53</v>
      </c>
      <c r="I1019" s="2" t="str">
        <f t="shared" si="60"/>
        <v>49+ months</v>
      </c>
      <c r="J1019" s="3">
        <v>1149</v>
      </c>
      <c r="K1019" s="3">
        <v>60897</v>
      </c>
      <c r="L1019" s="2" t="s">
        <v>22</v>
      </c>
      <c r="M1019" s="4">
        <v>44317</v>
      </c>
      <c r="N1019" s="2" t="s">
        <v>23</v>
      </c>
      <c r="O1019" s="2">
        <f t="shared" si="63"/>
        <v>0</v>
      </c>
      <c r="P1019" s="2" t="s">
        <v>23</v>
      </c>
      <c r="Q1019" s="2" t="s">
        <v>23</v>
      </c>
      <c r="R1019" s="2" t="s">
        <v>23</v>
      </c>
      <c r="S1019" s="2" t="s">
        <v>23</v>
      </c>
      <c r="T1019" s="2" t="s">
        <v>23</v>
      </c>
      <c r="U1019" s="25">
        <f t="shared" si="61"/>
        <v>60897.001019000003</v>
      </c>
    </row>
    <row r="1020" spans="1:21">
      <c r="A1020" s="2" t="s">
        <v>1684</v>
      </c>
      <c r="B1020" s="2" t="s">
        <v>1685</v>
      </c>
      <c r="C1020" s="2" t="s">
        <v>35</v>
      </c>
      <c r="D1020" s="2">
        <v>54</v>
      </c>
      <c r="E1020" s="2" t="str">
        <f t="shared" si="62"/>
        <v>46-60</v>
      </c>
      <c r="F1020" s="2" t="s">
        <v>57</v>
      </c>
      <c r="G1020" s="2" t="s">
        <v>21</v>
      </c>
      <c r="H1020" s="2">
        <v>20</v>
      </c>
      <c r="I1020" s="2" t="str">
        <f t="shared" si="60"/>
        <v>13-24 months</v>
      </c>
      <c r="J1020" s="3">
        <v>1299</v>
      </c>
      <c r="K1020" s="3">
        <v>25980</v>
      </c>
      <c r="L1020" s="2" t="s">
        <v>22</v>
      </c>
      <c r="M1020" s="4">
        <v>45314</v>
      </c>
      <c r="N1020" s="2" t="s">
        <v>23</v>
      </c>
      <c r="O1020" s="2">
        <f t="shared" si="63"/>
        <v>0</v>
      </c>
      <c r="P1020" s="2" t="s">
        <v>23</v>
      </c>
      <c r="Q1020" s="2" t="s">
        <v>23</v>
      </c>
      <c r="R1020" s="2" t="s">
        <v>23</v>
      </c>
      <c r="S1020" s="2" t="s">
        <v>23</v>
      </c>
      <c r="T1020" s="2" t="s">
        <v>23</v>
      </c>
      <c r="U1020" s="25">
        <f t="shared" si="61"/>
        <v>25980.00102</v>
      </c>
    </row>
    <row r="1021" spans="1:21">
      <c r="A1021" s="2" t="s">
        <v>1686</v>
      </c>
      <c r="B1021" s="2" t="s">
        <v>1677</v>
      </c>
      <c r="C1021" s="2" t="s">
        <v>35</v>
      </c>
      <c r="D1021" s="2">
        <v>54</v>
      </c>
      <c r="E1021" s="2" t="str">
        <f t="shared" si="62"/>
        <v>46-60</v>
      </c>
      <c r="F1021" s="2" t="s">
        <v>37</v>
      </c>
      <c r="G1021" s="2" t="s">
        <v>21</v>
      </c>
      <c r="H1021" s="2">
        <v>4</v>
      </c>
      <c r="I1021" s="2" t="str">
        <f t="shared" si="60"/>
        <v>0-6 months</v>
      </c>
      <c r="J1021" s="3">
        <v>1099</v>
      </c>
      <c r="K1021" s="3">
        <v>4396</v>
      </c>
      <c r="L1021" s="2" t="s">
        <v>22</v>
      </c>
      <c r="M1021" s="4">
        <v>45791</v>
      </c>
      <c r="N1021" s="2" t="s">
        <v>32</v>
      </c>
      <c r="O1021" s="2">
        <f t="shared" si="63"/>
        <v>1</v>
      </c>
      <c r="P1021" s="2" t="s">
        <v>23</v>
      </c>
      <c r="Q1021" s="2" t="s">
        <v>23</v>
      </c>
      <c r="R1021" s="2" t="s">
        <v>32</v>
      </c>
      <c r="S1021" s="2" t="s">
        <v>23</v>
      </c>
      <c r="T1021" s="2" t="s">
        <v>23</v>
      </c>
      <c r="U1021" s="25">
        <f t="shared" si="61"/>
        <v>4396.001021</v>
      </c>
    </row>
    <row r="1022" spans="1:21">
      <c r="A1022" s="2" t="s">
        <v>1687</v>
      </c>
      <c r="B1022" s="2" t="s">
        <v>573</v>
      </c>
      <c r="C1022" s="2" t="s">
        <v>35</v>
      </c>
      <c r="D1022" s="2">
        <v>70</v>
      </c>
      <c r="E1022" s="2" t="str">
        <f t="shared" si="62"/>
        <v>60+</v>
      </c>
      <c r="F1022" s="2" t="s">
        <v>46</v>
      </c>
      <c r="G1022" s="2" t="s">
        <v>47</v>
      </c>
      <c r="H1022" s="2">
        <v>46</v>
      </c>
      <c r="I1022" s="2" t="str">
        <f t="shared" si="60"/>
        <v>25-48 months</v>
      </c>
      <c r="J1022" s="3">
        <v>599</v>
      </c>
      <c r="K1022" s="3">
        <v>27554</v>
      </c>
      <c r="L1022" s="2" t="s">
        <v>31</v>
      </c>
      <c r="M1022" s="4">
        <v>44546</v>
      </c>
      <c r="N1022" s="2" t="s">
        <v>23</v>
      </c>
      <c r="O1022" s="2">
        <f t="shared" si="63"/>
        <v>0</v>
      </c>
      <c r="P1022" s="2" t="s">
        <v>23</v>
      </c>
      <c r="Q1022" s="2" t="s">
        <v>23</v>
      </c>
      <c r="R1022" s="2" t="s">
        <v>23</v>
      </c>
      <c r="S1022" s="2" t="s">
        <v>23</v>
      </c>
      <c r="T1022" s="2" t="s">
        <v>23</v>
      </c>
      <c r="U1022" s="25">
        <f t="shared" si="61"/>
        <v>27554.001022</v>
      </c>
    </row>
    <row r="1023" spans="1:21">
      <c r="A1023" s="2" t="s">
        <v>1688</v>
      </c>
      <c r="B1023" s="2" t="s">
        <v>1689</v>
      </c>
      <c r="C1023" s="2" t="s">
        <v>19</v>
      </c>
      <c r="D1023" s="2">
        <v>50</v>
      </c>
      <c r="E1023" s="2" t="str">
        <f t="shared" si="62"/>
        <v>46-60</v>
      </c>
      <c r="F1023" s="2" t="s">
        <v>46</v>
      </c>
      <c r="G1023" s="2" t="s">
        <v>21</v>
      </c>
      <c r="H1023" s="2">
        <v>23</v>
      </c>
      <c r="I1023" s="2" t="str">
        <f t="shared" si="60"/>
        <v>13-24 months</v>
      </c>
      <c r="J1023" s="3">
        <v>599</v>
      </c>
      <c r="K1023" s="3">
        <v>13777</v>
      </c>
      <c r="L1023" s="2" t="s">
        <v>31</v>
      </c>
      <c r="M1023" s="4">
        <v>45230</v>
      </c>
      <c r="N1023" s="2" t="s">
        <v>37</v>
      </c>
      <c r="O1023" s="2" t="str">
        <f t="shared" si="63"/>
        <v/>
      </c>
      <c r="P1023" s="2" t="s">
        <v>23</v>
      </c>
      <c r="Q1023" s="2" t="s">
        <v>23</v>
      </c>
      <c r="R1023" s="2" t="s">
        <v>23</v>
      </c>
      <c r="S1023" s="2" t="s">
        <v>23</v>
      </c>
      <c r="T1023" s="2" t="s">
        <v>38</v>
      </c>
      <c r="U1023" s="25">
        <f t="shared" si="61"/>
        <v>13777.001023000001</v>
      </c>
    </row>
    <row r="1024" spans="1:21">
      <c r="A1024" s="2" t="s">
        <v>1690</v>
      </c>
      <c r="B1024" s="2" t="s">
        <v>1691</v>
      </c>
      <c r="C1024" s="2" t="s">
        <v>19</v>
      </c>
      <c r="D1024" s="2">
        <v>44</v>
      </c>
      <c r="E1024" s="2" t="str">
        <f t="shared" si="62"/>
        <v>36-45</v>
      </c>
      <c r="F1024" s="2" t="s">
        <v>46</v>
      </c>
      <c r="G1024" s="2" t="s">
        <v>21</v>
      </c>
      <c r="H1024" s="2">
        <v>2</v>
      </c>
      <c r="I1024" s="2" t="str">
        <f t="shared" si="60"/>
        <v>0-6 months</v>
      </c>
      <c r="J1024" s="3">
        <v>549</v>
      </c>
      <c r="K1024" s="3">
        <v>1098</v>
      </c>
      <c r="L1024" s="2" t="s">
        <v>66</v>
      </c>
      <c r="M1024" s="4">
        <v>45858</v>
      </c>
      <c r="N1024" s="2" t="s">
        <v>23</v>
      </c>
      <c r="O1024" s="2">
        <f t="shared" si="63"/>
        <v>0</v>
      </c>
      <c r="P1024" s="2" t="s">
        <v>23</v>
      </c>
      <c r="Q1024" s="2" t="s">
        <v>23</v>
      </c>
      <c r="R1024" s="2" t="s">
        <v>23</v>
      </c>
      <c r="S1024" s="2" t="s">
        <v>23</v>
      </c>
      <c r="T1024" s="2" t="s">
        <v>23</v>
      </c>
      <c r="U1024" s="25">
        <f t="shared" si="61"/>
        <v>1098.0010239999999</v>
      </c>
    </row>
    <row r="1025" spans="1:21">
      <c r="A1025" s="2" t="s">
        <v>1692</v>
      </c>
      <c r="B1025" s="2" t="s">
        <v>356</v>
      </c>
      <c r="C1025" s="2" t="s">
        <v>19</v>
      </c>
      <c r="D1025" s="2">
        <v>22</v>
      </c>
      <c r="E1025" s="2" t="str">
        <f t="shared" si="62"/>
        <v>18-25</v>
      </c>
      <c r="F1025" s="2" t="s">
        <v>110</v>
      </c>
      <c r="G1025" s="2" t="s">
        <v>47</v>
      </c>
      <c r="H1025" s="2">
        <v>5</v>
      </c>
      <c r="I1025" s="2" t="str">
        <f t="shared" si="60"/>
        <v>0-6 months</v>
      </c>
      <c r="J1025" s="3">
        <v>499</v>
      </c>
      <c r="K1025" s="3">
        <v>2495</v>
      </c>
      <c r="L1025" s="2" t="s">
        <v>66</v>
      </c>
      <c r="M1025" s="4">
        <v>45759</v>
      </c>
      <c r="N1025" s="2" t="s">
        <v>23</v>
      </c>
      <c r="O1025" s="2">
        <f t="shared" si="63"/>
        <v>0</v>
      </c>
      <c r="P1025" s="2" t="s">
        <v>23</v>
      </c>
      <c r="Q1025" s="2" t="s">
        <v>23</v>
      </c>
      <c r="R1025" s="2" t="s">
        <v>23</v>
      </c>
      <c r="S1025" s="2" t="s">
        <v>23</v>
      </c>
      <c r="T1025" s="2" t="s">
        <v>23</v>
      </c>
      <c r="U1025" s="25">
        <f t="shared" si="61"/>
        <v>2495.001025</v>
      </c>
    </row>
    <row r="1026" spans="1:21">
      <c r="A1026" s="2" t="s">
        <v>1693</v>
      </c>
      <c r="B1026" s="2" t="s">
        <v>1694</v>
      </c>
      <c r="C1026" s="2" t="s">
        <v>19</v>
      </c>
      <c r="D1026" s="2">
        <v>26</v>
      </c>
      <c r="E1026" s="2" t="str">
        <f t="shared" si="62"/>
        <v>26-35</v>
      </c>
      <c r="F1026" s="2" t="s">
        <v>46</v>
      </c>
      <c r="G1026" s="2" t="s">
        <v>27</v>
      </c>
      <c r="H1026" s="2">
        <v>32</v>
      </c>
      <c r="I1026" s="2" t="str">
        <f t="shared" ref="I1026:I1089" si="64">IF(H1026="","Unknown",IF(H1026&lt;=6,"0-6 months",IF(H1026&lt;=12,"7-12 months",IF(H1026&lt;=24,"13-24 months",IF(H1026&lt;=48,"25-48 months","49+ months")))))</f>
        <v>25-48 months</v>
      </c>
      <c r="J1026" s="3">
        <v>799</v>
      </c>
      <c r="K1026" s="3">
        <v>25568</v>
      </c>
      <c r="L1026" s="2" t="s">
        <v>31</v>
      </c>
      <c r="M1026" s="4"/>
      <c r="N1026" s="2" t="s">
        <v>23</v>
      </c>
      <c r="O1026" s="2">
        <f t="shared" si="63"/>
        <v>0</v>
      </c>
      <c r="P1026" s="2" t="s">
        <v>23</v>
      </c>
      <c r="Q1026" s="2" t="s">
        <v>23</v>
      </c>
      <c r="R1026" s="2" t="s">
        <v>23</v>
      </c>
      <c r="S1026" s="2" t="s">
        <v>23</v>
      </c>
      <c r="T1026" s="2" t="s">
        <v>54</v>
      </c>
      <c r="U1026" s="25">
        <f t="shared" ref="U1026:U1089" si="65">IF(K1026="","",K1026+ROW()/1000000)</f>
        <v>25568.001026000002</v>
      </c>
    </row>
    <row r="1027" spans="1:21">
      <c r="A1027" s="2" t="s">
        <v>1695</v>
      </c>
      <c r="B1027" s="2" t="s">
        <v>1035</v>
      </c>
      <c r="C1027" s="2" t="s">
        <v>19</v>
      </c>
      <c r="D1027" s="2">
        <v>19</v>
      </c>
      <c r="E1027" s="2" t="str">
        <f t="shared" ref="E1027:E1090" si="66">IF(D1027&lt;=25,"18-25",IF(D1027&lt;=35,"26-35",IF(D1027&lt;=45,"36-45",IF(D1027&lt;=60,"46-60","60+"))))</f>
        <v>18-25</v>
      </c>
      <c r="F1027" s="2" t="s">
        <v>110</v>
      </c>
      <c r="G1027" s="2" t="s">
        <v>27</v>
      </c>
      <c r="H1027" s="2">
        <v>39</v>
      </c>
      <c r="I1027" s="2" t="str">
        <f t="shared" si="64"/>
        <v>25-48 months</v>
      </c>
      <c r="J1027" s="3">
        <v>899</v>
      </c>
      <c r="K1027" s="3">
        <v>35061</v>
      </c>
      <c r="L1027" s="2" t="s">
        <v>31</v>
      </c>
      <c r="M1027" s="4">
        <v>44757</v>
      </c>
      <c r="N1027" s="2" t="s">
        <v>23</v>
      </c>
      <c r="O1027" s="2">
        <f t="shared" ref="O1027:O1090" si="67">IF(N1027="Yes",1,IF(N1027="No",0,""))</f>
        <v>0</v>
      </c>
      <c r="P1027" s="2" t="s">
        <v>23</v>
      </c>
      <c r="Q1027" s="2" t="s">
        <v>23</v>
      </c>
      <c r="R1027" s="2" t="s">
        <v>23</v>
      </c>
      <c r="S1027" s="2" t="s">
        <v>23</v>
      </c>
      <c r="T1027" s="2" t="s">
        <v>23</v>
      </c>
      <c r="U1027" s="25">
        <f t="shared" si="65"/>
        <v>35061.001026999998</v>
      </c>
    </row>
    <row r="1028" spans="1:21">
      <c r="A1028" s="2" t="s">
        <v>1696</v>
      </c>
      <c r="B1028" s="2" t="s">
        <v>1361</v>
      </c>
      <c r="C1028" s="2" t="s">
        <v>35</v>
      </c>
      <c r="D1028" s="2">
        <v>26</v>
      </c>
      <c r="E1028" s="2" t="str">
        <f t="shared" si="66"/>
        <v>26-35</v>
      </c>
      <c r="F1028" s="2" t="s">
        <v>105</v>
      </c>
      <c r="G1028" s="2" t="s">
        <v>27</v>
      </c>
      <c r="H1028" s="2">
        <v>8</v>
      </c>
      <c r="I1028" s="2" t="str">
        <f t="shared" si="64"/>
        <v>7-12 months</v>
      </c>
      <c r="J1028" s="3">
        <v>899</v>
      </c>
      <c r="K1028" s="3">
        <v>7192</v>
      </c>
      <c r="L1028" s="2" t="s">
        <v>22</v>
      </c>
      <c r="M1028" s="4">
        <v>45677</v>
      </c>
      <c r="N1028" s="2" t="s">
        <v>23</v>
      </c>
      <c r="O1028" s="2">
        <f t="shared" si="67"/>
        <v>0</v>
      </c>
      <c r="P1028" s="2" t="s">
        <v>23</v>
      </c>
      <c r="Q1028" s="2" t="s">
        <v>23</v>
      </c>
      <c r="R1028" s="2" t="s">
        <v>23</v>
      </c>
      <c r="S1028" s="2" t="s">
        <v>23</v>
      </c>
      <c r="T1028" s="2" t="s">
        <v>23</v>
      </c>
      <c r="U1028" s="25">
        <f t="shared" si="65"/>
        <v>7192.0010279999997</v>
      </c>
    </row>
    <row r="1029" spans="1:21">
      <c r="A1029" s="2" t="s">
        <v>1697</v>
      </c>
      <c r="B1029" s="2" t="s">
        <v>852</v>
      </c>
      <c r="C1029" s="2" t="s">
        <v>35</v>
      </c>
      <c r="D1029" s="2">
        <v>45</v>
      </c>
      <c r="E1029" s="2" t="str">
        <f t="shared" si="66"/>
        <v>36-45</v>
      </c>
      <c r="F1029" s="2" t="s">
        <v>36</v>
      </c>
      <c r="G1029" s="2" t="s">
        <v>21</v>
      </c>
      <c r="H1029" s="2">
        <v>1</v>
      </c>
      <c r="I1029" s="2" t="str">
        <f t="shared" si="64"/>
        <v>0-6 months</v>
      </c>
      <c r="J1029" s="3">
        <v>649</v>
      </c>
      <c r="K1029" s="3">
        <v>649</v>
      </c>
      <c r="L1029" s="2" t="s">
        <v>31</v>
      </c>
      <c r="M1029" s="4">
        <v>45873</v>
      </c>
      <c r="N1029" s="2" t="s">
        <v>32</v>
      </c>
      <c r="O1029" s="2">
        <f t="shared" si="67"/>
        <v>1</v>
      </c>
      <c r="P1029" s="2" t="s">
        <v>23</v>
      </c>
      <c r="Q1029" s="2" t="s">
        <v>23</v>
      </c>
      <c r="R1029" s="2" t="s">
        <v>32</v>
      </c>
      <c r="S1029" s="2" t="s">
        <v>23</v>
      </c>
      <c r="T1029" s="2" t="s">
        <v>23</v>
      </c>
      <c r="U1029" s="25">
        <f t="shared" si="65"/>
        <v>649.00102900000002</v>
      </c>
    </row>
    <row r="1030" spans="1:21">
      <c r="A1030" s="2" t="s">
        <v>1698</v>
      </c>
      <c r="B1030" s="2" t="s">
        <v>49</v>
      </c>
      <c r="C1030" s="2" t="s">
        <v>19</v>
      </c>
      <c r="D1030" s="2">
        <v>22</v>
      </c>
      <c r="E1030" s="2" t="str">
        <f t="shared" si="66"/>
        <v>18-25</v>
      </c>
      <c r="F1030" s="2" t="s">
        <v>36</v>
      </c>
      <c r="G1030" s="2" t="s">
        <v>21</v>
      </c>
      <c r="H1030" s="2">
        <v>2</v>
      </c>
      <c r="I1030" s="2" t="str">
        <f t="shared" si="64"/>
        <v>0-6 months</v>
      </c>
      <c r="J1030" s="3">
        <v>699</v>
      </c>
      <c r="K1030" s="3">
        <v>1398</v>
      </c>
      <c r="L1030" s="2" t="s">
        <v>31</v>
      </c>
      <c r="M1030" s="4">
        <v>45861</v>
      </c>
      <c r="N1030" s="2" t="s">
        <v>23</v>
      </c>
      <c r="O1030" s="2">
        <f t="shared" si="67"/>
        <v>0</v>
      </c>
      <c r="P1030" s="2" t="s">
        <v>23</v>
      </c>
      <c r="Q1030" s="2" t="s">
        <v>23</v>
      </c>
      <c r="R1030" s="2" t="s">
        <v>23</v>
      </c>
      <c r="S1030" s="2" t="s">
        <v>23</v>
      </c>
      <c r="T1030" s="2" t="s">
        <v>23</v>
      </c>
      <c r="U1030" s="25">
        <f t="shared" si="65"/>
        <v>1398.0010299999999</v>
      </c>
    </row>
    <row r="1031" spans="1:21">
      <c r="A1031" s="2" t="s">
        <v>1699</v>
      </c>
      <c r="B1031" s="2" t="s">
        <v>1700</v>
      </c>
      <c r="C1031" s="2" t="s">
        <v>35</v>
      </c>
      <c r="D1031" s="2">
        <v>43</v>
      </c>
      <c r="E1031" s="2" t="str">
        <f t="shared" si="66"/>
        <v>36-45</v>
      </c>
      <c r="F1031" s="2" t="s">
        <v>60</v>
      </c>
      <c r="G1031" s="2" t="s">
        <v>27</v>
      </c>
      <c r="H1031" s="2">
        <v>5</v>
      </c>
      <c r="I1031" s="2" t="str">
        <f t="shared" si="64"/>
        <v>0-6 months</v>
      </c>
      <c r="J1031" s="3">
        <v>1149</v>
      </c>
      <c r="K1031" s="3">
        <v>5745</v>
      </c>
      <c r="L1031" s="2" t="s">
        <v>22</v>
      </c>
      <c r="M1031" s="4">
        <v>45755</v>
      </c>
      <c r="N1031" s="2" t="s">
        <v>23</v>
      </c>
      <c r="O1031" s="2">
        <f t="shared" si="67"/>
        <v>0</v>
      </c>
      <c r="P1031" s="2" t="s">
        <v>23</v>
      </c>
      <c r="Q1031" s="2" t="s">
        <v>23</v>
      </c>
      <c r="R1031" s="2" t="s">
        <v>23</v>
      </c>
      <c r="S1031" s="2" t="s">
        <v>23</v>
      </c>
      <c r="T1031" s="2" t="s">
        <v>23</v>
      </c>
      <c r="U1031" s="25">
        <f t="shared" si="65"/>
        <v>5745.0010309999998</v>
      </c>
    </row>
    <row r="1032" spans="1:21">
      <c r="A1032" s="2" t="s">
        <v>1701</v>
      </c>
      <c r="B1032" s="2" t="s">
        <v>204</v>
      </c>
      <c r="C1032" s="2" t="s">
        <v>35</v>
      </c>
      <c r="D1032" s="2">
        <v>63</v>
      </c>
      <c r="E1032" s="2" t="str">
        <f t="shared" si="66"/>
        <v>60+</v>
      </c>
      <c r="F1032" s="2" t="s">
        <v>46</v>
      </c>
      <c r="G1032" s="2" t="s">
        <v>47</v>
      </c>
      <c r="H1032" s="2">
        <v>38</v>
      </c>
      <c r="I1032" s="2" t="str">
        <f t="shared" si="64"/>
        <v>25-48 months</v>
      </c>
      <c r="J1032" s="3">
        <v>1199</v>
      </c>
      <c r="K1032" s="3">
        <v>45562</v>
      </c>
      <c r="L1032" s="2" t="s">
        <v>22</v>
      </c>
      <c r="M1032" s="4">
        <v>44780</v>
      </c>
      <c r="N1032" s="2" t="s">
        <v>23</v>
      </c>
      <c r="O1032" s="2">
        <f t="shared" si="67"/>
        <v>0</v>
      </c>
      <c r="P1032" s="2" t="s">
        <v>23</v>
      </c>
      <c r="Q1032" s="2" t="s">
        <v>23</v>
      </c>
      <c r="R1032" s="2" t="s">
        <v>23</v>
      </c>
      <c r="S1032" s="2" t="s">
        <v>23</v>
      </c>
      <c r="T1032" s="2" t="s">
        <v>23</v>
      </c>
      <c r="U1032" s="25">
        <f t="shared" si="65"/>
        <v>45562.001032</v>
      </c>
    </row>
    <row r="1033" spans="1:21">
      <c r="A1033" s="2" t="s">
        <v>1702</v>
      </c>
      <c r="B1033" s="2" t="s">
        <v>1703</v>
      </c>
      <c r="C1033" s="2" t="s">
        <v>35</v>
      </c>
      <c r="D1033" s="2">
        <v>24</v>
      </c>
      <c r="E1033" s="2" t="str">
        <f t="shared" si="66"/>
        <v>18-25</v>
      </c>
      <c r="F1033" s="2" t="s">
        <v>36</v>
      </c>
      <c r="G1033" s="2" t="s">
        <v>21</v>
      </c>
      <c r="H1033" s="2">
        <v>20</v>
      </c>
      <c r="I1033" s="2" t="str">
        <f t="shared" si="64"/>
        <v>13-24 months</v>
      </c>
      <c r="J1033" s="3">
        <v>1049</v>
      </c>
      <c r="K1033" s="3">
        <v>20980</v>
      </c>
      <c r="L1033" s="2" t="s">
        <v>22</v>
      </c>
      <c r="M1033" s="4">
        <v>45324</v>
      </c>
      <c r="N1033" s="2" t="s">
        <v>32</v>
      </c>
      <c r="O1033" s="2">
        <f t="shared" si="67"/>
        <v>1</v>
      </c>
      <c r="P1033" s="2" t="s">
        <v>23</v>
      </c>
      <c r="Q1033" s="2" t="s">
        <v>23</v>
      </c>
      <c r="R1033" s="2" t="s">
        <v>23</v>
      </c>
      <c r="S1033" s="2" t="s">
        <v>23</v>
      </c>
      <c r="T1033" s="2" t="s">
        <v>23</v>
      </c>
      <c r="U1033" s="25">
        <f t="shared" si="65"/>
        <v>20980.001033</v>
      </c>
    </row>
    <row r="1034" spans="1:21">
      <c r="A1034" s="2" t="s">
        <v>1704</v>
      </c>
      <c r="B1034" s="2" t="s">
        <v>1705</v>
      </c>
      <c r="C1034" s="2" t="s">
        <v>19</v>
      </c>
      <c r="D1034" s="2">
        <v>53</v>
      </c>
      <c r="E1034" s="2" t="str">
        <f t="shared" si="66"/>
        <v>46-60</v>
      </c>
      <c r="F1034" s="2" t="s">
        <v>20</v>
      </c>
      <c r="G1034" s="2" t="s">
        <v>21</v>
      </c>
      <c r="H1034" s="2">
        <v>5</v>
      </c>
      <c r="I1034" s="2" t="str">
        <f t="shared" si="64"/>
        <v>0-6 months</v>
      </c>
      <c r="J1034" s="3">
        <v>999</v>
      </c>
      <c r="K1034" s="3">
        <v>4995</v>
      </c>
      <c r="L1034" s="2" t="s">
        <v>22</v>
      </c>
      <c r="M1034" s="4">
        <v>45764</v>
      </c>
      <c r="N1034" s="2" t="s">
        <v>23</v>
      </c>
      <c r="O1034" s="2">
        <f t="shared" si="67"/>
        <v>0</v>
      </c>
      <c r="P1034" s="2" t="s">
        <v>23</v>
      </c>
      <c r="Q1034" s="2" t="s">
        <v>23</v>
      </c>
      <c r="R1034" s="2" t="s">
        <v>23</v>
      </c>
      <c r="S1034" s="2" t="s">
        <v>23</v>
      </c>
      <c r="T1034" s="2" t="s">
        <v>23</v>
      </c>
      <c r="U1034" s="25">
        <f t="shared" si="65"/>
        <v>4995.0010339999999</v>
      </c>
    </row>
    <row r="1035" spans="1:21">
      <c r="A1035" s="2" t="s">
        <v>1706</v>
      </c>
      <c r="B1035" s="2" t="s">
        <v>980</v>
      </c>
      <c r="C1035" s="2" t="s">
        <v>19</v>
      </c>
      <c r="D1035" s="2">
        <v>71</v>
      </c>
      <c r="E1035" s="2" t="str">
        <f t="shared" si="66"/>
        <v>60+</v>
      </c>
      <c r="F1035" s="2" t="s">
        <v>36</v>
      </c>
      <c r="G1035" s="2" t="s">
        <v>21</v>
      </c>
      <c r="H1035" s="2">
        <v>10</v>
      </c>
      <c r="I1035" s="2" t="str">
        <f t="shared" si="64"/>
        <v>7-12 months</v>
      </c>
      <c r="J1035" s="3">
        <v>899</v>
      </c>
      <c r="K1035" s="3">
        <v>8990</v>
      </c>
      <c r="L1035" s="2" t="s">
        <v>22</v>
      </c>
      <c r="M1035" s="4">
        <v>45609</v>
      </c>
      <c r="N1035" s="2" t="s">
        <v>32</v>
      </c>
      <c r="O1035" s="2">
        <f t="shared" si="67"/>
        <v>1</v>
      </c>
      <c r="P1035" s="2" t="s">
        <v>23</v>
      </c>
      <c r="Q1035" s="2" t="s">
        <v>32</v>
      </c>
      <c r="R1035" s="2" t="s">
        <v>23</v>
      </c>
      <c r="S1035" s="2" t="s">
        <v>23</v>
      </c>
      <c r="T1035" s="2" t="s">
        <v>23</v>
      </c>
      <c r="U1035" s="25">
        <f t="shared" si="65"/>
        <v>8990.0010349999993</v>
      </c>
    </row>
    <row r="1036" spans="1:21">
      <c r="A1036" s="2" t="s">
        <v>1707</v>
      </c>
      <c r="B1036" s="2" t="s">
        <v>1708</v>
      </c>
      <c r="C1036" s="2" t="s">
        <v>35</v>
      </c>
      <c r="D1036" s="2">
        <v>73</v>
      </c>
      <c r="E1036" s="2" t="str">
        <f t="shared" si="66"/>
        <v>60+</v>
      </c>
      <c r="F1036" s="2" t="s">
        <v>105</v>
      </c>
      <c r="G1036" s="2" t="s">
        <v>21</v>
      </c>
      <c r="H1036" s="2">
        <v>7</v>
      </c>
      <c r="I1036" s="2" t="str">
        <f t="shared" si="64"/>
        <v>7-12 months</v>
      </c>
      <c r="J1036" s="3">
        <v>749</v>
      </c>
      <c r="K1036" s="3">
        <v>5243</v>
      </c>
      <c r="L1036" s="2" t="s">
        <v>31</v>
      </c>
      <c r="M1036" s="4">
        <v>45697</v>
      </c>
      <c r="N1036" s="2" t="s">
        <v>23</v>
      </c>
      <c r="O1036" s="2">
        <f t="shared" si="67"/>
        <v>0</v>
      </c>
      <c r="P1036" s="2" t="s">
        <v>23</v>
      </c>
      <c r="Q1036" s="2" t="s">
        <v>23</v>
      </c>
      <c r="R1036" s="2" t="s">
        <v>23</v>
      </c>
      <c r="S1036" s="2" t="s">
        <v>23</v>
      </c>
      <c r="T1036" s="2" t="s">
        <v>23</v>
      </c>
      <c r="U1036" s="25">
        <f t="shared" si="65"/>
        <v>5243.0010359999997</v>
      </c>
    </row>
    <row r="1037" spans="1:21">
      <c r="A1037" s="2" t="s">
        <v>1709</v>
      </c>
      <c r="B1037" s="2" t="s">
        <v>132</v>
      </c>
      <c r="C1037" s="2" t="s">
        <v>35</v>
      </c>
      <c r="D1037" s="2">
        <v>66</v>
      </c>
      <c r="E1037" s="2" t="str">
        <f t="shared" si="66"/>
        <v>60+</v>
      </c>
      <c r="F1037" s="2" t="s">
        <v>30</v>
      </c>
      <c r="G1037" s="2" t="s">
        <v>47</v>
      </c>
      <c r="H1037" s="2">
        <v>44</v>
      </c>
      <c r="I1037" s="2" t="str">
        <f t="shared" si="64"/>
        <v>25-48 months</v>
      </c>
      <c r="J1037" s="3">
        <v>549</v>
      </c>
      <c r="K1037" s="3">
        <v>24156</v>
      </c>
      <c r="L1037" s="2" t="s">
        <v>66</v>
      </c>
      <c r="M1037" s="4">
        <v>44608</v>
      </c>
      <c r="N1037" s="2" t="s">
        <v>23</v>
      </c>
      <c r="O1037" s="2">
        <f t="shared" si="67"/>
        <v>0</v>
      </c>
      <c r="P1037" s="2" t="s">
        <v>23</v>
      </c>
      <c r="Q1037" s="2" t="s">
        <v>23</v>
      </c>
      <c r="R1037" s="2" t="s">
        <v>23</v>
      </c>
      <c r="S1037" s="2" t="s">
        <v>23</v>
      </c>
      <c r="T1037" s="2" t="s">
        <v>23</v>
      </c>
      <c r="U1037" s="25">
        <f t="shared" si="65"/>
        <v>24156.001037000002</v>
      </c>
    </row>
    <row r="1038" spans="1:21">
      <c r="A1038" s="2" t="s">
        <v>1710</v>
      </c>
      <c r="B1038" s="2" t="s">
        <v>1711</v>
      </c>
      <c r="C1038" s="2" t="s">
        <v>35</v>
      </c>
      <c r="D1038" s="2">
        <v>73</v>
      </c>
      <c r="E1038" s="2" t="str">
        <f t="shared" si="66"/>
        <v>60+</v>
      </c>
      <c r="F1038" s="2" t="s">
        <v>105</v>
      </c>
      <c r="G1038" s="2" t="s">
        <v>27</v>
      </c>
      <c r="H1038" s="2">
        <v>4</v>
      </c>
      <c r="I1038" s="2" t="str">
        <f t="shared" si="64"/>
        <v>0-6 months</v>
      </c>
      <c r="J1038" s="3">
        <v>549</v>
      </c>
      <c r="K1038" s="3">
        <v>2196</v>
      </c>
      <c r="L1038" s="2" t="s">
        <v>66</v>
      </c>
      <c r="M1038" s="4">
        <v>45785</v>
      </c>
      <c r="N1038" s="2" t="s">
        <v>23</v>
      </c>
      <c r="O1038" s="2">
        <f t="shared" si="67"/>
        <v>0</v>
      </c>
      <c r="P1038" s="2" t="s">
        <v>23</v>
      </c>
      <c r="Q1038" s="2" t="s">
        <v>23</v>
      </c>
      <c r="R1038" s="2" t="s">
        <v>23</v>
      </c>
      <c r="S1038" s="2" t="s">
        <v>23</v>
      </c>
      <c r="T1038" s="2" t="s">
        <v>23</v>
      </c>
      <c r="U1038" s="25">
        <f t="shared" si="65"/>
        <v>2196.0010379999999</v>
      </c>
    </row>
    <row r="1039" spans="1:21">
      <c r="A1039" s="2" t="s">
        <v>1712</v>
      </c>
      <c r="B1039" s="2" t="s">
        <v>841</v>
      </c>
      <c r="C1039" s="2" t="s">
        <v>35</v>
      </c>
      <c r="D1039" s="2">
        <v>45</v>
      </c>
      <c r="E1039" s="2" t="str">
        <f t="shared" si="66"/>
        <v>36-45</v>
      </c>
      <c r="F1039" s="2" t="s">
        <v>91</v>
      </c>
      <c r="G1039" s="2" t="s">
        <v>27</v>
      </c>
      <c r="H1039" s="2">
        <v>17</v>
      </c>
      <c r="I1039" s="2" t="str">
        <f t="shared" si="64"/>
        <v>13-24 months</v>
      </c>
      <c r="J1039" s="3">
        <v>1099</v>
      </c>
      <c r="K1039" s="3">
        <v>18683</v>
      </c>
      <c r="L1039" s="2" t="s">
        <v>22</v>
      </c>
      <c r="M1039" s="4">
        <v>45389</v>
      </c>
      <c r="N1039" s="2" t="s">
        <v>23</v>
      </c>
      <c r="O1039" s="2">
        <f t="shared" si="67"/>
        <v>0</v>
      </c>
      <c r="P1039" s="2" t="s">
        <v>23</v>
      </c>
      <c r="Q1039" s="2" t="s">
        <v>23</v>
      </c>
      <c r="R1039" s="2" t="s">
        <v>23</v>
      </c>
      <c r="S1039" s="2" t="s">
        <v>32</v>
      </c>
      <c r="T1039" s="2" t="s">
        <v>23</v>
      </c>
      <c r="U1039" s="25">
        <f t="shared" si="65"/>
        <v>18683.001038999999</v>
      </c>
    </row>
    <row r="1040" spans="1:21">
      <c r="A1040" s="2" t="s">
        <v>1713</v>
      </c>
      <c r="B1040" s="2" t="s">
        <v>128</v>
      </c>
      <c r="C1040" s="2" t="s">
        <v>19</v>
      </c>
      <c r="D1040" s="2">
        <v>35</v>
      </c>
      <c r="E1040" s="2" t="str">
        <f t="shared" si="66"/>
        <v>26-35</v>
      </c>
      <c r="F1040" s="2" t="s">
        <v>110</v>
      </c>
      <c r="G1040" s="2" t="s">
        <v>27</v>
      </c>
      <c r="H1040" s="2">
        <v>16</v>
      </c>
      <c r="I1040" s="2" t="str">
        <f t="shared" si="64"/>
        <v>13-24 months</v>
      </c>
      <c r="J1040" s="3">
        <v>899</v>
      </c>
      <c r="K1040" s="3">
        <v>14384</v>
      </c>
      <c r="L1040" s="2" t="s">
        <v>37</v>
      </c>
      <c r="M1040" s="4">
        <v>45436</v>
      </c>
      <c r="N1040" s="2" t="s">
        <v>23</v>
      </c>
      <c r="O1040" s="2">
        <f t="shared" si="67"/>
        <v>0</v>
      </c>
      <c r="P1040" s="2" t="s">
        <v>23</v>
      </c>
      <c r="Q1040" s="2" t="s">
        <v>23</v>
      </c>
      <c r="R1040" s="2" t="s">
        <v>23</v>
      </c>
      <c r="S1040" s="2" t="s">
        <v>23</v>
      </c>
      <c r="T1040" s="2" t="s">
        <v>23</v>
      </c>
      <c r="U1040" s="25">
        <f t="shared" si="65"/>
        <v>14384.001039999999</v>
      </c>
    </row>
    <row r="1041" spans="1:21">
      <c r="A1041" s="2" t="s">
        <v>1714</v>
      </c>
      <c r="B1041" s="2" t="s">
        <v>631</v>
      </c>
      <c r="C1041" s="2" t="s">
        <v>19</v>
      </c>
      <c r="D1041" s="2">
        <v>41</v>
      </c>
      <c r="E1041" s="2" t="str">
        <f t="shared" si="66"/>
        <v>36-45</v>
      </c>
      <c r="F1041" s="2" t="s">
        <v>37</v>
      </c>
      <c r="G1041" s="2" t="s">
        <v>27</v>
      </c>
      <c r="H1041" s="2">
        <v>39</v>
      </c>
      <c r="I1041" s="2" t="str">
        <f t="shared" si="64"/>
        <v>25-48 months</v>
      </c>
      <c r="J1041" s="3">
        <v>899</v>
      </c>
      <c r="K1041" s="3">
        <v>35061</v>
      </c>
      <c r="L1041" s="2" t="s">
        <v>22</v>
      </c>
      <c r="M1041" s="4">
        <v>44748</v>
      </c>
      <c r="N1041" s="2" t="s">
        <v>23</v>
      </c>
      <c r="O1041" s="2">
        <f t="shared" si="67"/>
        <v>0</v>
      </c>
      <c r="P1041" s="2" t="s">
        <v>23</v>
      </c>
      <c r="Q1041" s="2" t="s">
        <v>23</v>
      </c>
      <c r="R1041" s="2" t="s">
        <v>23</v>
      </c>
      <c r="S1041" s="2" t="s">
        <v>23</v>
      </c>
      <c r="T1041" s="2" t="s">
        <v>23</v>
      </c>
      <c r="U1041" s="25">
        <f t="shared" si="65"/>
        <v>35061.001041000003</v>
      </c>
    </row>
    <row r="1042" spans="1:21">
      <c r="A1042" s="2" t="s">
        <v>1715</v>
      </c>
      <c r="B1042" s="2" t="s">
        <v>1402</v>
      </c>
      <c r="C1042" s="2" t="s">
        <v>35</v>
      </c>
      <c r="D1042" s="2">
        <v>47</v>
      </c>
      <c r="E1042" s="2" t="str">
        <f t="shared" si="66"/>
        <v>46-60</v>
      </c>
      <c r="F1042" s="2" t="s">
        <v>36</v>
      </c>
      <c r="G1042" s="2" t="s">
        <v>21</v>
      </c>
      <c r="H1042" s="2">
        <v>12</v>
      </c>
      <c r="I1042" s="2" t="str">
        <f t="shared" si="64"/>
        <v>7-12 months</v>
      </c>
      <c r="J1042" s="3">
        <v>1199</v>
      </c>
      <c r="K1042" s="3">
        <v>14388</v>
      </c>
      <c r="L1042" s="2" t="s">
        <v>22</v>
      </c>
      <c r="M1042" s="4">
        <v>45567</v>
      </c>
      <c r="N1042" s="2" t="s">
        <v>32</v>
      </c>
      <c r="O1042" s="2">
        <f t="shared" si="67"/>
        <v>1</v>
      </c>
      <c r="P1042" s="2" t="s">
        <v>23</v>
      </c>
      <c r="Q1042" s="2" t="s">
        <v>23</v>
      </c>
      <c r="R1042" s="2" t="s">
        <v>23</v>
      </c>
      <c r="S1042" s="2" t="s">
        <v>23</v>
      </c>
      <c r="T1042" s="2" t="s">
        <v>23</v>
      </c>
      <c r="U1042" s="25">
        <f t="shared" si="65"/>
        <v>14388.001042</v>
      </c>
    </row>
    <row r="1043" spans="1:21">
      <c r="A1043" s="2" t="s">
        <v>1716</v>
      </c>
      <c r="B1043" s="2" t="s">
        <v>256</v>
      </c>
      <c r="C1043" s="2" t="s">
        <v>19</v>
      </c>
      <c r="D1043" s="2">
        <v>47</v>
      </c>
      <c r="E1043" s="2" t="str">
        <f t="shared" si="66"/>
        <v>46-60</v>
      </c>
      <c r="F1043" s="2" t="s">
        <v>30</v>
      </c>
      <c r="G1043" s="2" t="s">
        <v>47</v>
      </c>
      <c r="H1043" s="2">
        <v>34</v>
      </c>
      <c r="I1043" s="2" t="str">
        <f t="shared" si="64"/>
        <v>25-48 months</v>
      </c>
      <c r="J1043" s="3">
        <v>1299</v>
      </c>
      <c r="K1043" s="3">
        <v>44166</v>
      </c>
      <c r="L1043" s="2" t="s">
        <v>22</v>
      </c>
      <c r="M1043" s="4">
        <v>44893</v>
      </c>
      <c r="N1043" s="2" t="s">
        <v>23</v>
      </c>
      <c r="O1043" s="2">
        <f t="shared" si="67"/>
        <v>0</v>
      </c>
      <c r="P1043" s="2" t="s">
        <v>32</v>
      </c>
      <c r="Q1043" s="2" t="s">
        <v>23</v>
      </c>
      <c r="R1043" s="2" t="s">
        <v>23</v>
      </c>
      <c r="S1043" s="2" t="s">
        <v>23</v>
      </c>
      <c r="T1043" s="2" t="s">
        <v>23</v>
      </c>
      <c r="U1043" s="25">
        <f t="shared" si="65"/>
        <v>44166.001042999997</v>
      </c>
    </row>
    <row r="1044" spans="1:21">
      <c r="A1044" s="2" t="s">
        <v>1717</v>
      </c>
      <c r="B1044" s="2" t="s">
        <v>1718</v>
      </c>
      <c r="C1044" s="2" t="s">
        <v>19</v>
      </c>
      <c r="D1044" s="2">
        <v>29</v>
      </c>
      <c r="E1044" s="2" t="str">
        <f t="shared" si="66"/>
        <v>26-35</v>
      </c>
      <c r="F1044" s="2" t="s">
        <v>63</v>
      </c>
      <c r="G1044" s="2" t="s">
        <v>47</v>
      </c>
      <c r="H1044" s="2">
        <v>30</v>
      </c>
      <c r="I1044" s="2" t="str">
        <f t="shared" si="64"/>
        <v>25-48 months</v>
      </c>
      <c r="J1044" s="3">
        <v>1199</v>
      </c>
      <c r="K1044" s="3">
        <v>35970</v>
      </c>
      <c r="L1044" s="2" t="s">
        <v>22</v>
      </c>
      <c r="M1044" s="4">
        <v>45012</v>
      </c>
      <c r="N1044" s="2" t="s">
        <v>23</v>
      </c>
      <c r="O1044" s="2">
        <f t="shared" si="67"/>
        <v>0</v>
      </c>
      <c r="P1044" s="2" t="s">
        <v>23</v>
      </c>
      <c r="Q1044" s="2" t="s">
        <v>23</v>
      </c>
      <c r="R1044" s="2" t="s">
        <v>23</v>
      </c>
      <c r="S1044" s="2" t="s">
        <v>23</v>
      </c>
      <c r="T1044" s="2" t="s">
        <v>23</v>
      </c>
      <c r="U1044" s="25">
        <f t="shared" si="65"/>
        <v>35970.001043999997</v>
      </c>
    </row>
    <row r="1045" spans="1:21">
      <c r="A1045" s="2" t="s">
        <v>1719</v>
      </c>
      <c r="B1045" s="2" t="s">
        <v>385</v>
      </c>
      <c r="C1045" s="2" t="s">
        <v>35</v>
      </c>
      <c r="D1045" s="2">
        <v>20</v>
      </c>
      <c r="E1045" s="2" t="str">
        <f t="shared" si="66"/>
        <v>18-25</v>
      </c>
      <c r="F1045" s="2" t="s">
        <v>26</v>
      </c>
      <c r="G1045" s="2" t="s">
        <v>27</v>
      </c>
      <c r="H1045" s="2">
        <v>17</v>
      </c>
      <c r="I1045" s="2" t="str">
        <f t="shared" si="64"/>
        <v>13-24 months</v>
      </c>
      <c r="J1045" s="3">
        <v>699</v>
      </c>
      <c r="K1045" s="3">
        <v>11883</v>
      </c>
      <c r="L1045" s="2" t="s">
        <v>31</v>
      </c>
      <c r="M1045" s="4">
        <v>45417</v>
      </c>
      <c r="N1045" s="2" t="s">
        <v>23</v>
      </c>
      <c r="O1045" s="2">
        <f t="shared" si="67"/>
        <v>0</v>
      </c>
      <c r="P1045" s="2" t="s">
        <v>23</v>
      </c>
      <c r="Q1045" s="2" t="s">
        <v>23</v>
      </c>
      <c r="R1045" s="2" t="s">
        <v>23</v>
      </c>
      <c r="S1045" s="2" t="s">
        <v>23</v>
      </c>
      <c r="T1045" s="2" t="s">
        <v>23</v>
      </c>
      <c r="U1045" s="25">
        <f t="shared" si="65"/>
        <v>11883.001045000001</v>
      </c>
    </row>
    <row r="1046" spans="1:21">
      <c r="A1046" s="2" t="s">
        <v>1720</v>
      </c>
      <c r="B1046" s="2" t="s">
        <v>242</v>
      </c>
      <c r="C1046" s="2" t="s">
        <v>37</v>
      </c>
      <c r="D1046" s="2">
        <v>22</v>
      </c>
      <c r="E1046" s="2" t="str">
        <f t="shared" si="66"/>
        <v>18-25</v>
      </c>
      <c r="F1046" s="2" t="s">
        <v>26</v>
      </c>
      <c r="G1046" s="2" t="s">
        <v>21</v>
      </c>
      <c r="H1046" s="2">
        <v>8</v>
      </c>
      <c r="I1046" s="2" t="str">
        <f t="shared" si="64"/>
        <v>7-12 months</v>
      </c>
      <c r="J1046" s="3">
        <v>1049</v>
      </c>
      <c r="K1046" s="3">
        <v>8392</v>
      </c>
      <c r="L1046" s="2" t="s">
        <v>22</v>
      </c>
      <c r="M1046" s="4">
        <v>45662</v>
      </c>
      <c r="N1046" s="2" t="s">
        <v>32</v>
      </c>
      <c r="O1046" s="2">
        <f t="shared" si="67"/>
        <v>1</v>
      </c>
      <c r="P1046" s="2" t="s">
        <v>23</v>
      </c>
      <c r="Q1046" s="2" t="s">
        <v>23</v>
      </c>
      <c r="R1046" s="2" t="s">
        <v>23</v>
      </c>
      <c r="S1046" s="2" t="s">
        <v>23</v>
      </c>
      <c r="T1046" s="2" t="s">
        <v>23</v>
      </c>
      <c r="U1046" s="25">
        <f t="shared" si="65"/>
        <v>8392.0010459999994</v>
      </c>
    </row>
    <row r="1047" spans="1:21">
      <c r="A1047" s="2" t="s">
        <v>1721</v>
      </c>
      <c r="B1047" s="2" t="s">
        <v>622</v>
      </c>
      <c r="C1047" s="2" t="s">
        <v>35</v>
      </c>
      <c r="D1047" s="2">
        <v>45</v>
      </c>
      <c r="E1047" s="2" t="str">
        <f t="shared" si="66"/>
        <v>36-45</v>
      </c>
      <c r="F1047" s="2" t="s">
        <v>37</v>
      </c>
      <c r="G1047" s="2" t="s">
        <v>21</v>
      </c>
      <c r="H1047" s="2">
        <v>12</v>
      </c>
      <c r="I1047" s="2" t="str">
        <f t="shared" si="64"/>
        <v>7-12 months</v>
      </c>
      <c r="J1047" s="3">
        <v>699</v>
      </c>
      <c r="K1047" s="3">
        <v>8388</v>
      </c>
      <c r="L1047" s="2" t="s">
        <v>31</v>
      </c>
      <c r="M1047" s="4">
        <v>45559</v>
      </c>
      <c r="N1047" s="2" t="s">
        <v>23</v>
      </c>
      <c r="O1047" s="2">
        <f t="shared" si="67"/>
        <v>0</v>
      </c>
      <c r="P1047" s="2" t="s">
        <v>23</v>
      </c>
      <c r="Q1047" s="2" t="s">
        <v>23</v>
      </c>
      <c r="R1047" s="2" t="s">
        <v>23</v>
      </c>
      <c r="S1047" s="2" t="s">
        <v>23</v>
      </c>
      <c r="T1047" s="2" t="s">
        <v>23</v>
      </c>
      <c r="U1047" s="25">
        <f t="shared" si="65"/>
        <v>8388.0010469999997</v>
      </c>
    </row>
    <row r="1048" spans="1:21">
      <c r="A1048" s="2" t="s">
        <v>1722</v>
      </c>
      <c r="B1048" s="2" t="s">
        <v>1723</v>
      </c>
      <c r="C1048" s="2" t="s">
        <v>19</v>
      </c>
      <c r="D1048" s="2">
        <v>20</v>
      </c>
      <c r="E1048" s="2" t="str">
        <f t="shared" si="66"/>
        <v>18-25</v>
      </c>
      <c r="F1048" s="2" t="s">
        <v>46</v>
      </c>
      <c r="G1048" s="2" t="s">
        <v>47</v>
      </c>
      <c r="H1048" s="2">
        <v>4</v>
      </c>
      <c r="I1048" s="2" t="str">
        <f t="shared" si="64"/>
        <v>0-6 months</v>
      </c>
      <c r="J1048" s="3">
        <v>399</v>
      </c>
      <c r="K1048" s="3">
        <v>1596</v>
      </c>
      <c r="L1048" s="2" t="s">
        <v>66</v>
      </c>
      <c r="M1048" s="4">
        <v>45792</v>
      </c>
      <c r="N1048" s="2" t="s">
        <v>23</v>
      </c>
      <c r="O1048" s="2">
        <f t="shared" si="67"/>
        <v>0</v>
      </c>
      <c r="P1048" s="2" t="s">
        <v>23</v>
      </c>
      <c r="Q1048" s="2" t="s">
        <v>23</v>
      </c>
      <c r="R1048" s="2" t="s">
        <v>23</v>
      </c>
      <c r="S1048" s="2" t="s">
        <v>23</v>
      </c>
      <c r="T1048" s="2" t="s">
        <v>23</v>
      </c>
      <c r="U1048" s="25">
        <f t="shared" si="65"/>
        <v>1596.0010480000001</v>
      </c>
    </row>
    <row r="1049" spans="1:21">
      <c r="A1049" s="2" t="s">
        <v>1724</v>
      </c>
      <c r="B1049" s="2" t="s">
        <v>84</v>
      </c>
      <c r="C1049" s="2" t="s">
        <v>35</v>
      </c>
      <c r="D1049" s="2">
        <v>71</v>
      </c>
      <c r="E1049" s="2" t="str">
        <f t="shared" si="66"/>
        <v>60+</v>
      </c>
      <c r="F1049" s="2" t="s">
        <v>91</v>
      </c>
      <c r="G1049" s="2" t="s">
        <v>21</v>
      </c>
      <c r="H1049" s="2">
        <v>13</v>
      </c>
      <c r="I1049" s="2" t="str">
        <f t="shared" si="64"/>
        <v>13-24 months</v>
      </c>
      <c r="J1049" s="3">
        <v>1199</v>
      </c>
      <c r="K1049" s="3">
        <v>15587</v>
      </c>
      <c r="L1049" s="2" t="s">
        <v>22</v>
      </c>
      <c r="M1049" s="4">
        <v>45509</v>
      </c>
      <c r="N1049" s="2" t="s">
        <v>23</v>
      </c>
      <c r="O1049" s="2">
        <f t="shared" si="67"/>
        <v>0</v>
      </c>
      <c r="P1049" s="2" t="s">
        <v>23</v>
      </c>
      <c r="Q1049" s="2" t="s">
        <v>23</v>
      </c>
      <c r="R1049" s="2" t="s">
        <v>23</v>
      </c>
      <c r="S1049" s="2" t="s">
        <v>23</v>
      </c>
      <c r="T1049" s="2" t="s">
        <v>23</v>
      </c>
      <c r="U1049" s="25">
        <f t="shared" si="65"/>
        <v>15587.001049</v>
      </c>
    </row>
    <row r="1050" spans="1:21">
      <c r="A1050" s="2" t="s">
        <v>1725</v>
      </c>
      <c r="B1050" s="2" t="s">
        <v>483</v>
      </c>
      <c r="C1050" s="2" t="s">
        <v>19</v>
      </c>
      <c r="D1050" s="2">
        <v>54</v>
      </c>
      <c r="E1050" s="2" t="str">
        <f t="shared" si="66"/>
        <v>46-60</v>
      </c>
      <c r="F1050" s="2" t="s">
        <v>71</v>
      </c>
      <c r="G1050" s="2" t="s">
        <v>21</v>
      </c>
      <c r="H1050" s="2">
        <v>24</v>
      </c>
      <c r="I1050" s="2" t="str">
        <f t="shared" si="64"/>
        <v>13-24 months</v>
      </c>
      <c r="J1050" s="3">
        <v>1299</v>
      </c>
      <c r="K1050" s="3">
        <v>31176</v>
      </c>
      <c r="L1050" s="2" t="s">
        <v>22</v>
      </c>
      <c r="M1050" s="4">
        <v>45189</v>
      </c>
      <c r="N1050" s="2" t="s">
        <v>23</v>
      </c>
      <c r="O1050" s="2">
        <f t="shared" si="67"/>
        <v>0</v>
      </c>
      <c r="P1050" s="2" t="s">
        <v>23</v>
      </c>
      <c r="Q1050" s="2" t="s">
        <v>23</v>
      </c>
      <c r="R1050" s="2" t="s">
        <v>23</v>
      </c>
      <c r="S1050" s="2" t="s">
        <v>23</v>
      </c>
      <c r="T1050" s="2" t="s">
        <v>23</v>
      </c>
      <c r="U1050" s="25">
        <f t="shared" si="65"/>
        <v>31176.001049999999</v>
      </c>
    </row>
    <row r="1051" spans="1:21">
      <c r="A1051" s="2" t="s">
        <v>1726</v>
      </c>
      <c r="B1051" s="2" t="s">
        <v>88</v>
      </c>
      <c r="C1051" s="2" t="s">
        <v>35</v>
      </c>
      <c r="D1051" s="2">
        <v>46</v>
      </c>
      <c r="E1051" s="2" t="str">
        <f t="shared" si="66"/>
        <v>46-60</v>
      </c>
      <c r="F1051" s="2" t="s">
        <v>30</v>
      </c>
      <c r="G1051" s="2" t="s">
        <v>21</v>
      </c>
      <c r="H1051" s="2">
        <v>10</v>
      </c>
      <c r="I1051" s="2" t="str">
        <f t="shared" si="64"/>
        <v>7-12 months</v>
      </c>
      <c r="J1051" s="3">
        <v>399</v>
      </c>
      <c r="K1051" s="3">
        <v>3990</v>
      </c>
      <c r="L1051" s="2" t="s">
        <v>66</v>
      </c>
      <c r="M1051" s="4">
        <v>45617</v>
      </c>
      <c r="N1051" s="2" t="s">
        <v>23</v>
      </c>
      <c r="O1051" s="2">
        <f t="shared" si="67"/>
        <v>0</v>
      </c>
      <c r="P1051" s="2" t="s">
        <v>23</v>
      </c>
      <c r="Q1051" s="2" t="s">
        <v>23</v>
      </c>
      <c r="R1051" s="2" t="s">
        <v>23</v>
      </c>
      <c r="S1051" s="2" t="s">
        <v>23</v>
      </c>
      <c r="T1051" s="2" t="s">
        <v>23</v>
      </c>
      <c r="U1051" s="25">
        <f t="shared" si="65"/>
        <v>3990.0010510000002</v>
      </c>
    </row>
    <row r="1052" spans="1:21">
      <c r="A1052" s="2" t="s">
        <v>1727</v>
      </c>
      <c r="B1052" s="2" t="s">
        <v>1728</v>
      </c>
      <c r="C1052" s="2" t="s">
        <v>19</v>
      </c>
      <c r="D1052" s="2">
        <v>65</v>
      </c>
      <c r="E1052" s="2" t="str">
        <f t="shared" si="66"/>
        <v>60+</v>
      </c>
      <c r="F1052" s="2" t="s">
        <v>41</v>
      </c>
      <c r="G1052" s="2" t="s">
        <v>27</v>
      </c>
      <c r="H1052" s="2">
        <v>27</v>
      </c>
      <c r="I1052" s="2" t="str">
        <f t="shared" si="64"/>
        <v>25-48 months</v>
      </c>
      <c r="J1052" s="3">
        <v>899</v>
      </c>
      <c r="K1052" s="3">
        <v>24273</v>
      </c>
      <c r="L1052" s="2" t="s">
        <v>22</v>
      </c>
      <c r="M1052" s="4">
        <v>45116</v>
      </c>
      <c r="N1052" s="2" t="s">
        <v>23</v>
      </c>
      <c r="O1052" s="2">
        <f t="shared" si="67"/>
        <v>0</v>
      </c>
      <c r="P1052" s="2" t="s">
        <v>23</v>
      </c>
      <c r="Q1052" s="2" t="s">
        <v>23</v>
      </c>
      <c r="R1052" s="2" t="s">
        <v>23</v>
      </c>
      <c r="S1052" s="2" t="s">
        <v>23</v>
      </c>
      <c r="T1052" s="2" t="s">
        <v>23</v>
      </c>
      <c r="U1052" s="25">
        <f t="shared" si="65"/>
        <v>24273.001052</v>
      </c>
    </row>
    <row r="1053" spans="1:21">
      <c r="A1053" s="2" t="s">
        <v>1729</v>
      </c>
      <c r="B1053" s="2" t="s">
        <v>1730</v>
      </c>
      <c r="C1053" s="2" t="s">
        <v>35</v>
      </c>
      <c r="D1053" s="2">
        <v>32</v>
      </c>
      <c r="E1053" s="2" t="str">
        <f t="shared" si="66"/>
        <v>26-35</v>
      </c>
      <c r="F1053" s="2" t="s">
        <v>60</v>
      </c>
      <c r="G1053" s="2" t="s">
        <v>27</v>
      </c>
      <c r="H1053" s="2">
        <v>9</v>
      </c>
      <c r="I1053" s="2" t="str">
        <f t="shared" si="64"/>
        <v>7-12 months</v>
      </c>
      <c r="J1053" s="3">
        <v>799</v>
      </c>
      <c r="K1053" s="3">
        <v>7191</v>
      </c>
      <c r="L1053" s="2" t="s">
        <v>31</v>
      </c>
      <c r="M1053" s="4">
        <v>45637</v>
      </c>
      <c r="N1053" s="2" t="s">
        <v>23</v>
      </c>
      <c r="O1053" s="2">
        <f t="shared" si="67"/>
        <v>0</v>
      </c>
      <c r="P1053" s="2" t="s">
        <v>23</v>
      </c>
      <c r="Q1053" s="2" t="s">
        <v>23</v>
      </c>
      <c r="R1053" s="2" t="s">
        <v>23</v>
      </c>
      <c r="S1053" s="2" t="s">
        <v>23</v>
      </c>
      <c r="T1053" s="2" t="s">
        <v>23</v>
      </c>
      <c r="U1053" s="25">
        <f t="shared" si="65"/>
        <v>7191.001053</v>
      </c>
    </row>
    <row r="1054" spans="1:21">
      <c r="A1054" s="2" t="s">
        <v>1731</v>
      </c>
      <c r="B1054" s="2" t="s">
        <v>631</v>
      </c>
      <c r="C1054" s="2" t="s">
        <v>19</v>
      </c>
      <c r="D1054" s="2">
        <v>68</v>
      </c>
      <c r="E1054" s="2" t="str">
        <f t="shared" si="66"/>
        <v>60+</v>
      </c>
      <c r="F1054" s="2" t="s">
        <v>46</v>
      </c>
      <c r="G1054" s="2" t="s">
        <v>21</v>
      </c>
      <c r="H1054" s="2">
        <v>14</v>
      </c>
      <c r="I1054" s="2" t="str">
        <f t="shared" si="64"/>
        <v>13-24 months</v>
      </c>
      <c r="J1054" s="3">
        <v>749</v>
      </c>
      <c r="K1054" s="3">
        <v>10486</v>
      </c>
      <c r="L1054" s="2" t="s">
        <v>31</v>
      </c>
      <c r="M1054" s="4">
        <v>45488</v>
      </c>
      <c r="N1054" s="2" t="s">
        <v>23</v>
      </c>
      <c r="O1054" s="2">
        <f t="shared" si="67"/>
        <v>0</v>
      </c>
      <c r="P1054" s="2" t="s">
        <v>23</v>
      </c>
      <c r="Q1054" s="2" t="s">
        <v>23</v>
      </c>
      <c r="R1054" s="2" t="s">
        <v>23</v>
      </c>
      <c r="S1054" s="2" t="s">
        <v>23</v>
      </c>
      <c r="T1054" s="2" t="s">
        <v>23</v>
      </c>
      <c r="U1054" s="25">
        <f t="shared" si="65"/>
        <v>10486.001054</v>
      </c>
    </row>
    <row r="1055" spans="1:21">
      <c r="A1055" s="2" t="s">
        <v>1732</v>
      </c>
      <c r="B1055" s="2" t="s">
        <v>45</v>
      </c>
      <c r="C1055" s="2" t="s">
        <v>19</v>
      </c>
      <c r="D1055" s="2">
        <v>18</v>
      </c>
      <c r="E1055" s="2" t="str">
        <f t="shared" si="66"/>
        <v>18-25</v>
      </c>
      <c r="F1055" s="2" t="s">
        <v>63</v>
      </c>
      <c r="G1055" s="2" t="s">
        <v>21</v>
      </c>
      <c r="H1055" s="2">
        <v>18</v>
      </c>
      <c r="I1055" s="2" t="str">
        <f t="shared" si="64"/>
        <v>13-24 months</v>
      </c>
      <c r="J1055" s="3">
        <v>849</v>
      </c>
      <c r="K1055" s="3">
        <v>15282</v>
      </c>
      <c r="L1055" s="2" t="s">
        <v>31</v>
      </c>
      <c r="M1055" s="4">
        <v>45387</v>
      </c>
      <c r="N1055" s="2" t="s">
        <v>32</v>
      </c>
      <c r="O1055" s="2">
        <f t="shared" si="67"/>
        <v>1</v>
      </c>
      <c r="P1055" s="2" t="s">
        <v>23</v>
      </c>
      <c r="Q1055" s="2" t="s">
        <v>23</v>
      </c>
      <c r="R1055" s="2" t="s">
        <v>23</v>
      </c>
      <c r="S1055" s="2" t="s">
        <v>23</v>
      </c>
      <c r="T1055" s="2" t="s">
        <v>23</v>
      </c>
      <c r="U1055" s="25">
        <f t="shared" si="65"/>
        <v>15282.001055000001</v>
      </c>
    </row>
    <row r="1056" spans="1:21">
      <c r="A1056" s="2" t="s">
        <v>1733</v>
      </c>
      <c r="B1056" s="2" t="s">
        <v>172</v>
      </c>
      <c r="C1056" s="2" t="s">
        <v>35</v>
      </c>
      <c r="D1056" s="2">
        <v>28</v>
      </c>
      <c r="E1056" s="2" t="str">
        <f t="shared" si="66"/>
        <v>26-35</v>
      </c>
      <c r="F1056" s="2" t="s">
        <v>41</v>
      </c>
      <c r="G1056" s="2" t="s">
        <v>21</v>
      </c>
      <c r="H1056" s="2">
        <v>13</v>
      </c>
      <c r="I1056" s="2" t="str">
        <f t="shared" si="64"/>
        <v>13-24 months</v>
      </c>
      <c r="J1056" s="3">
        <v>399</v>
      </c>
      <c r="K1056" s="3">
        <v>5187</v>
      </c>
      <c r="L1056" s="2" t="s">
        <v>66</v>
      </c>
      <c r="M1056" s="4">
        <v>45521</v>
      </c>
      <c r="N1056" s="2" t="s">
        <v>32</v>
      </c>
      <c r="O1056" s="2">
        <f t="shared" si="67"/>
        <v>1</v>
      </c>
      <c r="P1056" s="2" t="s">
        <v>23</v>
      </c>
      <c r="Q1056" s="2" t="s">
        <v>23</v>
      </c>
      <c r="R1056" s="2" t="s">
        <v>23</v>
      </c>
      <c r="S1056" s="2" t="s">
        <v>23</v>
      </c>
      <c r="T1056" s="2" t="s">
        <v>23</v>
      </c>
      <c r="U1056" s="25">
        <f t="shared" si="65"/>
        <v>5187.0010560000001</v>
      </c>
    </row>
    <row r="1057" spans="1:21">
      <c r="A1057" s="2" t="s">
        <v>1734</v>
      </c>
      <c r="B1057" s="2" t="s">
        <v>1049</v>
      </c>
      <c r="C1057" s="2" t="s">
        <v>19</v>
      </c>
      <c r="D1057" s="2">
        <v>39</v>
      </c>
      <c r="E1057" s="2" t="str">
        <f t="shared" si="66"/>
        <v>36-45</v>
      </c>
      <c r="F1057" s="2" t="s">
        <v>57</v>
      </c>
      <c r="G1057" s="2" t="s">
        <v>47</v>
      </c>
      <c r="H1057" s="2">
        <v>14</v>
      </c>
      <c r="I1057" s="2" t="str">
        <f t="shared" si="64"/>
        <v>13-24 months</v>
      </c>
      <c r="J1057" s="3">
        <v>899</v>
      </c>
      <c r="K1057" s="3">
        <v>12586</v>
      </c>
      <c r="L1057" s="2" t="s">
        <v>22</v>
      </c>
      <c r="M1057" s="4">
        <v>45497</v>
      </c>
      <c r="N1057" s="2" t="s">
        <v>23</v>
      </c>
      <c r="O1057" s="2">
        <f t="shared" si="67"/>
        <v>0</v>
      </c>
      <c r="P1057" s="2" t="s">
        <v>23</v>
      </c>
      <c r="Q1057" s="2" t="s">
        <v>23</v>
      </c>
      <c r="R1057" s="2" t="s">
        <v>23</v>
      </c>
      <c r="S1057" s="2" t="s">
        <v>23</v>
      </c>
      <c r="T1057" s="2" t="s">
        <v>23</v>
      </c>
      <c r="U1057" s="25">
        <f t="shared" si="65"/>
        <v>12586.001056999999</v>
      </c>
    </row>
    <row r="1058" spans="1:21">
      <c r="A1058" s="2" t="s">
        <v>1735</v>
      </c>
      <c r="B1058" s="2" t="s">
        <v>1588</v>
      </c>
      <c r="C1058" s="2" t="s">
        <v>35</v>
      </c>
      <c r="D1058" s="2">
        <v>46</v>
      </c>
      <c r="E1058" s="2" t="str">
        <f t="shared" si="66"/>
        <v>46-60</v>
      </c>
      <c r="F1058" s="2" t="s">
        <v>37</v>
      </c>
      <c r="G1058" s="2" t="s">
        <v>47</v>
      </c>
      <c r="H1058" s="2">
        <v>62</v>
      </c>
      <c r="I1058" s="2" t="str">
        <f t="shared" si="64"/>
        <v>49+ months</v>
      </c>
      <c r="J1058" s="3">
        <v>849</v>
      </c>
      <c r="K1058" s="3">
        <v>52638</v>
      </c>
      <c r="L1058" s="2" t="s">
        <v>31</v>
      </c>
      <c r="M1058" s="4">
        <v>44050</v>
      </c>
      <c r="N1058" s="2" t="s">
        <v>23</v>
      </c>
      <c r="O1058" s="2">
        <f t="shared" si="67"/>
        <v>0</v>
      </c>
      <c r="P1058" s="2" t="s">
        <v>23</v>
      </c>
      <c r="Q1058" s="2" t="s">
        <v>23</v>
      </c>
      <c r="R1058" s="2" t="s">
        <v>23</v>
      </c>
      <c r="S1058" s="2" t="s">
        <v>23</v>
      </c>
      <c r="T1058" s="2" t="s">
        <v>23</v>
      </c>
      <c r="U1058" s="25">
        <f t="shared" si="65"/>
        <v>52638.001058000002</v>
      </c>
    </row>
    <row r="1059" spans="1:21">
      <c r="A1059" s="2" t="s">
        <v>1736</v>
      </c>
      <c r="B1059" s="2" t="s">
        <v>128</v>
      </c>
      <c r="C1059" s="2" t="s">
        <v>19</v>
      </c>
      <c r="D1059" s="2">
        <v>55</v>
      </c>
      <c r="E1059" s="2" t="str">
        <f t="shared" si="66"/>
        <v>46-60</v>
      </c>
      <c r="F1059" s="2" t="s">
        <v>91</v>
      </c>
      <c r="G1059" s="2" t="s">
        <v>21</v>
      </c>
      <c r="H1059" s="2">
        <v>13</v>
      </c>
      <c r="I1059" s="2" t="str">
        <f t="shared" si="64"/>
        <v>13-24 months</v>
      </c>
      <c r="J1059" s="3">
        <v>1099</v>
      </c>
      <c r="K1059" s="3">
        <v>14287</v>
      </c>
      <c r="L1059" s="2" t="s">
        <v>22</v>
      </c>
      <c r="M1059" s="4">
        <v>45520</v>
      </c>
      <c r="N1059" s="2" t="s">
        <v>23</v>
      </c>
      <c r="O1059" s="2">
        <f t="shared" si="67"/>
        <v>0</v>
      </c>
      <c r="P1059" s="2" t="s">
        <v>23</v>
      </c>
      <c r="Q1059" s="2" t="s">
        <v>23</v>
      </c>
      <c r="R1059" s="2" t="s">
        <v>23</v>
      </c>
      <c r="S1059" s="2" t="s">
        <v>23</v>
      </c>
      <c r="T1059" s="2" t="s">
        <v>23</v>
      </c>
      <c r="U1059" s="25">
        <f t="shared" si="65"/>
        <v>14287.001059</v>
      </c>
    </row>
    <row r="1060" spans="1:21">
      <c r="A1060" s="2" t="s">
        <v>1737</v>
      </c>
      <c r="B1060" s="2" t="s">
        <v>80</v>
      </c>
      <c r="C1060" s="2" t="s">
        <v>35</v>
      </c>
      <c r="D1060" s="2">
        <v>37</v>
      </c>
      <c r="E1060" s="2" t="str">
        <f t="shared" si="66"/>
        <v>36-45</v>
      </c>
      <c r="F1060" s="2" t="s">
        <v>60</v>
      </c>
      <c r="G1060" s="2" t="s">
        <v>21</v>
      </c>
      <c r="H1060" s="2">
        <v>17</v>
      </c>
      <c r="I1060" s="2" t="str">
        <f t="shared" si="64"/>
        <v>13-24 months</v>
      </c>
      <c r="J1060" s="3">
        <v>1149</v>
      </c>
      <c r="K1060" s="3">
        <v>19533</v>
      </c>
      <c r="L1060" s="2" t="s">
        <v>22</v>
      </c>
      <c r="M1060" s="4">
        <v>45406</v>
      </c>
      <c r="N1060" s="2" t="s">
        <v>32</v>
      </c>
      <c r="O1060" s="2">
        <f t="shared" si="67"/>
        <v>1</v>
      </c>
      <c r="P1060" s="2" t="s">
        <v>23</v>
      </c>
      <c r="Q1060" s="2" t="s">
        <v>23</v>
      </c>
      <c r="R1060" s="2" t="s">
        <v>23</v>
      </c>
      <c r="S1060" s="2" t="s">
        <v>23</v>
      </c>
      <c r="T1060" s="2" t="s">
        <v>23</v>
      </c>
      <c r="U1060" s="25">
        <f t="shared" si="65"/>
        <v>19533.001059999999</v>
      </c>
    </row>
    <row r="1061" spans="1:21">
      <c r="A1061" s="2" t="s">
        <v>1738</v>
      </c>
      <c r="B1061" s="2" t="s">
        <v>37</v>
      </c>
      <c r="C1061" s="2" t="s">
        <v>35</v>
      </c>
      <c r="D1061" s="2">
        <v>20</v>
      </c>
      <c r="E1061" s="2" t="str">
        <f t="shared" si="66"/>
        <v>18-25</v>
      </c>
      <c r="F1061" s="2" t="s">
        <v>57</v>
      </c>
      <c r="G1061" s="2" t="s">
        <v>47</v>
      </c>
      <c r="H1061" s="2">
        <v>27</v>
      </c>
      <c r="I1061" s="2" t="str">
        <f t="shared" si="64"/>
        <v>25-48 months</v>
      </c>
      <c r="J1061" s="3">
        <v>449</v>
      </c>
      <c r="K1061" s="3">
        <v>12123</v>
      </c>
      <c r="L1061" s="2" t="s">
        <v>66</v>
      </c>
      <c r="M1061" s="4">
        <v>45099</v>
      </c>
      <c r="N1061" s="2" t="s">
        <v>23</v>
      </c>
      <c r="O1061" s="2">
        <f t="shared" si="67"/>
        <v>0</v>
      </c>
      <c r="P1061" s="2" t="s">
        <v>23</v>
      </c>
      <c r="Q1061" s="2" t="s">
        <v>23</v>
      </c>
      <c r="R1061" s="2" t="s">
        <v>23</v>
      </c>
      <c r="S1061" s="2" t="s">
        <v>32</v>
      </c>
      <c r="T1061" s="2" t="s">
        <v>23</v>
      </c>
      <c r="U1061" s="25">
        <f t="shared" si="65"/>
        <v>12123.001061000001</v>
      </c>
    </row>
    <row r="1062" spans="1:21">
      <c r="A1062" s="2" t="s">
        <v>1739</v>
      </c>
      <c r="B1062" s="2" t="s">
        <v>718</v>
      </c>
      <c r="C1062" s="2" t="s">
        <v>35</v>
      </c>
      <c r="D1062" s="2">
        <v>36</v>
      </c>
      <c r="E1062" s="2" t="str">
        <f t="shared" si="66"/>
        <v>36-45</v>
      </c>
      <c r="F1062" s="2" t="s">
        <v>63</v>
      </c>
      <c r="G1062" s="2" t="s">
        <v>21</v>
      </c>
      <c r="H1062" s="2">
        <v>15</v>
      </c>
      <c r="I1062" s="2" t="str">
        <f t="shared" si="64"/>
        <v>13-24 months</v>
      </c>
      <c r="J1062" s="3">
        <v>649</v>
      </c>
      <c r="K1062" s="3">
        <v>9735</v>
      </c>
      <c r="L1062" s="2" t="s">
        <v>31</v>
      </c>
      <c r="M1062" s="4">
        <v>45470</v>
      </c>
      <c r="N1062" s="2" t="s">
        <v>23</v>
      </c>
      <c r="O1062" s="2">
        <f t="shared" si="67"/>
        <v>0</v>
      </c>
      <c r="P1062" s="2" t="s">
        <v>23</v>
      </c>
      <c r="Q1062" s="2" t="s">
        <v>23</v>
      </c>
      <c r="R1062" s="2" t="s">
        <v>23</v>
      </c>
      <c r="S1062" s="2" t="s">
        <v>23</v>
      </c>
      <c r="T1062" s="2" t="s">
        <v>23</v>
      </c>
      <c r="U1062" s="25">
        <f t="shared" si="65"/>
        <v>9735.0010619999994</v>
      </c>
    </row>
    <row r="1063" spans="1:21">
      <c r="A1063" s="2" t="s">
        <v>1740</v>
      </c>
      <c r="B1063" s="2" t="s">
        <v>1741</v>
      </c>
      <c r="C1063" s="2" t="s">
        <v>19</v>
      </c>
      <c r="D1063" s="2">
        <v>35</v>
      </c>
      <c r="E1063" s="2" t="str">
        <f t="shared" si="66"/>
        <v>26-35</v>
      </c>
      <c r="F1063" s="2" t="s">
        <v>63</v>
      </c>
      <c r="G1063" s="2" t="s">
        <v>21</v>
      </c>
      <c r="H1063" s="2">
        <v>17</v>
      </c>
      <c r="I1063" s="2" t="str">
        <f t="shared" si="64"/>
        <v>13-24 months</v>
      </c>
      <c r="J1063" s="3">
        <v>999</v>
      </c>
      <c r="K1063" s="3">
        <v>16983</v>
      </c>
      <c r="L1063" s="2" t="s">
        <v>22</v>
      </c>
      <c r="M1063" s="4">
        <v>45417</v>
      </c>
      <c r="N1063" s="2" t="s">
        <v>23</v>
      </c>
      <c r="O1063" s="2">
        <f t="shared" si="67"/>
        <v>0</v>
      </c>
      <c r="P1063" s="2" t="s">
        <v>23</v>
      </c>
      <c r="Q1063" s="2" t="s">
        <v>23</v>
      </c>
      <c r="R1063" s="2" t="s">
        <v>23</v>
      </c>
      <c r="S1063" s="2" t="s">
        <v>23</v>
      </c>
      <c r="T1063" s="2" t="s">
        <v>23</v>
      </c>
      <c r="U1063" s="25">
        <f t="shared" si="65"/>
        <v>16983.001063</v>
      </c>
    </row>
    <row r="1064" spans="1:21">
      <c r="A1064" s="2" t="s">
        <v>1742</v>
      </c>
      <c r="B1064" s="2" t="s">
        <v>980</v>
      </c>
      <c r="C1064" s="2" t="s">
        <v>19</v>
      </c>
      <c r="D1064" s="2">
        <v>71</v>
      </c>
      <c r="E1064" s="2" t="str">
        <f t="shared" si="66"/>
        <v>60+</v>
      </c>
      <c r="F1064" s="2" t="s">
        <v>57</v>
      </c>
      <c r="G1064" s="2" t="s">
        <v>21</v>
      </c>
      <c r="H1064" s="2">
        <v>19</v>
      </c>
      <c r="I1064" s="2" t="str">
        <f t="shared" si="64"/>
        <v>13-24 months</v>
      </c>
      <c r="J1064" s="3">
        <v>749</v>
      </c>
      <c r="K1064" s="3">
        <v>14231</v>
      </c>
      <c r="L1064" s="2" t="s">
        <v>31</v>
      </c>
      <c r="M1064" s="4">
        <v>45332</v>
      </c>
      <c r="N1064" s="2" t="s">
        <v>23</v>
      </c>
      <c r="O1064" s="2">
        <f t="shared" si="67"/>
        <v>0</v>
      </c>
      <c r="P1064" s="2" t="s">
        <v>23</v>
      </c>
      <c r="Q1064" s="2" t="s">
        <v>23</v>
      </c>
      <c r="R1064" s="2" t="s">
        <v>23</v>
      </c>
      <c r="S1064" s="2" t="s">
        <v>23</v>
      </c>
      <c r="T1064" s="2" t="s">
        <v>23</v>
      </c>
      <c r="U1064" s="25">
        <f t="shared" si="65"/>
        <v>14231.001064</v>
      </c>
    </row>
    <row r="1065" spans="1:21">
      <c r="A1065" s="2" t="s">
        <v>1743</v>
      </c>
      <c r="B1065" s="2" t="s">
        <v>399</v>
      </c>
      <c r="C1065" s="2" t="s">
        <v>35</v>
      </c>
      <c r="D1065" s="2">
        <v>63</v>
      </c>
      <c r="E1065" s="2" t="str">
        <f t="shared" si="66"/>
        <v>60+</v>
      </c>
      <c r="F1065" s="2" t="s">
        <v>141</v>
      </c>
      <c r="G1065" s="2" t="s">
        <v>47</v>
      </c>
      <c r="H1065" s="2">
        <v>56</v>
      </c>
      <c r="I1065" s="2" t="str">
        <f t="shared" si="64"/>
        <v>49+ months</v>
      </c>
      <c r="J1065" s="3">
        <v>749</v>
      </c>
      <c r="K1065" s="3">
        <v>41944</v>
      </c>
      <c r="L1065" s="2" t="s">
        <v>31</v>
      </c>
      <c r="M1065" s="4">
        <v>44240</v>
      </c>
      <c r="N1065" s="2" t="s">
        <v>23</v>
      </c>
      <c r="O1065" s="2">
        <f t="shared" si="67"/>
        <v>0</v>
      </c>
      <c r="P1065" s="2" t="s">
        <v>23</v>
      </c>
      <c r="Q1065" s="2" t="s">
        <v>23</v>
      </c>
      <c r="R1065" s="2" t="s">
        <v>23</v>
      </c>
      <c r="S1065" s="2" t="s">
        <v>23</v>
      </c>
      <c r="T1065" s="2" t="s">
        <v>23</v>
      </c>
      <c r="U1065" s="25">
        <f t="shared" si="65"/>
        <v>41944.001064999997</v>
      </c>
    </row>
    <row r="1066" spans="1:21">
      <c r="A1066" s="2" t="s">
        <v>1744</v>
      </c>
      <c r="B1066" s="2" t="s">
        <v>1376</v>
      </c>
      <c r="C1066" s="2" t="s">
        <v>19</v>
      </c>
      <c r="D1066" s="2">
        <v>65</v>
      </c>
      <c r="E1066" s="2" t="str">
        <f t="shared" si="66"/>
        <v>60+</v>
      </c>
      <c r="F1066" s="2" t="s">
        <v>110</v>
      </c>
      <c r="G1066" s="2" t="s">
        <v>21</v>
      </c>
      <c r="H1066" s="2">
        <v>6</v>
      </c>
      <c r="I1066" s="2" t="str">
        <f t="shared" si="64"/>
        <v>0-6 months</v>
      </c>
      <c r="J1066" s="3">
        <v>799</v>
      </c>
      <c r="K1066" s="3">
        <v>4794</v>
      </c>
      <c r="L1066" s="2" t="s">
        <v>31</v>
      </c>
      <c r="M1066" s="4">
        <v>45725</v>
      </c>
      <c r="N1066" s="2" t="s">
        <v>23</v>
      </c>
      <c r="O1066" s="2">
        <f t="shared" si="67"/>
        <v>0</v>
      </c>
      <c r="P1066" s="2" t="s">
        <v>23</v>
      </c>
      <c r="Q1066" s="2" t="s">
        <v>23</v>
      </c>
      <c r="R1066" s="2" t="s">
        <v>23</v>
      </c>
      <c r="S1066" s="2" t="s">
        <v>23</v>
      </c>
      <c r="T1066" s="2" t="s">
        <v>23</v>
      </c>
      <c r="U1066" s="25">
        <f t="shared" si="65"/>
        <v>4794.0010659999998</v>
      </c>
    </row>
    <row r="1067" spans="1:21">
      <c r="A1067" s="2" t="s">
        <v>1745</v>
      </c>
      <c r="B1067" s="2" t="s">
        <v>1746</v>
      </c>
      <c r="C1067" s="2" t="s">
        <v>19</v>
      </c>
      <c r="D1067" s="2">
        <v>45</v>
      </c>
      <c r="E1067" s="2" t="str">
        <f t="shared" si="66"/>
        <v>36-45</v>
      </c>
      <c r="F1067" s="2" t="s">
        <v>41</v>
      </c>
      <c r="G1067" s="2" t="s">
        <v>47</v>
      </c>
      <c r="H1067" s="2">
        <v>41</v>
      </c>
      <c r="I1067" s="2" t="str">
        <f t="shared" si="64"/>
        <v>25-48 months</v>
      </c>
      <c r="J1067" s="3">
        <v>1299</v>
      </c>
      <c r="K1067" s="3">
        <v>53259</v>
      </c>
      <c r="L1067" s="2" t="s">
        <v>22</v>
      </c>
      <c r="M1067" s="4">
        <v>44670</v>
      </c>
      <c r="N1067" s="2" t="s">
        <v>23</v>
      </c>
      <c r="O1067" s="2">
        <f t="shared" si="67"/>
        <v>0</v>
      </c>
      <c r="P1067" s="2" t="s">
        <v>23</v>
      </c>
      <c r="Q1067" s="2" t="s">
        <v>23</v>
      </c>
      <c r="R1067" s="2" t="s">
        <v>23</v>
      </c>
      <c r="S1067" s="2" t="s">
        <v>23</v>
      </c>
      <c r="T1067" s="2" t="s">
        <v>23</v>
      </c>
      <c r="U1067" s="25">
        <f t="shared" si="65"/>
        <v>53259.001066999997</v>
      </c>
    </row>
    <row r="1068" spans="1:21">
      <c r="A1068" s="2" t="s">
        <v>1747</v>
      </c>
      <c r="B1068" s="2" t="s">
        <v>149</v>
      </c>
      <c r="C1068" s="2" t="s">
        <v>19</v>
      </c>
      <c r="D1068" s="2">
        <v>26</v>
      </c>
      <c r="E1068" s="2" t="str">
        <f t="shared" si="66"/>
        <v>26-35</v>
      </c>
      <c r="F1068" s="2" t="s">
        <v>91</v>
      </c>
      <c r="G1068" s="2" t="s">
        <v>21</v>
      </c>
      <c r="H1068" s="2">
        <v>22</v>
      </c>
      <c r="I1068" s="2" t="str">
        <f t="shared" si="64"/>
        <v>13-24 months</v>
      </c>
      <c r="J1068" s="3">
        <v>499</v>
      </c>
      <c r="K1068" s="3">
        <v>10978</v>
      </c>
      <c r="L1068" s="2" t="s">
        <v>66</v>
      </c>
      <c r="M1068" s="4">
        <v>45242</v>
      </c>
      <c r="N1068" s="2" t="s">
        <v>32</v>
      </c>
      <c r="O1068" s="2">
        <f t="shared" si="67"/>
        <v>1</v>
      </c>
      <c r="P1068" s="2" t="s">
        <v>23</v>
      </c>
      <c r="Q1068" s="2" t="s">
        <v>23</v>
      </c>
      <c r="R1068" s="2" t="s">
        <v>23</v>
      </c>
      <c r="S1068" s="2" t="s">
        <v>23</v>
      </c>
      <c r="T1068" s="2" t="s">
        <v>23</v>
      </c>
      <c r="U1068" s="25">
        <f t="shared" si="65"/>
        <v>10978.001068</v>
      </c>
    </row>
    <row r="1069" spans="1:21">
      <c r="A1069" s="2" t="s">
        <v>1748</v>
      </c>
      <c r="B1069" s="2" t="s">
        <v>1749</v>
      </c>
      <c r="C1069" s="2" t="s">
        <v>19</v>
      </c>
      <c r="D1069" s="2">
        <v>26</v>
      </c>
      <c r="E1069" s="2" t="str">
        <f t="shared" si="66"/>
        <v>26-35</v>
      </c>
      <c r="F1069" s="2" t="s">
        <v>20</v>
      </c>
      <c r="G1069" s="2" t="s">
        <v>27</v>
      </c>
      <c r="H1069" s="2">
        <v>34</v>
      </c>
      <c r="I1069" s="2" t="str">
        <f t="shared" si="64"/>
        <v>25-48 months</v>
      </c>
      <c r="J1069" s="3">
        <v>899</v>
      </c>
      <c r="K1069" s="3">
        <v>30566</v>
      </c>
      <c r="L1069" s="2" t="s">
        <v>31</v>
      </c>
      <c r="M1069" s="4">
        <v>44906</v>
      </c>
      <c r="N1069" s="2" t="s">
        <v>32</v>
      </c>
      <c r="O1069" s="2">
        <f t="shared" si="67"/>
        <v>1</v>
      </c>
      <c r="P1069" s="2" t="s">
        <v>23</v>
      </c>
      <c r="Q1069" s="2" t="s">
        <v>23</v>
      </c>
      <c r="R1069" s="2" t="s">
        <v>23</v>
      </c>
      <c r="S1069" s="2" t="s">
        <v>23</v>
      </c>
      <c r="T1069" s="2" t="s">
        <v>23</v>
      </c>
      <c r="U1069" s="25">
        <f t="shared" si="65"/>
        <v>30566.001069000002</v>
      </c>
    </row>
    <row r="1070" spans="1:21">
      <c r="A1070" s="2" t="s">
        <v>1750</v>
      </c>
      <c r="B1070" s="2" t="s">
        <v>267</v>
      </c>
      <c r="C1070" s="2" t="s">
        <v>35</v>
      </c>
      <c r="D1070" s="2">
        <v>31</v>
      </c>
      <c r="E1070" s="2" t="str">
        <f t="shared" si="66"/>
        <v>26-35</v>
      </c>
      <c r="F1070" s="2" t="s">
        <v>141</v>
      </c>
      <c r="G1070" s="2" t="s">
        <v>21</v>
      </c>
      <c r="H1070" s="2">
        <v>9</v>
      </c>
      <c r="I1070" s="2" t="str">
        <f t="shared" si="64"/>
        <v>7-12 months</v>
      </c>
      <c r="J1070" s="3">
        <v>1099</v>
      </c>
      <c r="K1070" s="3">
        <v>9891</v>
      </c>
      <c r="L1070" s="2" t="s">
        <v>22</v>
      </c>
      <c r="M1070" s="4"/>
      <c r="N1070" s="2" t="s">
        <v>32</v>
      </c>
      <c r="O1070" s="2">
        <f t="shared" si="67"/>
        <v>1</v>
      </c>
      <c r="P1070" s="2" t="s">
        <v>23</v>
      </c>
      <c r="Q1070" s="2" t="s">
        <v>23</v>
      </c>
      <c r="R1070" s="2" t="s">
        <v>23</v>
      </c>
      <c r="S1070" s="2" t="s">
        <v>23</v>
      </c>
      <c r="T1070" s="2" t="s">
        <v>54</v>
      </c>
      <c r="U1070" s="25">
        <f t="shared" si="65"/>
        <v>9891.0010700000003</v>
      </c>
    </row>
    <row r="1071" spans="1:21">
      <c r="A1071" s="2" t="s">
        <v>1751</v>
      </c>
      <c r="B1071" s="2" t="s">
        <v>1139</v>
      </c>
      <c r="C1071" s="2" t="s">
        <v>35</v>
      </c>
      <c r="D1071" s="2">
        <v>29</v>
      </c>
      <c r="E1071" s="2" t="str">
        <f t="shared" si="66"/>
        <v>26-35</v>
      </c>
      <c r="F1071" s="2" t="s">
        <v>37</v>
      </c>
      <c r="G1071" s="2" t="s">
        <v>47</v>
      </c>
      <c r="H1071" s="2">
        <v>63</v>
      </c>
      <c r="I1071" s="2" t="str">
        <f t="shared" si="64"/>
        <v>49+ months</v>
      </c>
      <c r="J1071" s="3">
        <v>499</v>
      </c>
      <c r="K1071" s="3">
        <v>31437</v>
      </c>
      <c r="L1071" s="2" t="s">
        <v>66</v>
      </c>
      <c r="M1071" s="4">
        <v>44021</v>
      </c>
      <c r="N1071" s="2" t="s">
        <v>23</v>
      </c>
      <c r="O1071" s="2">
        <f t="shared" si="67"/>
        <v>0</v>
      </c>
      <c r="P1071" s="2" t="s">
        <v>23</v>
      </c>
      <c r="Q1071" s="2" t="s">
        <v>23</v>
      </c>
      <c r="R1071" s="2" t="s">
        <v>23</v>
      </c>
      <c r="S1071" s="2" t="s">
        <v>23</v>
      </c>
      <c r="T1071" s="2" t="s">
        <v>23</v>
      </c>
      <c r="U1071" s="25">
        <f t="shared" si="65"/>
        <v>31437.001070999999</v>
      </c>
    </row>
    <row r="1072" spans="1:21">
      <c r="A1072" s="2" t="s">
        <v>1752</v>
      </c>
      <c r="B1072" s="2" t="s">
        <v>399</v>
      </c>
      <c r="C1072" s="2" t="s">
        <v>35</v>
      </c>
      <c r="D1072" s="2">
        <v>32</v>
      </c>
      <c r="E1072" s="2" t="str">
        <f t="shared" si="66"/>
        <v>26-35</v>
      </c>
      <c r="F1072" s="2" t="s">
        <v>41</v>
      </c>
      <c r="G1072" s="2" t="s">
        <v>47</v>
      </c>
      <c r="H1072" s="2">
        <v>37</v>
      </c>
      <c r="I1072" s="2" t="str">
        <f t="shared" si="64"/>
        <v>25-48 months</v>
      </c>
      <c r="J1072" s="3">
        <v>449</v>
      </c>
      <c r="K1072" s="3">
        <v>16613</v>
      </c>
      <c r="L1072" s="2" t="s">
        <v>66</v>
      </c>
      <c r="M1072" s="4">
        <v>44805</v>
      </c>
      <c r="N1072" s="2" t="s">
        <v>23</v>
      </c>
      <c r="O1072" s="2">
        <f t="shared" si="67"/>
        <v>0</v>
      </c>
      <c r="P1072" s="2" t="s">
        <v>23</v>
      </c>
      <c r="Q1072" s="2" t="s">
        <v>23</v>
      </c>
      <c r="R1072" s="2" t="s">
        <v>23</v>
      </c>
      <c r="S1072" s="2" t="s">
        <v>23</v>
      </c>
      <c r="T1072" s="2" t="s">
        <v>23</v>
      </c>
      <c r="U1072" s="25">
        <f t="shared" si="65"/>
        <v>16613.001071999999</v>
      </c>
    </row>
    <row r="1073" spans="1:21">
      <c r="A1073" s="2" t="s">
        <v>1753</v>
      </c>
      <c r="B1073" s="2" t="s">
        <v>45</v>
      </c>
      <c r="C1073" s="2" t="s">
        <v>37</v>
      </c>
      <c r="D1073" s="2">
        <v>38</v>
      </c>
      <c r="E1073" s="2" t="str">
        <f t="shared" si="66"/>
        <v>36-45</v>
      </c>
      <c r="F1073" s="2" t="s">
        <v>71</v>
      </c>
      <c r="G1073" s="2" t="s">
        <v>21</v>
      </c>
      <c r="H1073" s="2">
        <v>23</v>
      </c>
      <c r="I1073" s="2" t="str">
        <f t="shared" si="64"/>
        <v>13-24 months</v>
      </c>
      <c r="J1073" s="3">
        <v>1299</v>
      </c>
      <c r="K1073" s="3">
        <v>29877</v>
      </c>
      <c r="L1073" s="2" t="s">
        <v>22</v>
      </c>
      <c r="M1073" s="4">
        <v>45211</v>
      </c>
      <c r="N1073" s="2" t="s">
        <v>23</v>
      </c>
      <c r="O1073" s="2">
        <f t="shared" si="67"/>
        <v>0</v>
      </c>
      <c r="P1073" s="2" t="s">
        <v>23</v>
      </c>
      <c r="Q1073" s="2" t="s">
        <v>23</v>
      </c>
      <c r="R1073" s="2" t="s">
        <v>23</v>
      </c>
      <c r="S1073" s="2" t="s">
        <v>23</v>
      </c>
      <c r="T1073" s="2" t="s">
        <v>23</v>
      </c>
      <c r="U1073" s="25">
        <f t="shared" si="65"/>
        <v>29877.001072999999</v>
      </c>
    </row>
    <row r="1074" spans="1:21">
      <c r="A1074" s="2" t="s">
        <v>1754</v>
      </c>
      <c r="B1074" s="2" t="s">
        <v>1711</v>
      </c>
      <c r="C1074" s="2" t="s">
        <v>35</v>
      </c>
      <c r="D1074" s="2">
        <v>61</v>
      </c>
      <c r="E1074" s="2" t="str">
        <f t="shared" si="66"/>
        <v>60+</v>
      </c>
      <c r="F1074" s="2" t="s">
        <v>20</v>
      </c>
      <c r="G1074" s="2" t="s">
        <v>21</v>
      </c>
      <c r="H1074" s="2">
        <v>7</v>
      </c>
      <c r="I1074" s="2" t="str">
        <f t="shared" si="64"/>
        <v>7-12 months</v>
      </c>
      <c r="J1074" s="3">
        <v>899</v>
      </c>
      <c r="K1074" s="3">
        <v>6293</v>
      </c>
      <c r="L1074" s="2" t="s">
        <v>31</v>
      </c>
      <c r="M1074" s="4">
        <v>45694</v>
      </c>
      <c r="N1074" s="2" t="s">
        <v>32</v>
      </c>
      <c r="O1074" s="2">
        <f t="shared" si="67"/>
        <v>1</v>
      </c>
      <c r="P1074" s="2" t="s">
        <v>23</v>
      </c>
      <c r="Q1074" s="2" t="s">
        <v>23</v>
      </c>
      <c r="R1074" s="2" t="s">
        <v>23</v>
      </c>
      <c r="S1074" s="2" t="s">
        <v>23</v>
      </c>
      <c r="T1074" s="2" t="s">
        <v>23</v>
      </c>
      <c r="U1074" s="25">
        <f t="shared" si="65"/>
        <v>6293.0010739999998</v>
      </c>
    </row>
    <row r="1075" spans="1:21">
      <c r="A1075" s="2" t="s">
        <v>1755</v>
      </c>
      <c r="B1075" s="2" t="s">
        <v>1123</v>
      </c>
      <c r="C1075" s="2" t="s">
        <v>35</v>
      </c>
      <c r="D1075" s="2">
        <v>38</v>
      </c>
      <c r="E1075" s="2" t="str">
        <f t="shared" si="66"/>
        <v>36-45</v>
      </c>
      <c r="F1075" s="2" t="s">
        <v>105</v>
      </c>
      <c r="G1075" s="2" t="s">
        <v>21</v>
      </c>
      <c r="H1075" s="2">
        <v>13</v>
      </c>
      <c r="I1075" s="2" t="str">
        <f t="shared" si="64"/>
        <v>13-24 months</v>
      </c>
      <c r="J1075" s="3">
        <v>899</v>
      </c>
      <c r="K1075" s="3">
        <v>11687</v>
      </c>
      <c r="L1075" s="2" t="s">
        <v>22</v>
      </c>
      <c r="M1075" s="4">
        <v>45531</v>
      </c>
      <c r="N1075" s="2" t="s">
        <v>23</v>
      </c>
      <c r="O1075" s="2">
        <f t="shared" si="67"/>
        <v>0</v>
      </c>
      <c r="P1075" s="2" t="s">
        <v>23</v>
      </c>
      <c r="Q1075" s="2" t="s">
        <v>23</v>
      </c>
      <c r="R1075" s="2" t="s">
        <v>32</v>
      </c>
      <c r="S1075" s="2" t="s">
        <v>23</v>
      </c>
      <c r="T1075" s="2" t="s">
        <v>23</v>
      </c>
      <c r="U1075" s="25">
        <f t="shared" si="65"/>
        <v>11687.001075</v>
      </c>
    </row>
    <row r="1076" spans="1:21">
      <c r="A1076" s="2" t="s">
        <v>1756</v>
      </c>
      <c r="B1076" s="2" t="s">
        <v>334</v>
      </c>
      <c r="C1076" s="2" t="s">
        <v>35</v>
      </c>
      <c r="D1076" s="2">
        <v>46</v>
      </c>
      <c r="E1076" s="2" t="str">
        <f t="shared" si="66"/>
        <v>46-60</v>
      </c>
      <c r="F1076" s="2" t="s">
        <v>105</v>
      </c>
      <c r="G1076" s="2" t="s">
        <v>21</v>
      </c>
      <c r="H1076" s="2">
        <v>18</v>
      </c>
      <c r="I1076" s="2" t="str">
        <f t="shared" si="64"/>
        <v>13-24 months</v>
      </c>
      <c r="J1076" s="3">
        <v>349</v>
      </c>
      <c r="K1076" s="3">
        <v>6282</v>
      </c>
      <c r="L1076" s="2" t="s">
        <v>66</v>
      </c>
      <c r="M1076" s="4">
        <v>45369</v>
      </c>
      <c r="N1076" s="2" t="s">
        <v>23</v>
      </c>
      <c r="O1076" s="2">
        <f t="shared" si="67"/>
        <v>0</v>
      </c>
      <c r="P1076" s="2" t="s">
        <v>23</v>
      </c>
      <c r="Q1076" s="2" t="s">
        <v>23</v>
      </c>
      <c r="R1076" s="2" t="s">
        <v>23</v>
      </c>
      <c r="S1076" s="2" t="s">
        <v>23</v>
      </c>
      <c r="T1076" s="2" t="s">
        <v>23</v>
      </c>
      <c r="U1076" s="25">
        <f t="shared" si="65"/>
        <v>6282.0010759999996</v>
      </c>
    </row>
    <row r="1077" spans="1:21">
      <c r="A1077" s="2" t="s">
        <v>1757</v>
      </c>
      <c r="B1077" s="2" t="s">
        <v>1700</v>
      </c>
      <c r="C1077" s="2" t="s">
        <v>35</v>
      </c>
      <c r="D1077" s="2">
        <v>52</v>
      </c>
      <c r="E1077" s="2" t="str">
        <f t="shared" si="66"/>
        <v>46-60</v>
      </c>
      <c r="F1077" s="2" t="s">
        <v>36</v>
      </c>
      <c r="G1077" s="2" t="s">
        <v>47</v>
      </c>
      <c r="H1077" s="2">
        <v>49</v>
      </c>
      <c r="I1077" s="2" t="str">
        <f t="shared" si="64"/>
        <v>49+ months</v>
      </c>
      <c r="J1077" s="3">
        <v>599</v>
      </c>
      <c r="K1077" s="3">
        <v>29351</v>
      </c>
      <c r="L1077" s="2" t="s">
        <v>31</v>
      </c>
      <c r="M1077" s="4">
        <v>44434</v>
      </c>
      <c r="N1077" s="2" t="s">
        <v>23</v>
      </c>
      <c r="O1077" s="2">
        <f t="shared" si="67"/>
        <v>0</v>
      </c>
      <c r="P1077" s="2" t="s">
        <v>23</v>
      </c>
      <c r="Q1077" s="2" t="s">
        <v>23</v>
      </c>
      <c r="R1077" s="2" t="s">
        <v>23</v>
      </c>
      <c r="S1077" s="2" t="s">
        <v>23</v>
      </c>
      <c r="T1077" s="2" t="s">
        <v>23</v>
      </c>
      <c r="U1077" s="25">
        <f t="shared" si="65"/>
        <v>29351.001077000001</v>
      </c>
    </row>
    <row r="1078" spans="1:21">
      <c r="A1078" s="2" t="s">
        <v>1758</v>
      </c>
      <c r="B1078" s="2" t="s">
        <v>1759</v>
      </c>
      <c r="C1078" s="2" t="s">
        <v>19</v>
      </c>
      <c r="D1078" s="2">
        <v>31</v>
      </c>
      <c r="E1078" s="2" t="str">
        <f t="shared" si="66"/>
        <v>26-35</v>
      </c>
      <c r="F1078" s="2" t="s">
        <v>30</v>
      </c>
      <c r="G1078" s="2" t="s">
        <v>21</v>
      </c>
      <c r="H1078" s="2">
        <v>18</v>
      </c>
      <c r="I1078" s="2" t="str">
        <f t="shared" si="64"/>
        <v>13-24 months</v>
      </c>
      <c r="J1078" s="3">
        <v>399</v>
      </c>
      <c r="K1078" s="3">
        <v>7182</v>
      </c>
      <c r="L1078" s="2" t="s">
        <v>66</v>
      </c>
      <c r="M1078" s="4">
        <v>45383</v>
      </c>
      <c r="N1078" s="2" t="s">
        <v>32</v>
      </c>
      <c r="O1078" s="2">
        <f t="shared" si="67"/>
        <v>1</v>
      </c>
      <c r="P1078" s="2" t="s">
        <v>23</v>
      </c>
      <c r="Q1078" s="2" t="s">
        <v>23</v>
      </c>
      <c r="R1078" s="2" t="s">
        <v>32</v>
      </c>
      <c r="S1078" s="2" t="s">
        <v>23</v>
      </c>
      <c r="T1078" s="2" t="s">
        <v>23</v>
      </c>
      <c r="U1078" s="25">
        <f t="shared" si="65"/>
        <v>7182.0010780000002</v>
      </c>
    </row>
    <row r="1079" spans="1:21">
      <c r="A1079" s="2" t="s">
        <v>1760</v>
      </c>
      <c r="B1079" s="2" t="s">
        <v>757</v>
      </c>
      <c r="C1079" s="2" t="s">
        <v>35</v>
      </c>
      <c r="D1079" s="2">
        <v>31</v>
      </c>
      <c r="E1079" s="2" t="str">
        <f t="shared" si="66"/>
        <v>26-35</v>
      </c>
      <c r="F1079" s="2" t="s">
        <v>26</v>
      </c>
      <c r="G1079" s="2" t="s">
        <v>27</v>
      </c>
      <c r="H1079" s="2">
        <v>3</v>
      </c>
      <c r="I1079" s="2" t="str">
        <f t="shared" si="64"/>
        <v>0-6 months</v>
      </c>
      <c r="J1079" s="3">
        <v>549</v>
      </c>
      <c r="K1079" s="3">
        <v>1647</v>
      </c>
      <c r="L1079" s="2" t="s">
        <v>66</v>
      </c>
      <c r="M1079" s="4">
        <v>45826</v>
      </c>
      <c r="N1079" s="2" t="s">
        <v>32</v>
      </c>
      <c r="O1079" s="2">
        <f t="shared" si="67"/>
        <v>1</v>
      </c>
      <c r="P1079" s="2" t="s">
        <v>23</v>
      </c>
      <c r="Q1079" s="2" t="s">
        <v>23</v>
      </c>
      <c r="R1079" s="2" t="s">
        <v>23</v>
      </c>
      <c r="S1079" s="2" t="s">
        <v>23</v>
      </c>
      <c r="T1079" s="2" t="s">
        <v>23</v>
      </c>
      <c r="U1079" s="25">
        <f t="shared" si="65"/>
        <v>1647.0010789999999</v>
      </c>
    </row>
    <row r="1080" spans="1:21">
      <c r="A1080" s="2" t="s">
        <v>1761</v>
      </c>
      <c r="B1080" s="2" t="s">
        <v>37</v>
      </c>
      <c r="C1080" s="2" t="s">
        <v>35</v>
      </c>
      <c r="D1080" s="2">
        <v>36</v>
      </c>
      <c r="E1080" s="2" t="str">
        <f t="shared" si="66"/>
        <v>36-45</v>
      </c>
      <c r="F1080" s="2" t="s">
        <v>46</v>
      </c>
      <c r="G1080" s="2" t="s">
        <v>21</v>
      </c>
      <c r="H1080" s="2">
        <v>23</v>
      </c>
      <c r="I1080" s="2" t="str">
        <f t="shared" si="64"/>
        <v>13-24 months</v>
      </c>
      <c r="J1080" s="3">
        <v>899</v>
      </c>
      <c r="K1080" s="3">
        <v>20677</v>
      </c>
      <c r="L1080" s="2" t="s">
        <v>22</v>
      </c>
      <c r="M1080" s="4">
        <v>45212</v>
      </c>
      <c r="N1080" s="2" t="s">
        <v>23</v>
      </c>
      <c r="O1080" s="2">
        <f t="shared" si="67"/>
        <v>0</v>
      </c>
      <c r="P1080" s="2" t="s">
        <v>23</v>
      </c>
      <c r="Q1080" s="2" t="s">
        <v>23</v>
      </c>
      <c r="R1080" s="2" t="s">
        <v>23</v>
      </c>
      <c r="S1080" s="2" t="s">
        <v>23</v>
      </c>
      <c r="T1080" s="2" t="s">
        <v>23</v>
      </c>
      <c r="U1080" s="25">
        <f t="shared" si="65"/>
        <v>20677.001079999998</v>
      </c>
    </row>
    <row r="1081" spans="1:21">
      <c r="A1081" s="2" t="s">
        <v>1762</v>
      </c>
      <c r="B1081" s="2" t="s">
        <v>371</v>
      </c>
      <c r="C1081" s="2" t="s">
        <v>35</v>
      </c>
      <c r="D1081" s="2">
        <v>70</v>
      </c>
      <c r="E1081" s="2" t="str">
        <f t="shared" si="66"/>
        <v>60+</v>
      </c>
      <c r="F1081" s="2" t="s">
        <v>141</v>
      </c>
      <c r="G1081" s="2" t="s">
        <v>47</v>
      </c>
      <c r="H1081" s="2">
        <v>10</v>
      </c>
      <c r="I1081" s="2" t="str">
        <f t="shared" si="64"/>
        <v>7-12 months</v>
      </c>
      <c r="J1081" s="3">
        <v>499</v>
      </c>
      <c r="K1081" s="3">
        <v>4990</v>
      </c>
      <c r="L1081" s="2" t="s">
        <v>66</v>
      </c>
      <c r="M1081" s="4">
        <v>45605</v>
      </c>
      <c r="N1081" s="2" t="s">
        <v>32</v>
      </c>
      <c r="O1081" s="2">
        <f t="shared" si="67"/>
        <v>1</v>
      </c>
      <c r="P1081" s="2" t="s">
        <v>23</v>
      </c>
      <c r="Q1081" s="2" t="s">
        <v>23</v>
      </c>
      <c r="R1081" s="2" t="s">
        <v>23</v>
      </c>
      <c r="S1081" s="2" t="s">
        <v>23</v>
      </c>
      <c r="T1081" s="2" t="s">
        <v>23</v>
      </c>
      <c r="U1081" s="25">
        <f t="shared" si="65"/>
        <v>4990.0010810000003</v>
      </c>
    </row>
    <row r="1082" spans="1:21">
      <c r="A1082" s="2" t="s">
        <v>1763</v>
      </c>
      <c r="B1082" s="2" t="s">
        <v>1764</v>
      </c>
      <c r="C1082" s="2" t="s">
        <v>19</v>
      </c>
      <c r="D1082" s="2">
        <v>55</v>
      </c>
      <c r="E1082" s="2" t="str">
        <f t="shared" si="66"/>
        <v>46-60</v>
      </c>
      <c r="F1082" s="2" t="s">
        <v>110</v>
      </c>
      <c r="G1082" s="2" t="s">
        <v>21</v>
      </c>
      <c r="H1082" s="2">
        <v>10</v>
      </c>
      <c r="I1082" s="2" t="str">
        <f t="shared" si="64"/>
        <v>7-12 months</v>
      </c>
      <c r="J1082" s="3">
        <v>499</v>
      </c>
      <c r="K1082" s="3">
        <v>4990</v>
      </c>
      <c r="L1082" s="2" t="s">
        <v>66</v>
      </c>
      <c r="M1082" s="4">
        <v>45628</v>
      </c>
      <c r="N1082" s="2" t="s">
        <v>23</v>
      </c>
      <c r="O1082" s="2">
        <f t="shared" si="67"/>
        <v>0</v>
      </c>
      <c r="P1082" s="2" t="s">
        <v>23</v>
      </c>
      <c r="Q1082" s="2" t="s">
        <v>23</v>
      </c>
      <c r="R1082" s="2" t="s">
        <v>23</v>
      </c>
      <c r="S1082" s="2" t="s">
        <v>23</v>
      </c>
      <c r="T1082" s="2" t="s">
        <v>23</v>
      </c>
      <c r="U1082" s="25">
        <f t="shared" si="65"/>
        <v>4990.0010819999998</v>
      </c>
    </row>
    <row r="1083" spans="1:21">
      <c r="A1083" s="2" t="s">
        <v>1765</v>
      </c>
      <c r="B1083" s="2" t="s">
        <v>1766</v>
      </c>
      <c r="C1083" s="2" t="s">
        <v>35</v>
      </c>
      <c r="D1083" s="2">
        <v>30</v>
      </c>
      <c r="E1083" s="2" t="str">
        <f t="shared" si="66"/>
        <v>26-35</v>
      </c>
      <c r="F1083" s="2" t="s">
        <v>41</v>
      </c>
      <c r="G1083" s="2" t="s">
        <v>21</v>
      </c>
      <c r="H1083" s="2">
        <v>16</v>
      </c>
      <c r="I1083" s="2" t="str">
        <f t="shared" si="64"/>
        <v>13-24 months</v>
      </c>
      <c r="J1083" s="3">
        <v>1049</v>
      </c>
      <c r="K1083" s="3">
        <v>16784</v>
      </c>
      <c r="L1083" s="2" t="s">
        <v>22</v>
      </c>
      <c r="M1083" s="4">
        <v>45435</v>
      </c>
      <c r="N1083" s="2" t="s">
        <v>32</v>
      </c>
      <c r="O1083" s="2">
        <f t="shared" si="67"/>
        <v>1</v>
      </c>
      <c r="P1083" s="2" t="s">
        <v>23</v>
      </c>
      <c r="Q1083" s="2" t="s">
        <v>23</v>
      </c>
      <c r="R1083" s="2" t="s">
        <v>23</v>
      </c>
      <c r="S1083" s="2" t="s">
        <v>23</v>
      </c>
      <c r="T1083" s="2" t="s">
        <v>23</v>
      </c>
      <c r="U1083" s="25">
        <f t="shared" si="65"/>
        <v>16784.001082999999</v>
      </c>
    </row>
    <row r="1084" spans="1:21">
      <c r="A1084" s="2" t="s">
        <v>1767</v>
      </c>
      <c r="B1084" s="2" t="s">
        <v>1251</v>
      </c>
      <c r="C1084" s="2" t="s">
        <v>35</v>
      </c>
      <c r="D1084" s="2">
        <v>62</v>
      </c>
      <c r="E1084" s="2" t="str">
        <f t="shared" si="66"/>
        <v>60+</v>
      </c>
      <c r="F1084" s="2" t="s">
        <v>26</v>
      </c>
      <c r="G1084" s="2" t="s">
        <v>21</v>
      </c>
      <c r="H1084" s="2">
        <v>16</v>
      </c>
      <c r="I1084" s="2" t="str">
        <f t="shared" si="64"/>
        <v>13-24 months</v>
      </c>
      <c r="J1084" s="3">
        <v>1099</v>
      </c>
      <c r="K1084" s="3">
        <v>17584</v>
      </c>
      <c r="L1084" s="2" t="s">
        <v>22</v>
      </c>
      <c r="M1084" s="4">
        <v>45426</v>
      </c>
      <c r="N1084" s="2" t="s">
        <v>23</v>
      </c>
      <c r="O1084" s="2">
        <f t="shared" si="67"/>
        <v>0</v>
      </c>
      <c r="P1084" s="2" t="s">
        <v>23</v>
      </c>
      <c r="Q1084" s="2" t="s">
        <v>23</v>
      </c>
      <c r="R1084" s="2" t="s">
        <v>23</v>
      </c>
      <c r="S1084" s="2" t="s">
        <v>23</v>
      </c>
      <c r="T1084" s="2" t="s">
        <v>23</v>
      </c>
      <c r="U1084" s="25">
        <f t="shared" si="65"/>
        <v>17584.001084</v>
      </c>
    </row>
    <row r="1085" spans="1:21">
      <c r="A1085" s="2" t="s">
        <v>1768</v>
      </c>
      <c r="B1085" s="2" t="s">
        <v>37</v>
      </c>
      <c r="C1085" s="2" t="s">
        <v>19</v>
      </c>
      <c r="D1085" s="2">
        <v>54</v>
      </c>
      <c r="E1085" s="2" t="str">
        <f t="shared" si="66"/>
        <v>46-60</v>
      </c>
      <c r="F1085" s="2" t="s">
        <v>37</v>
      </c>
      <c r="G1085" s="2" t="s">
        <v>21</v>
      </c>
      <c r="H1085" s="2">
        <v>12</v>
      </c>
      <c r="I1085" s="2" t="str">
        <f t="shared" si="64"/>
        <v>7-12 months</v>
      </c>
      <c r="J1085" s="3">
        <v>749</v>
      </c>
      <c r="K1085" s="3">
        <v>8988</v>
      </c>
      <c r="L1085" s="2" t="s">
        <v>31</v>
      </c>
      <c r="M1085" s="4">
        <v>45558</v>
      </c>
      <c r="N1085" s="2" t="s">
        <v>37</v>
      </c>
      <c r="O1085" s="2" t="str">
        <f t="shared" si="67"/>
        <v/>
      </c>
      <c r="P1085" s="2" t="s">
        <v>23</v>
      </c>
      <c r="Q1085" s="2" t="s">
        <v>23</v>
      </c>
      <c r="R1085" s="2" t="s">
        <v>23</v>
      </c>
      <c r="S1085" s="2" t="s">
        <v>23</v>
      </c>
      <c r="T1085" s="2" t="s">
        <v>38</v>
      </c>
      <c r="U1085" s="25">
        <f t="shared" si="65"/>
        <v>8988.0010849999999</v>
      </c>
    </row>
    <row r="1086" spans="1:21">
      <c r="A1086" s="2" t="s">
        <v>1769</v>
      </c>
      <c r="B1086" s="2" t="s">
        <v>1438</v>
      </c>
      <c r="C1086" s="2" t="s">
        <v>19</v>
      </c>
      <c r="D1086" s="2">
        <v>53</v>
      </c>
      <c r="E1086" s="2" t="str">
        <f t="shared" si="66"/>
        <v>46-60</v>
      </c>
      <c r="F1086" s="2" t="s">
        <v>63</v>
      </c>
      <c r="G1086" s="2" t="s">
        <v>21</v>
      </c>
      <c r="H1086" s="2">
        <v>19</v>
      </c>
      <c r="I1086" s="2" t="str">
        <f t="shared" si="64"/>
        <v>13-24 months</v>
      </c>
      <c r="J1086" s="3">
        <v>399</v>
      </c>
      <c r="K1086" s="3">
        <v>7581</v>
      </c>
      <c r="L1086" s="2" t="s">
        <v>66</v>
      </c>
      <c r="M1086" s="4">
        <v>45332</v>
      </c>
      <c r="N1086" s="2" t="s">
        <v>32</v>
      </c>
      <c r="O1086" s="2">
        <f t="shared" si="67"/>
        <v>1</v>
      </c>
      <c r="P1086" s="2" t="s">
        <v>23</v>
      </c>
      <c r="Q1086" s="2" t="s">
        <v>23</v>
      </c>
      <c r="R1086" s="2" t="s">
        <v>23</v>
      </c>
      <c r="S1086" s="2" t="s">
        <v>23</v>
      </c>
      <c r="T1086" s="2" t="s">
        <v>23</v>
      </c>
      <c r="U1086" s="25">
        <f t="shared" si="65"/>
        <v>7581.0010860000002</v>
      </c>
    </row>
    <row r="1087" spans="1:21">
      <c r="A1087" s="2" t="s">
        <v>1770</v>
      </c>
      <c r="B1087" s="2" t="s">
        <v>1771</v>
      </c>
      <c r="C1087" s="2" t="s">
        <v>35</v>
      </c>
      <c r="D1087" s="2">
        <v>71</v>
      </c>
      <c r="E1087" s="2" t="str">
        <f t="shared" si="66"/>
        <v>60+</v>
      </c>
      <c r="F1087" s="2" t="s">
        <v>91</v>
      </c>
      <c r="G1087" s="2" t="s">
        <v>27</v>
      </c>
      <c r="H1087" s="2">
        <v>32</v>
      </c>
      <c r="I1087" s="2" t="str">
        <f t="shared" si="64"/>
        <v>25-48 months</v>
      </c>
      <c r="J1087" s="3">
        <v>699</v>
      </c>
      <c r="K1087" s="3">
        <v>22368</v>
      </c>
      <c r="L1087" s="2" t="s">
        <v>31</v>
      </c>
      <c r="M1087" s="4">
        <v>44942</v>
      </c>
      <c r="N1087" s="2" t="s">
        <v>23</v>
      </c>
      <c r="O1087" s="2">
        <f t="shared" si="67"/>
        <v>0</v>
      </c>
      <c r="P1087" s="2" t="s">
        <v>23</v>
      </c>
      <c r="Q1087" s="2" t="s">
        <v>32</v>
      </c>
      <c r="R1087" s="2" t="s">
        <v>23</v>
      </c>
      <c r="S1087" s="2" t="s">
        <v>23</v>
      </c>
      <c r="T1087" s="2" t="s">
        <v>23</v>
      </c>
      <c r="U1087" s="25">
        <f t="shared" si="65"/>
        <v>22368.001087000001</v>
      </c>
    </row>
    <row r="1088" spans="1:21">
      <c r="A1088" s="2" t="s">
        <v>1772</v>
      </c>
      <c r="B1088" s="2" t="s">
        <v>1691</v>
      </c>
      <c r="C1088" s="2" t="s">
        <v>19</v>
      </c>
      <c r="D1088" s="2">
        <v>62</v>
      </c>
      <c r="E1088" s="2" t="str">
        <f t="shared" si="66"/>
        <v>60+</v>
      </c>
      <c r="F1088" s="2" t="s">
        <v>91</v>
      </c>
      <c r="G1088" s="2" t="s">
        <v>27</v>
      </c>
      <c r="H1088" s="2">
        <v>18</v>
      </c>
      <c r="I1088" s="2" t="str">
        <f t="shared" si="64"/>
        <v>13-24 months</v>
      </c>
      <c r="J1088" s="3">
        <v>549</v>
      </c>
      <c r="K1088" s="3">
        <v>9882</v>
      </c>
      <c r="L1088" s="2" t="s">
        <v>66</v>
      </c>
      <c r="M1088" s="4">
        <v>45371</v>
      </c>
      <c r="N1088" s="2" t="s">
        <v>23</v>
      </c>
      <c r="O1088" s="2">
        <f t="shared" si="67"/>
        <v>0</v>
      </c>
      <c r="P1088" s="2" t="s">
        <v>23</v>
      </c>
      <c r="Q1088" s="2" t="s">
        <v>23</v>
      </c>
      <c r="R1088" s="2" t="s">
        <v>23</v>
      </c>
      <c r="S1088" s="2" t="s">
        <v>23</v>
      </c>
      <c r="T1088" s="2" t="s">
        <v>23</v>
      </c>
      <c r="U1088" s="25">
        <f t="shared" si="65"/>
        <v>9882.0010880000009</v>
      </c>
    </row>
    <row r="1089" spans="1:21">
      <c r="A1089" s="2" t="s">
        <v>1773</v>
      </c>
      <c r="B1089" s="2" t="s">
        <v>216</v>
      </c>
      <c r="C1089" s="2" t="s">
        <v>35</v>
      </c>
      <c r="D1089" s="2">
        <v>33</v>
      </c>
      <c r="E1089" s="2" t="str">
        <f t="shared" si="66"/>
        <v>26-35</v>
      </c>
      <c r="F1089" s="2" t="s">
        <v>30</v>
      </c>
      <c r="G1089" s="2" t="s">
        <v>21</v>
      </c>
      <c r="H1089" s="2">
        <v>18</v>
      </c>
      <c r="I1089" s="2" t="str">
        <f t="shared" si="64"/>
        <v>13-24 months</v>
      </c>
      <c r="J1089" s="3">
        <v>1199</v>
      </c>
      <c r="K1089" s="3">
        <v>21582</v>
      </c>
      <c r="L1089" s="2" t="s">
        <v>22</v>
      </c>
      <c r="M1089" s="4">
        <v>45375</v>
      </c>
      <c r="N1089" s="2" t="s">
        <v>23</v>
      </c>
      <c r="O1089" s="2">
        <f t="shared" si="67"/>
        <v>0</v>
      </c>
      <c r="P1089" s="2" t="s">
        <v>23</v>
      </c>
      <c r="Q1089" s="2" t="s">
        <v>23</v>
      </c>
      <c r="R1089" s="2" t="s">
        <v>23</v>
      </c>
      <c r="S1089" s="2" t="s">
        <v>23</v>
      </c>
      <c r="T1089" s="2" t="s">
        <v>23</v>
      </c>
      <c r="U1089" s="25">
        <f t="shared" si="65"/>
        <v>21582.001089000001</v>
      </c>
    </row>
    <row r="1090" spans="1:21">
      <c r="A1090" s="2" t="s">
        <v>1774</v>
      </c>
      <c r="B1090" s="2" t="s">
        <v>1775</v>
      </c>
      <c r="C1090" s="2" t="s">
        <v>19</v>
      </c>
      <c r="D1090" s="2">
        <v>66</v>
      </c>
      <c r="E1090" s="2" t="str">
        <f t="shared" si="66"/>
        <v>60+</v>
      </c>
      <c r="F1090" s="2" t="s">
        <v>36</v>
      </c>
      <c r="G1090" s="2" t="s">
        <v>21</v>
      </c>
      <c r="H1090" s="2">
        <v>6</v>
      </c>
      <c r="I1090" s="2" t="str">
        <f t="shared" ref="I1090:I1153" si="68">IF(H1090="","Unknown",IF(H1090&lt;=6,"0-6 months",IF(H1090&lt;=12,"7-12 months",IF(H1090&lt;=24,"13-24 months",IF(H1090&lt;=48,"25-48 months","49+ months")))))</f>
        <v>0-6 months</v>
      </c>
      <c r="J1090" s="3">
        <v>1099</v>
      </c>
      <c r="K1090" s="3">
        <v>6594</v>
      </c>
      <c r="L1090" s="2" t="s">
        <v>22</v>
      </c>
      <c r="M1090" s="4">
        <v>45735</v>
      </c>
      <c r="N1090" s="2" t="s">
        <v>32</v>
      </c>
      <c r="O1090" s="2">
        <f t="shared" si="67"/>
        <v>1</v>
      </c>
      <c r="P1090" s="2" t="s">
        <v>23</v>
      </c>
      <c r="Q1090" s="2" t="s">
        <v>23</v>
      </c>
      <c r="R1090" s="2" t="s">
        <v>23</v>
      </c>
      <c r="S1090" s="2" t="s">
        <v>23</v>
      </c>
      <c r="T1090" s="2" t="s">
        <v>23</v>
      </c>
      <c r="U1090" s="25">
        <f t="shared" ref="U1090:U1153" si="69">IF(K1090="","",K1090+ROW()/1000000)</f>
        <v>6594.0010899999997</v>
      </c>
    </row>
    <row r="1091" spans="1:21">
      <c r="A1091" s="2" t="s">
        <v>1776</v>
      </c>
      <c r="B1091" s="2" t="s">
        <v>497</v>
      </c>
      <c r="C1091" s="2" t="s">
        <v>35</v>
      </c>
      <c r="D1091" s="2">
        <v>69</v>
      </c>
      <c r="E1091" s="2" t="str">
        <f t="shared" ref="E1091:E1154" si="70">IF(D1091&lt;=25,"18-25",IF(D1091&lt;=35,"26-35",IF(D1091&lt;=45,"36-45",IF(D1091&lt;=60,"46-60","60+"))))</f>
        <v>60+</v>
      </c>
      <c r="F1091" s="2" t="s">
        <v>26</v>
      </c>
      <c r="G1091" s="2" t="s">
        <v>21</v>
      </c>
      <c r="H1091" s="2">
        <v>18</v>
      </c>
      <c r="I1091" s="2" t="str">
        <f t="shared" si="68"/>
        <v>13-24 months</v>
      </c>
      <c r="J1091" s="3">
        <v>1099</v>
      </c>
      <c r="K1091" s="3">
        <v>19782</v>
      </c>
      <c r="L1091" s="2" t="s">
        <v>22</v>
      </c>
      <c r="M1091" s="4">
        <v>45375</v>
      </c>
      <c r="N1091" s="2" t="s">
        <v>32</v>
      </c>
      <c r="O1091" s="2">
        <f t="shared" ref="O1091:O1154" si="71">IF(N1091="Yes",1,IF(N1091="No",0,""))</f>
        <v>1</v>
      </c>
      <c r="P1091" s="2" t="s">
        <v>23</v>
      </c>
      <c r="Q1091" s="2" t="s">
        <v>23</v>
      </c>
      <c r="R1091" s="2" t="s">
        <v>23</v>
      </c>
      <c r="S1091" s="2" t="s">
        <v>23</v>
      </c>
      <c r="T1091" s="2" t="s">
        <v>23</v>
      </c>
      <c r="U1091" s="25">
        <f t="shared" si="69"/>
        <v>19782.001090999998</v>
      </c>
    </row>
    <row r="1092" spans="1:21">
      <c r="A1092" s="2" t="s">
        <v>1777</v>
      </c>
      <c r="B1092" s="2" t="s">
        <v>188</v>
      </c>
      <c r="C1092" s="2" t="s">
        <v>35</v>
      </c>
      <c r="D1092" s="2">
        <v>38</v>
      </c>
      <c r="E1092" s="2" t="str">
        <f t="shared" si="70"/>
        <v>36-45</v>
      </c>
      <c r="F1092" s="2" t="s">
        <v>91</v>
      </c>
      <c r="G1092" s="2" t="s">
        <v>47</v>
      </c>
      <c r="H1092" s="2">
        <v>22</v>
      </c>
      <c r="I1092" s="2" t="str">
        <f t="shared" si="68"/>
        <v>13-24 months</v>
      </c>
      <c r="J1092" s="3">
        <v>1049</v>
      </c>
      <c r="K1092" s="3">
        <v>23078</v>
      </c>
      <c r="L1092" s="2" t="s">
        <v>22</v>
      </c>
      <c r="M1092" s="4">
        <v>45243</v>
      </c>
      <c r="N1092" s="2" t="s">
        <v>23</v>
      </c>
      <c r="O1092" s="2">
        <f t="shared" si="71"/>
        <v>0</v>
      </c>
      <c r="P1092" s="2" t="s">
        <v>23</v>
      </c>
      <c r="Q1092" s="2" t="s">
        <v>23</v>
      </c>
      <c r="R1092" s="2" t="s">
        <v>32</v>
      </c>
      <c r="S1092" s="2" t="s">
        <v>23</v>
      </c>
      <c r="T1092" s="2" t="s">
        <v>23</v>
      </c>
      <c r="U1092" s="25">
        <f t="shared" si="69"/>
        <v>23078.001091999999</v>
      </c>
    </row>
    <row r="1093" spans="1:21">
      <c r="A1093" s="2" t="s">
        <v>1778</v>
      </c>
      <c r="B1093" s="2" t="s">
        <v>62</v>
      </c>
      <c r="C1093" s="2" t="s">
        <v>35</v>
      </c>
      <c r="D1093" s="2">
        <v>34</v>
      </c>
      <c r="E1093" s="2" t="str">
        <f t="shared" si="70"/>
        <v>26-35</v>
      </c>
      <c r="F1093" s="2" t="s">
        <v>60</v>
      </c>
      <c r="G1093" s="2" t="s">
        <v>21</v>
      </c>
      <c r="H1093" s="2">
        <v>24</v>
      </c>
      <c r="I1093" s="2" t="str">
        <f t="shared" si="68"/>
        <v>13-24 months</v>
      </c>
      <c r="J1093" s="3">
        <v>399</v>
      </c>
      <c r="K1093" s="3">
        <v>9576</v>
      </c>
      <c r="L1093" s="2" t="s">
        <v>66</v>
      </c>
      <c r="M1093" s="4">
        <v>45186</v>
      </c>
      <c r="N1093" s="2" t="s">
        <v>32</v>
      </c>
      <c r="O1093" s="2">
        <f t="shared" si="71"/>
        <v>1</v>
      </c>
      <c r="P1093" s="2" t="s">
        <v>23</v>
      </c>
      <c r="Q1093" s="2" t="s">
        <v>32</v>
      </c>
      <c r="R1093" s="2" t="s">
        <v>23</v>
      </c>
      <c r="S1093" s="2" t="s">
        <v>23</v>
      </c>
      <c r="T1093" s="2" t="s">
        <v>23</v>
      </c>
      <c r="U1093" s="25">
        <f t="shared" si="69"/>
        <v>9576.0010930000008</v>
      </c>
    </row>
    <row r="1094" spans="1:21">
      <c r="A1094" s="2" t="s">
        <v>1779</v>
      </c>
      <c r="B1094" s="2" t="s">
        <v>1780</v>
      </c>
      <c r="C1094" s="2" t="s">
        <v>35</v>
      </c>
      <c r="D1094" s="2">
        <v>44</v>
      </c>
      <c r="E1094" s="2" t="str">
        <f t="shared" si="70"/>
        <v>36-45</v>
      </c>
      <c r="F1094" s="2" t="s">
        <v>63</v>
      </c>
      <c r="G1094" s="2" t="s">
        <v>21</v>
      </c>
      <c r="H1094" s="2">
        <v>1</v>
      </c>
      <c r="I1094" s="2" t="str">
        <f t="shared" si="68"/>
        <v>0-6 months</v>
      </c>
      <c r="J1094" s="3">
        <v>699</v>
      </c>
      <c r="K1094" s="3">
        <v>699</v>
      </c>
      <c r="L1094" s="2" t="s">
        <v>31</v>
      </c>
      <c r="M1094" s="4">
        <v>45895</v>
      </c>
      <c r="N1094" s="2" t="s">
        <v>32</v>
      </c>
      <c r="O1094" s="2">
        <f t="shared" si="71"/>
        <v>1</v>
      </c>
      <c r="P1094" s="2" t="s">
        <v>23</v>
      </c>
      <c r="Q1094" s="2" t="s">
        <v>23</v>
      </c>
      <c r="R1094" s="2" t="s">
        <v>23</v>
      </c>
      <c r="S1094" s="2" t="s">
        <v>23</v>
      </c>
      <c r="T1094" s="2" t="s">
        <v>23</v>
      </c>
      <c r="U1094" s="25">
        <f t="shared" si="69"/>
        <v>699.00109399999997</v>
      </c>
    </row>
    <row r="1095" spans="1:21">
      <c r="A1095" s="2" t="s">
        <v>1781</v>
      </c>
      <c r="B1095" s="2" t="s">
        <v>871</v>
      </c>
      <c r="C1095" s="2" t="s">
        <v>35</v>
      </c>
      <c r="D1095" s="2">
        <v>21</v>
      </c>
      <c r="E1095" s="2" t="str">
        <f t="shared" si="70"/>
        <v>18-25</v>
      </c>
      <c r="F1095" s="2" t="s">
        <v>91</v>
      </c>
      <c r="G1095" s="2" t="s">
        <v>21</v>
      </c>
      <c r="H1095" s="2">
        <v>12</v>
      </c>
      <c r="I1095" s="2" t="str">
        <f t="shared" si="68"/>
        <v>7-12 months</v>
      </c>
      <c r="J1095" s="3">
        <v>849</v>
      </c>
      <c r="K1095" s="3">
        <v>10188</v>
      </c>
      <c r="L1095" s="2" t="s">
        <v>31</v>
      </c>
      <c r="M1095" s="4">
        <v>45568</v>
      </c>
      <c r="N1095" s="2" t="s">
        <v>32</v>
      </c>
      <c r="O1095" s="2">
        <f t="shared" si="71"/>
        <v>1</v>
      </c>
      <c r="P1095" s="2" t="s">
        <v>23</v>
      </c>
      <c r="Q1095" s="2" t="s">
        <v>23</v>
      </c>
      <c r="R1095" s="2" t="s">
        <v>23</v>
      </c>
      <c r="S1095" s="2" t="s">
        <v>23</v>
      </c>
      <c r="T1095" s="2" t="s">
        <v>23</v>
      </c>
      <c r="U1095" s="25">
        <f t="shared" si="69"/>
        <v>10188.001095</v>
      </c>
    </row>
    <row r="1096" spans="1:21">
      <c r="A1096" s="2" t="s">
        <v>1782</v>
      </c>
      <c r="B1096" s="2" t="s">
        <v>37</v>
      </c>
      <c r="C1096" s="2" t="s">
        <v>19</v>
      </c>
      <c r="D1096" s="2">
        <v>70</v>
      </c>
      <c r="E1096" s="2" t="str">
        <f t="shared" si="70"/>
        <v>60+</v>
      </c>
      <c r="F1096" s="2" t="s">
        <v>57</v>
      </c>
      <c r="G1096" s="2" t="s">
        <v>21</v>
      </c>
      <c r="H1096" s="2">
        <v>12</v>
      </c>
      <c r="I1096" s="2" t="str">
        <f t="shared" si="68"/>
        <v>7-12 months</v>
      </c>
      <c r="J1096" s="3">
        <v>1299</v>
      </c>
      <c r="K1096" s="3">
        <v>15588</v>
      </c>
      <c r="L1096" s="2" t="s">
        <v>22</v>
      </c>
      <c r="M1096" s="4">
        <v>45551</v>
      </c>
      <c r="N1096" s="2" t="s">
        <v>23</v>
      </c>
      <c r="O1096" s="2">
        <f t="shared" si="71"/>
        <v>0</v>
      </c>
      <c r="P1096" s="2" t="s">
        <v>23</v>
      </c>
      <c r="Q1096" s="2" t="s">
        <v>23</v>
      </c>
      <c r="R1096" s="2" t="s">
        <v>23</v>
      </c>
      <c r="S1096" s="2" t="s">
        <v>23</v>
      </c>
      <c r="T1096" s="2" t="s">
        <v>23</v>
      </c>
      <c r="U1096" s="25">
        <f t="shared" si="69"/>
        <v>15588.001096</v>
      </c>
    </row>
    <row r="1097" spans="1:21">
      <c r="A1097" s="2" t="s">
        <v>1783</v>
      </c>
      <c r="B1097" s="2" t="s">
        <v>1784</v>
      </c>
      <c r="C1097" s="2" t="s">
        <v>19</v>
      </c>
      <c r="D1097" s="2">
        <v>27</v>
      </c>
      <c r="E1097" s="2" t="str">
        <f t="shared" si="70"/>
        <v>26-35</v>
      </c>
      <c r="F1097" s="2" t="s">
        <v>41</v>
      </c>
      <c r="G1097" s="2" t="s">
        <v>27</v>
      </c>
      <c r="H1097" s="2">
        <v>17</v>
      </c>
      <c r="I1097" s="2" t="str">
        <f t="shared" si="68"/>
        <v>13-24 months</v>
      </c>
      <c r="J1097" s="3">
        <v>799</v>
      </c>
      <c r="K1097" s="3">
        <v>13583</v>
      </c>
      <c r="L1097" s="2" t="s">
        <v>31</v>
      </c>
      <c r="M1097" s="4"/>
      <c r="N1097" s="2" t="s">
        <v>23</v>
      </c>
      <c r="O1097" s="2">
        <f t="shared" si="71"/>
        <v>0</v>
      </c>
      <c r="P1097" s="2" t="s">
        <v>23</v>
      </c>
      <c r="Q1097" s="2" t="s">
        <v>23</v>
      </c>
      <c r="R1097" s="2" t="s">
        <v>23</v>
      </c>
      <c r="S1097" s="2" t="s">
        <v>23</v>
      </c>
      <c r="T1097" s="2" t="s">
        <v>54</v>
      </c>
      <c r="U1097" s="25">
        <f t="shared" si="69"/>
        <v>13583.001097</v>
      </c>
    </row>
    <row r="1098" spans="1:21">
      <c r="A1098" s="2" t="s">
        <v>1785</v>
      </c>
      <c r="B1098" s="2" t="s">
        <v>1786</v>
      </c>
      <c r="C1098" s="2" t="s">
        <v>35</v>
      </c>
      <c r="D1098" s="2">
        <v>67</v>
      </c>
      <c r="E1098" s="2" t="str">
        <f t="shared" si="70"/>
        <v>60+</v>
      </c>
      <c r="F1098" s="2" t="s">
        <v>57</v>
      </c>
      <c r="G1098" s="2" t="s">
        <v>27</v>
      </c>
      <c r="H1098" s="2">
        <v>40</v>
      </c>
      <c r="I1098" s="2" t="str">
        <f t="shared" si="68"/>
        <v>25-48 months</v>
      </c>
      <c r="J1098" s="3">
        <v>849</v>
      </c>
      <c r="K1098" s="3">
        <v>33960</v>
      </c>
      <c r="L1098" s="2" t="s">
        <v>31</v>
      </c>
      <c r="M1098" s="4">
        <v>44703</v>
      </c>
      <c r="N1098" s="2" t="s">
        <v>23</v>
      </c>
      <c r="O1098" s="2">
        <f t="shared" si="71"/>
        <v>0</v>
      </c>
      <c r="P1098" s="2" t="s">
        <v>23</v>
      </c>
      <c r="Q1098" s="2" t="s">
        <v>32</v>
      </c>
      <c r="R1098" s="2" t="s">
        <v>23</v>
      </c>
      <c r="S1098" s="2" t="s">
        <v>23</v>
      </c>
      <c r="T1098" s="2" t="s">
        <v>23</v>
      </c>
      <c r="U1098" s="25">
        <f t="shared" si="69"/>
        <v>33960.001098000001</v>
      </c>
    </row>
    <row r="1099" spans="1:21">
      <c r="A1099" s="2" t="s">
        <v>1787</v>
      </c>
      <c r="B1099" s="2" t="s">
        <v>969</v>
      </c>
      <c r="C1099" s="2" t="s">
        <v>19</v>
      </c>
      <c r="D1099" s="2">
        <v>69</v>
      </c>
      <c r="E1099" s="2" t="str">
        <f t="shared" si="70"/>
        <v>60+</v>
      </c>
      <c r="F1099" s="2" t="s">
        <v>91</v>
      </c>
      <c r="G1099" s="2" t="s">
        <v>21</v>
      </c>
      <c r="H1099" s="2">
        <v>1</v>
      </c>
      <c r="I1099" s="2" t="str">
        <f t="shared" si="68"/>
        <v>0-6 months</v>
      </c>
      <c r="J1099" s="3">
        <v>699</v>
      </c>
      <c r="K1099" s="3">
        <v>699</v>
      </c>
      <c r="L1099" s="2" t="s">
        <v>31</v>
      </c>
      <c r="M1099" s="4">
        <v>45873</v>
      </c>
      <c r="N1099" s="2" t="s">
        <v>32</v>
      </c>
      <c r="O1099" s="2">
        <f t="shared" si="71"/>
        <v>1</v>
      </c>
      <c r="P1099" s="2" t="s">
        <v>23</v>
      </c>
      <c r="Q1099" s="2" t="s">
        <v>23</v>
      </c>
      <c r="R1099" s="2" t="s">
        <v>32</v>
      </c>
      <c r="S1099" s="2" t="s">
        <v>23</v>
      </c>
      <c r="T1099" s="2" t="s">
        <v>23</v>
      </c>
      <c r="U1099" s="25">
        <f t="shared" si="69"/>
        <v>699.00109899999995</v>
      </c>
    </row>
    <row r="1100" spans="1:21">
      <c r="A1100" s="2" t="s">
        <v>1788</v>
      </c>
      <c r="B1100" s="2" t="s">
        <v>518</v>
      </c>
      <c r="C1100" s="2" t="s">
        <v>35</v>
      </c>
      <c r="D1100" s="2">
        <v>48</v>
      </c>
      <c r="E1100" s="2" t="str">
        <f t="shared" si="70"/>
        <v>46-60</v>
      </c>
      <c r="F1100" s="2" t="s">
        <v>30</v>
      </c>
      <c r="G1100" s="2" t="s">
        <v>21</v>
      </c>
      <c r="H1100" s="2">
        <v>8</v>
      </c>
      <c r="I1100" s="2" t="str">
        <f t="shared" si="68"/>
        <v>7-12 months</v>
      </c>
      <c r="J1100" s="3">
        <v>1099</v>
      </c>
      <c r="K1100" s="3">
        <v>8792</v>
      </c>
      <c r="L1100" s="2" t="s">
        <v>22</v>
      </c>
      <c r="M1100" s="4">
        <v>45666</v>
      </c>
      <c r="N1100" s="2" t="s">
        <v>23</v>
      </c>
      <c r="O1100" s="2">
        <f t="shared" si="71"/>
        <v>0</v>
      </c>
      <c r="P1100" s="2" t="s">
        <v>23</v>
      </c>
      <c r="Q1100" s="2" t="s">
        <v>23</v>
      </c>
      <c r="R1100" s="2" t="s">
        <v>23</v>
      </c>
      <c r="S1100" s="2" t="s">
        <v>23</v>
      </c>
      <c r="T1100" s="2" t="s">
        <v>23</v>
      </c>
      <c r="U1100" s="25">
        <f t="shared" si="69"/>
        <v>8792.0010999999995</v>
      </c>
    </row>
    <row r="1101" spans="1:21">
      <c r="A1101" s="2" t="s">
        <v>1789</v>
      </c>
      <c r="B1101" s="2" t="s">
        <v>112</v>
      </c>
      <c r="C1101" s="2" t="s">
        <v>35</v>
      </c>
      <c r="D1101" s="2">
        <v>71</v>
      </c>
      <c r="E1101" s="2" t="str">
        <f t="shared" si="70"/>
        <v>60+</v>
      </c>
      <c r="F1101" s="2" t="s">
        <v>26</v>
      </c>
      <c r="G1101" s="2" t="s">
        <v>21</v>
      </c>
      <c r="H1101" s="2">
        <v>20</v>
      </c>
      <c r="I1101" s="2" t="str">
        <f t="shared" si="68"/>
        <v>13-24 months</v>
      </c>
      <c r="J1101" s="3">
        <v>899</v>
      </c>
      <c r="K1101" s="3">
        <v>17980</v>
      </c>
      <c r="L1101" s="2" t="s">
        <v>31</v>
      </c>
      <c r="M1101" s="4">
        <v>45302</v>
      </c>
      <c r="N1101" s="2" t="s">
        <v>23</v>
      </c>
      <c r="O1101" s="2">
        <f t="shared" si="71"/>
        <v>0</v>
      </c>
      <c r="P1101" s="2" t="s">
        <v>23</v>
      </c>
      <c r="Q1101" s="2" t="s">
        <v>23</v>
      </c>
      <c r="R1101" s="2" t="s">
        <v>23</v>
      </c>
      <c r="S1101" s="2" t="s">
        <v>23</v>
      </c>
      <c r="T1101" s="2" t="s">
        <v>23</v>
      </c>
      <c r="U1101" s="25">
        <f t="shared" si="69"/>
        <v>17980.001101000002</v>
      </c>
    </row>
    <row r="1102" spans="1:21">
      <c r="A1102" s="2" t="s">
        <v>1790</v>
      </c>
      <c r="B1102" s="2" t="s">
        <v>1791</v>
      </c>
      <c r="C1102" s="2" t="s">
        <v>35</v>
      </c>
      <c r="D1102" s="2">
        <v>53</v>
      </c>
      <c r="E1102" s="2" t="str">
        <f t="shared" si="70"/>
        <v>46-60</v>
      </c>
      <c r="F1102" s="2" t="s">
        <v>60</v>
      </c>
      <c r="G1102" s="2" t="s">
        <v>21</v>
      </c>
      <c r="H1102" s="2">
        <v>22</v>
      </c>
      <c r="I1102" s="2" t="str">
        <f t="shared" si="68"/>
        <v>13-24 months</v>
      </c>
      <c r="J1102" s="3">
        <v>1149</v>
      </c>
      <c r="K1102" s="3">
        <v>25278</v>
      </c>
      <c r="L1102" s="2" t="s">
        <v>22</v>
      </c>
      <c r="M1102" s="4">
        <v>45263</v>
      </c>
      <c r="N1102" s="2" t="s">
        <v>23</v>
      </c>
      <c r="O1102" s="2">
        <f t="shared" si="71"/>
        <v>0</v>
      </c>
      <c r="P1102" s="2" t="s">
        <v>23</v>
      </c>
      <c r="Q1102" s="2" t="s">
        <v>23</v>
      </c>
      <c r="R1102" s="2" t="s">
        <v>32</v>
      </c>
      <c r="S1102" s="2" t="s">
        <v>23</v>
      </c>
      <c r="T1102" s="2" t="s">
        <v>23</v>
      </c>
      <c r="U1102" s="25">
        <f t="shared" si="69"/>
        <v>25278.001101999998</v>
      </c>
    </row>
    <row r="1103" spans="1:21">
      <c r="A1103" s="2" t="s">
        <v>1792</v>
      </c>
      <c r="B1103" s="2" t="s">
        <v>401</v>
      </c>
      <c r="C1103" s="2" t="s">
        <v>19</v>
      </c>
      <c r="D1103" s="2">
        <v>67</v>
      </c>
      <c r="E1103" s="2" t="str">
        <f t="shared" si="70"/>
        <v>60+</v>
      </c>
      <c r="F1103" s="2" t="s">
        <v>71</v>
      </c>
      <c r="G1103" s="2" t="s">
        <v>21</v>
      </c>
      <c r="H1103" s="2">
        <v>20</v>
      </c>
      <c r="I1103" s="2" t="str">
        <f t="shared" si="68"/>
        <v>13-24 months</v>
      </c>
      <c r="J1103" s="3">
        <v>999</v>
      </c>
      <c r="K1103" s="3">
        <v>19980</v>
      </c>
      <c r="L1103" s="2" t="s">
        <v>22</v>
      </c>
      <c r="M1103" s="4">
        <v>45299</v>
      </c>
      <c r="N1103" s="2" t="s">
        <v>32</v>
      </c>
      <c r="O1103" s="2">
        <f t="shared" si="71"/>
        <v>1</v>
      </c>
      <c r="P1103" s="2" t="s">
        <v>23</v>
      </c>
      <c r="Q1103" s="2" t="s">
        <v>23</v>
      </c>
      <c r="R1103" s="2" t="s">
        <v>23</v>
      </c>
      <c r="S1103" s="2" t="s">
        <v>23</v>
      </c>
      <c r="T1103" s="2" t="s">
        <v>23</v>
      </c>
      <c r="U1103" s="25">
        <f t="shared" si="69"/>
        <v>19980.001102999999</v>
      </c>
    </row>
    <row r="1104" spans="1:21">
      <c r="A1104" s="2" t="s">
        <v>1793</v>
      </c>
      <c r="B1104" s="2" t="s">
        <v>1794</v>
      </c>
      <c r="C1104" s="2" t="s">
        <v>19</v>
      </c>
      <c r="D1104" s="2">
        <v>41</v>
      </c>
      <c r="E1104" s="2" t="str">
        <f t="shared" si="70"/>
        <v>36-45</v>
      </c>
      <c r="F1104" s="2" t="s">
        <v>26</v>
      </c>
      <c r="G1104" s="2" t="s">
        <v>21</v>
      </c>
      <c r="H1104" s="2">
        <v>11</v>
      </c>
      <c r="I1104" s="2" t="str">
        <f t="shared" si="68"/>
        <v>7-12 months</v>
      </c>
      <c r="J1104" s="3">
        <v>1049</v>
      </c>
      <c r="K1104" s="3">
        <v>11539</v>
      </c>
      <c r="L1104" s="2" t="s">
        <v>22</v>
      </c>
      <c r="M1104" s="4">
        <v>45598</v>
      </c>
      <c r="N1104" s="2" t="s">
        <v>23</v>
      </c>
      <c r="O1104" s="2">
        <f t="shared" si="71"/>
        <v>0</v>
      </c>
      <c r="P1104" s="2" t="s">
        <v>23</v>
      </c>
      <c r="Q1104" s="2" t="s">
        <v>23</v>
      </c>
      <c r="R1104" s="2" t="s">
        <v>32</v>
      </c>
      <c r="S1104" s="2" t="s">
        <v>23</v>
      </c>
      <c r="T1104" s="2" t="s">
        <v>23</v>
      </c>
      <c r="U1104" s="25">
        <f t="shared" si="69"/>
        <v>11539.001104000001</v>
      </c>
    </row>
    <row r="1105" spans="1:21">
      <c r="A1105" s="2" t="s">
        <v>1795</v>
      </c>
      <c r="B1105" s="2" t="s">
        <v>1796</v>
      </c>
      <c r="C1105" s="2" t="s">
        <v>35</v>
      </c>
      <c r="D1105" s="2">
        <v>35</v>
      </c>
      <c r="E1105" s="2" t="str">
        <f t="shared" si="70"/>
        <v>26-35</v>
      </c>
      <c r="F1105" s="2" t="s">
        <v>71</v>
      </c>
      <c r="G1105" s="2" t="s">
        <v>21</v>
      </c>
      <c r="H1105" s="2">
        <v>23</v>
      </c>
      <c r="I1105" s="2" t="str">
        <f t="shared" si="68"/>
        <v>13-24 months</v>
      </c>
      <c r="J1105" s="3">
        <v>849</v>
      </c>
      <c r="K1105" s="3">
        <v>19527</v>
      </c>
      <c r="L1105" s="2" t="s">
        <v>31</v>
      </c>
      <c r="M1105" s="4">
        <v>45220</v>
      </c>
      <c r="N1105" s="2" t="s">
        <v>23</v>
      </c>
      <c r="O1105" s="2">
        <f t="shared" si="71"/>
        <v>0</v>
      </c>
      <c r="P1105" s="2" t="s">
        <v>23</v>
      </c>
      <c r="Q1105" s="2" t="s">
        <v>23</v>
      </c>
      <c r="R1105" s="2" t="s">
        <v>23</v>
      </c>
      <c r="S1105" s="2" t="s">
        <v>23</v>
      </c>
      <c r="T1105" s="2" t="s">
        <v>23</v>
      </c>
      <c r="U1105" s="25">
        <f t="shared" si="69"/>
        <v>19527.001104999999</v>
      </c>
    </row>
    <row r="1106" spans="1:21">
      <c r="A1106" s="2" t="s">
        <v>1797</v>
      </c>
      <c r="B1106" s="2" t="s">
        <v>1798</v>
      </c>
      <c r="C1106" s="2" t="s">
        <v>19</v>
      </c>
      <c r="D1106" s="2">
        <v>58</v>
      </c>
      <c r="E1106" s="2" t="str">
        <f t="shared" si="70"/>
        <v>46-60</v>
      </c>
      <c r="F1106" s="2" t="s">
        <v>60</v>
      </c>
      <c r="G1106" s="2" t="s">
        <v>21</v>
      </c>
      <c r="H1106" s="2">
        <v>21</v>
      </c>
      <c r="I1106" s="2" t="str">
        <f t="shared" si="68"/>
        <v>13-24 months</v>
      </c>
      <c r="J1106" s="3">
        <v>1149</v>
      </c>
      <c r="K1106" s="3">
        <v>24129</v>
      </c>
      <c r="L1106" s="2" t="s">
        <v>22</v>
      </c>
      <c r="M1106" s="4">
        <v>45298</v>
      </c>
      <c r="N1106" s="2" t="s">
        <v>32</v>
      </c>
      <c r="O1106" s="2">
        <f t="shared" si="71"/>
        <v>1</v>
      </c>
      <c r="P1106" s="2" t="s">
        <v>23</v>
      </c>
      <c r="Q1106" s="2" t="s">
        <v>23</v>
      </c>
      <c r="R1106" s="2" t="s">
        <v>23</v>
      </c>
      <c r="S1106" s="2" t="s">
        <v>23</v>
      </c>
      <c r="T1106" s="2" t="s">
        <v>23</v>
      </c>
      <c r="U1106" s="25">
        <f t="shared" si="69"/>
        <v>24129.001106</v>
      </c>
    </row>
    <row r="1107" spans="1:21">
      <c r="A1107" s="2" t="s">
        <v>1799</v>
      </c>
      <c r="B1107" s="2" t="s">
        <v>946</v>
      </c>
      <c r="C1107" s="2" t="s">
        <v>19</v>
      </c>
      <c r="D1107" s="2">
        <v>23</v>
      </c>
      <c r="E1107" s="2" t="str">
        <f t="shared" si="70"/>
        <v>18-25</v>
      </c>
      <c r="F1107" s="2" t="s">
        <v>105</v>
      </c>
      <c r="G1107" s="2" t="s">
        <v>47</v>
      </c>
      <c r="H1107" s="2">
        <v>57</v>
      </c>
      <c r="I1107" s="2" t="str">
        <f t="shared" si="68"/>
        <v>49+ months</v>
      </c>
      <c r="J1107" s="3">
        <v>849</v>
      </c>
      <c r="K1107" s="3">
        <v>48393</v>
      </c>
      <c r="L1107" s="2" t="s">
        <v>31</v>
      </c>
      <c r="M1107" s="4">
        <v>44191</v>
      </c>
      <c r="N1107" s="2" t="s">
        <v>23</v>
      </c>
      <c r="O1107" s="2">
        <f t="shared" si="71"/>
        <v>0</v>
      </c>
      <c r="P1107" s="2" t="s">
        <v>23</v>
      </c>
      <c r="Q1107" s="2" t="s">
        <v>23</v>
      </c>
      <c r="R1107" s="2" t="s">
        <v>23</v>
      </c>
      <c r="S1107" s="2" t="s">
        <v>23</v>
      </c>
      <c r="T1107" s="2" t="s">
        <v>23</v>
      </c>
      <c r="U1107" s="25">
        <f t="shared" si="69"/>
        <v>48393.001106999996</v>
      </c>
    </row>
    <row r="1108" spans="1:21">
      <c r="A1108" s="2" t="s">
        <v>1800</v>
      </c>
      <c r="B1108" s="2" t="s">
        <v>592</v>
      </c>
      <c r="C1108" s="2" t="s">
        <v>35</v>
      </c>
      <c r="D1108" s="2">
        <v>57</v>
      </c>
      <c r="E1108" s="2" t="str">
        <f t="shared" si="70"/>
        <v>46-60</v>
      </c>
      <c r="F1108" s="2" t="s">
        <v>141</v>
      </c>
      <c r="G1108" s="2" t="s">
        <v>21</v>
      </c>
      <c r="H1108" s="2">
        <v>11</v>
      </c>
      <c r="I1108" s="2" t="str">
        <f t="shared" si="68"/>
        <v>7-12 months</v>
      </c>
      <c r="J1108" s="3">
        <v>549</v>
      </c>
      <c r="K1108" s="3">
        <v>6039</v>
      </c>
      <c r="L1108" s="2" t="s">
        <v>66</v>
      </c>
      <c r="M1108" s="4">
        <v>45587</v>
      </c>
      <c r="N1108" s="2" t="s">
        <v>23</v>
      </c>
      <c r="O1108" s="2">
        <f t="shared" si="71"/>
        <v>0</v>
      </c>
      <c r="P1108" s="2" t="s">
        <v>23</v>
      </c>
      <c r="Q1108" s="2" t="s">
        <v>23</v>
      </c>
      <c r="R1108" s="2" t="s">
        <v>23</v>
      </c>
      <c r="S1108" s="2" t="s">
        <v>23</v>
      </c>
      <c r="T1108" s="2" t="s">
        <v>23</v>
      </c>
      <c r="U1108" s="25">
        <f t="shared" si="69"/>
        <v>6039.0011080000004</v>
      </c>
    </row>
    <row r="1109" spans="1:21">
      <c r="A1109" s="2" t="s">
        <v>1801</v>
      </c>
      <c r="B1109" s="2" t="s">
        <v>271</v>
      </c>
      <c r="C1109" s="2" t="s">
        <v>19</v>
      </c>
      <c r="D1109" s="2">
        <v>71</v>
      </c>
      <c r="E1109" s="2" t="str">
        <f t="shared" si="70"/>
        <v>60+</v>
      </c>
      <c r="F1109" s="2" t="s">
        <v>71</v>
      </c>
      <c r="G1109" s="2" t="s">
        <v>27</v>
      </c>
      <c r="H1109" s="2">
        <v>33</v>
      </c>
      <c r="I1109" s="2" t="str">
        <f t="shared" si="68"/>
        <v>25-48 months</v>
      </c>
      <c r="J1109" s="3">
        <v>649</v>
      </c>
      <c r="K1109" s="3">
        <v>21417</v>
      </c>
      <c r="L1109" s="2" t="s">
        <v>31</v>
      </c>
      <c r="M1109" s="4">
        <v>44924</v>
      </c>
      <c r="N1109" s="2" t="s">
        <v>32</v>
      </c>
      <c r="O1109" s="2">
        <f t="shared" si="71"/>
        <v>1</v>
      </c>
      <c r="P1109" s="2" t="s">
        <v>23</v>
      </c>
      <c r="Q1109" s="2" t="s">
        <v>23</v>
      </c>
      <c r="R1109" s="2" t="s">
        <v>23</v>
      </c>
      <c r="S1109" s="2" t="s">
        <v>23</v>
      </c>
      <c r="T1109" s="2" t="s">
        <v>23</v>
      </c>
      <c r="U1109" s="25">
        <f t="shared" si="69"/>
        <v>21417.001109000001</v>
      </c>
    </row>
    <row r="1110" spans="1:21">
      <c r="A1110" s="2" t="s">
        <v>1802</v>
      </c>
      <c r="B1110" s="2" t="s">
        <v>256</v>
      </c>
      <c r="C1110" s="2" t="s">
        <v>19</v>
      </c>
      <c r="D1110" s="2">
        <v>30</v>
      </c>
      <c r="E1110" s="2" t="str">
        <f t="shared" si="70"/>
        <v>26-35</v>
      </c>
      <c r="F1110" s="2" t="s">
        <v>141</v>
      </c>
      <c r="G1110" s="2" t="s">
        <v>21</v>
      </c>
      <c r="H1110" s="2">
        <v>24</v>
      </c>
      <c r="I1110" s="2" t="str">
        <f t="shared" si="68"/>
        <v>13-24 months</v>
      </c>
      <c r="J1110" s="3">
        <v>899</v>
      </c>
      <c r="K1110" s="3">
        <v>21576</v>
      </c>
      <c r="L1110" s="2" t="s">
        <v>31</v>
      </c>
      <c r="M1110" s="4">
        <v>45191</v>
      </c>
      <c r="N1110" s="2" t="s">
        <v>32</v>
      </c>
      <c r="O1110" s="2">
        <f t="shared" si="71"/>
        <v>1</v>
      </c>
      <c r="P1110" s="2" t="s">
        <v>23</v>
      </c>
      <c r="Q1110" s="2" t="s">
        <v>23</v>
      </c>
      <c r="R1110" s="2" t="s">
        <v>23</v>
      </c>
      <c r="S1110" s="2" t="s">
        <v>23</v>
      </c>
      <c r="T1110" s="2" t="s">
        <v>23</v>
      </c>
      <c r="U1110" s="25">
        <f t="shared" si="69"/>
        <v>21576.001110000001</v>
      </c>
    </row>
    <row r="1111" spans="1:21">
      <c r="A1111" s="2" t="s">
        <v>1803</v>
      </c>
      <c r="B1111" s="2" t="s">
        <v>1804</v>
      </c>
      <c r="C1111" s="2" t="s">
        <v>35</v>
      </c>
      <c r="D1111" s="2">
        <v>47</v>
      </c>
      <c r="E1111" s="2" t="str">
        <f t="shared" si="70"/>
        <v>46-60</v>
      </c>
      <c r="F1111" s="2" t="s">
        <v>91</v>
      </c>
      <c r="G1111" s="2" t="s">
        <v>47</v>
      </c>
      <c r="H1111" s="2">
        <v>60</v>
      </c>
      <c r="I1111" s="2" t="str">
        <f t="shared" si="68"/>
        <v>49+ months</v>
      </c>
      <c r="J1111" s="3">
        <v>599</v>
      </c>
      <c r="K1111" s="3">
        <v>35940</v>
      </c>
      <c r="L1111" s="2" t="s">
        <v>31</v>
      </c>
      <c r="M1111" s="4">
        <v>44126</v>
      </c>
      <c r="N1111" s="2" t="s">
        <v>23</v>
      </c>
      <c r="O1111" s="2">
        <f t="shared" si="71"/>
        <v>0</v>
      </c>
      <c r="P1111" s="2" t="s">
        <v>23</v>
      </c>
      <c r="Q1111" s="2" t="s">
        <v>23</v>
      </c>
      <c r="R1111" s="2" t="s">
        <v>23</v>
      </c>
      <c r="S1111" s="2" t="s">
        <v>23</v>
      </c>
      <c r="T1111" s="2" t="s">
        <v>23</v>
      </c>
      <c r="U1111" s="25">
        <f t="shared" si="69"/>
        <v>35940.001110999998</v>
      </c>
    </row>
    <row r="1112" spans="1:21">
      <c r="A1112" s="2" t="s">
        <v>1805</v>
      </c>
      <c r="B1112" s="2" t="s">
        <v>1806</v>
      </c>
      <c r="C1112" s="2" t="s">
        <v>19</v>
      </c>
      <c r="D1112" s="2">
        <v>58</v>
      </c>
      <c r="E1112" s="2" t="str">
        <f t="shared" si="70"/>
        <v>46-60</v>
      </c>
      <c r="F1112" s="2" t="s">
        <v>36</v>
      </c>
      <c r="G1112" s="2" t="s">
        <v>27</v>
      </c>
      <c r="H1112" s="2">
        <v>14</v>
      </c>
      <c r="I1112" s="2" t="str">
        <f t="shared" si="68"/>
        <v>13-24 months</v>
      </c>
      <c r="J1112" s="3">
        <v>1049</v>
      </c>
      <c r="K1112" s="3">
        <v>14686</v>
      </c>
      <c r="L1112" s="2" t="s">
        <v>22</v>
      </c>
      <c r="M1112" s="4">
        <v>45485</v>
      </c>
      <c r="N1112" s="2" t="s">
        <v>32</v>
      </c>
      <c r="O1112" s="2">
        <f t="shared" si="71"/>
        <v>1</v>
      </c>
      <c r="P1112" s="2" t="s">
        <v>23</v>
      </c>
      <c r="Q1112" s="2" t="s">
        <v>23</v>
      </c>
      <c r="R1112" s="2" t="s">
        <v>23</v>
      </c>
      <c r="S1112" s="2" t="s">
        <v>23</v>
      </c>
      <c r="T1112" s="2" t="s">
        <v>23</v>
      </c>
      <c r="U1112" s="25">
        <f t="shared" si="69"/>
        <v>14686.001112</v>
      </c>
    </row>
    <row r="1113" spans="1:21">
      <c r="A1113" s="2" t="s">
        <v>1807</v>
      </c>
      <c r="B1113" s="2" t="s">
        <v>560</v>
      </c>
      <c r="C1113" s="2" t="s">
        <v>19</v>
      </c>
      <c r="D1113" s="2">
        <v>59</v>
      </c>
      <c r="E1113" s="2" t="str">
        <f t="shared" si="70"/>
        <v>46-60</v>
      </c>
      <c r="F1113" s="2" t="s">
        <v>57</v>
      </c>
      <c r="G1113" s="2" t="s">
        <v>21</v>
      </c>
      <c r="H1113" s="2">
        <v>5</v>
      </c>
      <c r="I1113" s="2" t="str">
        <f t="shared" si="68"/>
        <v>0-6 months</v>
      </c>
      <c r="J1113" s="3">
        <v>899</v>
      </c>
      <c r="K1113" s="3">
        <v>4495</v>
      </c>
      <c r="L1113" s="2" t="s">
        <v>22</v>
      </c>
      <c r="M1113" s="4">
        <v>45773</v>
      </c>
      <c r="N1113" s="2" t="s">
        <v>23</v>
      </c>
      <c r="O1113" s="2">
        <f t="shared" si="71"/>
        <v>0</v>
      </c>
      <c r="P1113" s="2" t="s">
        <v>23</v>
      </c>
      <c r="Q1113" s="2" t="s">
        <v>23</v>
      </c>
      <c r="R1113" s="2" t="s">
        <v>23</v>
      </c>
      <c r="S1113" s="2" t="s">
        <v>32</v>
      </c>
      <c r="T1113" s="2" t="s">
        <v>23</v>
      </c>
      <c r="U1113" s="25">
        <f t="shared" si="69"/>
        <v>4495.0011130000003</v>
      </c>
    </row>
    <row r="1114" spans="1:21">
      <c r="A1114" s="2" t="s">
        <v>1808</v>
      </c>
      <c r="B1114" s="2" t="s">
        <v>1809</v>
      </c>
      <c r="C1114" s="2" t="s">
        <v>35</v>
      </c>
      <c r="D1114" s="2">
        <v>38</v>
      </c>
      <c r="E1114" s="2" t="str">
        <f t="shared" si="70"/>
        <v>36-45</v>
      </c>
      <c r="F1114" s="2" t="s">
        <v>105</v>
      </c>
      <c r="G1114" s="2" t="s">
        <v>21</v>
      </c>
      <c r="H1114" s="2">
        <v>7</v>
      </c>
      <c r="I1114" s="2" t="str">
        <f t="shared" si="68"/>
        <v>7-12 months</v>
      </c>
      <c r="J1114" s="3">
        <v>649</v>
      </c>
      <c r="K1114" s="3">
        <v>4543</v>
      </c>
      <c r="L1114" s="2" t="s">
        <v>31</v>
      </c>
      <c r="M1114" s="4">
        <v>45710</v>
      </c>
      <c r="N1114" s="2" t="s">
        <v>23</v>
      </c>
      <c r="O1114" s="2">
        <f t="shared" si="71"/>
        <v>0</v>
      </c>
      <c r="P1114" s="2" t="s">
        <v>23</v>
      </c>
      <c r="Q1114" s="2" t="s">
        <v>23</v>
      </c>
      <c r="R1114" s="2" t="s">
        <v>23</v>
      </c>
      <c r="S1114" s="2" t="s">
        <v>23</v>
      </c>
      <c r="T1114" s="2" t="s">
        <v>23</v>
      </c>
      <c r="U1114" s="25">
        <f t="shared" si="69"/>
        <v>4543.0011139999997</v>
      </c>
    </row>
    <row r="1115" spans="1:21">
      <c r="A1115" s="2" t="s">
        <v>1810</v>
      </c>
      <c r="B1115" s="2" t="s">
        <v>1811</v>
      </c>
      <c r="C1115" s="2" t="s">
        <v>19</v>
      </c>
      <c r="D1115" s="2">
        <v>55</v>
      </c>
      <c r="E1115" s="2" t="str">
        <f t="shared" si="70"/>
        <v>46-60</v>
      </c>
      <c r="F1115" s="2" t="s">
        <v>30</v>
      </c>
      <c r="G1115" s="2" t="s">
        <v>21</v>
      </c>
      <c r="H1115" s="2">
        <v>15</v>
      </c>
      <c r="I1115" s="2" t="str">
        <f t="shared" si="68"/>
        <v>13-24 months</v>
      </c>
      <c r="J1115" s="3">
        <v>1199</v>
      </c>
      <c r="K1115" s="3">
        <v>17985</v>
      </c>
      <c r="L1115" s="2" t="s">
        <v>22</v>
      </c>
      <c r="M1115" s="4">
        <v>45452</v>
      </c>
      <c r="N1115" s="2" t="s">
        <v>32</v>
      </c>
      <c r="O1115" s="2">
        <f t="shared" si="71"/>
        <v>1</v>
      </c>
      <c r="P1115" s="2" t="s">
        <v>23</v>
      </c>
      <c r="Q1115" s="2" t="s">
        <v>23</v>
      </c>
      <c r="R1115" s="2" t="s">
        <v>23</v>
      </c>
      <c r="S1115" s="2" t="s">
        <v>23</v>
      </c>
      <c r="T1115" s="2" t="s">
        <v>23</v>
      </c>
      <c r="U1115" s="25">
        <f t="shared" si="69"/>
        <v>17985.001114999999</v>
      </c>
    </row>
    <row r="1116" spans="1:21">
      <c r="A1116" s="2" t="s">
        <v>1812</v>
      </c>
      <c r="B1116" s="2" t="s">
        <v>360</v>
      </c>
      <c r="C1116" s="2" t="s">
        <v>35</v>
      </c>
      <c r="D1116" s="2">
        <v>54</v>
      </c>
      <c r="E1116" s="2" t="str">
        <f t="shared" si="70"/>
        <v>46-60</v>
      </c>
      <c r="F1116" s="2" t="s">
        <v>20</v>
      </c>
      <c r="G1116" s="2" t="s">
        <v>47</v>
      </c>
      <c r="H1116" s="2">
        <v>37</v>
      </c>
      <c r="I1116" s="2" t="str">
        <f t="shared" si="68"/>
        <v>25-48 months</v>
      </c>
      <c r="J1116" s="3">
        <v>1049</v>
      </c>
      <c r="K1116" s="3">
        <v>38813</v>
      </c>
      <c r="L1116" s="2" t="s">
        <v>22</v>
      </c>
      <c r="M1116" s="4">
        <v>44795</v>
      </c>
      <c r="N1116" s="2" t="s">
        <v>23</v>
      </c>
      <c r="O1116" s="2">
        <f t="shared" si="71"/>
        <v>0</v>
      </c>
      <c r="P1116" s="2" t="s">
        <v>23</v>
      </c>
      <c r="Q1116" s="2" t="s">
        <v>23</v>
      </c>
      <c r="R1116" s="2" t="s">
        <v>23</v>
      </c>
      <c r="S1116" s="2" t="s">
        <v>23</v>
      </c>
      <c r="T1116" s="2" t="s">
        <v>23</v>
      </c>
      <c r="U1116" s="25">
        <f t="shared" si="69"/>
        <v>38813.001115999999</v>
      </c>
    </row>
    <row r="1117" spans="1:21">
      <c r="A1117" s="2" t="s">
        <v>1813</v>
      </c>
      <c r="B1117" s="2" t="s">
        <v>297</v>
      </c>
      <c r="C1117" s="2" t="s">
        <v>35</v>
      </c>
      <c r="D1117" s="2">
        <v>67</v>
      </c>
      <c r="E1117" s="2" t="str">
        <f t="shared" si="70"/>
        <v>60+</v>
      </c>
      <c r="F1117" s="2" t="s">
        <v>20</v>
      </c>
      <c r="G1117" s="2" t="s">
        <v>21</v>
      </c>
      <c r="H1117" s="2">
        <v>2</v>
      </c>
      <c r="I1117" s="2" t="str">
        <f t="shared" si="68"/>
        <v>0-6 months</v>
      </c>
      <c r="J1117" s="3">
        <v>1149</v>
      </c>
      <c r="K1117" s="3">
        <v>2298</v>
      </c>
      <c r="L1117" s="2" t="s">
        <v>22</v>
      </c>
      <c r="M1117" s="4">
        <v>45854</v>
      </c>
      <c r="N1117" s="2" t="s">
        <v>32</v>
      </c>
      <c r="O1117" s="2">
        <f t="shared" si="71"/>
        <v>1</v>
      </c>
      <c r="P1117" s="2" t="s">
        <v>23</v>
      </c>
      <c r="Q1117" s="2" t="s">
        <v>23</v>
      </c>
      <c r="R1117" s="2" t="s">
        <v>23</v>
      </c>
      <c r="S1117" s="2" t="s">
        <v>23</v>
      </c>
      <c r="T1117" s="2" t="s">
        <v>23</v>
      </c>
      <c r="U1117" s="25">
        <f t="shared" si="69"/>
        <v>2298.0011169999998</v>
      </c>
    </row>
    <row r="1118" spans="1:21">
      <c r="A1118" s="2" t="s">
        <v>1814</v>
      </c>
      <c r="B1118" s="2" t="s">
        <v>1815</v>
      </c>
      <c r="C1118" s="2" t="s">
        <v>35</v>
      </c>
      <c r="D1118" s="2">
        <v>42</v>
      </c>
      <c r="E1118" s="2" t="str">
        <f t="shared" si="70"/>
        <v>36-45</v>
      </c>
      <c r="F1118" s="2" t="s">
        <v>71</v>
      </c>
      <c r="G1118" s="2" t="s">
        <v>27</v>
      </c>
      <c r="H1118" s="2">
        <v>7</v>
      </c>
      <c r="I1118" s="2" t="str">
        <f t="shared" si="68"/>
        <v>7-12 months</v>
      </c>
      <c r="J1118" s="3">
        <v>849</v>
      </c>
      <c r="K1118" s="3">
        <v>5943</v>
      </c>
      <c r="L1118" s="2" t="s">
        <v>31</v>
      </c>
      <c r="M1118" s="4">
        <v>45703</v>
      </c>
      <c r="N1118" s="2" t="s">
        <v>23</v>
      </c>
      <c r="O1118" s="2">
        <f t="shared" si="71"/>
        <v>0</v>
      </c>
      <c r="P1118" s="2" t="s">
        <v>23</v>
      </c>
      <c r="Q1118" s="2" t="s">
        <v>23</v>
      </c>
      <c r="R1118" s="2" t="s">
        <v>23</v>
      </c>
      <c r="S1118" s="2" t="s">
        <v>23</v>
      </c>
      <c r="T1118" s="2" t="s">
        <v>23</v>
      </c>
      <c r="U1118" s="25">
        <f t="shared" si="69"/>
        <v>5943.0011180000001</v>
      </c>
    </row>
    <row r="1119" spans="1:21">
      <c r="A1119" s="2" t="s">
        <v>1816</v>
      </c>
      <c r="B1119" s="2" t="s">
        <v>216</v>
      </c>
      <c r="C1119" s="2" t="s">
        <v>35</v>
      </c>
      <c r="D1119" s="2">
        <v>75</v>
      </c>
      <c r="E1119" s="2" t="str">
        <f t="shared" si="70"/>
        <v>60+</v>
      </c>
      <c r="F1119" s="2" t="s">
        <v>41</v>
      </c>
      <c r="G1119" s="2" t="s">
        <v>21</v>
      </c>
      <c r="H1119" s="2">
        <v>6</v>
      </c>
      <c r="I1119" s="2" t="str">
        <f t="shared" si="68"/>
        <v>0-6 months</v>
      </c>
      <c r="J1119" s="3">
        <v>1149</v>
      </c>
      <c r="K1119" s="3">
        <v>6894</v>
      </c>
      <c r="L1119" s="2" t="s">
        <v>22</v>
      </c>
      <c r="M1119" s="4">
        <v>45734</v>
      </c>
      <c r="N1119" s="2" t="s">
        <v>23</v>
      </c>
      <c r="O1119" s="2">
        <f t="shared" si="71"/>
        <v>0</v>
      </c>
      <c r="P1119" s="2" t="s">
        <v>23</v>
      </c>
      <c r="Q1119" s="2" t="s">
        <v>23</v>
      </c>
      <c r="R1119" s="2" t="s">
        <v>23</v>
      </c>
      <c r="S1119" s="2" t="s">
        <v>23</v>
      </c>
      <c r="T1119" s="2" t="s">
        <v>23</v>
      </c>
      <c r="U1119" s="25">
        <f t="shared" si="69"/>
        <v>6894.0011189999996</v>
      </c>
    </row>
    <row r="1120" spans="1:21">
      <c r="A1120" s="2" t="s">
        <v>1817</v>
      </c>
      <c r="B1120" s="2" t="s">
        <v>1333</v>
      </c>
      <c r="C1120" s="2" t="s">
        <v>35</v>
      </c>
      <c r="D1120" s="2">
        <v>62</v>
      </c>
      <c r="E1120" s="2" t="str">
        <f t="shared" si="70"/>
        <v>60+</v>
      </c>
      <c r="F1120" s="2" t="s">
        <v>105</v>
      </c>
      <c r="G1120" s="2" t="s">
        <v>27</v>
      </c>
      <c r="H1120" s="2">
        <v>16</v>
      </c>
      <c r="I1120" s="2" t="str">
        <f t="shared" si="68"/>
        <v>13-24 months</v>
      </c>
      <c r="J1120" s="3">
        <v>1199</v>
      </c>
      <c r="K1120" s="3">
        <v>19184</v>
      </c>
      <c r="L1120" s="2" t="s">
        <v>22</v>
      </c>
      <c r="M1120" s="4">
        <v>45433</v>
      </c>
      <c r="N1120" s="2" t="s">
        <v>23</v>
      </c>
      <c r="O1120" s="2">
        <f t="shared" si="71"/>
        <v>0</v>
      </c>
      <c r="P1120" s="2" t="s">
        <v>23</v>
      </c>
      <c r="Q1120" s="2" t="s">
        <v>23</v>
      </c>
      <c r="R1120" s="2" t="s">
        <v>23</v>
      </c>
      <c r="S1120" s="2" t="s">
        <v>23</v>
      </c>
      <c r="T1120" s="2" t="s">
        <v>23</v>
      </c>
      <c r="U1120" s="25">
        <f t="shared" si="69"/>
        <v>19184.001120000001</v>
      </c>
    </row>
    <row r="1121" spans="1:21">
      <c r="A1121" s="2" t="s">
        <v>1818</v>
      </c>
      <c r="B1121" s="2" t="s">
        <v>1819</v>
      </c>
      <c r="C1121" s="2" t="s">
        <v>35</v>
      </c>
      <c r="D1121" s="2">
        <v>74</v>
      </c>
      <c r="E1121" s="2" t="str">
        <f t="shared" si="70"/>
        <v>60+</v>
      </c>
      <c r="F1121" s="2" t="s">
        <v>20</v>
      </c>
      <c r="G1121" s="2" t="s">
        <v>27</v>
      </c>
      <c r="H1121" s="2">
        <v>33</v>
      </c>
      <c r="I1121" s="2" t="str">
        <f t="shared" si="68"/>
        <v>25-48 months</v>
      </c>
      <c r="J1121" s="3">
        <v>499</v>
      </c>
      <c r="K1121" s="3">
        <v>16467</v>
      </c>
      <c r="L1121" s="2" t="s">
        <v>66</v>
      </c>
      <c r="M1121" s="4">
        <v>44920</v>
      </c>
      <c r="N1121" s="2" t="s">
        <v>23</v>
      </c>
      <c r="O1121" s="2">
        <f t="shared" si="71"/>
        <v>0</v>
      </c>
      <c r="P1121" s="2" t="s">
        <v>23</v>
      </c>
      <c r="Q1121" s="2" t="s">
        <v>23</v>
      </c>
      <c r="R1121" s="2" t="s">
        <v>23</v>
      </c>
      <c r="S1121" s="2" t="s">
        <v>23</v>
      </c>
      <c r="T1121" s="2" t="s">
        <v>23</v>
      </c>
      <c r="U1121" s="25">
        <f t="shared" si="69"/>
        <v>16467.001121000001</v>
      </c>
    </row>
    <row r="1122" spans="1:21">
      <c r="A1122" s="2" t="s">
        <v>1820</v>
      </c>
      <c r="B1122" s="2" t="s">
        <v>599</v>
      </c>
      <c r="C1122" s="2" t="s">
        <v>35</v>
      </c>
      <c r="D1122" s="2">
        <v>28</v>
      </c>
      <c r="E1122" s="2" t="str">
        <f t="shared" si="70"/>
        <v>26-35</v>
      </c>
      <c r="F1122" s="2" t="s">
        <v>26</v>
      </c>
      <c r="G1122" s="2" t="s">
        <v>21</v>
      </c>
      <c r="H1122" s="2"/>
      <c r="I1122" s="2" t="str">
        <f t="shared" si="68"/>
        <v>Unknown</v>
      </c>
      <c r="J1122" s="3"/>
      <c r="K1122" s="3">
        <v>16980</v>
      </c>
      <c r="L1122" s="2" t="s">
        <v>31</v>
      </c>
      <c r="M1122" s="4">
        <v>45310</v>
      </c>
      <c r="N1122" s="2" t="s">
        <v>23</v>
      </c>
      <c r="O1122" s="2">
        <f t="shared" si="71"/>
        <v>0</v>
      </c>
      <c r="P1122" s="2" t="s">
        <v>23</v>
      </c>
      <c r="Q1122" s="2" t="s">
        <v>23</v>
      </c>
      <c r="R1122" s="2" t="s">
        <v>23</v>
      </c>
      <c r="S1122" s="2" t="s">
        <v>23</v>
      </c>
      <c r="T1122" s="2" t="s">
        <v>72</v>
      </c>
      <c r="U1122" s="25">
        <f t="shared" si="69"/>
        <v>16980.001122000001</v>
      </c>
    </row>
    <row r="1123" spans="1:21">
      <c r="A1123" s="2" t="s">
        <v>1821</v>
      </c>
      <c r="B1123" s="2" t="s">
        <v>68</v>
      </c>
      <c r="C1123" s="2" t="s">
        <v>19</v>
      </c>
      <c r="D1123" s="2">
        <v>39</v>
      </c>
      <c r="E1123" s="2" t="str">
        <f t="shared" si="70"/>
        <v>36-45</v>
      </c>
      <c r="F1123" s="2" t="s">
        <v>110</v>
      </c>
      <c r="G1123" s="2" t="s">
        <v>47</v>
      </c>
      <c r="H1123" s="2">
        <v>40</v>
      </c>
      <c r="I1123" s="2" t="str">
        <f t="shared" si="68"/>
        <v>25-48 months</v>
      </c>
      <c r="J1123" s="3">
        <v>399</v>
      </c>
      <c r="K1123" s="3">
        <v>15960</v>
      </c>
      <c r="L1123" s="2" t="s">
        <v>66</v>
      </c>
      <c r="M1123" s="4">
        <v>44714</v>
      </c>
      <c r="N1123" s="2" t="s">
        <v>23</v>
      </c>
      <c r="O1123" s="2">
        <f t="shared" si="71"/>
        <v>0</v>
      </c>
      <c r="P1123" s="2" t="s">
        <v>23</v>
      </c>
      <c r="Q1123" s="2" t="s">
        <v>23</v>
      </c>
      <c r="R1123" s="2" t="s">
        <v>23</v>
      </c>
      <c r="S1123" s="2" t="s">
        <v>23</v>
      </c>
      <c r="T1123" s="2" t="s">
        <v>23</v>
      </c>
      <c r="U1123" s="25">
        <f t="shared" si="69"/>
        <v>15960.001123</v>
      </c>
    </row>
    <row r="1124" spans="1:21">
      <c r="A1124" s="2" t="s">
        <v>1822</v>
      </c>
      <c r="B1124" s="2" t="s">
        <v>1402</v>
      </c>
      <c r="C1124" s="2" t="s">
        <v>35</v>
      </c>
      <c r="D1124" s="2">
        <v>18</v>
      </c>
      <c r="E1124" s="2" t="str">
        <f t="shared" si="70"/>
        <v>18-25</v>
      </c>
      <c r="F1124" s="2" t="s">
        <v>71</v>
      </c>
      <c r="G1124" s="2" t="s">
        <v>21</v>
      </c>
      <c r="H1124" s="2">
        <v>10</v>
      </c>
      <c r="I1124" s="2" t="str">
        <f t="shared" si="68"/>
        <v>7-12 months</v>
      </c>
      <c r="J1124" s="3">
        <v>399</v>
      </c>
      <c r="K1124" s="3">
        <v>3990</v>
      </c>
      <c r="L1124" s="2" t="s">
        <v>66</v>
      </c>
      <c r="M1124" s="4">
        <v>45622</v>
      </c>
      <c r="N1124" s="2" t="s">
        <v>32</v>
      </c>
      <c r="O1124" s="2">
        <f t="shared" si="71"/>
        <v>1</v>
      </c>
      <c r="P1124" s="2" t="s">
        <v>23</v>
      </c>
      <c r="Q1124" s="2" t="s">
        <v>23</v>
      </c>
      <c r="R1124" s="2" t="s">
        <v>23</v>
      </c>
      <c r="S1124" s="2" t="s">
        <v>23</v>
      </c>
      <c r="T1124" s="2" t="s">
        <v>23</v>
      </c>
      <c r="U1124" s="25">
        <f t="shared" si="69"/>
        <v>3990.0011239999999</v>
      </c>
    </row>
    <row r="1125" spans="1:21">
      <c r="A1125" s="2" t="s">
        <v>1823</v>
      </c>
      <c r="B1125" s="2" t="s">
        <v>340</v>
      </c>
      <c r="C1125" s="2" t="s">
        <v>35</v>
      </c>
      <c r="D1125" s="2">
        <v>33</v>
      </c>
      <c r="E1125" s="2" t="str">
        <f t="shared" si="70"/>
        <v>26-35</v>
      </c>
      <c r="F1125" s="2" t="s">
        <v>63</v>
      </c>
      <c r="G1125" s="2" t="s">
        <v>27</v>
      </c>
      <c r="H1125" s="2">
        <v>24</v>
      </c>
      <c r="I1125" s="2" t="str">
        <f t="shared" si="68"/>
        <v>13-24 months</v>
      </c>
      <c r="J1125" s="3">
        <v>399</v>
      </c>
      <c r="K1125" s="3">
        <v>9576</v>
      </c>
      <c r="L1125" s="2" t="s">
        <v>66</v>
      </c>
      <c r="M1125" s="4">
        <v>45193</v>
      </c>
      <c r="N1125" s="2" t="s">
        <v>23</v>
      </c>
      <c r="O1125" s="2">
        <f t="shared" si="71"/>
        <v>0</v>
      </c>
      <c r="P1125" s="2" t="s">
        <v>23</v>
      </c>
      <c r="Q1125" s="2" t="s">
        <v>23</v>
      </c>
      <c r="R1125" s="2" t="s">
        <v>23</v>
      </c>
      <c r="S1125" s="2" t="s">
        <v>23</v>
      </c>
      <c r="T1125" s="2" t="s">
        <v>23</v>
      </c>
      <c r="U1125" s="25">
        <f t="shared" si="69"/>
        <v>9576.0011250000007</v>
      </c>
    </row>
    <row r="1126" spans="1:21">
      <c r="A1126" s="2" t="s">
        <v>1824</v>
      </c>
      <c r="B1126" s="2" t="s">
        <v>1825</v>
      </c>
      <c r="C1126" s="2" t="s">
        <v>35</v>
      </c>
      <c r="D1126" s="2">
        <v>60</v>
      </c>
      <c r="E1126" s="2" t="str">
        <f t="shared" si="70"/>
        <v>46-60</v>
      </c>
      <c r="F1126" s="2" t="s">
        <v>105</v>
      </c>
      <c r="G1126" s="2" t="s">
        <v>47</v>
      </c>
      <c r="H1126" s="2">
        <v>13</v>
      </c>
      <c r="I1126" s="2" t="str">
        <f t="shared" si="68"/>
        <v>13-24 months</v>
      </c>
      <c r="J1126" s="3">
        <v>999</v>
      </c>
      <c r="K1126" s="3">
        <v>12987</v>
      </c>
      <c r="L1126" s="2" t="s">
        <v>22</v>
      </c>
      <c r="M1126" s="4">
        <v>45534</v>
      </c>
      <c r="N1126" s="2" t="s">
        <v>23</v>
      </c>
      <c r="O1126" s="2">
        <f t="shared" si="71"/>
        <v>0</v>
      </c>
      <c r="P1126" s="2" t="s">
        <v>23</v>
      </c>
      <c r="Q1126" s="2" t="s">
        <v>23</v>
      </c>
      <c r="R1126" s="2" t="s">
        <v>23</v>
      </c>
      <c r="S1126" s="2" t="s">
        <v>23</v>
      </c>
      <c r="T1126" s="2" t="s">
        <v>23</v>
      </c>
      <c r="U1126" s="25">
        <f t="shared" si="69"/>
        <v>12987.001125999999</v>
      </c>
    </row>
    <row r="1127" spans="1:21">
      <c r="A1127" s="2" t="s">
        <v>1826</v>
      </c>
      <c r="B1127" s="2" t="s">
        <v>1827</v>
      </c>
      <c r="C1127" s="2" t="s">
        <v>35</v>
      </c>
      <c r="D1127" s="2">
        <v>47</v>
      </c>
      <c r="E1127" s="2" t="str">
        <f t="shared" si="70"/>
        <v>46-60</v>
      </c>
      <c r="F1127" s="2" t="s">
        <v>71</v>
      </c>
      <c r="G1127" s="2" t="s">
        <v>27</v>
      </c>
      <c r="H1127" s="2">
        <v>26</v>
      </c>
      <c r="I1127" s="2" t="str">
        <f t="shared" si="68"/>
        <v>25-48 months</v>
      </c>
      <c r="J1127" s="3">
        <v>899</v>
      </c>
      <c r="K1127" s="3">
        <v>23374</v>
      </c>
      <c r="L1127" s="2" t="s">
        <v>22</v>
      </c>
      <c r="M1127" s="4">
        <v>45125</v>
      </c>
      <c r="N1127" s="2" t="s">
        <v>23</v>
      </c>
      <c r="O1127" s="2">
        <f t="shared" si="71"/>
        <v>0</v>
      </c>
      <c r="P1127" s="2" t="s">
        <v>32</v>
      </c>
      <c r="Q1127" s="2" t="s">
        <v>23</v>
      </c>
      <c r="R1127" s="2" t="s">
        <v>23</v>
      </c>
      <c r="S1127" s="2" t="s">
        <v>23</v>
      </c>
      <c r="T1127" s="2" t="s">
        <v>23</v>
      </c>
      <c r="U1127" s="25">
        <f t="shared" si="69"/>
        <v>23374.001127</v>
      </c>
    </row>
    <row r="1128" spans="1:21">
      <c r="A1128" s="2" t="s">
        <v>1828</v>
      </c>
      <c r="B1128" s="2" t="s">
        <v>1175</v>
      </c>
      <c r="C1128" s="2" t="s">
        <v>19</v>
      </c>
      <c r="D1128" s="2">
        <v>29</v>
      </c>
      <c r="E1128" s="2" t="str">
        <f t="shared" si="70"/>
        <v>26-35</v>
      </c>
      <c r="F1128" s="2" t="s">
        <v>37</v>
      </c>
      <c r="G1128" s="2" t="s">
        <v>21</v>
      </c>
      <c r="H1128" s="2">
        <v>17</v>
      </c>
      <c r="I1128" s="2" t="str">
        <f t="shared" si="68"/>
        <v>13-24 months</v>
      </c>
      <c r="J1128" s="3">
        <v>899</v>
      </c>
      <c r="K1128" s="3">
        <v>15283</v>
      </c>
      <c r="L1128" s="2" t="s">
        <v>22</v>
      </c>
      <c r="M1128" s="4">
        <v>45406</v>
      </c>
      <c r="N1128" s="2" t="s">
        <v>23</v>
      </c>
      <c r="O1128" s="2">
        <f t="shared" si="71"/>
        <v>0</v>
      </c>
      <c r="P1128" s="2" t="s">
        <v>23</v>
      </c>
      <c r="Q1128" s="2" t="s">
        <v>23</v>
      </c>
      <c r="R1128" s="2" t="s">
        <v>23</v>
      </c>
      <c r="S1128" s="2" t="s">
        <v>23</v>
      </c>
      <c r="T1128" s="2" t="s">
        <v>23</v>
      </c>
      <c r="U1128" s="25">
        <f t="shared" si="69"/>
        <v>15283.001128</v>
      </c>
    </row>
    <row r="1129" spans="1:21">
      <c r="A1129" s="2" t="s">
        <v>1829</v>
      </c>
      <c r="B1129" s="2" t="s">
        <v>640</v>
      </c>
      <c r="C1129" s="2" t="s">
        <v>19</v>
      </c>
      <c r="D1129" s="2">
        <v>49</v>
      </c>
      <c r="E1129" s="2" t="str">
        <f t="shared" si="70"/>
        <v>46-60</v>
      </c>
      <c r="F1129" s="2" t="s">
        <v>20</v>
      </c>
      <c r="G1129" s="2" t="s">
        <v>21</v>
      </c>
      <c r="H1129" s="2">
        <v>3</v>
      </c>
      <c r="I1129" s="2" t="str">
        <f t="shared" si="68"/>
        <v>0-6 months</v>
      </c>
      <c r="J1129" s="3">
        <v>699</v>
      </c>
      <c r="K1129" s="3">
        <v>2097</v>
      </c>
      <c r="L1129" s="2" t="s">
        <v>31</v>
      </c>
      <c r="M1129" s="4">
        <v>45829</v>
      </c>
      <c r="N1129" s="2" t="s">
        <v>32</v>
      </c>
      <c r="O1129" s="2">
        <f t="shared" si="71"/>
        <v>1</v>
      </c>
      <c r="P1129" s="2" t="s">
        <v>23</v>
      </c>
      <c r="Q1129" s="2" t="s">
        <v>23</v>
      </c>
      <c r="R1129" s="2" t="s">
        <v>32</v>
      </c>
      <c r="S1129" s="2" t="s">
        <v>23</v>
      </c>
      <c r="T1129" s="2" t="s">
        <v>23</v>
      </c>
      <c r="U1129" s="25">
        <f t="shared" si="69"/>
        <v>2097.0011290000002</v>
      </c>
    </row>
    <row r="1130" spans="1:21">
      <c r="A1130" s="2" t="s">
        <v>1830</v>
      </c>
      <c r="B1130" s="2" t="s">
        <v>1022</v>
      </c>
      <c r="C1130" s="2" t="s">
        <v>35</v>
      </c>
      <c r="D1130" s="2">
        <v>70</v>
      </c>
      <c r="E1130" s="2" t="str">
        <f t="shared" si="70"/>
        <v>60+</v>
      </c>
      <c r="F1130" s="2" t="s">
        <v>60</v>
      </c>
      <c r="G1130" s="2" t="s">
        <v>21</v>
      </c>
      <c r="H1130" s="2">
        <v>14</v>
      </c>
      <c r="I1130" s="2" t="str">
        <f t="shared" si="68"/>
        <v>13-24 months</v>
      </c>
      <c r="J1130" s="3">
        <v>499</v>
      </c>
      <c r="K1130" s="3">
        <v>6986</v>
      </c>
      <c r="L1130" s="2" t="s">
        <v>66</v>
      </c>
      <c r="M1130" s="4">
        <v>45482</v>
      </c>
      <c r="N1130" s="2" t="s">
        <v>23</v>
      </c>
      <c r="O1130" s="2">
        <f t="shared" si="71"/>
        <v>0</v>
      </c>
      <c r="P1130" s="2" t="s">
        <v>23</v>
      </c>
      <c r="Q1130" s="2" t="s">
        <v>23</v>
      </c>
      <c r="R1130" s="2" t="s">
        <v>32</v>
      </c>
      <c r="S1130" s="2" t="s">
        <v>23</v>
      </c>
      <c r="T1130" s="2" t="s">
        <v>23</v>
      </c>
      <c r="U1130" s="25">
        <f t="shared" si="69"/>
        <v>6986.0011299999996</v>
      </c>
    </row>
    <row r="1131" spans="1:21">
      <c r="A1131" s="2" t="s">
        <v>1831</v>
      </c>
      <c r="B1131" s="2" t="s">
        <v>1032</v>
      </c>
      <c r="C1131" s="2" t="s">
        <v>19</v>
      </c>
      <c r="D1131" s="2">
        <v>40</v>
      </c>
      <c r="E1131" s="2" t="str">
        <f t="shared" si="70"/>
        <v>36-45</v>
      </c>
      <c r="F1131" s="2" t="s">
        <v>71</v>
      </c>
      <c r="G1131" s="2" t="s">
        <v>27</v>
      </c>
      <c r="H1131" s="2">
        <v>26</v>
      </c>
      <c r="I1131" s="2" t="str">
        <f t="shared" si="68"/>
        <v>25-48 months</v>
      </c>
      <c r="J1131" s="3">
        <v>1299</v>
      </c>
      <c r="K1131" s="3">
        <v>33774</v>
      </c>
      <c r="L1131" s="2" t="s">
        <v>22</v>
      </c>
      <c r="M1131" s="4">
        <v>45144</v>
      </c>
      <c r="N1131" s="2" t="s">
        <v>32</v>
      </c>
      <c r="O1131" s="2">
        <f t="shared" si="71"/>
        <v>1</v>
      </c>
      <c r="P1131" s="2" t="s">
        <v>23</v>
      </c>
      <c r="Q1131" s="2" t="s">
        <v>32</v>
      </c>
      <c r="R1131" s="2" t="s">
        <v>23</v>
      </c>
      <c r="S1131" s="2" t="s">
        <v>23</v>
      </c>
      <c r="T1131" s="2" t="s">
        <v>23</v>
      </c>
      <c r="U1131" s="25">
        <f t="shared" si="69"/>
        <v>33774.001130999997</v>
      </c>
    </row>
    <row r="1132" spans="1:21">
      <c r="A1132" s="2" t="s">
        <v>1832</v>
      </c>
      <c r="B1132" s="2" t="s">
        <v>1833</v>
      </c>
      <c r="C1132" s="2" t="s">
        <v>35</v>
      </c>
      <c r="D1132" s="2">
        <v>49</v>
      </c>
      <c r="E1132" s="2" t="str">
        <f t="shared" si="70"/>
        <v>46-60</v>
      </c>
      <c r="F1132" s="2" t="s">
        <v>71</v>
      </c>
      <c r="G1132" s="2" t="s">
        <v>47</v>
      </c>
      <c r="H1132" s="2">
        <v>7</v>
      </c>
      <c r="I1132" s="2" t="str">
        <f t="shared" si="68"/>
        <v>7-12 months</v>
      </c>
      <c r="J1132" s="3">
        <v>1099</v>
      </c>
      <c r="K1132" s="3">
        <v>7693</v>
      </c>
      <c r="L1132" s="2" t="s">
        <v>22</v>
      </c>
      <c r="M1132" s="4">
        <v>45715</v>
      </c>
      <c r="N1132" s="2" t="s">
        <v>23</v>
      </c>
      <c r="O1132" s="2">
        <f t="shared" si="71"/>
        <v>0</v>
      </c>
      <c r="P1132" s="2" t="s">
        <v>23</v>
      </c>
      <c r="Q1132" s="2" t="s">
        <v>23</v>
      </c>
      <c r="R1132" s="2" t="s">
        <v>23</v>
      </c>
      <c r="S1132" s="2" t="s">
        <v>23</v>
      </c>
      <c r="T1132" s="2" t="s">
        <v>23</v>
      </c>
      <c r="U1132" s="25">
        <f t="shared" si="69"/>
        <v>7693.0011320000003</v>
      </c>
    </row>
    <row r="1133" spans="1:21">
      <c r="A1133" s="2" t="s">
        <v>1834</v>
      </c>
      <c r="B1133" s="2" t="s">
        <v>1465</v>
      </c>
      <c r="C1133" s="2" t="s">
        <v>35</v>
      </c>
      <c r="D1133" s="2">
        <v>67</v>
      </c>
      <c r="E1133" s="2" t="str">
        <f t="shared" si="70"/>
        <v>60+</v>
      </c>
      <c r="F1133" s="2" t="s">
        <v>60</v>
      </c>
      <c r="G1133" s="2" t="s">
        <v>27</v>
      </c>
      <c r="H1133" s="2">
        <v>24</v>
      </c>
      <c r="I1133" s="2" t="str">
        <f t="shared" si="68"/>
        <v>13-24 months</v>
      </c>
      <c r="J1133" s="3">
        <v>399</v>
      </c>
      <c r="K1133" s="3">
        <v>9576</v>
      </c>
      <c r="L1133" s="2" t="s">
        <v>66</v>
      </c>
      <c r="M1133" s="4">
        <v>45191</v>
      </c>
      <c r="N1133" s="2" t="s">
        <v>23</v>
      </c>
      <c r="O1133" s="2">
        <f t="shared" si="71"/>
        <v>0</v>
      </c>
      <c r="P1133" s="2" t="s">
        <v>23</v>
      </c>
      <c r="Q1133" s="2" t="s">
        <v>23</v>
      </c>
      <c r="R1133" s="2" t="s">
        <v>23</v>
      </c>
      <c r="S1133" s="2" t="s">
        <v>23</v>
      </c>
      <c r="T1133" s="2" t="s">
        <v>23</v>
      </c>
      <c r="U1133" s="25">
        <f t="shared" si="69"/>
        <v>9576.0011329999998</v>
      </c>
    </row>
    <row r="1134" spans="1:21">
      <c r="A1134" s="2" t="s">
        <v>1835</v>
      </c>
      <c r="B1134" s="2" t="s">
        <v>1836</v>
      </c>
      <c r="C1134" s="2" t="s">
        <v>35</v>
      </c>
      <c r="D1134" s="2">
        <v>18</v>
      </c>
      <c r="E1134" s="2" t="str">
        <f t="shared" si="70"/>
        <v>18-25</v>
      </c>
      <c r="F1134" s="2" t="s">
        <v>30</v>
      </c>
      <c r="G1134" s="2" t="s">
        <v>47</v>
      </c>
      <c r="H1134" s="2">
        <v>34</v>
      </c>
      <c r="I1134" s="2" t="str">
        <f t="shared" si="68"/>
        <v>25-48 months</v>
      </c>
      <c r="J1134" s="3">
        <v>1149</v>
      </c>
      <c r="K1134" s="3">
        <v>39066</v>
      </c>
      <c r="L1134" s="2" t="s">
        <v>22</v>
      </c>
      <c r="M1134" s="4">
        <v>44894</v>
      </c>
      <c r="N1134" s="2" t="s">
        <v>23</v>
      </c>
      <c r="O1134" s="2">
        <f t="shared" si="71"/>
        <v>0</v>
      </c>
      <c r="P1134" s="2" t="s">
        <v>23</v>
      </c>
      <c r="Q1134" s="2" t="s">
        <v>23</v>
      </c>
      <c r="R1134" s="2" t="s">
        <v>23</v>
      </c>
      <c r="S1134" s="2" t="s">
        <v>23</v>
      </c>
      <c r="T1134" s="2" t="s">
        <v>23</v>
      </c>
      <c r="U1134" s="25">
        <f t="shared" si="69"/>
        <v>39066.001133999998</v>
      </c>
    </row>
    <row r="1135" spans="1:21">
      <c r="A1135" s="2" t="s">
        <v>1837</v>
      </c>
      <c r="B1135" s="2" t="s">
        <v>1838</v>
      </c>
      <c r="C1135" s="2" t="s">
        <v>35</v>
      </c>
      <c r="D1135" s="2">
        <v>36</v>
      </c>
      <c r="E1135" s="2" t="str">
        <f t="shared" si="70"/>
        <v>36-45</v>
      </c>
      <c r="F1135" s="2" t="s">
        <v>36</v>
      </c>
      <c r="G1135" s="2" t="s">
        <v>21</v>
      </c>
      <c r="H1135" s="2">
        <v>12</v>
      </c>
      <c r="I1135" s="2" t="str">
        <f t="shared" si="68"/>
        <v>7-12 months</v>
      </c>
      <c r="J1135" s="3">
        <v>1149</v>
      </c>
      <c r="K1135" s="3">
        <v>13788</v>
      </c>
      <c r="L1135" s="2" t="s">
        <v>22</v>
      </c>
      <c r="M1135" s="4">
        <v>45558</v>
      </c>
      <c r="N1135" s="2" t="s">
        <v>32</v>
      </c>
      <c r="O1135" s="2">
        <f t="shared" si="71"/>
        <v>1</v>
      </c>
      <c r="P1135" s="2" t="s">
        <v>23</v>
      </c>
      <c r="Q1135" s="2" t="s">
        <v>23</v>
      </c>
      <c r="R1135" s="2" t="s">
        <v>23</v>
      </c>
      <c r="S1135" s="2" t="s">
        <v>23</v>
      </c>
      <c r="T1135" s="2" t="s">
        <v>23</v>
      </c>
      <c r="U1135" s="25">
        <f t="shared" si="69"/>
        <v>13788.001135</v>
      </c>
    </row>
    <row r="1136" spans="1:21">
      <c r="A1136" s="2" t="s">
        <v>1839</v>
      </c>
      <c r="B1136" s="2" t="s">
        <v>914</v>
      </c>
      <c r="C1136" s="2" t="s">
        <v>35</v>
      </c>
      <c r="D1136" s="2">
        <v>35</v>
      </c>
      <c r="E1136" s="2" t="str">
        <f t="shared" si="70"/>
        <v>26-35</v>
      </c>
      <c r="F1136" s="2" t="s">
        <v>63</v>
      </c>
      <c r="G1136" s="2" t="s">
        <v>21</v>
      </c>
      <c r="H1136" s="2">
        <v>15</v>
      </c>
      <c r="I1136" s="2" t="str">
        <f t="shared" si="68"/>
        <v>13-24 months</v>
      </c>
      <c r="J1136" s="3">
        <v>1049</v>
      </c>
      <c r="K1136" s="3">
        <v>15735</v>
      </c>
      <c r="L1136" s="2" t="s">
        <v>22</v>
      </c>
      <c r="M1136" s="4"/>
      <c r="N1136" s="2" t="s">
        <v>23</v>
      </c>
      <c r="O1136" s="2">
        <f t="shared" si="71"/>
        <v>0</v>
      </c>
      <c r="P1136" s="2" t="s">
        <v>23</v>
      </c>
      <c r="Q1136" s="2" t="s">
        <v>23</v>
      </c>
      <c r="R1136" s="2" t="s">
        <v>23</v>
      </c>
      <c r="S1136" s="2" t="s">
        <v>23</v>
      </c>
      <c r="T1136" s="2" t="s">
        <v>54</v>
      </c>
      <c r="U1136" s="25">
        <f t="shared" si="69"/>
        <v>15735.001136000001</v>
      </c>
    </row>
    <row r="1137" spans="1:21">
      <c r="A1137" s="2" t="s">
        <v>1840</v>
      </c>
      <c r="B1137" s="2" t="s">
        <v>880</v>
      </c>
      <c r="C1137" s="2" t="s">
        <v>19</v>
      </c>
      <c r="D1137" s="2">
        <v>43</v>
      </c>
      <c r="E1137" s="2" t="str">
        <f t="shared" si="70"/>
        <v>36-45</v>
      </c>
      <c r="F1137" s="2" t="s">
        <v>20</v>
      </c>
      <c r="G1137" s="2" t="s">
        <v>21</v>
      </c>
      <c r="H1137" s="2">
        <v>5</v>
      </c>
      <c r="I1137" s="2" t="str">
        <f t="shared" si="68"/>
        <v>0-6 months</v>
      </c>
      <c r="J1137" s="3">
        <v>999</v>
      </c>
      <c r="K1137" s="3">
        <v>4995</v>
      </c>
      <c r="L1137" s="2" t="s">
        <v>22</v>
      </c>
      <c r="M1137" s="4">
        <v>45770</v>
      </c>
      <c r="N1137" s="2" t="s">
        <v>32</v>
      </c>
      <c r="O1137" s="2">
        <f t="shared" si="71"/>
        <v>1</v>
      </c>
      <c r="P1137" s="2" t="s">
        <v>23</v>
      </c>
      <c r="Q1137" s="2" t="s">
        <v>23</v>
      </c>
      <c r="R1137" s="2" t="s">
        <v>23</v>
      </c>
      <c r="S1137" s="2" t="s">
        <v>23</v>
      </c>
      <c r="T1137" s="2" t="s">
        <v>23</v>
      </c>
      <c r="U1137" s="25">
        <f t="shared" si="69"/>
        <v>4995.0011370000002</v>
      </c>
    </row>
    <row r="1138" spans="1:21">
      <c r="A1138" s="2" t="s">
        <v>1841</v>
      </c>
      <c r="B1138" s="2" t="s">
        <v>1245</v>
      </c>
      <c r="C1138" s="2" t="s">
        <v>35</v>
      </c>
      <c r="D1138" s="2">
        <v>57</v>
      </c>
      <c r="E1138" s="2" t="str">
        <f t="shared" si="70"/>
        <v>46-60</v>
      </c>
      <c r="F1138" s="2" t="s">
        <v>20</v>
      </c>
      <c r="G1138" s="2" t="s">
        <v>47</v>
      </c>
      <c r="H1138" s="2">
        <v>68</v>
      </c>
      <c r="I1138" s="2" t="str">
        <f t="shared" si="68"/>
        <v>49+ months</v>
      </c>
      <c r="J1138" s="3">
        <v>349</v>
      </c>
      <c r="K1138" s="3">
        <v>23732</v>
      </c>
      <c r="L1138" s="2" t="s">
        <v>66</v>
      </c>
      <c r="M1138" s="4">
        <v>43877</v>
      </c>
      <c r="N1138" s="2" t="s">
        <v>23</v>
      </c>
      <c r="O1138" s="2">
        <f t="shared" si="71"/>
        <v>0</v>
      </c>
      <c r="P1138" s="2" t="s">
        <v>23</v>
      </c>
      <c r="Q1138" s="2" t="s">
        <v>23</v>
      </c>
      <c r="R1138" s="2" t="s">
        <v>23</v>
      </c>
      <c r="S1138" s="2" t="s">
        <v>23</v>
      </c>
      <c r="T1138" s="2" t="s">
        <v>23</v>
      </c>
      <c r="U1138" s="25">
        <f t="shared" si="69"/>
        <v>23732.001138</v>
      </c>
    </row>
    <row r="1139" spans="1:21">
      <c r="A1139" s="2" t="s">
        <v>1842</v>
      </c>
      <c r="B1139" s="2" t="s">
        <v>1018</v>
      </c>
      <c r="C1139" s="2" t="s">
        <v>19</v>
      </c>
      <c r="D1139" s="2">
        <v>64</v>
      </c>
      <c r="E1139" s="2" t="str">
        <f t="shared" si="70"/>
        <v>60+</v>
      </c>
      <c r="F1139" s="2" t="s">
        <v>71</v>
      </c>
      <c r="G1139" s="2" t="s">
        <v>47</v>
      </c>
      <c r="H1139" s="2">
        <v>66</v>
      </c>
      <c r="I1139" s="2" t="str">
        <f t="shared" si="68"/>
        <v>49+ months</v>
      </c>
      <c r="J1139" s="3">
        <v>849</v>
      </c>
      <c r="K1139" s="3">
        <v>56034</v>
      </c>
      <c r="L1139" s="2" t="s">
        <v>31</v>
      </c>
      <c r="M1139" s="4">
        <v>43925</v>
      </c>
      <c r="N1139" s="2" t="s">
        <v>23</v>
      </c>
      <c r="O1139" s="2">
        <f t="shared" si="71"/>
        <v>0</v>
      </c>
      <c r="P1139" s="2" t="s">
        <v>23</v>
      </c>
      <c r="Q1139" s="2" t="s">
        <v>23</v>
      </c>
      <c r="R1139" s="2" t="s">
        <v>23</v>
      </c>
      <c r="S1139" s="2" t="s">
        <v>23</v>
      </c>
      <c r="T1139" s="2" t="s">
        <v>23</v>
      </c>
      <c r="U1139" s="25">
        <f t="shared" si="69"/>
        <v>56034.001139</v>
      </c>
    </row>
    <row r="1140" spans="1:21">
      <c r="A1140" s="2" t="s">
        <v>1843</v>
      </c>
      <c r="B1140" s="2" t="s">
        <v>338</v>
      </c>
      <c r="C1140" s="2" t="s">
        <v>35</v>
      </c>
      <c r="D1140" s="2">
        <v>19</v>
      </c>
      <c r="E1140" s="2" t="str">
        <f t="shared" si="70"/>
        <v>18-25</v>
      </c>
      <c r="F1140" s="2" t="s">
        <v>63</v>
      </c>
      <c r="G1140" s="2" t="s">
        <v>47</v>
      </c>
      <c r="H1140" s="2">
        <v>11</v>
      </c>
      <c r="I1140" s="2" t="str">
        <f t="shared" si="68"/>
        <v>7-12 months</v>
      </c>
      <c r="J1140" s="3">
        <v>899</v>
      </c>
      <c r="K1140" s="3">
        <v>9889</v>
      </c>
      <c r="L1140" s="2" t="s">
        <v>31</v>
      </c>
      <c r="M1140" s="4">
        <v>45580</v>
      </c>
      <c r="N1140" s="2" t="s">
        <v>23</v>
      </c>
      <c r="O1140" s="2">
        <f t="shared" si="71"/>
        <v>0</v>
      </c>
      <c r="P1140" s="2" t="s">
        <v>23</v>
      </c>
      <c r="Q1140" s="2" t="s">
        <v>23</v>
      </c>
      <c r="R1140" s="2" t="s">
        <v>23</v>
      </c>
      <c r="S1140" s="2" t="s">
        <v>23</v>
      </c>
      <c r="T1140" s="2" t="s">
        <v>23</v>
      </c>
      <c r="U1140" s="25">
        <f t="shared" si="69"/>
        <v>9889.0011400000003</v>
      </c>
    </row>
    <row r="1141" spans="1:21">
      <c r="A1141" s="2" t="s">
        <v>1844</v>
      </c>
      <c r="B1141" s="2" t="s">
        <v>1330</v>
      </c>
      <c r="C1141" s="2" t="s">
        <v>35</v>
      </c>
      <c r="D1141" s="2">
        <v>50</v>
      </c>
      <c r="E1141" s="2" t="str">
        <f t="shared" si="70"/>
        <v>46-60</v>
      </c>
      <c r="F1141" s="2" t="s">
        <v>26</v>
      </c>
      <c r="G1141" s="2" t="s">
        <v>47</v>
      </c>
      <c r="H1141" s="2">
        <v>7</v>
      </c>
      <c r="I1141" s="2" t="str">
        <f t="shared" si="68"/>
        <v>7-12 months</v>
      </c>
      <c r="J1141" s="3">
        <v>699</v>
      </c>
      <c r="K1141" s="3">
        <v>4893</v>
      </c>
      <c r="L1141" s="2" t="s">
        <v>31</v>
      </c>
      <c r="M1141" s="4">
        <v>45689</v>
      </c>
      <c r="N1141" s="2" t="s">
        <v>23</v>
      </c>
      <c r="O1141" s="2">
        <f t="shared" si="71"/>
        <v>0</v>
      </c>
      <c r="P1141" s="2" t="s">
        <v>23</v>
      </c>
      <c r="Q1141" s="2" t="s">
        <v>23</v>
      </c>
      <c r="R1141" s="2" t="s">
        <v>23</v>
      </c>
      <c r="S1141" s="2" t="s">
        <v>23</v>
      </c>
      <c r="T1141" s="2" t="s">
        <v>23</v>
      </c>
      <c r="U1141" s="25">
        <f t="shared" si="69"/>
        <v>4893.0011409999997</v>
      </c>
    </row>
    <row r="1142" spans="1:21">
      <c r="A1142" s="2" t="s">
        <v>1845</v>
      </c>
      <c r="B1142" s="2" t="s">
        <v>170</v>
      </c>
      <c r="C1142" s="2" t="s">
        <v>35</v>
      </c>
      <c r="D1142" s="2">
        <v>62</v>
      </c>
      <c r="E1142" s="2" t="str">
        <f t="shared" si="70"/>
        <v>60+</v>
      </c>
      <c r="F1142" s="2" t="s">
        <v>110</v>
      </c>
      <c r="G1142" s="2" t="s">
        <v>21</v>
      </c>
      <c r="H1142" s="2">
        <v>2</v>
      </c>
      <c r="I1142" s="2" t="str">
        <f t="shared" si="68"/>
        <v>0-6 months</v>
      </c>
      <c r="J1142" s="3">
        <v>1099</v>
      </c>
      <c r="K1142" s="3">
        <v>2198</v>
      </c>
      <c r="L1142" s="2" t="s">
        <v>22</v>
      </c>
      <c r="M1142" s="4">
        <v>45860</v>
      </c>
      <c r="N1142" s="2" t="s">
        <v>23</v>
      </c>
      <c r="O1142" s="2">
        <f t="shared" si="71"/>
        <v>0</v>
      </c>
      <c r="P1142" s="2" t="s">
        <v>23</v>
      </c>
      <c r="Q1142" s="2" t="s">
        <v>23</v>
      </c>
      <c r="R1142" s="2" t="s">
        <v>23</v>
      </c>
      <c r="S1142" s="2" t="s">
        <v>23</v>
      </c>
      <c r="T1142" s="2" t="s">
        <v>23</v>
      </c>
      <c r="U1142" s="25">
        <f t="shared" si="69"/>
        <v>2198.0011420000001</v>
      </c>
    </row>
    <row r="1143" spans="1:21">
      <c r="A1143" s="2" t="s">
        <v>1846</v>
      </c>
      <c r="B1143" s="2" t="s">
        <v>1847</v>
      </c>
      <c r="C1143" s="2" t="s">
        <v>19</v>
      </c>
      <c r="D1143" s="2">
        <v>19</v>
      </c>
      <c r="E1143" s="2" t="str">
        <f t="shared" si="70"/>
        <v>18-25</v>
      </c>
      <c r="F1143" s="2" t="s">
        <v>110</v>
      </c>
      <c r="G1143" s="2" t="s">
        <v>21</v>
      </c>
      <c r="H1143" s="2">
        <v>9</v>
      </c>
      <c r="I1143" s="2" t="str">
        <f t="shared" si="68"/>
        <v>7-12 months</v>
      </c>
      <c r="J1143" s="3">
        <v>749</v>
      </c>
      <c r="K1143" s="3">
        <v>6741</v>
      </c>
      <c r="L1143" s="2" t="s">
        <v>31</v>
      </c>
      <c r="M1143" s="4">
        <v>45651</v>
      </c>
      <c r="N1143" s="2" t="s">
        <v>32</v>
      </c>
      <c r="O1143" s="2">
        <f t="shared" si="71"/>
        <v>1</v>
      </c>
      <c r="P1143" s="2" t="s">
        <v>23</v>
      </c>
      <c r="Q1143" s="2" t="s">
        <v>23</v>
      </c>
      <c r="R1143" s="2" t="s">
        <v>23</v>
      </c>
      <c r="S1143" s="2" t="s">
        <v>23</v>
      </c>
      <c r="T1143" s="2" t="s">
        <v>23</v>
      </c>
      <c r="U1143" s="25">
        <f t="shared" si="69"/>
        <v>6741.0011430000004</v>
      </c>
    </row>
    <row r="1144" spans="1:21">
      <c r="A1144" s="2" t="s">
        <v>1848</v>
      </c>
      <c r="B1144" s="2" t="s">
        <v>1849</v>
      </c>
      <c r="C1144" s="2" t="s">
        <v>19</v>
      </c>
      <c r="D1144" s="2">
        <v>22</v>
      </c>
      <c r="E1144" s="2" t="str">
        <f t="shared" si="70"/>
        <v>18-25</v>
      </c>
      <c r="F1144" s="2" t="s">
        <v>91</v>
      </c>
      <c r="G1144" s="2" t="s">
        <v>21</v>
      </c>
      <c r="H1144" s="2">
        <v>15</v>
      </c>
      <c r="I1144" s="2" t="str">
        <f t="shared" si="68"/>
        <v>13-24 months</v>
      </c>
      <c r="J1144" s="3">
        <v>1099</v>
      </c>
      <c r="K1144" s="3">
        <v>16485</v>
      </c>
      <c r="L1144" s="2" t="s">
        <v>22</v>
      </c>
      <c r="M1144" s="4">
        <v>45466</v>
      </c>
      <c r="N1144" s="2" t="s">
        <v>32</v>
      </c>
      <c r="O1144" s="2">
        <f t="shared" si="71"/>
        <v>1</v>
      </c>
      <c r="P1144" s="2" t="s">
        <v>23</v>
      </c>
      <c r="Q1144" s="2" t="s">
        <v>23</v>
      </c>
      <c r="R1144" s="2" t="s">
        <v>23</v>
      </c>
      <c r="S1144" s="2" t="s">
        <v>23</v>
      </c>
      <c r="T1144" s="2" t="s">
        <v>23</v>
      </c>
      <c r="U1144" s="25">
        <f t="shared" si="69"/>
        <v>16485.001144000002</v>
      </c>
    </row>
    <row r="1145" spans="1:21">
      <c r="A1145" s="2" t="s">
        <v>1850</v>
      </c>
      <c r="B1145" s="2" t="s">
        <v>1628</v>
      </c>
      <c r="C1145" s="2" t="s">
        <v>35</v>
      </c>
      <c r="D1145" s="2">
        <v>39</v>
      </c>
      <c r="E1145" s="2" t="str">
        <f t="shared" si="70"/>
        <v>36-45</v>
      </c>
      <c r="F1145" s="2" t="s">
        <v>30</v>
      </c>
      <c r="G1145" s="2" t="s">
        <v>21</v>
      </c>
      <c r="H1145" s="2">
        <v>5</v>
      </c>
      <c r="I1145" s="2" t="str">
        <f t="shared" si="68"/>
        <v>0-6 months</v>
      </c>
      <c r="J1145" s="3">
        <v>499</v>
      </c>
      <c r="K1145" s="3">
        <v>2495</v>
      </c>
      <c r="L1145" s="2" t="s">
        <v>66</v>
      </c>
      <c r="M1145" s="4">
        <v>45756</v>
      </c>
      <c r="N1145" s="2" t="s">
        <v>32</v>
      </c>
      <c r="O1145" s="2">
        <f t="shared" si="71"/>
        <v>1</v>
      </c>
      <c r="P1145" s="2" t="s">
        <v>23</v>
      </c>
      <c r="Q1145" s="2" t="s">
        <v>23</v>
      </c>
      <c r="R1145" s="2" t="s">
        <v>23</v>
      </c>
      <c r="S1145" s="2" t="s">
        <v>23</v>
      </c>
      <c r="T1145" s="2" t="s">
        <v>23</v>
      </c>
      <c r="U1145" s="25">
        <f t="shared" si="69"/>
        <v>2495.0011450000002</v>
      </c>
    </row>
    <row r="1146" spans="1:21">
      <c r="A1146" s="2" t="s">
        <v>1851</v>
      </c>
      <c r="B1146" s="2" t="s">
        <v>1600</v>
      </c>
      <c r="C1146" s="2" t="s">
        <v>19</v>
      </c>
      <c r="D1146" s="2">
        <v>43</v>
      </c>
      <c r="E1146" s="2" t="str">
        <f t="shared" si="70"/>
        <v>36-45</v>
      </c>
      <c r="F1146" s="2" t="s">
        <v>36</v>
      </c>
      <c r="G1146" s="2" t="s">
        <v>27</v>
      </c>
      <c r="H1146" s="2">
        <v>6</v>
      </c>
      <c r="I1146" s="2" t="str">
        <f t="shared" si="68"/>
        <v>0-6 months</v>
      </c>
      <c r="J1146" s="3"/>
      <c r="K1146" s="3"/>
      <c r="L1146" s="2" t="s">
        <v>22</v>
      </c>
      <c r="M1146" s="4"/>
      <c r="N1146" s="2" t="s">
        <v>23</v>
      </c>
      <c r="O1146" s="2">
        <f t="shared" si="71"/>
        <v>0</v>
      </c>
      <c r="P1146" s="2" t="s">
        <v>23</v>
      </c>
      <c r="Q1146" s="2" t="s">
        <v>23</v>
      </c>
      <c r="R1146" s="2" t="s">
        <v>23</v>
      </c>
      <c r="S1146" s="2" t="s">
        <v>23</v>
      </c>
      <c r="T1146" s="2" t="s">
        <v>608</v>
      </c>
      <c r="U1146" s="25" t="str">
        <f t="shared" si="69"/>
        <v/>
      </c>
    </row>
    <row r="1147" spans="1:21">
      <c r="A1147" s="2" t="s">
        <v>1852</v>
      </c>
      <c r="B1147" s="2" t="s">
        <v>198</v>
      </c>
      <c r="C1147" s="2" t="s">
        <v>19</v>
      </c>
      <c r="D1147" s="2">
        <v>37</v>
      </c>
      <c r="E1147" s="2" t="str">
        <f t="shared" si="70"/>
        <v>36-45</v>
      </c>
      <c r="F1147" s="2" t="s">
        <v>46</v>
      </c>
      <c r="G1147" s="2" t="s">
        <v>27</v>
      </c>
      <c r="H1147" s="2">
        <v>30</v>
      </c>
      <c r="I1147" s="2" t="str">
        <f t="shared" si="68"/>
        <v>25-48 months</v>
      </c>
      <c r="J1147" s="3">
        <v>999</v>
      </c>
      <c r="K1147" s="3">
        <v>29970</v>
      </c>
      <c r="L1147" s="2" t="s">
        <v>22</v>
      </c>
      <c r="M1147" s="4">
        <v>45009</v>
      </c>
      <c r="N1147" s="2" t="s">
        <v>23</v>
      </c>
      <c r="O1147" s="2">
        <f t="shared" si="71"/>
        <v>0</v>
      </c>
      <c r="P1147" s="2" t="s">
        <v>23</v>
      </c>
      <c r="Q1147" s="2" t="s">
        <v>23</v>
      </c>
      <c r="R1147" s="2" t="s">
        <v>23</v>
      </c>
      <c r="S1147" s="2" t="s">
        <v>23</v>
      </c>
      <c r="T1147" s="2" t="s">
        <v>23</v>
      </c>
      <c r="U1147" s="25">
        <f t="shared" si="69"/>
        <v>29970.001146999999</v>
      </c>
    </row>
    <row r="1148" spans="1:21">
      <c r="A1148" s="2" t="s">
        <v>1853</v>
      </c>
      <c r="B1148" s="2" t="s">
        <v>1854</v>
      </c>
      <c r="C1148" s="2" t="s">
        <v>35</v>
      </c>
      <c r="D1148" s="2">
        <v>44</v>
      </c>
      <c r="E1148" s="2" t="str">
        <f t="shared" si="70"/>
        <v>36-45</v>
      </c>
      <c r="F1148" s="2" t="s">
        <v>110</v>
      </c>
      <c r="G1148" s="2" t="s">
        <v>21</v>
      </c>
      <c r="H1148" s="2">
        <v>18</v>
      </c>
      <c r="I1148" s="2" t="str">
        <f t="shared" si="68"/>
        <v>13-24 months</v>
      </c>
      <c r="J1148" s="3">
        <v>399</v>
      </c>
      <c r="K1148" s="3">
        <v>7182</v>
      </c>
      <c r="L1148" s="2" t="s">
        <v>66</v>
      </c>
      <c r="M1148" s="4">
        <v>45371</v>
      </c>
      <c r="N1148" s="2" t="s">
        <v>32</v>
      </c>
      <c r="O1148" s="2">
        <f t="shared" si="71"/>
        <v>1</v>
      </c>
      <c r="P1148" s="2" t="s">
        <v>23</v>
      </c>
      <c r="Q1148" s="2" t="s">
        <v>23</v>
      </c>
      <c r="R1148" s="2" t="s">
        <v>23</v>
      </c>
      <c r="S1148" s="2" t="s">
        <v>23</v>
      </c>
      <c r="T1148" s="2" t="s">
        <v>23</v>
      </c>
      <c r="U1148" s="25">
        <f t="shared" si="69"/>
        <v>7182.0011480000003</v>
      </c>
    </row>
    <row r="1149" spans="1:21">
      <c r="A1149" s="2" t="s">
        <v>1855</v>
      </c>
      <c r="B1149" s="2" t="s">
        <v>1856</v>
      </c>
      <c r="C1149" s="2" t="s">
        <v>19</v>
      </c>
      <c r="D1149" s="2">
        <v>47</v>
      </c>
      <c r="E1149" s="2" t="str">
        <f t="shared" si="70"/>
        <v>46-60</v>
      </c>
      <c r="F1149" s="2" t="s">
        <v>41</v>
      </c>
      <c r="G1149" s="2" t="s">
        <v>21</v>
      </c>
      <c r="H1149" s="2">
        <v>4</v>
      </c>
      <c r="I1149" s="2" t="str">
        <f t="shared" si="68"/>
        <v>0-6 months</v>
      </c>
      <c r="J1149" s="3">
        <v>799</v>
      </c>
      <c r="K1149" s="3">
        <v>3196</v>
      </c>
      <c r="L1149" s="2" t="s">
        <v>31</v>
      </c>
      <c r="M1149" s="4">
        <v>45784</v>
      </c>
      <c r="N1149" s="2" t="s">
        <v>23</v>
      </c>
      <c r="O1149" s="2">
        <f t="shared" si="71"/>
        <v>0</v>
      </c>
      <c r="P1149" s="2" t="s">
        <v>32</v>
      </c>
      <c r="Q1149" s="2" t="s">
        <v>23</v>
      </c>
      <c r="R1149" s="2" t="s">
        <v>23</v>
      </c>
      <c r="S1149" s="2" t="s">
        <v>23</v>
      </c>
      <c r="T1149" s="2" t="s">
        <v>23</v>
      </c>
      <c r="U1149" s="25">
        <f t="shared" si="69"/>
        <v>3196.0011490000002</v>
      </c>
    </row>
    <row r="1150" spans="1:21">
      <c r="A1150" s="2" t="s">
        <v>1857</v>
      </c>
      <c r="B1150" s="2" t="s">
        <v>1178</v>
      </c>
      <c r="C1150" s="2" t="s">
        <v>35</v>
      </c>
      <c r="D1150" s="2">
        <v>40</v>
      </c>
      <c r="E1150" s="2" t="str">
        <f t="shared" si="70"/>
        <v>36-45</v>
      </c>
      <c r="F1150" s="2" t="s">
        <v>110</v>
      </c>
      <c r="G1150" s="2" t="s">
        <v>21</v>
      </c>
      <c r="H1150" s="2">
        <v>9</v>
      </c>
      <c r="I1150" s="2" t="str">
        <f t="shared" si="68"/>
        <v>7-12 months</v>
      </c>
      <c r="J1150" s="3">
        <v>449</v>
      </c>
      <c r="K1150" s="3">
        <v>4041</v>
      </c>
      <c r="L1150" s="2" t="s">
        <v>66</v>
      </c>
      <c r="M1150" s="4"/>
      <c r="N1150" s="2" t="s">
        <v>23</v>
      </c>
      <c r="O1150" s="2">
        <f t="shared" si="71"/>
        <v>0</v>
      </c>
      <c r="P1150" s="2" t="s">
        <v>23</v>
      </c>
      <c r="Q1150" s="2" t="s">
        <v>23</v>
      </c>
      <c r="R1150" s="2" t="s">
        <v>23</v>
      </c>
      <c r="S1150" s="2" t="s">
        <v>32</v>
      </c>
      <c r="T1150" s="2" t="s">
        <v>54</v>
      </c>
      <c r="U1150" s="25">
        <f t="shared" si="69"/>
        <v>4041.0011500000001</v>
      </c>
    </row>
    <row r="1151" spans="1:21">
      <c r="A1151" s="2" t="s">
        <v>1858</v>
      </c>
      <c r="B1151" s="2" t="s">
        <v>1859</v>
      </c>
      <c r="C1151" s="2" t="s">
        <v>35</v>
      </c>
      <c r="D1151" s="2">
        <v>52</v>
      </c>
      <c r="E1151" s="2" t="str">
        <f t="shared" si="70"/>
        <v>46-60</v>
      </c>
      <c r="F1151" s="2" t="s">
        <v>105</v>
      </c>
      <c r="G1151" s="2" t="s">
        <v>21</v>
      </c>
      <c r="H1151" s="2">
        <v>15</v>
      </c>
      <c r="I1151" s="2" t="str">
        <f t="shared" si="68"/>
        <v>13-24 months</v>
      </c>
      <c r="J1151" s="3">
        <v>1299</v>
      </c>
      <c r="K1151" s="3">
        <v>19485</v>
      </c>
      <c r="L1151" s="2" t="s">
        <v>22</v>
      </c>
      <c r="M1151" s="4">
        <v>45451</v>
      </c>
      <c r="N1151" s="2" t="s">
        <v>32</v>
      </c>
      <c r="O1151" s="2">
        <f t="shared" si="71"/>
        <v>1</v>
      </c>
      <c r="P1151" s="2" t="s">
        <v>23</v>
      </c>
      <c r="Q1151" s="2" t="s">
        <v>23</v>
      </c>
      <c r="R1151" s="2" t="s">
        <v>32</v>
      </c>
      <c r="S1151" s="2" t="s">
        <v>23</v>
      </c>
      <c r="T1151" s="2" t="s">
        <v>23</v>
      </c>
      <c r="U1151" s="25">
        <f t="shared" si="69"/>
        <v>19485.001151</v>
      </c>
    </row>
    <row r="1152" spans="1:21">
      <c r="A1152" s="2" t="s">
        <v>1860</v>
      </c>
      <c r="B1152" s="2" t="s">
        <v>1435</v>
      </c>
      <c r="C1152" s="2" t="s">
        <v>19</v>
      </c>
      <c r="D1152" s="2">
        <v>18</v>
      </c>
      <c r="E1152" s="2" t="str">
        <f t="shared" si="70"/>
        <v>18-25</v>
      </c>
      <c r="F1152" s="2" t="s">
        <v>26</v>
      </c>
      <c r="G1152" s="2" t="s">
        <v>47</v>
      </c>
      <c r="H1152" s="2">
        <v>23</v>
      </c>
      <c r="I1152" s="2" t="str">
        <f t="shared" si="68"/>
        <v>13-24 months</v>
      </c>
      <c r="J1152" s="3">
        <v>899</v>
      </c>
      <c r="K1152" s="3">
        <v>20677</v>
      </c>
      <c r="L1152" s="2" t="s">
        <v>22</v>
      </c>
      <c r="M1152" s="4">
        <v>45225</v>
      </c>
      <c r="N1152" s="2" t="s">
        <v>23</v>
      </c>
      <c r="O1152" s="2">
        <f t="shared" si="71"/>
        <v>0</v>
      </c>
      <c r="P1152" s="2" t="s">
        <v>23</v>
      </c>
      <c r="Q1152" s="2" t="s">
        <v>23</v>
      </c>
      <c r="R1152" s="2" t="s">
        <v>23</v>
      </c>
      <c r="S1152" s="2" t="s">
        <v>23</v>
      </c>
      <c r="T1152" s="2" t="s">
        <v>23</v>
      </c>
      <c r="U1152" s="25">
        <f t="shared" si="69"/>
        <v>20677.001152000001</v>
      </c>
    </row>
    <row r="1153" spans="1:21">
      <c r="A1153" s="2" t="s">
        <v>1861</v>
      </c>
      <c r="B1153" s="2" t="s">
        <v>850</v>
      </c>
      <c r="C1153" s="2" t="s">
        <v>35</v>
      </c>
      <c r="D1153" s="2">
        <v>58</v>
      </c>
      <c r="E1153" s="2" t="str">
        <f t="shared" si="70"/>
        <v>46-60</v>
      </c>
      <c r="F1153" s="2" t="s">
        <v>36</v>
      </c>
      <c r="G1153" s="2" t="s">
        <v>27</v>
      </c>
      <c r="H1153" s="2">
        <v>40</v>
      </c>
      <c r="I1153" s="2" t="str">
        <f t="shared" si="68"/>
        <v>25-48 months</v>
      </c>
      <c r="J1153" s="3">
        <v>799</v>
      </c>
      <c r="K1153" s="3">
        <v>31960</v>
      </c>
      <c r="L1153" s="2" t="s">
        <v>31</v>
      </c>
      <c r="M1153" s="4">
        <v>44715</v>
      </c>
      <c r="N1153" s="2" t="s">
        <v>23</v>
      </c>
      <c r="O1153" s="2">
        <f t="shared" si="71"/>
        <v>0</v>
      </c>
      <c r="P1153" s="2" t="s">
        <v>23</v>
      </c>
      <c r="Q1153" s="2" t="s">
        <v>23</v>
      </c>
      <c r="R1153" s="2" t="s">
        <v>23</v>
      </c>
      <c r="S1153" s="2" t="s">
        <v>23</v>
      </c>
      <c r="T1153" s="2" t="s">
        <v>23</v>
      </c>
      <c r="U1153" s="25">
        <f t="shared" si="69"/>
        <v>31960.001153000001</v>
      </c>
    </row>
    <row r="1154" spans="1:21">
      <c r="A1154" s="2" t="s">
        <v>1862</v>
      </c>
      <c r="B1154" s="2" t="s">
        <v>308</v>
      </c>
      <c r="C1154" s="2" t="s">
        <v>19</v>
      </c>
      <c r="D1154" s="2">
        <v>33</v>
      </c>
      <c r="E1154" s="2" t="str">
        <f t="shared" si="70"/>
        <v>26-35</v>
      </c>
      <c r="F1154" s="2" t="s">
        <v>63</v>
      </c>
      <c r="G1154" s="2" t="s">
        <v>27</v>
      </c>
      <c r="H1154" s="2">
        <v>6</v>
      </c>
      <c r="I1154" s="2" t="str">
        <f t="shared" ref="I1154:I1217" si="72">IF(H1154="","Unknown",IF(H1154&lt;=6,"0-6 months",IF(H1154&lt;=12,"7-12 months",IF(H1154&lt;=24,"13-24 months",IF(H1154&lt;=48,"25-48 months","49+ months")))))</f>
        <v>0-6 months</v>
      </c>
      <c r="J1154" s="3">
        <v>899</v>
      </c>
      <c r="K1154" s="3">
        <v>5394</v>
      </c>
      <c r="L1154" s="2" t="s">
        <v>22</v>
      </c>
      <c r="M1154" s="4">
        <v>45728</v>
      </c>
      <c r="N1154" s="2" t="s">
        <v>23</v>
      </c>
      <c r="O1154" s="2">
        <f t="shared" si="71"/>
        <v>0</v>
      </c>
      <c r="P1154" s="2" t="s">
        <v>23</v>
      </c>
      <c r="Q1154" s="2" t="s">
        <v>23</v>
      </c>
      <c r="R1154" s="2" t="s">
        <v>23</v>
      </c>
      <c r="S1154" s="2" t="s">
        <v>23</v>
      </c>
      <c r="T1154" s="2" t="s">
        <v>23</v>
      </c>
      <c r="U1154" s="25">
        <f t="shared" ref="U1154:U1217" si="73">IF(K1154="","",K1154+ROW()/1000000)</f>
        <v>5394.0011539999996</v>
      </c>
    </row>
    <row r="1155" spans="1:21">
      <c r="A1155" s="2" t="s">
        <v>1863</v>
      </c>
      <c r="B1155" s="2" t="s">
        <v>1703</v>
      </c>
      <c r="C1155" s="2" t="s">
        <v>35</v>
      </c>
      <c r="D1155" s="2">
        <v>73</v>
      </c>
      <c r="E1155" s="2" t="str">
        <f t="shared" ref="E1155:E1218" si="74">IF(D1155&lt;=25,"18-25",IF(D1155&lt;=35,"26-35",IF(D1155&lt;=45,"36-45",IF(D1155&lt;=60,"46-60","60+"))))</f>
        <v>60+</v>
      </c>
      <c r="F1155" s="2" t="s">
        <v>20</v>
      </c>
      <c r="G1155" s="2" t="s">
        <v>47</v>
      </c>
      <c r="H1155" s="2">
        <v>48</v>
      </c>
      <c r="I1155" s="2" t="str">
        <f t="shared" si="72"/>
        <v>25-48 months</v>
      </c>
      <c r="J1155" s="3">
        <v>849</v>
      </c>
      <c r="K1155" s="3">
        <v>40752</v>
      </c>
      <c r="L1155" s="2" t="s">
        <v>31</v>
      </c>
      <c r="M1155" s="4">
        <v>44459</v>
      </c>
      <c r="N1155" s="2" t="s">
        <v>23</v>
      </c>
      <c r="O1155" s="2">
        <f t="shared" ref="O1155:O1218" si="75">IF(N1155="Yes",1,IF(N1155="No",0,""))</f>
        <v>0</v>
      </c>
      <c r="P1155" s="2" t="s">
        <v>23</v>
      </c>
      <c r="Q1155" s="2" t="s">
        <v>23</v>
      </c>
      <c r="R1155" s="2" t="s">
        <v>23</v>
      </c>
      <c r="S1155" s="2" t="s">
        <v>23</v>
      </c>
      <c r="T1155" s="2" t="s">
        <v>23</v>
      </c>
      <c r="U1155" s="25">
        <f t="shared" si="73"/>
        <v>40752.001154999998</v>
      </c>
    </row>
    <row r="1156" spans="1:21">
      <c r="A1156" s="2" t="s">
        <v>1864</v>
      </c>
      <c r="B1156" s="2" t="s">
        <v>1865</v>
      </c>
      <c r="C1156" s="2" t="s">
        <v>19</v>
      </c>
      <c r="D1156" s="2">
        <v>47</v>
      </c>
      <c r="E1156" s="2" t="str">
        <f t="shared" si="74"/>
        <v>46-60</v>
      </c>
      <c r="F1156" s="2" t="s">
        <v>41</v>
      </c>
      <c r="G1156" s="2" t="s">
        <v>47</v>
      </c>
      <c r="H1156" s="2">
        <v>60</v>
      </c>
      <c r="I1156" s="2" t="str">
        <f t="shared" si="72"/>
        <v>49+ months</v>
      </c>
      <c r="J1156" s="3">
        <v>749</v>
      </c>
      <c r="K1156" s="3">
        <v>44940</v>
      </c>
      <c r="L1156" s="2" t="s">
        <v>31</v>
      </c>
      <c r="M1156" s="4">
        <v>44121</v>
      </c>
      <c r="N1156" s="2" t="s">
        <v>23</v>
      </c>
      <c r="O1156" s="2">
        <f t="shared" si="75"/>
        <v>0</v>
      </c>
      <c r="P1156" s="2" t="s">
        <v>32</v>
      </c>
      <c r="Q1156" s="2" t="s">
        <v>23</v>
      </c>
      <c r="R1156" s="2" t="s">
        <v>23</v>
      </c>
      <c r="S1156" s="2" t="s">
        <v>32</v>
      </c>
      <c r="T1156" s="2" t="s">
        <v>23</v>
      </c>
      <c r="U1156" s="25">
        <f t="shared" si="73"/>
        <v>44940.001155999998</v>
      </c>
    </row>
    <row r="1157" spans="1:21">
      <c r="A1157" s="2" t="s">
        <v>1866</v>
      </c>
      <c r="B1157" s="2" t="s">
        <v>252</v>
      </c>
      <c r="C1157" s="2" t="s">
        <v>19</v>
      </c>
      <c r="D1157" s="2">
        <v>59</v>
      </c>
      <c r="E1157" s="2" t="str">
        <f t="shared" si="74"/>
        <v>46-60</v>
      </c>
      <c r="F1157" s="2" t="s">
        <v>41</v>
      </c>
      <c r="G1157" s="2" t="s">
        <v>37</v>
      </c>
      <c r="H1157" s="2">
        <v>21</v>
      </c>
      <c r="I1157" s="2" t="str">
        <f t="shared" si="72"/>
        <v>13-24 months</v>
      </c>
      <c r="J1157" s="3">
        <v>349</v>
      </c>
      <c r="K1157" s="3">
        <v>7329</v>
      </c>
      <c r="L1157" s="2" t="s">
        <v>66</v>
      </c>
      <c r="M1157" s="4">
        <v>45297</v>
      </c>
      <c r="N1157" s="2" t="s">
        <v>32</v>
      </c>
      <c r="O1157" s="2">
        <f t="shared" si="75"/>
        <v>1</v>
      </c>
      <c r="P1157" s="2" t="s">
        <v>23</v>
      </c>
      <c r="Q1157" s="2" t="s">
        <v>23</v>
      </c>
      <c r="R1157" s="2" t="s">
        <v>23</v>
      </c>
      <c r="S1157" s="2" t="s">
        <v>23</v>
      </c>
      <c r="T1157" s="2" t="s">
        <v>23</v>
      </c>
      <c r="U1157" s="25">
        <f t="shared" si="73"/>
        <v>7329.0011569999997</v>
      </c>
    </row>
    <row r="1158" spans="1:21">
      <c r="A1158" s="2" t="s">
        <v>1867</v>
      </c>
      <c r="B1158" s="2" t="s">
        <v>1868</v>
      </c>
      <c r="C1158" s="2" t="s">
        <v>35</v>
      </c>
      <c r="D1158" s="2">
        <v>73</v>
      </c>
      <c r="E1158" s="2" t="str">
        <f t="shared" si="74"/>
        <v>60+</v>
      </c>
      <c r="F1158" s="2" t="s">
        <v>105</v>
      </c>
      <c r="G1158" s="2" t="s">
        <v>21</v>
      </c>
      <c r="H1158" s="2">
        <v>9</v>
      </c>
      <c r="I1158" s="2" t="str">
        <f t="shared" si="72"/>
        <v>7-12 months</v>
      </c>
      <c r="J1158" s="3">
        <v>1149</v>
      </c>
      <c r="K1158" s="3">
        <v>10341</v>
      </c>
      <c r="L1158" s="2" t="s">
        <v>22</v>
      </c>
      <c r="M1158" s="4">
        <v>45639</v>
      </c>
      <c r="N1158" s="2" t="s">
        <v>23</v>
      </c>
      <c r="O1158" s="2">
        <f t="shared" si="75"/>
        <v>0</v>
      </c>
      <c r="P1158" s="2" t="s">
        <v>23</v>
      </c>
      <c r="Q1158" s="2" t="s">
        <v>23</v>
      </c>
      <c r="R1158" s="2" t="s">
        <v>23</v>
      </c>
      <c r="S1158" s="2" t="s">
        <v>23</v>
      </c>
      <c r="T1158" s="2" t="s">
        <v>23</v>
      </c>
      <c r="U1158" s="25">
        <f t="shared" si="73"/>
        <v>10341.001157999999</v>
      </c>
    </row>
    <row r="1159" spans="1:21">
      <c r="A1159" s="2" t="s">
        <v>1869</v>
      </c>
      <c r="B1159" s="2" t="s">
        <v>1870</v>
      </c>
      <c r="C1159" s="2" t="s">
        <v>19</v>
      </c>
      <c r="D1159" s="2">
        <v>70</v>
      </c>
      <c r="E1159" s="2" t="str">
        <f t="shared" si="74"/>
        <v>60+</v>
      </c>
      <c r="F1159" s="2" t="s">
        <v>141</v>
      </c>
      <c r="G1159" s="2" t="s">
        <v>21</v>
      </c>
      <c r="H1159" s="2">
        <v>24</v>
      </c>
      <c r="I1159" s="2" t="str">
        <f t="shared" si="72"/>
        <v>13-24 months</v>
      </c>
      <c r="J1159" s="3">
        <v>449</v>
      </c>
      <c r="K1159" s="3">
        <v>10776</v>
      </c>
      <c r="L1159" s="2" t="s">
        <v>66</v>
      </c>
      <c r="M1159" s="4">
        <v>45179</v>
      </c>
      <c r="N1159" s="2" t="s">
        <v>32</v>
      </c>
      <c r="O1159" s="2">
        <f t="shared" si="75"/>
        <v>1</v>
      </c>
      <c r="P1159" s="2" t="s">
        <v>23</v>
      </c>
      <c r="Q1159" s="2" t="s">
        <v>23</v>
      </c>
      <c r="R1159" s="2" t="s">
        <v>23</v>
      </c>
      <c r="S1159" s="2" t="s">
        <v>23</v>
      </c>
      <c r="T1159" s="2" t="s">
        <v>23</v>
      </c>
      <c r="U1159" s="25">
        <f t="shared" si="73"/>
        <v>10776.001158999999</v>
      </c>
    </row>
    <row r="1160" spans="1:21">
      <c r="A1160" s="2" t="s">
        <v>1871</v>
      </c>
      <c r="B1160" s="2" t="s">
        <v>1872</v>
      </c>
      <c r="C1160" s="2" t="s">
        <v>35</v>
      </c>
      <c r="D1160" s="2">
        <v>24</v>
      </c>
      <c r="E1160" s="2" t="str">
        <f t="shared" si="74"/>
        <v>18-25</v>
      </c>
      <c r="F1160" s="2" t="s">
        <v>63</v>
      </c>
      <c r="G1160" s="2" t="s">
        <v>47</v>
      </c>
      <c r="H1160" s="2">
        <v>15</v>
      </c>
      <c r="I1160" s="2" t="str">
        <f t="shared" si="72"/>
        <v>13-24 months</v>
      </c>
      <c r="J1160" s="3">
        <v>999</v>
      </c>
      <c r="K1160" s="3">
        <v>14985</v>
      </c>
      <c r="L1160" s="2" t="s">
        <v>22</v>
      </c>
      <c r="M1160" s="4">
        <v>45468</v>
      </c>
      <c r="N1160" s="2" t="s">
        <v>23</v>
      </c>
      <c r="O1160" s="2">
        <f t="shared" si="75"/>
        <v>0</v>
      </c>
      <c r="P1160" s="2" t="s">
        <v>23</v>
      </c>
      <c r="Q1160" s="2" t="s">
        <v>23</v>
      </c>
      <c r="R1160" s="2" t="s">
        <v>23</v>
      </c>
      <c r="S1160" s="2" t="s">
        <v>23</v>
      </c>
      <c r="T1160" s="2" t="s">
        <v>23</v>
      </c>
      <c r="U1160" s="25">
        <f t="shared" si="73"/>
        <v>14985.00116</v>
      </c>
    </row>
    <row r="1161" spans="1:21">
      <c r="A1161" s="2" t="s">
        <v>1873</v>
      </c>
      <c r="B1161" s="2" t="s">
        <v>356</v>
      </c>
      <c r="C1161" s="2" t="s">
        <v>19</v>
      </c>
      <c r="D1161" s="2">
        <v>31</v>
      </c>
      <c r="E1161" s="2" t="str">
        <f t="shared" si="74"/>
        <v>26-35</v>
      </c>
      <c r="F1161" s="2" t="s">
        <v>46</v>
      </c>
      <c r="G1161" s="2" t="s">
        <v>21</v>
      </c>
      <c r="H1161" s="2">
        <v>3</v>
      </c>
      <c r="I1161" s="2" t="str">
        <f t="shared" si="72"/>
        <v>0-6 months</v>
      </c>
      <c r="J1161" s="3">
        <v>1199</v>
      </c>
      <c r="K1161" s="3">
        <v>3597</v>
      </c>
      <c r="L1161" s="2" t="s">
        <v>22</v>
      </c>
      <c r="M1161" s="4">
        <v>45814</v>
      </c>
      <c r="N1161" s="2" t="s">
        <v>23</v>
      </c>
      <c r="O1161" s="2">
        <f t="shared" si="75"/>
        <v>0</v>
      </c>
      <c r="P1161" s="2" t="s">
        <v>23</v>
      </c>
      <c r="Q1161" s="2" t="s">
        <v>23</v>
      </c>
      <c r="R1161" s="2" t="s">
        <v>23</v>
      </c>
      <c r="S1161" s="2" t="s">
        <v>23</v>
      </c>
      <c r="T1161" s="2" t="s">
        <v>23</v>
      </c>
      <c r="U1161" s="25">
        <f t="shared" si="73"/>
        <v>3597.0011610000001</v>
      </c>
    </row>
    <row r="1162" spans="1:21">
      <c r="A1162" s="2" t="s">
        <v>1874</v>
      </c>
      <c r="B1162" s="2" t="s">
        <v>1827</v>
      </c>
      <c r="C1162" s="2" t="s">
        <v>35</v>
      </c>
      <c r="D1162" s="2">
        <v>62</v>
      </c>
      <c r="E1162" s="2" t="str">
        <f t="shared" si="74"/>
        <v>60+</v>
      </c>
      <c r="F1162" s="2" t="s">
        <v>60</v>
      </c>
      <c r="G1162" s="2" t="s">
        <v>21</v>
      </c>
      <c r="H1162" s="2">
        <v>9</v>
      </c>
      <c r="I1162" s="2" t="str">
        <f t="shared" si="72"/>
        <v>7-12 months</v>
      </c>
      <c r="J1162" s="3">
        <v>1049</v>
      </c>
      <c r="K1162" s="3">
        <v>9441</v>
      </c>
      <c r="L1162" s="2" t="s">
        <v>22</v>
      </c>
      <c r="M1162" s="4">
        <v>45654</v>
      </c>
      <c r="N1162" s="2" t="s">
        <v>32</v>
      </c>
      <c r="O1162" s="2">
        <f t="shared" si="75"/>
        <v>1</v>
      </c>
      <c r="P1162" s="2" t="s">
        <v>23</v>
      </c>
      <c r="Q1162" s="2" t="s">
        <v>23</v>
      </c>
      <c r="R1162" s="2" t="s">
        <v>23</v>
      </c>
      <c r="S1162" s="2" t="s">
        <v>23</v>
      </c>
      <c r="T1162" s="2" t="s">
        <v>23</v>
      </c>
      <c r="U1162" s="25">
        <f t="shared" si="73"/>
        <v>9441.0011620000005</v>
      </c>
    </row>
    <row r="1163" spans="1:21">
      <c r="A1163" s="2" t="s">
        <v>1875</v>
      </c>
      <c r="B1163" s="2" t="s">
        <v>1876</v>
      </c>
      <c r="C1163" s="2" t="s">
        <v>19</v>
      </c>
      <c r="D1163" s="2">
        <v>19</v>
      </c>
      <c r="E1163" s="2" t="str">
        <f t="shared" si="74"/>
        <v>18-25</v>
      </c>
      <c r="F1163" s="2" t="s">
        <v>20</v>
      </c>
      <c r="G1163" s="2" t="s">
        <v>47</v>
      </c>
      <c r="H1163" s="2">
        <v>38</v>
      </c>
      <c r="I1163" s="2" t="str">
        <f t="shared" si="72"/>
        <v>25-48 months</v>
      </c>
      <c r="J1163" s="3">
        <v>1199</v>
      </c>
      <c r="K1163" s="3">
        <v>45562</v>
      </c>
      <c r="L1163" s="2" t="s">
        <v>22</v>
      </c>
      <c r="M1163" s="4">
        <v>44779</v>
      </c>
      <c r="N1163" s="2" t="s">
        <v>23</v>
      </c>
      <c r="O1163" s="2">
        <f t="shared" si="75"/>
        <v>0</v>
      </c>
      <c r="P1163" s="2" t="s">
        <v>23</v>
      </c>
      <c r="Q1163" s="2" t="s">
        <v>23</v>
      </c>
      <c r="R1163" s="2" t="s">
        <v>23</v>
      </c>
      <c r="S1163" s="2" t="s">
        <v>23</v>
      </c>
      <c r="T1163" s="2" t="s">
        <v>23</v>
      </c>
      <c r="U1163" s="25">
        <f t="shared" si="73"/>
        <v>45562.001163000001</v>
      </c>
    </row>
    <row r="1164" spans="1:21">
      <c r="A1164" s="2" t="s">
        <v>1877</v>
      </c>
      <c r="B1164" s="2" t="s">
        <v>1631</v>
      </c>
      <c r="C1164" s="2" t="s">
        <v>35</v>
      </c>
      <c r="D1164" s="2">
        <v>36</v>
      </c>
      <c r="E1164" s="2" t="str">
        <f t="shared" si="74"/>
        <v>36-45</v>
      </c>
      <c r="F1164" s="2" t="s">
        <v>63</v>
      </c>
      <c r="G1164" s="2" t="s">
        <v>27</v>
      </c>
      <c r="H1164" s="2">
        <v>10</v>
      </c>
      <c r="I1164" s="2" t="str">
        <f t="shared" si="72"/>
        <v>7-12 months</v>
      </c>
      <c r="J1164" s="3">
        <v>1049</v>
      </c>
      <c r="K1164" s="3">
        <v>10490</v>
      </c>
      <c r="L1164" s="2" t="s">
        <v>37</v>
      </c>
      <c r="M1164" s="4">
        <v>45621</v>
      </c>
      <c r="N1164" s="2" t="s">
        <v>23</v>
      </c>
      <c r="O1164" s="2">
        <f t="shared" si="75"/>
        <v>0</v>
      </c>
      <c r="P1164" s="2" t="s">
        <v>23</v>
      </c>
      <c r="Q1164" s="2" t="s">
        <v>23</v>
      </c>
      <c r="R1164" s="2" t="s">
        <v>23</v>
      </c>
      <c r="S1164" s="2" t="s">
        <v>23</v>
      </c>
      <c r="T1164" s="2" t="s">
        <v>23</v>
      </c>
      <c r="U1164" s="25">
        <f t="shared" si="73"/>
        <v>10490.001163999999</v>
      </c>
    </row>
    <row r="1165" spans="1:21">
      <c r="A1165" s="2" t="s">
        <v>1878</v>
      </c>
      <c r="B1165" s="2" t="s">
        <v>444</v>
      </c>
      <c r="C1165" s="2" t="s">
        <v>19</v>
      </c>
      <c r="D1165" s="2">
        <v>37</v>
      </c>
      <c r="E1165" s="2" t="str">
        <f t="shared" si="74"/>
        <v>36-45</v>
      </c>
      <c r="F1165" s="2" t="s">
        <v>63</v>
      </c>
      <c r="G1165" s="2" t="s">
        <v>27</v>
      </c>
      <c r="H1165" s="2">
        <v>33</v>
      </c>
      <c r="I1165" s="2" t="str">
        <f t="shared" si="72"/>
        <v>25-48 months</v>
      </c>
      <c r="J1165" s="3">
        <v>849</v>
      </c>
      <c r="K1165" s="3">
        <v>28017</v>
      </c>
      <c r="L1165" s="2" t="s">
        <v>31</v>
      </c>
      <c r="M1165" s="4"/>
      <c r="N1165" s="2" t="s">
        <v>23</v>
      </c>
      <c r="O1165" s="2">
        <f t="shared" si="75"/>
        <v>0</v>
      </c>
      <c r="P1165" s="2" t="s">
        <v>23</v>
      </c>
      <c r="Q1165" s="2" t="s">
        <v>23</v>
      </c>
      <c r="R1165" s="2" t="s">
        <v>23</v>
      </c>
      <c r="S1165" s="2" t="s">
        <v>23</v>
      </c>
      <c r="T1165" s="2" t="s">
        <v>54</v>
      </c>
      <c r="U1165" s="25">
        <f t="shared" si="73"/>
        <v>28017.001165000001</v>
      </c>
    </row>
    <row r="1166" spans="1:21">
      <c r="A1166" s="2" t="s">
        <v>1879</v>
      </c>
      <c r="B1166" s="2" t="s">
        <v>1080</v>
      </c>
      <c r="C1166" s="2" t="s">
        <v>19</v>
      </c>
      <c r="D1166" s="2">
        <v>27</v>
      </c>
      <c r="E1166" s="2" t="str">
        <f t="shared" si="74"/>
        <v>26-35</v>
      </c>
      <c r="F1166" s="2" t="s">
        <v>91</v>
      </c>
      <c r="G1166" s="2" t="s">
        <v>47</v>
      </c>
      <c r="H1166" s="2">
        <v>48</v>
      </c>
      <c r="I1166" s="2" t="str">
        <f t="shared" si="72"/>
        <v>25-48 months</v>
      </c>
      <c r="J1166" s="3">
        <v>749</v>
      </c>
      <c r="K1166" s="3">
        <v>35952</v>
      </c>
      <c r="L1166" s="2" t="s">
        <v>31</v>
      </c>
      <c r="M1166" s="4">
        <v>44461</v>
      </c>
      <c r="N1166" s="2" t="s">
        <v>23</v>
      </c>
      <c r="O1166" s="2">
        <f t="shared" si="75"/>
        <v>0</v>
      </c>
      <c r="P1166" s="2" t="s">
        <v>23</v>
      </c>
      <c r="Q1166" s="2" t="s">
        <v>23</v>
      </c>
      <c r="R1166" s="2" t="s">
        <v>23</v>
      </c>
      <c r="S1166" s="2" t="s">
        <v>23</v>
      </c>
      <c r="T1166" s="2" t="s">
        <v>23</v>
      </c>
      <c r="U1166" s="25">
        <f t="shared" si="73"/>
        <v>35952.001166000002</v>
      </c>
    </row>
    <row r="1167" spans="1:21">
      <c r="A1167" s="2" t="s">
        <v>1880</v>
      </c>
      <c r="B1167" s="2" t="s">
        <v>646</v>
      </c>
      <c r="C1167" s="2" t="s">
        <v>35</v>
      </c>
      <c r="D1167" s="2">
        <v>75</v>
      </c>
      <c r="E1167" s="2" t="str">
        <f t="shared" si="74"/>
        <v>60+</v>
      </c>
      <c r="F1167" s="2" t="s">
        <v>105</v>
      </c>
      <c r="G1167" s="2" t="s">
        <v>21</v>
      </c>
      <c r="H1167" s="2">
        <v>11</v>
      </c>
      <c r="I1167" s="2" t="str">
        <f t="shared" si="72"/>
        <v>7-12 months</v>
      </c>
      <c r="J1167" s="3">
        <v>399</v>
      </c>
      <c r="K1167" s="3">
        <v>4389</v>
      </c>
      <c r="L1167" s="2" t="s">
        <v>66</v>
      </c>
      <c r="M1167" s="4">
        <v>45590</v>
      </c>
      <c r="N1167" s="2" t="s">
        <v>32</v>
      </c>
      <c r="O1167" s="2">
        <f t="shared" si="75"/>
        <v>1</v>
      </c>
      <c r="P1167" s="2" t="s">
        <v>23</v>
      </c>
      <c r="Q1167" s="2" t="s">
        <v>23</v>
      </c>
      <c r="R1167" s="2" t="s">
        <v>23</v>
      </c>
      <c r="S1167" s="2" t="s">
        <v>23</v>
      </c>
      <c r="T1167" s="2" t="s">
        <v>23</v>
      </c>
      <c r="U1167" s="25">
        <f t="shared" si="73"/>
        <v>4389.0011670000004</v>
      </c>
    </row>
    <row r="1168" spans="1:21">
      <c r="A1168" s="2" t="s">
        <v>1881</v>
      </c>
      <c r="B1168" s="2" t="s">
        <v>1882</v>
      </c>
      <c r="C1168" s="2" t="s">
        <v>19</v>
      </c>
      <c r="D1168" s="2">
        <v>49</v>
      </c>
      <c r="E1168" s="2" t="str">
        <f t="shared" si="74"/>
        <v>46-60</v>
      </c>
      <c r="F1168" s="2" t="s">
        <v>60</v>
      </c>
      <c r="G1168" s="2" t="s">
        <v>27</v>
      </c>
      <c r="H1168" s="2">
        <v>1</v>
      </c>
      <c r="I1168" s="2" t="str">
        <f t="shared" si="72"/>
        <v>0-6 months</v>
      </c>
      <c r="J1168" s="3">
        <v>1199</v>
      </c>
      <c r="K1168" s="3">
        <v>1199</v>
      </c>
      <c r="L1168" s="2" t="s">
        <v>22</v>
      </c>
      <c r="M1168" s="4">
        <v>45875</v>
      </c>
      <c r="N1168" s="2" t="s">
        <v>23</v>
      </c>
      <c r="O1168" s="2">
        <f t="shared" si="75"/>
        <v>0</v>
      </c>
      <c r="P1168" s="2" t="s">
        <v>23</v>
      </c>
      <c r="Q1168" s="2" t="s">
        <v>23</v>
      </c>
      <c r="R1168" s="2" t="s">
        <v>23</v>
      </c>
      <c r="S1168" s="2" t="s">
        <v>23</v>
      </c>
      <c r="T1168" s="2" t="s">
        <v>23</v>
      </c>
      <c r="U1168" s="25">
        <f t="shared" si="73"/>
        <v>1199.001168</v>
      </c>
    </row>
    <row r="1169" spans="1:21">
      <c r="A1169" s="2" t="s">
        <v>1883</v>
      </c>
      <c r="B1169" s="2" t="s">
        <v>1884</v>
      </c>
      <c r="C1169" s="2" t="s">
        <v>19</v>
      </c>
      <c r="D1169" s="2">
        <v>20</v>
      </c>
      <c r="E1169" s="2" t="str">
        <f t="shared" si="74"/>
        <v>18-25</v>
      </c>
      <c r="F1169" s="2" t="s">
        <v>105</v>
      </c>
      <c r="G1169" s="2" t="s">
        <v>27</v>
      </c>
      <c r="H1169" s="2">
        <v>33</v>
      </c>
      <c r="I1169" s="2" t="str">
        <f t="shared" si="72"/>
        <v>25-48 months</v>
      </c>
      <c r="J1169" s="3">
        <v>549</v>
      </c>
      <c r="K1169" s="3">
        <v>18117</v>
      </c>
      <c r="L1169" s="2" t="s">
        <v>66</v>
      </c>
      <c r="M1169" s="4">
        <v>44911</v>
      </c>
      <c r="N1169" s="2" t="s">
        <v>23</v>
      </c>
      <c r="O1169" s="2">
        <f t="shared" si="75"/>
        <v>0</v>
      </c>
      <c r="P1169" s="2" t="s">
        <v>23</v>
      </c>
      <c r="Q1169" s="2" t="s">
        <v>23</v>
      </c>
      <c r="R1169" s="2" t="s">
        <v>23</v>
      </c>
      <c r="S1169" s="2" t="s">
        <v>23</v>
      </c>
      <c r="T1169" s="2" t="s">
        <v>23</v>
      </c>
      <c r="U1169" s="25">
        <f t="shared" si="73"/>
        <v>18117.001168999999</v>
      </c>
    </row>
    <row r="1170" spans="1:21">
      <c r="A1170" s="2" t="s">
        <v>1885</v>
      </c>
      <c r="B1170" s="2" t="s">
        <v>1886</v>
      </c>
      <c r="C1170" s="2" t="s">
        <v>19</v>
      </c>
      <c r="D1170" s="2">
        <v>54</v>
      </c>
      <c r="E1170" s="2" t="str">
        <f t="shared" si="74"/>
        <v>46-60</v>
      </c>
      <c r="F1170" s="2" t="s">
        <v>26</v>
      </c>
      <c r="G1170" s="2" t="s">
        <v>21</v>
      </c>
      <c r="H1170" s="2">
        <v>24</v>
      </c>
      <c r="I1170" s="2" t="str">
        <f t="shared" si="72"/>
        <v>13-24 months</v>
      </c>
      <c r="J1170" s="3">
        <v>649</v>
      </c>
      <c r="K1170" s="3">
        <v>15576</v>
      </c>
      <c r="L1170" s="2" t="s">
        <v>31</v>
      </c>
      <c r="M1170" s="4">
        <v>45186</v>
      </c>
      <c r="N1170" s="2" t="s">
        <v>32</v>
      </c>
      <c r="O1170" s="2">
        <f t="shared" si="75"/>
        <v>1</v>
      </c>
      <c r="P1170" s="2" t="s">
        <v>23</v>
      </c>
      <c r="Q1170" s="2" t="s">
        <v>23</v>
      </c>
      <c r="R1170" s="2" t="s">
        <v>23</v>
      </c>
      <c r="S1170" s="2" t="s">
        <v>23</v>
      </c>
      <c r="T1170" s="2" t="s">
        <v>23</v>
      </c>
      <c r="U1170" s="25">
        <f t="shared" si="73"/>
        <v>15576.00117</v>
      </c>
    </row>
    <row r="1171" spans="1:21">
      <c r="A1171" s="2" t="s">
        <v>1887</v>
      </c>
      <c r="B1171" s="2" t="s">
        <v>407</v>
      </c>
      <c r="C1171" s="2" t="s">
        <v>35</v>
      </c>
      <c r="D1171" s="2">
        <v>56</v>
      </c>
      <c r="E1171" s="2" t="str">
        <f t="shared" si="74"/>
        <v>46-60</v>
      </c>
      <c r="F1171" s="2" t="s">
        <v>46</v>
      </c>
      <c r="G1171" s="2" t="s">
        <v>27</v>
      </c>
      <c r="H1171" s="2">
        <v>13</v>
      </c>
      <c r="I1171" s="2" t="str">
        <f t="shared" si="72"/>
        <v>13-24 months</v>
      </c>
      <c r="J1171" s="3">
        <v>849</v>
      </c>
      <c r="K1171" s="3">
        <v>11037</v>
      </c>
      <c r="L1171" s="2" t="s">
        <v>31</v>
      </c>
      <c r="M1171" s="4">
        <v>45534</v>
      </c>
      <c r="N1171" s="2" t="s">
        <v>23</v>
      </c>
      <c r="O1171" s="2">
        <f t="shared" si="75"/>
        <v>0</v>
      </c>
      <c r="P1171" s="2" t="s">
        <v>23</v>
      </c>
      <c r="Q1171" s="2" t="s">
        <v>23</v>
      </c>
      <c r="R1171" s="2" t="s">
        <v>23</v>
      </c>
      <c r="S1171" s="2" t="s">
        <v>23</v>
      </c>
      <c r="T1171" s="2" t="s">
        <v>23</v>
      </c>
      <c r="U1171" s="25">
        <f t="shared" si="73"/>
        <v>11037.001171</v>
      </c>
    </row>
    <row r="1172" spans="1:21">
      <c r="A1172" s="2" t="s">
        <v>1888</v>
      </c>
      <c r="B1172" s="2" t="s">
        <v>1634</v>
      </c>
      <c r="C1172" s="2" t="s">
        <v>35</v>
      </c>
      <c r="D1172" s="2">
        <v>32</v>
      </c>
      <c r="E1172" s="2" t="str">
        <f t="shared" si="74"/>
        <v>26-35</v>
      </c>
      <c r="F1172" s="2" t="s">
        <v>20</v>
      </c>
      <c r="G1172" s="2" t="s">
        <v>27</v>
      </c>
      <c r="H1172" s="2">
        <v>30</v>
      </c>
      <c r="I1172" s="2" t="str">
        <f t="shared" si="72"/>
        <v>25-48 months</v>
      </c>
      <c r="J1172" s="3">
        <v>1149</v>
      </c>
      <c r="K1172" s="3">
        <v>34470</v>
      </c>
      <c r="L1172" s="2" t="s">
        <v>22</v>
      </c>
      <c r="M1172" s="4">
        <v>45008</v>
      </c>
      <c r="N1172" s="2" t="s">
        <v>23</v>
      </c>
      <c r="O1172" s="2">
        <f t="shared" si="75"/>
        <v>0</v>
      </c>
      <c r="P1172" s="2" t="s">
        <v>23</v>
      </c>
      <c r="Q1172" s="2" t="s">
        <v>23</v>
      </c>
      <c r="R1172" s="2" t="s">
        <v>23</v>
      </c>
      <c r="S1172" s="2" t="s">
        <v>23</v>
      </c>
      <c r="T1172" s="2" t="s">
        <v>23</v>
      </c>
      <c r="U1172" s="25">
        <f t="shared" si="73"/>
        <v>34470.001171999997</v>
      </c>
    </row>
    <row r="1173" spans="1:21">
      <c r="A1173" s="2" t="s">
        <v>1889</v>
      </c>
      <c r="B1173" s="2" t="s">
        <v>1890</v>
      </c>
      <c r="C1173" s="2" t="s">
        <v>37</v>
      </c>
      <c r="D1173" s="2">
        <v>25</v>
      </c>
      <c r="E1173" s="2" t="str">
        <f t="shared" si="74"/>
        <v>18-25</v>
      </c>
      <c r="F1173" s="2" t="s">
        <v>60</v>
      </c>
      <c r="G1173" s="2" t="s">
        <v>21</v>
      </c>
      <c r="H1173" s="2">
        <v>18</v>
      </c>
      <c r="I1173" s="2" t="str">
        <f t="shared" si="72"/>
        <v>13-24 months</v>
      </c>
      <c r="J1173" s="3">
        <v>799</v>
      </c>
      <c r="K1173" s="3">
        <v>14382</v>
      </c>
      <c r="L1173" s="2" t="s">
        <v>31</v>
      </c>
      <c r="M1173" s="4">
        <v>45370</v>
      </c>
      <c r="N1173" s="2" t="s">
        <v>23</v>
      </c>
      <c r="O1173" s="2">
        <f t="shared" si="75"/>
        <v>0</v>
      </c>
      <c r="P1173" s="2" t="s">
        <v>23</v>
      </c>
      <c r="Q1173" s="2" t="s">
        <v>23</v>
      </c>
      <c r="R1173" s="2" t="s">
        <v>23</v>
      </c>
      <c r="S1173" s="2" t="s">
        <v>23</v>
      </c>
      <c r="T1173" s="2" t="s">
        <v>23</v>
      </c>
      <c r="U1173" s="25">
        <f t="shared" si="73"/>
        <v>14382.001173000001</v>
      </c>
    </row>
    <row r="1174" spans="1:21">
      <c r="A1174" s="2" t="s">
        <v>1891</v>
      </c>
      <c r="B1174" s="2" t="s">
        <v>1892</v>
      </c>
      <c r="C1174" s="2" t="s">
        <v>19</v>
      </c>
      <c r="D1174" s="2">
        <v>73</v>
      </c>
      <c r="E1174" s="2" t="str">
        <f t="shared" si="74"/>
        <v>60+</v>
      </c>
      <c r="F1174" s="2" t="s">
        <v>41</v>
      </c>
      <c r="G1174" s="2" t="s">
        <v>27</v>
      </c>
      <c r="H1174" s="2">
        <v>13</v>
      </c>
      <c r="I1174" s="2" t="str">
        <f t="shared" si="72"/>
        <v>13-24 months</v>
      </c>
      <c r="J1174" s="3">
        <v>1299</v>
      </c>
      <c r="K1174" s="3">
        <v>16887</v>
      </c>
      <c r="L1174" s="2" t="s">
        <v>22</v>
      </c>
      <c r="M1174" s="4"/>
      <c r="N1174" s="2" t="s">
        <v>23</v>
      </c>
      <c r="O1174" s="2">
        <f t="shared" si="75"/>
        <v>0</v>
      </c>
      <c r="P1174" s="2" t="s">
        <v>23</v>
      </c>
      <c r="Q1174" s="2" t="s">
        <v>23</v>
      </c>
      <c r="R1174" s="2" t="s">
        <v>23</v>
      </c>
      <c r="S1174" s="2" t="s">
        <v>23</v>
      </c>
      <c r="T1174" s="2" t="s">
        <v>54</v>
      </c>
      <c r="U1174" s="25">
        <f t="shared" si="73"/>
        <v>16887.001174000001</v>
      </c>
    </row>
    <row r="1175" spans="1:21">
      <c r="A1175" s="2" t="s">
        <v>1893</v>
      </c>
      <c r="B1175" s="2" t="s">
        <v>955</v>
      </c>
      <c r="C1175" s="2" t="s">
        <v>35</v>
      </c>
      <c r="D1175" s="2">
        <v>35</v>
      </c>
      <c r="E1175" s="2" t="str">
        <f t="shared" si="74"/>
        <v>26-35</v>
      </c>
      <c r="F1175" s="2" t="s">
        <v>60</v>
      </c>
      <c r="G1175" s="2" t="s">
        <v>27</v>
      </c>
      <c r="H1175" s="2">
        <v>31</v>
      </c>
      <c r="I1175" s="2" t="str">
        <f t="shared" si="72"/>
        <v>25-48 months</v>
      </c>
      <c r="J1175" s="3">
        <v>799</v>
      </c>
      <c r="K1175" s="3">
        <v>24769</v>
      </c>
      <c r="L1175" s="2" t="s">
        <v>31</v>
      </c>
      <c r="M1175" s="4">
        <v>44981</v>
      </c>
      <c r="N1175" s="2" t="s">
        <v>23</v>
      </c>
      <c r="O1175" s="2">
        <f t="shared" si="75"/>
        <v>0</v>
      </c>
      <c r="P1175" s="2" t="s">
        <v>23</v>
      </c>
      <c r="Q1175" s="2" t="s">
        <v>23</v>
      </c>
      <c r="R1175" s="2" t="s">
        <v>23</v>
      </c>
      <c r="S1175" s="2" t="s">
        <v>23</v>
      </c>
      <c r="T1175" s="2" t="s">
        <v>23</v>
      </c>
      <c r="U1175" s="25">
        <f t="shared" si="73"/>
        <v>24769.001175000001</v>
      </c>
    </row>
    <row r="1176" spans="1:21">
      <c r="A1176" s="2" t="s">
        <v>1894</v>
      </c>
      <c r="B1176" s="2" t="s">
        <v>1895</v>
      </c>
      <c r="C1176" s="2" t="s">
        <v>19</v>
      </c>
      <c r="D1176" s="2">
        <v>61</v>
      </c>
      <c r="E1176" s="2" t="str">
        <f t="shared" si="74"/>
        <v>60+</v>
      </c>
      <c r="F1176" s="2" t="s">
        <v>26</v>
      </c>
      <c r="G1176" s="2" t="s">
        <v>21</v>
      </c>
      <c r="H1176" s="2">
        <v>4</v>
      </c>
      <c r="I1176" s="2" t="str">
        <f t="shared" si="72"/>
        <v>0-6 months</v>
      </c>
      <c r="J1176" s="3">
        <v>999</v>
      </c>
      <c r="K1176" s="3">
        <v>3996</v>
      </c>
      <c r="L1176" s="2" t="s">
        <v>22</v>
      </c>
      <c r="M1176" s="4">
        <v>45780</v>
      </c>
      <c r="N1176" s="2" t="s">
        <v>32</v>
      </c>
      <c r="O1176" s="2">
        <f t="shared" si="75"/>
        <v>1</v>
      </c>
      <c r="P1176" s="2" t="s">
        <v>23</v>
      </c>
      <c r="Q1176" s="2" t="s">
        <v>23</v>
      </c>
      <c r="R1176" s="2" t="s">
        <v>23</v>
      </c>
      <c r="S1176" s="2" t="s">
        <v>23</v>
      </c>
      <c r="T1176" s="2" t="s">
        <v>23</v>
      </c>
      <c r="U1176" s="25">
        <f t="shared" si="73"/>
        <v>3996.0011760000002</v>
      </c>
    </row>
    <row r="1177" spans="1:21">
      <c r="A1177" s="2" t="s">
        <v>1896</v>
      </c>
      <c r="B1177" s="2" t="s">
        <v>816</v>
      </c>
      <c r="C1177" s="2" t="s">
        <v>35</v>
      </c>
      <c r="D1177" s="2">
        <v>29</v>
      </c>
      <c r="E1177" s="2" t="str">
        <f t="shared" si="74"/>
        <v>26-35</v>
      </c>
      <c r="F1177" s="2" t="s">
        <v>41</v>
      </c>
      <c r="G1177" s="2" t="s">
        <v>27</v>
      </c>
      <c r="H1177" s="2">
        <v>7</v>
      </c>
      <c r="I1177" s="2" t="str">
        <f t="shared" si="72"/>
        <v>7-12 months</v>
      </c>
      <c r="J1177" s="3">
        <v>1099</v>
      </c>
      <c r="K1177" s="3">
        <v>7693</v>
      </c>
      <c r="L1177" s="2" t="s">
        <v>22</v>
      </c>
      <c r="M1177" s="4">
        <v>45701</v>
      </c>
      <c r="N1177" s="2" t="s">
        <v>23</v>
      </c>
      <c r="O1177" s="2">
        <f t="shared" si="75"/>
        <v>0</v>
      </c>
      <c r="P1177" s="2" t="s">
        <v>23</v>
      </c>
      <c r="Q1177" s="2" t="s">
        <v>23</v>
      </c>
      <c r="R1177" s="2" t="s">
        <v>23</v>
      </c>
      <c r="S1177" s="2" t="s">
        <v>23</v>
      </c>
      <c r="T1177" s="2" t="s">
        <v>23</v>
      </c>
      <c r="U1177" s="25">
        <f t="shared" si="73"/>
        <v>7693.0011770000001</v>
      </c>
    </row>
    <row r="1178" spans="1:21">
      <c r="A1178" s="2" t="s">
        <v>1897</v>
      </c>
      <c r="B1178" s="2" t="s">
        <v>1898</v>
      </c>
      <c r="C1178" s="2" t="s">
        <v>19</v>
      </c>
      <c r="D1178" s="2">
        <v>66</v>
      </c>
      <c r="E1178" s="2" t="str">
        <f t="shared" si="74"/>
        <v>60+</v>
      </c>
      <c r="F1178" s="2" t="s">
        <v>20</v>
      </c>
      <c r="G1178" s="2" t="s">
        <v>21</v>
      </c>
      <c r="H1178" s="2">
        <v>11</v>
      </c>
      <c r="I1178" s="2" t="str">
        <f t="shared" si="72"/>
        <v>7-12 months</v>
      </c>
      <c r="J1178" s="3">
        <v>1149</v>
      </c>
      <c r="K1178" s="3">
        <v>12639</v>
      </c>
      <c r="L1178" s="2" t="s">
        <v>22</v>
      </c>
      <c r="M1178" s="4">
        <v>45589</v>
      </c>
      <c r="N1178" s="2" t="s">
        <v>37</v>
      </c>
      <c r="O1178" s="2" t="str">
        <f t="shared" si="75"/>
        <v/>
      </c>
      <c r="P1178" s="2" t="s">
        <v>23</v>
      </c>
      <c r="Q1178" s="2" t="s">
        <v>23</v>
      </c>
      <c r="R1178" s="2" t="s">
        <v>23</v>
      </c>
      <c r="S1178" s="2" t="s">
        <v>23</v>
      </c>
      <c r="T1178" s="2" t="s">
        <v>38</v>
      </c>
      <c r="U1178" s="25">
        <f t="shared" si="73"/>
        <v>12639.001178</v>
      </c>
    </row>
    <row r="1179" spans="1:21">
      <c r="A1179" s="2" t="s">
        <v>1899</v>
      </c>
      <c r="B1179" s="2" t="s">
        <v>823</v>
      </c>
      <c r="C1179" s="2" t="s">
        <v>19</v>
      </c>
      <c r="D1179" s="2">
        <v>27</v>
      </c>
      <c r="E1179" s="2" t="str">
        <f t="shared" si="74"/>
        <v>26-35</v>
      </c>
      <c r="F1179" s="2" t="s">
        <v>30</v>
      </c>
      <c r="G1179" s="2" t="s">
        <v>21</v>
      </c>
      <c r="H1179" s="2">
        <v>6</v>
      </c>
      <c r="I1179" s="2" t="str">
        <f t="shared" si="72"/>
        <v>0-6 months</v>
      </c>
      <c r="J1179" s="3">
        <v>999</v>
      </c>
      <c r="K1179" s="3">
        <v>5994</v>
      </c>
      <c r="L1179" s="2" t="s">
        <v>22</v>
      </c>
      <c r="M1179" s="4">
        <v>45738</v>
      </c>
      <c r="N1179" s="2" t="s">
        <v>23</v>
      </c>
      <c r="O1179" s="2">
        <f t="shared" si="75"/>
        <v>0</v>
      </c>
      <c r="P1179" s="2" t="s">
        <v>23</v>
      </c>
      <c r="Q1179" s="2" t="s">
        <v>23</v>
      </c>
      <c r="R1179" s="2" t="s">
        <v>23</v>
      </c>
      <c r="S1179" s="2" t="s">
        <v>23</v>
      </c>
      <c r="T1179" s="2" t="s">
        <v>23</v>
      </c>
      <c r="U1179" s="25">
        <f t="shared" si="73"/>
        <v>5994.0011789999999</v>
      </c>
    </row>
    <row r="1180" spans="1:21">
      <c r="A1180" s="2" t="s">
        <v>1900</v>
      </c>
      <c r="B1180" s="2" t="s">
        <v>1711</v>
      </c>
      <c r="C1180" s="2" t="s">
        <v>35</v>
      </c>
      <c r="D1180" s="2">
        <v>67</v>
      </c>
      <c r="E1180" s="2" t="str">
        <f t="shared" si="74"/>
        <v>60+</v>
      </c>
      <c r="F1180" s="2" t="s">
        <v>141</v>
      </c>
      <c r="G1180" s="2" t="s">
        <v>21</v>
      </c>
      <c r="H1180" s="2">
        <v>16</v>
      </c>
      <c r="I1180" s="2" t="str">
        <f t="shared" si="72"/>
        <v>13-24 months</v>
      </c>
      <c r="J1180" s="3">
        <v>449</v>
      </c>
      <c r="K1180" s="3">
        <v>7184</v>
      </c>
      <c r="L1180" s="2" t="s">
        <v>66</v>
      </c>
      <c r="M1180" s="4">
        <v>45439</v>
      </c>
      <c r="N1180" s="2" t="s">
        <v>32</v>
      </c>
      <c r="O1180" s="2">
        <f t="shared" si="75"/>
        <v>1</v>
      </c>
      <c r="P1180" s="2" t="s">
        <v>23</v>
      </c>
      <c r="Q1180" s="2" t="s">
        <v>23</v>
      </c>
      <c r="R1180" s="2" t="s">
        <v>32</v>
      </c>
      <c r="S1180" s="2" t="s">
        <v>23</v>
      </c>
      <c r="T1180" s="2" t="s">
        <v>23</v>
      </c>
      <c r="U1180" s="25">
        <f t="shared" si="73"/>
        <v>7184.0011800000002</v>
      </c>
    </row>
    <row r="1181" spans="1:21">
      <c r="A1181" s="2" t="s">
        <v>1901</v>
      </c>
      <c r="B1181" s="2" t="s">
        <v>834</v>
      </c>
      <c r="C1181" s="2" t="s">
        <v>35</v>
      </c>
      <c r="D1181" s="2">
        <v>38</v>
      </c>
      <c r="E1181" s="2" t="str">
        <f t="shared" si="74"/>
        <v>36-45</v>
      </c>
      <c r="F1181" s="2" t="s">
        <v>60</v>
      </c>
      <c r="G1181" s="2" t="s">
        <v>21</v>
      </c>
      <c r="H1181" s="2">
        <v>14</v>
      </c>
      <c r="I1181" s="2" t="str">
        <f t="shared" si="72"/>
        <v>13-24 months</v>
      </c>
      <c r="J1181" s="3">
        <v>1299</v>
      </c>
      <c r="K1181" s="3">
        <v>18186</v>
      </c>
      <c r="L1181" s="2" t="s">
        <v>22</v>
      </c>
      <c r="M1181" s="4">
        <v>45495</v>
      </c>
      <c r="N1181" s="2" t="s">
        <v>32</v>
      </c>
      <c r="O1181" s="2">
        <f t="shared" si="75"/>
        <v>1</v>
      </c>
      <c r="P1181" s="2" t="s">
        <v>23</v>
      </c>
      <c r="Q1181" s="2" t="s">
        <v>23</v>
      </c>
      <c r="R1181" s="2" t="s">
        <v>23</v>
      </c>
      <c r="S1181" s="2" t="s">
        <v>23</v>
      </c>
      <c r="T1181" s="2" t="s">
        <v>23</v>
      </c>
      <c r="U1181" s="25">
        <f t="shared" si="73"/>
        <v>18186.001181</v>
      </c>
    </row>
    <row r="1182" spans="1:21">
      <c r="A1182" s="2" t="s">
        <v>1902</v>
      </c>
      <c r="B1182" s="2" t="s">
        <v>291</v>
      </c>
      <c r="C1182" s="2" t="s">
        <v>35</v>
      </c>
      <c r="D1182" s="2">
        <v>67</v>
      </c>
      <c r="E1182" s="2" t="str">
        <f t="shared" si="74"/>
        <v>60+</v>
      </c>
      <c r="F1182" s="2" t="s">
        <v>46</v>
      </c>
      <c r="G1182" s="2" t="s">
        <v>21</v>
      </c>
      <c r="H1182" s="2">
        <v>7</v>
      </c>
      <c r="I1182" s="2" t="str">
        <f t="shared" si="72"/>
        <v>7-12 months</v>
      </c>
      <c r="J1182" s="3">
        <v>1199</v>
      </c>
      <c r="K1182" s="3">
        <v>8393</v>
      </c>
      <c r="L1182" s="2" t="s">
        <v>22</v>
      </c>
      <c r="M1182" s="4">
        <v>45707</v>
      </c>
      <c r="N1182" s="2" t="s">
        <v>32</v>
      </c>
      <c r="O1182" s="2">
        <f t="shared" si="75"/>
        <v>1</v>
      </c>
      <c r="P1182" s="2" t="s">
        <v>23</v>
      </c>
      <c r="Q1182" s="2" t="s">
        <v>23</v>
      </c>
      <c r="R1182" s="2" t="s">
        <v>23</v>
      </c>
      <c r="S1182" s="2" t="s">
        <v>23</v>
      </c>
      <c r="T1182" s="2" t="s">
        <v>23</v>
      </c>
      <c r="U1182" s="25">
        <f t="shared" si="73"/>
        <v>8393.001182</v>
      </c>
    </row>
    <row r="1183" spans="1:21">
      <c r="A1183" s="2" t="s">
        <v>1903</v>
      </c>
      <c r="B1183" s="2" t="s">
        <v>1904</v>
      </c>
      <c r="C1183" s="2" t="s">
        <v>19</v>
      </c>
      <c r="D1183" s="2">
        <v>68</v>
      </c>
      <c r="E1183" s="2" t="str">
        <f t="shared" si="74"/>
        <v>60+</v>
      </c>
      <c r="F1183" s="2" t="s">
        <v>105</v>
      </c>
      <c r="G1183" s="2" t="s">
        <v>21</v>
      </c>
      <c r="H1183" s="2">
        <v>7</v>
      </c>
      <c r="I1183" s="2" t="str">
        <f t="shared" si="72"/>
        <v>7-12 months</v>
      </c>
      <c r="J1183" s="3">
        <v>999</v>
      </c>
      <c r="K1183" s="3">
        <v>6993</v>
      </c>
      <c r="L1183" s="2" t="s">
        <v>22</v>
      </c>
      <c r="M1183" s="4">
        <v>45691</v>
      </c>
      <c r="N1183" s="2" t="s">
        <v>23</v>
      </c>
      <c r="O1183" s="2">
        <f t="shared" si="75"/>
        <v>0</v>
      </c>
      <c r="P1183" s="2" t="s">
        <v>23</v>
      </c>
      <c r="Q1183" s="2" t="s">
        <v>23</v>
      </c>
      <c r="R1183" s="2" t="s">
        <v>23</v>
      </c>
      <c r="S1183" s="2" t="s">
        <v>23</v>
      </c>
      <c r="T1183" s="2" t="s">
        <v>23</v>
      </c>
      <c r="U1183" s="25">
        <f t="shared" si="73"/>
        <v>6993.0011830000003</v>
      </c>
    </row>
    <row r="1184" spans="1:21">
      <c r="A1184" s="2" t="s">
        <v>1905</v>
      </c>
      <c r="B1184" s="2" t="s">
        <v>1906</v>
      </c>
      <c r="C1184" s="2" t="s">
        <v>35</v>
      </c>
      <c r="D1184" s="2">
        <v>33</v>
      </c>
      <c r="E1184" s="2" t="str">
        <f t="shared" si="74"/>
        <v>26-35</v>
      </c>
      <c r="F1184" s="2" t="s">
        <v>63</v>
      </c>
      <c r="G1184" s="2" t="s">
        <v>37</v>
      </c>
      <c r="H1184" s="2">
        <v>24</v>
      </c>
      <c r="I1184" s="2" t="str">
        <f t="shared" si="72"/>
        <v>13-24 months</v>
      </c>
      <c r="J1184" s="3">
        <v>1099</v>
      </c>
      <c r="K1184" s="3">
        <v>26376</v>
      </c>
      <c r="L1184" s="2" t="s">
        <v>22</v>
      </c>
      <c r="M1184" s="4">
        <v>45196</v>
      </c>
      <c r="N1184" s="2" t="s">
        <v>23</v>
      </c>
      <c r="O1184" s="2">
        <f t="shared" si="75"/>
        <v>0</v>
      </c>
      <c r="P1184" s="2" t="s">
        <v>23</v>
      </c>
      <c r="Q1184" s="2" t="s">
        <v>23</v>
      </c>
      <c r="R1184" s="2" t="s">
        <v>23</v>
      </c>
      <c r="S1184" s="2" t="s">
        <v>23</v>
      </c>
      <c r="T1184" s="2" t="s">
        <v>23</v>
      </c>
      <c r="U1184" s="25">
        <f t="shared" si="73"/>
        <v>26376.001184000001</v>
      </c>
    </row>
    <row r="1185" spans="1:21">
      <c r="A1185" s="2" t="s">
        <v>1907</v>
      </c>
      <c r="B1185" s="2" t="s">
        <v>109</v>
      </c>
      <c r="C1185" s="2" t="s">
        <v>35</v>
      </c>
      <c r="D1185" s="2">
        <v>56</v>
      </c>
      <c r="E1185" s="2" t="str">
        <f t="shared" si="74"/>
        <v>46-60</v>
      </c>
      <c r="F1185" s="2" t="s">
        <v>91</v>
      </c>
      <c r="G1185" s="2" t="s">
        <v>21</v>
      </c>
      <c r="H1185" s="2">
        <v>21</v>
      </c>
      <c r="I1185" s="2" t="str">
        <f t="shared" si="72"/>
        <v>13-24 months</v>
      </c>
      <c r="J1185" s="3">
        <v>699</v>
      </c>
      <c r="K1185" s="3">
        <v>14679</v>
      </c>
      <c r="L1185" s="2" t="s">
        <v>31</v>
      </c>
      <c r="M1185" s="4"/>
      <c r="N1185" s="2" t="s">
        <v>32</v>
      </c>
      <c r="O1185" s="2">
        <f t="shared" si="75"/>
        <v>1</v>
      </c>
      <c r="P1185" s="2" t="s">
        <v>23</v>
      </c>
      <c r="Q1185" s="2" t="s">
        <v>23</v>
      </c>
      <c r="R1185" s="2" t="s">
        <v>32</v>
      </c>
      <c r="S1185" s="2" t="s">
        <v>23</v>
      </c>
      <c r="T1185" s="2" t="s">
        <v>54</v>
      </c>
      <c r="U1185" s="25">
        <f t="shared" si="73"/>
        <v>14679.001184999999</v>
      </c>
    </row>
    <row r="1186" spans="1:21">
      <c r="A1186" s="2" t="s">
        <v>1908</v>
      </c>
      <c r="B1186" s="2" t="s">
        <v>1603</v>
      </c>
      <c r="C1186" s="2" t="s">
        <v>35</v>
      </c>
      <c r="D1186" s="2">
        <v>47</v>
      </c>
      <c r="E1186" s="2" t="str">
        <f t="shared" si="74"/>
        <v>46-60</v>
      </c>
      <c r="F1186" s="2" t="s">
        <v>141</v>
      </c>
      <c r="G1186" s="2" t="s">
        <v>21</v>
      </c>
      <c r="H1186" s="2">
        <v>24</v>
      </c>
      <c r="I1186" s="2" t="str">
        <f t="shared" si="72"/>
        <v>13-24 months</v>
      </c>
      <c r="J1186" s="3">
        <v>399</v>
      </c>
      <c r="K1186" s="3">
        <v>9576</v>
      </c>
      <c r="L1186" s="2" t="s">
        <v>66</v>
      </c>
      <c r="M1186" s="4">
        <v>45190</v>
      </c>
      <c r="N1186" s="2" t="s">
        <v>23</v>
      </c>
      <c r="O1186" s="2">
        <f t="shared" si="75"/>
        <v>0</v>
      </c>
      <c r="P1186" s="2" t="s">
        <v>32</v>
      </c>
      <c r="Q1186" s="2" t="s">
        <v>23</v>
      </c>
      <c r="R1186" s="2" t="s">
        <v>23</v>
      </c>
      <c r="S1186" s="2" t="s">
        <v>23</v>
      </c>
      <c r="T1186" s="2" t="s">
        <v>23</v>
      </c>
      <c r="U1186" s="25">
        <f t="shared" si="73"/>
        <v>9576.0011859999995</v>
      </c>
    </row>
    <row r="1187" spans="1:21">
      <c r="A1187" s="2" t="s">
        <v>1909</v>
      </c>
      <c r="B1187" s="2" t="s">
        <v>40</v>
      </c>
      <c r="C1187" s="2" t="s">
        <v>35</v>
      </c>
      <c r="D1187" s="2">
        <v>53</v>
      </c>
      <c r="E1187" s="2" t="str">
        <f t="shared" si="74"/>
        <v>46-60</v>
      </c>
      <c r="F1187" s="2" t="s">
        <v>41</v>
      </c>
      <c r="G1187" s="2" t="s">
        <v>21</v>
      </c>
      <c r="H1187" s="2">
        <v>18</v>
      </c>
      <c r="I1187" s="2" t="str">
        <f t="shared" si="72"/>
        <v>13-24 months</v>
      </c>
      <c r="J1187" s="3">
        <v>899</v>
      </c>
      <c r="K1187" s="3">
        <v>16182</v>
      </c>
      <c r="L1187" s="2" t="s">
        <v>31</v>
      </c>
      <c r="M1187" s="4">
        <v>45362</v>
      </c>
      <c r="N1187" s="2" t="s">
        <v>23</v>
      </c>
      <c r="O1187" s="2">
        <f t="shared" si="75"/>
        <v>0</v>
      </c>
      <c r="P1187" s="2" t="s">
        <v>23</v>
      </c>
      <c r="Q1187" s="2" t="s">
        <v>23</v>
      </c>
      <c r="R1187" s="2" t="s">
        <v>23</v>
      </c>
      <c r="S1187" s="2" t="s">
        <v>23</v>
      </c>
      <c r="T1187" s="2" t="s">
        <v>23</v>
      </c>
      <c r="U1187" s="25">
        <f t="shared" si="73"/>
        <v>16182.001187</v>
      </c>
    </row>
    <row r="1188" spans="1:21">
      <c r="A1188" s="2" t="s">
        <v>1910</v>
      </c>
      <c r="B1188" s="2" t="s">
        <v>1911</v>
      </c>
      <c r="C1188" s="2" t="s">
        <v>35</v>
      </c>
      <c r="D1188" s="2">
        <v>67</v>
      </c>
      <c r="E1188" s="2" t="str">
        <f t="shared" si="74"/>
        <v>60+</v>
      </c>
      <c r="F1188" s="2" t="s">
        <v>110</v>
      </c>
      <c r="G1188" s="2" t="s">
        <v>21</v>
      </c>
      <c r="H1188" s="2">
        <v>23</v>
      </c>
      <c r="I1188" s="2" t="str">
        <f t="shared" si="72"/>
        <v>13-24 months</v>
      </c>
      <c r="J1188" s="3">
        <v>1049</v>
      </c>
      <c r="K1188" s="3">
        <v>24127</v>
      </c>
      <c r="L1188" s="2" t="s">
        <v>22</v>
      </c>
      <c r="M1188" s="4">
        <v>45224</v>
      </c>
      <c r="N1188" s="2" t="s">
        <v>23</v>
      </c>
      <c r="O1188" s="2">
        <f t="shared" si="75"/>
        <v>0</v>
      </c>
      <c r="P1188" s="2" t="s">
        <v>23</v>
      </c>
      <c r="Q1188" s="2" t="s">
        <v>23</v>
      </c>
      <c r="R1188" s="2" t="s">
        <v>23</v>
      </c>
      <c r="S1188" s="2" t="s">
        <v>32</v>
      </c>
      <c r="T1188" s="2" t="s">
        <v>23</v>
      </c>
      <c r="U1188" s="25">
        <f t="shared" si="73"/>
        <v>24127.001187999998</v>
      </c>
    </row>
    <row r="1189" spans="1:21">
      <c r="A1189" s="2" t="s">
        <v>1912</v>
      </c>
      <c r="B1189" s="2" t="s">
        <v>194</v>
      </c>
      <c r="C1189" s="2" t="s">
        <v>19</v>
      </c>
      <c r="D1189" s="2">
        <v>47</v>
      </c>
      <c r="E1189" s="2" t="str">
        <f t="shared" si="74"/>
        <v>46-60</v>
      </c>
      <c r="F1189" s="2" t="s">
        <v>20</v>
      </c>
      <c r="G1189" s="2" t="s">
        <v>21</v>
      </c>
      <c r="H1189" s="2">
        <v>22</v>
      </c>
      <c r="I1189" s="2" t="str">
        <f t="shared" si="72"/>
        <v>13-24 months</v>
      </c>
      <c r="J1189" s="3">
        <v>849</v>
      </c>
      <c r="K1189" s="3">
        <v>18678</v>
      </c>
      <c r="L1189" s="2" t="s">
        <v>31</v>
      </c>
      <c r="M1189" s="4">
        <v>45239</v>
      </c>
      <c r="N1189" s="2" t="s">
        <v>23</v>
      </c>
      <c r="O1189" s="2">
        <f t="shared" si="75"/>
        <v>0</v>
      </c>
      <c r="P1189" s="2" t="s">
        <v>23</v>
      </c>
      <c r="Q1189" s="2" t="s">
        <v>23</v>
      </c>
      <c r="R1189" s="2" t="s">
        <v>23</v>
      </c>
      <c r="S1189" s="2" t="s">
        <v>23</v>
      </c>
      <c r="T1189" s="2" t="s">
        <v>23</v>
      </c>
      <c r="U1189" s="25">
        <f t="shared" si="73"/>
        <v>18678.001188999999</v>
      </c>
    </row>
    <row r="1190" spans="1:21">
      <c r="A1190" s="2" t="s">
        <v>1913</v>
      </c>
      <c r="B1190" s="2" t="s">
        <v>1914</v>
      </c>
      <c r="C1190" s="2" t="s">
        <v>37</v>
      </c>
      <c r="D1190" s="2">
        <v>59</v>
      </c>
      <c r="E1190" s="2" t="str">
        <f t="shared" si="74"/>
        <v>46-60</v>
      </c>
      <c r="F1190" s="2" t="s">
        <v>105</v>
      </c>
      <c r="G1190" s="2" t="s">
        <v>21</v>
      </c>
      <c r="H1190" s="2">
        <v>2</v>
      </c>
      <c r="I1190" s="2" t="str">
        <f t="shared" si="72"/>
        <v>0-6 months</v>
      </c>
      <c r="J1190" s="3">
        <v>349</v>
      </c>
      <c r="K1190" s="3">
        <v>698</v>
      </c>
      <c r="L1190" s="2" t="s">
        <v>66</v>
      </c>
      <c r="M1190" s="4">
        <v>45852</v>
      </c>
      <c r="N1190" s="2" t="s">
        <v>23</v>
      </c>
      <c r="O1190" s="2">
        <f t="shared" si="75"/>
        <v>0</v>
      </c>
      <c r="P1190" s="2" t="s">
        <v>23</v>
      </c>
      <c r="Q1190" s="2" t="s">
        <v>23</v>
      </c>
      <c r="R1190" s="2" t="s">
        <v>23</v>
      </c>
      <c r="S1190" s="2" t="s">
        <v>23</v>
      </c>
      <c r="T1190" s="2" t="s">
        <v>23</v>
      </c>
      <c r="U1190" s="25">
        <f t="shared" si="73"/>
        <v>698.00118999999995</v>
      </c>
    </row>
    <row r="1191" spans="1:21">
      <c r="A1191" s="2" t="s">
        <v>1915</v>
      </c>
      <c r="B1191" s="2" t="s">
        <v>974</v>
      </c>
      <c r="C1191" s="2" t="s">
        <v>35</v>
      </c>
      <c r="D1191" s="2">
        <v>45</v>
      </c>
      <c r="E1191" s="2" t="str">
        <f t="shared" si="74"/>
        <v>36-45</v>
      </c>
      <c r="F1191" s="2" t="s">
        <v>36</v>
      </c>
      <c r="G1191" s="2" t="s">
        <v>47</v>
      </c>
      <c r="H1191" s="2">
        <v>42</v>
      </c>
      <c r="I1191" s="2" t="str">
        <f t="shared" si="72"/>
        <v>25-48 months</v>
      </c>
      <c r="J1191" s="3">
        <v>499</v>
      </c>
      <c r="K1191" s="3">
        <v>20958</v>
      </c>
      <c r="L1191" s="2" t="s">
        <v>66</v>
      </c>
      <c r="M1191" s="4">
        <v>44658</v>
      </c>
      <c r="N1191" s="2" t="s">
        <v>23</v>
      </c>
      <c r="O1191" s="2">
        <f t="shared" si="75"/>
        <v>0</v>
      </c>
      <c r="P1191" s="2" t="s">
        <v>23</v>
      </c>
      <c r="Q1191" s="2" t="s">
        <v>23</v>
      </c>
      <c r="R1191" s="2" t="s">
        <v>23</v>
      </c>
      <c r="S1191" s="2" t="s">
        <v>23</v>
      </c>
      <c r="T1191" s="2" t="s">
        <v>23</v>
      </c>
      <c r="U1191" s="25">
        <f t="shared" si="73"/>
        <v>20958.001190999999</v>
      </c>
    </row>
    <row r="1192" spans="1:21">
      <c r="A1192" s="2" t="s">
        <v>1916</v>
      </c>
      <c r="B1192" s="2" t="s">
        <v>37</v>
      </c>
      <c r="C1192" s="2" t="s">
        <v>19</v>
      </c>
      <c r="D1192" s="2">
        <v>23</v>
      </c>
      <c r="E1192" s="2" t="str">
        <f t="shared" si="74"/>
        <v>18-25</v>
      </c>
      <c r="F1192" s="2" t="s">
        <v>26</v>
      </c>
      <c r="G1192" s="2" t="s">
        <v>27</v>
      </c>
      <c r="H1192" s="2">
        <v>33</v>
      </c>
      <c r="I1192" s="2" t="str">
        <f t="shared" si="72"/>
        <v>25-48 months</v>
      </c>
      <c r="J1192" s="3">
        <v>1299</v>
      </c>
      <c r="K1192" s="3">
        <v>42867</v>
      </c>
      <c r="L1192" s="2" t="s">
        <v>22</v>
      </c>
      <c r="M1192" s="4">
        <v>44924</v>
      </c>
      <c r="N1192" s="2" t="s">
        <v>23</v>
      </c>
      <c r="O1192" s="2">
        <f t="shared" si="75"/>
        <v>0</v>
      </c>
      <c r="P1192" s="2" t="s">
        <v>23</v>
      </c>
      <c r="Q1192" s="2" t="s">
        <v>23</v>
      </c>
      <c r="R1192" s="2" t="s">
        <v>23</v>
      </c>
      <c r="S1192" s="2" t="s">
        <v>23</v>
      </c>
      <c r="T1192" s="2" t="s">
        <v>23</v>
      </c>
      <c r="U1192" s="25">
        <f t="shared" si="73"/>
        <v>42867.001192000003</v>
      </c>
    </row>
    <row r="1193" spans="1:21">
      <c r="A1193" s="2" t="s">
        <v>1917</v>
      </c>
      <c r="B1193" s="2" t="s">
        <v>456</v>
      </c>
      <c r="C1193" s="2" t="s">
        <v>19</v>
      </c>
      <c r="D1193" s="2">
        <v>45</v>
      </c>
      <c r="E1193" s="2" t="str">
        <f t="shared" si="74"/>
        <v>36-45</v>
      </c>
      <c r="F1193" s="2" t="s">
        <v>57</v>
      </c>
      <c r="G1193" s="2" t="s">
        <v>21</v>
      </c>
      <c r="H1193" s="2">
        <v>24</v>
      </c>
      <c r="I1193" s="2" t="str">
        <f t="shared" si="72"/>
        <v>13-24 months</v>
      </c>
      <c r="J1193" s="3">
        <v>1199</v>
      </c>
      <c r="K1193" s="3">
        <v>28776</v>
      </c>
      <c r="L1193" s="2" t="s">
        <v>22</v>
      </c>
      <c r="M1193" s="4">
        <v>45188</v>
      </c>
      <c r="N1193" s="2" t="s">
        <v>32</v>
      </c>
      <c r="O1193" s="2">
        <f t="shared" si="75"/>
        <v>1</v>
      </c>
      <c r="P1193" s="2" t="s">
        <v>23</v>
      </c>
      <c r="Q1193" s="2" t="s">
        <v>23</v>
      </c>
      <c r="R1193" s="2" t="s">
        <v>23</v>
      </c>
      <c r="S1193" s="2" t="s">
        <v>23</v>
      </c>
      <c r="T1193" s="2" t="s">
        <v>23</v>
      </c>
      <c r="U1193" s="25">
        <f t="shared" si="73"/>
        <v>28776.001193</v>
      </c>
    </row>
    <row r="1194" spans="1:21">
      <c r="A1194" s="2" t="s">
        <v>1918</v>
      </c>
      <c r="B1194" s="2" t="s">
        <v>1919</v>
      </c>
      <c r="C1194" s="2" t="s">
        <v>35</v>
      </c>
      <c r="D1194" s="2">
        <v>67</v>
      </c>
      <c r="E1194" s="2" t="str">
        <f t="shared" si="74"/>
        <v>60+</v>
      </c>
      <c r="F1194" s="2" t="s">
        <v>141</v>
      </c>
      <c r="G1194" s="2" t="s">
        <v>27</v>
      </c>
      <c r="H1194" s="2">
        <v>2</v>
      </c>
      <c r="I1194" s="2" t="str">
        <f t="shared" si="72"/>
        <v>0-6 months</v>
      </c>
      <c r="J1194" s="3">
        <v>449</v>
      </c>
      <c r="K1194" s="3">
        <v>898</v>
      </c>
      <c r="L1194" s="2" t="s">
        <v>66</v>
      </c>
      <c r="M1194" s="4">
        <v>45842</v>
      </c>
      <c r="N1194" s="2" t="s">
        <v>32</v>
      </c>
      <c r="O1194" s="2">
        <f t="shared" si="75"/>
        <v>1</v>
      </c>
      <c r="P1194" s="2" t="s">
        <v>23</v>
      </c>
      <c r="Q1194" s="2" t="s">
        <v>23</v>
      </c>
      <c r="R1194" s="2" t="s">
        <v>23</v>
      </c>
      <c r="S1194" s="2" t="s">
        <v>23</v>
      </c>
      <c r="T1194" s="2" t="s">
        <v>23</v>
      </c>
      <c r="U1194" s="25">
        <f t="shared" si="73"/>
        <v>898.00119400000005</v>
      </c>
    </row>
    <row r="1195" spans="1:21">
      <c r="A1195" s="2" t="s">
        <v>1920</v>
      </c>
      <c r="B1195" s="2" t="s">
        <v>460</v>
      </c>
      <c r="C1195" s="2" t="s">
        <v>35</v>
      </c>
      <c r="D1195" s="2">
        <v>32</v>
      </c>
      <c r="E1195" s="2" t="str">
        <f t="shared" si="74"/>
        <v>26-35</v>
      </c>
      <c r="F1195" s="2" t="s">
        <v>30</v>
      </c>
      <c r="G1195" s="2" t="s">
        <v>21</v>
      </c>
      <c r="H1195" s="2">
        <v>8</v>
      </c>
      <c r="I1195" s="2" t="str">
        <f t="shared" si="72"/>
        <v>7-12 months</v>
      </c>
      <c r="J1195" s="3">
        <v>799</v>
      </c>
      <c r="K1195" s="3">
        <v>6392</v>
      </c>
      <c r="L1195" s="2" t="s">
        <v>31</v>
      </c>
      <c r="M1195" s="4">
        <v>45668</v>
      </c>
      <c r="N1195" s="2" t="s">
        <v>23</v>
      </c>
      <c r="O1195" s="2">
        <f t="shared" si="75"/>
        <v>0</v>
      </c>
      <c r="P1195" s="2" t="s">
        <v>23</v>
      </c>
      <c r="Q1195" s="2" t="s">
        <v>23</v>
      </c>
      <c r="R1195" s="2" t="s">
        <v>23</v>
      </c>
      <c r="S1195" s="2" t="s">
        <v>23</v>
      </c>
      <c r="T1195" s="2" t="s">
        <v>23</v>
      </c>
      <c r="U1195" s="25">
        <f t="shared" si="73"/>
        <v>6392.0011949999998</v>
      </c>
    </row>
    <row r="1196" spans="1:21">
      <c r="A1196" s="2" t="s">
        <v>1921</v>
      </c>
      <c r="B1196" s="2" t="s">
        <v>1922</v>
      </c>
      <c r="C1196" s="2" t="s">
        <v>19</v>
      </c>
      <c r="D1196" s="2">
        <v>47</v>
      </c>
      <c r="E1196" s="2" t="str">
        <f t="shared" si="74"/>
        <v>46-60</v>
      </c>
      <c r="F1196" s="2" t="s">
        <v>141</v>
      </c>
      <c r="G1196" s="2" t="s">
        <v>47</v>
      </c>
      <c r="H1196" s="2">
        <v>19</v>
      </c>
      <c r="I1196" s="2" t="str">
        <f t="shared" si="72"/>
        <v>13-24 months</v>
      </c>
      <c r="J1196" s="3">
        <v>649</v>
      </c>
      <c r="K1196" s="3">
        <v>12331</v>
      </c>
      <c r="L1196" s="2" t="s">
        <v>31</v>
      </c>
      <c r="M1196" s="4">
        <v>45341</v>
      </c>
      <c r="N1196" s="2" t="s">
        <v>23</v>
      </c>
      <c r="O1196" s="2">
        <f t="shared" si="75"/>
        <v>0</v>
      </c>
      <c r="P1196" s="2" t="s">
        <v>32</v>
      </c>
      <c r="Q1196" s="2" t="s">
        <v>23</v>
      </c>
      <c r="R1196" s="2" t="s">
        <v>23</v>
      </c>
      <c r="S1196" s="2" t="s">
        <v>23</v>
      </c>
      <c r="T1196" s="2" t="s">
        <v>23</v>
      </c>
      <c r="U1196" s="25">
        <f t="shared" si="73"/>
        <v>12331.001195999999</v>
      </c>
    </row>
    <row r="1197" spans="1:21">
      <c r="A1197" s="2" t="s">
        <v>1923</v>
      </c>
      <c r="B1197" s="2" t="s">
        <v>248</v>
      </c>
      <c r="C1197" s="2" t="s">
        <v>37</v>
      </c>
      <c r="D1197" s="2">
        <v>40</v>
      </c>
      <c r="E1197" s="2" t="str">
        <f t="shared" si="74"/>
        <v>36-45</v>
      </c>
      <c r="F1197" s="2" t="s">
        <v>41</v>
      </c>
      <c r="G1197" s="2" t="s">
        <v>21</v>
      </c>
      <c r="H1197" s="2">
        <v>8</v>
      </c>
      <c r="I1197" s="2" t="str">
        <f t="shared" si="72"/>
        <v>7-12 months</v>
      </c>
      <c r="J1197" s="3">
        <v>849</v>
      </c>
      <c r="K1197" s="3">
        <v>6792</v>
      </c>
      <c r="L1197" s="2" t="s">
        <v>31</v>
      </c>
      <c r="M1197" s="4">
        <v>45675</v>
      </c>
      <c r="N1197" s="2" t="s">
        <v>32</v>
      </c>
      <c r="O1197" s="2">
        <f t="shared" si="75"/>
        <v>1</v>
      </c>
      <c r="P1197" s="2" t="s">
        <v>23</v>
      </c>
      <c r="Q1197" s="2" t="s">
        <v>23</v>
      </c>
      <c r="R1197" s="2" t="s">
        <v>23</v>
      </c>
      <c r="S1197" s="2" t="s">
        <v>23</v>
      </c>
      <c r="T1197" s="2" t="s">
        <v>23</v>
      </c>
      <c r="U1197" s="25">
        <f t="shared" si="73"/>
        <v>6792.0011969999996</v>
      </c>
    </row>
    <row r="1198" spans="1:21">
      <c r="A1198" s="2" t="s">
        <v>1924</v>
      </c>
      <c r="B1198" s="2" t="s">
        <v>1546</v>
      </c>
      <c r="C1198" s="2" t="s">
        <v>35</v>
      </c>
      <c r="D1198" s="2">
        <v>67</v>
      </c>
      <c r="E1198" s="2" t="str">
        <f t="shared" si="74"/>
        <v>60+</v>
      </c>
      <c r="F1198" s="2" t="s">
        <v>30</v>
      </c>
      <c r="G1198" s="2" t="s">
        <v>21</v>
      </c>
      <c r="H1198" s="2">
        <v>15</v>
      </c>
      <c r="I1198" s="2" t="str">
        <f t="shared" si="72"/>
        <v>13-24 months</v>
      </c>
      <c r="J1198" s="3">
        <v>499</v>
      </c>
      <c r="K1198" s="3">
        <v>7485</v>
      </c>
      <c r="L1198" s="2" t="s">
        <v>66</v>
      </c>
      <c r="M1198" s="4">
        <v>45451</v>
      </c>
      <c r="N1198" s="2" t="s">
        <v>32</v>
      </c>
      <c r="O1198" s="2">
        <f t="shared" si="75"/>
        <v>1</v>
      </c>
      <c r="P1198" s="2" t="s">
        <v>23</v>
      </c>
      <c r="Q1198" s="2" t="s">
        <v>23</v>
      </c>
      <c r="R1198" s="2" t="s">
        <v>23</v>
      </c>
      <c r="S1198" s="2" t="s">
        <v>23</v>
      </c>
      <c r="T1198" s="2" t="s">
        <v>23</v>
      </c>
      <c r="U1198" s="25">
        <f t="shared" si="73"/>
        <v>7485.0011979999999</v>
      </c>
    </row>
    <row r="1199" spans="1:21">
      <c r="A1199" s="2" t="s">
        <v>1925</v>
      </c>
      <c r="B1199" s="2" t="s">
        <v>1926</v>
      </c>
      <c r="C1199" s="2" t="s">
        <v>19</v>
      </c>
      <c r="D1199" s="2">
        <v>46</v>
      </c>
      <c r="E1199" s="2" t="str">
        <f t="shared" si="74"/>
        <v>46-60</v>
      </c>
      <c r="F1199" s="2" t="s">
        <v>60</v>
      </c>
      <c r="G1199" s="2" t="s">
        <v>21</v>
      </c>
      <c r="H1199" s="2">
        <v>13</v>
      </c>
      <c r="I1199" s="2" t="str">
        <f t="shared" si="72"/>
        <v>13-24 months</v>
      </c>
      <c r="J1199" s="3">
        <v>799</v>
      </c>
      <c r="K1199" s="3">
        <v>10387</v>
      </c>
      <c r="L1199" s="2" t="s">
        <v>31</v>
      </c>
      <c r="M1199" s="4">
        <v>45533</v>
      </c>
      <c r="N1199" s="2" t="s">
        <v>32</v>
      </c>
      <c r="O1199" s="2">
        <f t="shared" si="75"/>
        <v>1</v>
      </c>
      <c r="P1199" s="2" t="s">
        <v>23</v>
      </c>
      <c r="Q1199" s="2" t="s">
        <v>23</v>
      </c>
      <c r="R1199" s="2" t="s">
        <v>23</v>
      </c>
      <c r="S1199" s="2" t="s">
        <v>23</v>
      </c>
      <c r="T1199" s="2" t="s">
        <v>23</v>
      </c>
      <c r="U1199" s="25">
        <f t="shared" si="73"/>
        <v>10387.001199</v>
      </c>
    </row>
    <row r="1200" spans="1:21">
      <c r="A1200" s="2" t="s">
        <v>1927</v>
      </c>
      <c r="B1200" s="2" t="s">
        <v>910</v>
      </c>
      <c r="C1200" s="2" t="s">
        <v>19</v>
      </c>
      <c r="D1200" s="2">
        <v>25</v>
      </c>
      <c r="E1200" s="2" t="str">
        <f t="shared" si="74"/>
        <v>18-25</v>
      </c>
      <c r="F1200" s="2" t="s">
        <v>60</v>
      </c>
      <c r="G1200" s="2" t="s">
        <v>27</v>
      </c>
      <c r="H1200" s="2">
        <v>21</v>
      </c>
      <c r="I1200" s="2" t="str">
        <f t="shared" si="72"/>
        <v>13-24 months</v>
      </c>
      <c r="J1200" s="3">
        <v>999</v>
      </c>
      <c r="K1200" s="3">
        <v>20979</v>
      </c>
      <c r="L1200" s="2" t="s">
        <v>22</v>
      </c>
      <c r="M1200" s="4">
        <v>45273</v>
      </c>
      <c r="N1200" s="2" t="s">
        <v>23</v>
      </c>
      <c r="O1200" s="2">
        <f t="shared" si="75"/>
        <v>0</v>
      </c>
      <c r="P1200" s="2" t="s">
        <v>23</v>
      </c>
      <c r="Q1200" s="2" t="s">
        <v>23</v>
      </c>
      <c r="R1200" s="2" t="s">
        <v>23</v>
      </c>
      <c r="S1200" s="2" t="s">
        <v>23</v>
      </c>
      <c r="T1200" s="2" t="s">
        <v>23</v>
      </c>
      <c r="U1200" s="25">
        <f t="shared" si="73"/>
        <v>20979.001199999999</v>
      </c>
    </row>
    <row r="1201" spans="1:21">
      <c r="A1201" s="2" t="s">
        <v>1928</v>
      </c>
      <c r="B1201" s="2" t="s">
        <v>1929</v>
      </c>
      <c r="C1201" s="2" t="s">
        <v>35</v>
      </c>
      <c r="D1201" s="2">
        <v>50</v>
      </c>
      <c r="E1201" s="2" t="str">
        <f t="shared" si="74"/>
        <v>46-60</v>
      </c>
      <c r="F1201" s="2" t="s">
        <v>41</v>
      </c>
      <c r="G1201" s="2" t="s">
        <v>47</v>
      </c>
      <c r="H1201" s="2">
        <v>49</v>
      </c>
      <c r="I1201" s="2" t="str">
        <f t="shared" si="72"/>
        <v>49+ months</v>
      </c>
      <c r="J1201" s="3">
        <v>899</v>
      </c>
      <c r="K1201" s="3">
        <v>44051</v>
      </c>
      <c r="L1201" s="2" t="s">
        <v>31</v>
      </c>
      <c r="M1201" s="4">
        <v>44455</v>
      </c>
      <c r="N1201" s="2" t="s">
        <v>23</v>
      </c>
      <c r="O1201" s="2">
        <f t="shared" si="75"/>
        <v>0</v>
      </c>
      <c r="P1201" s="2" t="s">
        <v>23</v>
      </c>
      <c r="Q1201" s="2" t="s">
        <v>23</v>
      </c>
      <c r="R1201" s="2" t="s">
        <v>23</v>
      </c>
      <c r="S1201" s="2" t="s">
        <v>23</v>
      </c>
      <c r="T1201" s="2" t="s">
        <v>23</v>
      </c>
      <c r="U1201" s="25">
        <f t="shared" si="73"/>
        <v>44051.001200999999</v>
      </c>
    </row>
    <row r="1202" spans="1:21">
      <c r="A1202" s="2" t="s">
        <v>1930</v>
      </c>
      <c r="B1202" s="2" t="s">
        <v>112</v>
      </c>
      <c r="C1202" s="2" t="s">
        <v>35</v>
      </c>
      <c r="D1202" s="2">
        <v>71</v>
      </c>
      <c r="E1202" s="2" t="str">
        <f t="shared" si="74"/>
        <v>60+</v>
      </c>
      <c r="F1202" s="2" t="s">
        <v>41</v>
      </c>
      <c r="G1202" s="2" t="s">
        <v>21</v>
      </c>
      <c r="H1202" s="2">
        <v>10</v>
      </c>
      <c r="I1202" s="2" t="str">
        <f t="shared" si="72"/>
        <v>7-12 months</v>
      </c>
      <c r="J1202" s="3">
        <v>349</v>
      </c>
      <c r="K1202" s="3">
        <v>3490</v>
      </c>
      <c r="L1202" s="2" t="s">
        <v>66</v>
      </c>
      <c r="M1202" s="4">
        <v>45603</v>
      </c>
      <c r="N1202" s="2" t="s">
        <v>37</v>
      </c>
      <c r="O1202" s="2" t="str">
        <f t="shared" si="75"/>
        <v/>
      </c>
      <c r="P1202" s="2" t="s">
        <v>23</v>
      </c>
      <c r="Q1202" s="2" t="s">
        <v>23</v>
      </c>
      <c r="R1202" s="2" t="s">
        <v>23</v>
      </c>
      <c r="S1202" s="2" t="s">
        <v>23</v>
      </c>
      <c r="T1202" s="2" t="s">
        <v>38</v>
      </c>
      <c r="U1202" s="25">
        <f t="shared" si="73"/>
        <v>3490.0012019999999</v>
      </c>
    </row>
    <row r="1203" spans="1:21">
      <c r="A1203" s="2" t="s">
        <v>1931</v>
      </c>
      <c r="B1203" s="2" t="s">
        <v>1708</v>
      </c>
      <c r="C1203" s="2" t="s">
        <v>35</v>
      </c>
      <c r="D1203" s="2">
        <v>35</v>
      </c>
      <c r="E1203" s="2" t="str">
        <f t="shared" si="74"/>
        <v>26-35</v>
      </c>
      <c r="F1203" s="2" t="s">
        <v>141</v>
      </c>
      <c r="G1203" s="2" t="s">
        <v>27</v>
      </c>
      <c r="H1203" s="2">
        <v>10</v>
      </c>
      <c r="I1203" s="2" t="str">
        <f t="shared" si="72"/>
        <v>7-12 months</v>
      </c>
      <c r="J1203" s="3">
        <v>899</v>
      </c>
      <c r="K1203" s="3">
        <v>8990</v>
      </c>
      <c r="L1203" s="2" t="s">
        <v>31</v>
      </c>
      <c r="M1203" s="4">
        <v>45624</v>
      </c>
      <c r="N1203" s="2" t="s">
        <v>23</v>
      </c>
      <c r="O1203" s="2">
        <f t="shared" si="75"/>
        <v>0</v>
      </c>
      <c r="P1203" s="2" t="s">
        <v>23</v>
      </c>
      <c r="Q1203" s="2" t="s">
        <v>23</v>
      </c>
      <c r="R1203" s="2" t="s">
        <v>23</v>
      </c>
      <c r="S1203" s="2" t="s">
        <v>23</v>
      </c>
      <c r="T1203" s="2" t="s">
        <v>23</v>
      </c>
      <c r="U1203" s="25">
        <f t="shared" si="73"/>
        <v>8990.0012029999998</v>
      </c>
    </row>
    <row r="1204" spans="1:21">
      <c r="A1204" s="2" t="s">
        <v>1932</v>
      </c>
      <c r="B1204" s="2" t="s">
        <v>1933</v>
      </c>
      <c r="C1204" s="2" t="s">
        <v>19</v>
      </c>
      <c r="D1204" s="2">
        <v>48</v>
      </c>
      <c r="E1204" s="2" t="str">
        <f t="shared" si="74"/>
        <v>46-60</v>
      </c>
      <c r="F1204" s="2" t="s">
        <v>110</v>
      </c>
      <c r="G1204" s="2" t="s">
        <v>21</v>
      </c>
      <c r="H1204" s="2">
        <v>7</v>
      </c>
      <c r="I1204" s="2" t="str">
        <f t="shared" si="72"/>
        <v>7-12 months</v>
      </c>
      <c r="J1204" s="3">
        <v>1199</v>
      </c>
      <c r="K1204" s="3">
        <v>8393</v>
      </c>
      <c r="L1204" s="2" t="s">
        <v>22</v>
      </c>
      <c r="M1204" s="4">
        <v>45705</v>
      </c>
      <c r="N1204" s="2" t="s">
        <v>32</v>
      </c>
      <c r="O1204" s="2">
        <f t="shared" si="75"/>
        <v>1</v>
      </c>
      <c r="P1204" s="2" t="s">
        <v>23</v>
      </c>
      <c r="Q1204" s="2" t="s">
        <v>23</v>
      </c>
      <c r="R1204" s="2" t="s">
        <v>32</v>
      </c>
      <c r="S1204" s="2" t="s">
        <v>23</v>
      </c>
      <c r="T1204" s="2" t="s">
        <v>23</v>
      </c>
      <c r="U1204" s="25">
        <f t="shared" si="73"/>
        <v>8393.0012040000001</v>
      </c>
    </row>
    <row r="1205" spans="1:21">
      <c r="A1205" s="2" t="s">
        <v>1934</v>
      </c>
      <c r="B1205" s="2" t="s">
        <v>1935</v>
      </c>
      <c r="C1205" s="2" t="s">
        <v>19</v>
      </c>
      <c r="D1205" s="2">
        <v>29</v>
      </c>
      <c r="E1205" s="2" t="str">
        <f t="shared" si="74"/>
        <v>26-35</v>
      </c>
      <c r="F1205" s="2" t="s">
        <v>26</v>
      </c>
      <c r="G1205" s="2" t="s">
        <v>47</v>
      </c>
      <c r="H1205" s="2">
        <v>24</v>
      </c>
      <c r="I1205" s="2" t="str">
        <f t="shared" si="72"/>
        <v>13-24 months</v>
      </c>
      <c r="J1205" s="3">
        <v>899</v>
      </c>
      <c r="K1205" s="3">
        <v>21576</v>
      </c>
      <c r="L1205" s="2" t="s">
        <v>22</v>
      </c>
      <c r="M1205" s="4">
        <v>45202</v>
      </c>
      <c r="N1205" s="2" t="s">
        <v>32</v>
      </c>
      <c r="O1205" s="2">
        <f t="shared" si="75"/>
        <v>1</v>
      </c>
      <c r="P1205" s="2" t="s">
        <v>23</v>
      </c>
      <c r="Q1205" s="2" t="s">
        <v>23</v>
      </c>
      <c r="R1205" s="2" t="s">
        <v>23</v>
      </c>
      <c r="S1205" s="2" t="s">
        <v>23</v>
      </c>
      <c r="T1205" s="2" t="s">
        <v>23</v>
      </c>
      <c r="U1205" s="25">
        <f t="shared" si="73"/>
        <v>21576.001205</v>
      </c>
    </row>
    <row r="1206" spans="1:21">
      <c r="A1206" s="2" t="s">
        <v>1936</v>
      </c>
      <c r="B1206" s="2" t="s">
        <v>1468</v>
      </c>
      <c r="C1206" s="2" t="s">
        <v>35</v>
      </c>
      <c r="D1206" s="2">
        <v>41</v>
      </c>
      <c r="E1206" s="2" t="str">
        <f t="shared" si="74"/>
        <v>36-45</v>
      </c>
      <c r="F1206" s="2" t="s">
        <v>57</v>
      </c>
      <c r="G1206" s="2" t="s">
        <v>21</v>
      </c>
      <c r="H1206" s="2">
        <v>1</v>
      </c>
      <c r="I1206" s="2" t="str">
        <f t="shared" si="72"/>
        <v>0-6 months</v>
      </c>
      <c r="J1206" s="3">
        <v>699</v>
      </c>
      <c r="K1206" s="3">
        <v>699</v>
      </c>
      <c r="L1206" s="2" t="s">
        <v>31</v>
      </c>
      <c r="M1206" s="4">
        <v>45871</v>
      </c>
      <c r="N1206" s="2" t="s">
        <v>32</v>
      </c>
      <c r="O1206" s="2">
        <f t="shared" si="75"/>
        <v>1</v>
      </c>
      <c r="P1206" s="2" t="s">
        <v>23</v>
      </c>
      <c r="Q1206" s="2" t="s">
        <v>23</v>
      </c>
      <c r="R1206" s="2" t="s">
        <v>23</v>
      </c>
      <c r="S1206" s="2" t="s">
        <v>23</v>
      </c>
      <c r="T1206" s="2" t="s">
        <v>23</v>
      </c>
      <c r="U1206" s="25">
        <f t="shared" si="73"/>
        <v>699.00120600000002</v>
      </c>
    </row>
    <row r="1207" spans="1:21">
      <c r="A1207" s="2" t="s">
        <v>1937</v>
      </c>
      <c r="B1207" s="2" t="s">
        <v>1938</v>
      </c>
      <c r="C1207" s="2" t="s">
        <v>19</v>
      </c>
      <c r="D1207" s="2">
        <v>52</v>
      </c>
      <c r="E1207" s="2" t="str">
        <f t="shared" si="74"/>
        <v>46-60</v>
      </c>
      <c r="F1207" s="2" t="s">
        <v>105</v>
      </c>
      <c r="G1207" s="2" t="s">
        <v>27</v>
      </c>
      <c r="H1207" s="2">
        <v>11</v>
      </c>
      <c r="I1207" s="2" t="str">
        <f t="shared" si="72"/>
        <v>7-12 months</v>
      </c>
      <c r="J1207" s="3">
        <v>899</v>
      </c>
      <c r="K1207" s="3">
        <v>9889</v>
      </c>
      <c r="L1207" s="2" t="s">
        <v>22</v>
      </c>
      <c r="M1207" s="4">
        <v>45591</v>
      </c>
      <c r="N1207" s="2" t="s">
        <v>23</v>
      </c>
      <c r="O1207" s="2">
        <f t="shared" si="75"/>
        <v>0</v>
      </c>
      <c r="P1207" s="2" t="s">
        <v>23</v>
      </c>
      <c r="Q1207" s="2" t="s">
        <v>23</v>
      </c>
      <c r="R1207" s="2" t="s">
        <v>23</v>
      </c>
      <c r="S1207" s="2" t="s">
        <v>23</v>
      </c>
      <c r="T1207" s="2" t="s">
        <v>23</v>
      </c>
      <c r="U1207" s="25">
        <f t="shared" si="73"/>
        <v>9889.0012069999993</v>
      </c>
    </row>
    <row r="1208" spans="1:21">
      <c r="A1208" s="2" t="s">
        <v>1939</v>
      </c>
      <c r="B1208" s="2" t="s">
        <v>1940</v>
      </c>
      <c r="C1208" s="2" t="s">
        <v>19</v>
      </c>
      <c r="D1208" s="2">
        <v>25</v>
      </c>
      <c r="E1208" s="2" t="str">
        <f t="shared" si="74"/>
        <v>18-25</v>
      </c>
      <c r="F1208" s="2" t="s">
        <v>60</v>
      </c>
      <c r="G1208" s="2" t="s">
        <v>21</v>
      </c>
      <c r="H1208" s="2">
        <v>18</v>
      </c>
      <c r="I1208" s="2" t="str">
        <f t="shared" si="72"/>
        <v>13-24 months</v>
      </c>
      <c r="J1208" s="3">
        <v>999</v>
      </c>
      <c r="K1208" s="3">
        <v>17982</v>
      </c>
      <c r="L1208" s="2" t="s">
        <v>22</v>
      </c>
      <c r="M1208" s="4">
        <v>45388</v>
      </c>
      <c r="N1208" s="2" t="s">
        <v>23</v>
      </c>
      <c r="O1208" s="2">
        <f t="shared" si="75"/>
        <v>0</v>
      </c>
      <c r="P1208" s="2" t="s">
        <v>23</v>
      </c>
      <c r="Q1208" s="2" t="s">
        <v>23</v>
      </c>
      <c r="R1208" s="2" t="s">
        <v>23</v>
      </c>
      <c r="S1208" s="2" t="s">
        <v>23</v>
      </c>
      <c r="T1208" s="2" t="s">
        <v>23</v>
      </c>
      <c r="U1208" s="25">
        <f t="shared" si="73"/>
        <v>17982.001208000001</v>
      </c>
    </row>
    <row r="1209" spans="1:21">
      <c r="A1209" s="2" t="s">
        <v>1941</v>
      </c>
      <c r="B1209" s="2" t="s">
        <v>1427</v>
      </c>
      <c r="C1209" s="2" t="s">
        <v>35</v>
      </c>
      <c r="D1209" s="2">
        <v>75</v>
      </c>
      <c r="E1209" s="2" t="str">
        <f t="shared" si="74"/>
        <v>60+</v>
      </c>
      <c r="F1209" s="2" t="s">
        <v>46</v>
      </c>
      <c r="G1209" s="2" t="s">
        <v>21</v>
      </c>
      <c r="H1209" s="2">
        <v>12</v>
      </c>
      <c r="I1209" s="2" t="str">
        <f t="shared" si="72"/>
        <v>7-12 months</v>
      </c>
      <c r="J1209" s="3">
        <v>1199</v>
      </c>
      <c r="K1209" s="3">
        <v>14388</v>
      </c>
      <c r="L1209" s="2" t="s">
        <v>22</v>
      </c>
      <c r="M1209" s="4">
        <v>45545</v>
      </c>
      <c r="N1209" s="2" t="s">
        <v>23</v>
      </c>
      <c r="O1209" s="2">
        <f t="shared" si="75"/>
        <v>0</v>
      </c>
      <c r="P1209" s="2" t="s">
        <v>23</v>
      </c>
      <c r="Q1209" s="2" t="s">
        <v>23</v>
      </c>
      <c r="R1209" s="2" t="s">
        <v>32</v>
      </c>
      <c r="S1209" s="2" t="s">
        <v>23</v>
      </c>
      <c r="T1209" s="2" t="s">
        <v>23</v>
      </c>
      <c r="U1209" s="25">
        <f t="shared" si="73"/>
        <v>14388.001209</v>
      </c>
    </row>
    <row r="1210" spans="1:21">
      <c r="A1210" s="2" t="s">
        <v>1942</v>
      </c>
      <c r="B1210" s="2" t="s">
        <v>233</v>
      </c>
      <c r="C1210" s="2" t="s">
        <v>19</v>
      </c>
      <c r="D1210" s="2">
        <v>47</v>
      </c>
      <c r="E1210" s="2" t="str">
        <f t="shared" si="74"/>
        <v>46-60</v>
      </c>
      <c r="F1210" s="2" t="s">
        <v>63</v>
      </c>
      <c r="G1210" s="2" t="s">
        <v>47</v>
      </c>
      <c r="H1210" s="2">
        <v>11</v>
      </c>
      <c r="I1210" s="2" t="str">
        <f t="shared" si="72"/>
        <v>7-12 months</v>
      </c>
      <c r="J1210" s="3">
        <v>849</v>
      </c>
      <c r="K1210" s="3">
        <v>9339</v>
      </c>
      <c r="L1210" s="2" t="s">
        <v>31</v>
      </c>
      <c r="M1210" s="4">
        <v>45579</v>
      </c>
      <c r="N1210" s="2" t="s">
        <v>23</v>
      </c>
      <c r="O1210" s="2">
        <f t="shared" si="75"/>
        <v>0</v>
      </c>
      <c r="P1210" s="2" t="s">
        <v>32</v>
      </c>
      <c r="Q1210" s="2" t="s">
        <v>23</v>
      </c>
      <c r="R1210" s="2" t="s">
        <v>23</v>
      </c>
      <c r="S1210" s="2" t="s">
        <v>23</v>
      </c>
      <c r="T1210" s="2" t="s">
        <v>23</v>
      </c>
      <c r="U1210" s="25">
        <f t="shared" si="73"/>
        <v>9339.0012100000004</v>
      </c>
    </row>
    <row r="1211" spans="1:21">
      <c r="A1211" s="2" t="s">
        <v>1943</v>
      </c>
      <c r="B1211" s="2" t="s">
        <v>670</v>
      </c>
      <c r="C1211" s="2" t="s">
        <v>19</v>
      </c>
      <c r="D1211" s="2">
        <v>34</v>
      </c>
      <c r="E1211" s="2" t="str">
        <f t="shared" si="74"/>
        <v>26-35</v>
      </c>
      <c r="F1211" s="2" t="s">
        <v>63</v>
      </c>
      <c r="G1211" s="2" t="s">
        <v>27</v>
      </c>
      <c r="H1211" s="2">
        <v>30</v>
      </c>
      <c r="I1211" s="2" t="str">
        <f t="shared" si="72"/>
        <v>25-48 months</v>
      </c>
      <c r="J1211" s="3">
        <v>849</v>
      </c>
      <c r="K1211" s="3">
        <v>25470</v>
      </c>
      <c r="L1211" s="2" t="s">
        <v>31</v>
      </c>
      <c r="M1211" s="4">
        <v>45000</v>
      </c>
      <c r="N1211" s="2" t="s">
        <v>23</v>
      </c>
      <c r="O1211" s="2">
        <f t="shared" si="75"/>
        <v>0</v>
      </c>
      <c r="P1211" s="2" t="s">
        <v>23</v>
      </c>
      <c r="Q1211" s="2" t="s">
        <v>23</v>
      </c>
      <c r="R1211" s="2" t="s">
        <v>23</v>
      </c>
      <c r="S1211" s="2" t="s">
        <v>23</v>
      </c>
      <c r="T1211" s="2" t="s">
        <v>23</v>
      </c>
      <c r="U1211" s="25">
        <f t="shared" si="73"/>
        <v>25470.001210999999</v>
      </c>
    </row>
    <row r="1212" spans="1:21">
      <c r="A1212" s="2" t="s">
        <v>1944</v>
      </c>
      <c r="B1212" s="2" t="s">
        <v>1341</v>
      </c>
      <c r="C1212" s="2" t="s">
        <v>35</v>
      </c>
      <c r="D1212" s="2">
        <v>45</v>
      </c>
      <c r="E1212" s="2" t="str">
        <f t="shared" si="74"/>
        <v>36-45</v>
      </c>
      <c r="F1212" s="2" t="s">
        <v>30</v>
      </c>
      <c r="G1212" s="2" t="s">
        <v>27</v>
      </c>
      <c r="H1212" s="2">
        <v>3</v>
      </c>
      <c r="I1212" s="2" t="str">
        <f t="shared" si="72"/>
        <v>0-6 months</v>
      </c>
      <c r="J1212" s="3">
        <v>1299</v>
      </c>
      <c r="K1212" s="3">
        <v>3897</v>
      </c>
      <c r="L1212" s="2" t="s">
        <v>22</v>
      </c>
      <c r="M1212" s="4">
        <v>45813</v>
      </c>
      <c r="N1212" s="2" t="s">
        <v>23</v>
      </c>
      <c r="O1212" s="2">
        <f t="shared" si="75"/>
        <v>0</v>
      </c>
      <c r="P1212" s="2" t="s">
        <v>23</v>
      </c>
      <c r="Q1212" s="2" t="s">
        <v>23</v>
      </c>
      <c r="R1212" s="2" t="s">
        <v>23</v>
      </c>
      <c r="S1212" s="2" t="s">
        <v>23</v>
      </c>
      <c r="T1212" s="2" t="s">
        <v>23</v>
      </c>
      <c r="U1212" s="25">
        <f t="shared" si="73"/>
        <v>3897.0012120000001</v>
      </c>
    </row>
    <row r="1213" spans="1:21">
      <c r="A1213" s="2" t="s">
        <v>1945</v>
      </c>
      <c r="B1213" s="2" t="s">
        <v>1946</v>
      </c>
      <c r="C1213" s="2" t="s">
        <v>19</v>
      </c>
      <c r="D1213" s="2">
        <v>27</v>
      </c>
      <c r="E1213" s="2" t="str">
        <f t="shared" si="74"/>
        <v>26-35</v>
      </c>
      <c r="F1213" s="2" t="s">
        <v>71</v>
      </c>
      <c r="G1213" s="2" t="s">
        <v>21</v>
      </c>
      <c r="H1213" s="2">
        <v>6</v>
      </c>
      <c r="I1213" s="2" t="str">
        <f t="shared" si="72"/>
        <v>0-6 months</v>
      </c>
      <c r="J1213" s="3">
        <v>1049</v>
      </c>
      <c r="K1213" s="3">
        <v>6294</v>
      </c>
      <c r="L1213" s="2" t="s">
        <v>22</v>
      </c>
      <c r="M1213" s="4">
        <v>45733</v>
      </c>
      <c r="N1213" s="2" t="s">
        <v>23</v>
      </c>
      <c r="O1213" s="2">
        <f t="shared" si="75"/>
        <v>0</v>
      </c>
      <c r="P1213" s="2" t="s">
        <v>23</v>
      </c>
      <c r="Q1213" s="2" t="s">
        <v>23</v>
      </c>
      <c r="R1213" s="2" t="s">
        <v>23</v>
      </c>
      <c r="S1213" s="2" t="s">
        <v>23</v>
      </c>
      <c r="T1213" s="2" t="s">
        <v>23</v>
      </c>
      <c r="U1213" s="25">
        <f t="shared" si="73"/>
        <v>6294.0012129999996</v>
      </c>
    </row>
    <row r="1214" spans="1:21">
      <c r="A1214" s="2" t="s">
        <v>1947</v>
      </c>
      <c r="B1214" s="2" t="s">
        <v>592</v>
      </c>
      <c r="C1214" s="2" t="s">
        <v>35</v>
      </c>
      <c r="D1214" s="2">
        <v>73</v>
      </c>
      <c r="E1214" s="2" t="str">
        <f t="shared" si="74"/>
        <v>60+</v>
      </c>
      <c r="F1214" s="2" t="s">
        <v>57</v>
      </c>
      <c r="G1214" s="2" t="s">
        <v>47</v>
      </c>
      <c r="H1214" s="2">
        <v>28</v>
      </c>
      <c r="I1214" s="2" t="str">
        <f t="shared" si="72"/>
        <v>25-48 months</v>
      </c>
      <c r="J1214" s="3">
        <v>1149</v>
      </c>
      <c r="K1214" s="3">
        <v>32172</v>
      </c>
      <c r="L1214" s="2" t="s">
        <v>22</v>
      </c>
      <c r="M1214" s="4">
        <v>45085</v>
      </c>
      <c r="N1214" s="2" t="s">
        <v>23</v>
      </c>
      <c r="O1214" s="2">
        <f t="shared" si="75"/>
        <v>0</v>
      </c>
      <c r="P1214" s="2" t="s">
        <v>23</v>
      </c>
      <c r="Q1214" s="2" t="s">
        <v>23</v>
      </c>
      <c r="R1214" s="2" t="s">
        <v>23</v>
      </c>
      <c r="S1214" s="2" t="s">
        <v>32</v>
      </c>
      <c r="T1214" s="2" t="s">
        <v>23</v>
      </c>
      <c r="U1214" s="25">
        <f t="shared" si="73"/>
        <v>32172.001214</v>
      </c>
    </row>
    <row r="1215" spans="1:21">
      <c r="A1215" s="2" t="s">
        <v>1948</v>
      </c>
      <c r="B1215" s="2" t="s">
        <v>440</v>
      </c>
      <c r="C1215" s="2" t="s">
        <v>35</v>
      </c>
      <c r="D1215" s="2">
        <v>39</v>
      </c>
      <c r="E1215" s="2" t="str">
        <f t="shared" si="74"/>
        <v>36-45</v>
      </c>
      <c r="F1215" s="2" t="s">
        <v>63</v>
      </c>
      <c r="G1215" s="2" t="s">
        <v>21</v>
      </c>
      <c r="H1215" s="2">
        <v>16</v>
      </c>
      <c r="I1215" s="2" t="str">
        <f t="shared" si="72"/>
        <v>13-24 months</v>
      </c>
      <c r="J1215" s="3">
        <v>499</v>
      </c>
      <c r="K1215" s="3">
        <v>7984</v>
      </c>
      <c r="L1215" s="2" t="s">
        <v>66</v>
      </c>
      <c r="M1215" s="4">
        <v>45427</v>
      </c>
      <c r="N1215" s="2" t="s">
        <v>23</v>
      </c>
      <c r="O1215" s="2">
        <f t="shared" si="75"/>
        <v>0</v>
      </c>
      <c r="P1215" s="2" t="s">
        <v>23</v>
      </c>
      <c r="Q1215" s="2" t="s">
        <v>23</v>
      </c>
      <c r="R1215" s="2" t="s">
        <v>23</v>
      </c>
      <c r="S1215" s="2" t="s">
        <v>32</v>
      </c>
      <c r="T1215" s="2" t="s">
        <v>23</v>
      </c>
      <c r="U1215" s="25">
        <f t="shared" si="73"/>
        <v>7984.0012150000002</v>
      </c>
    </row>
    <row r="1216" spans="1:21">
      <c r="A1216" s="2" t="s">
        <v>1949</v>
      </c>
      <c r="B1216" s="2" t="s">
        <v>56</v>
      </c>
      <c r="C1216" s="2" t="s">
        <v>35</v>
      </c>
      <c r="D1216" s="2">
        <v>22</v>
      </c>
      <c r="E1216" s="2" t="str">
        <f t="shared" si="74"/>
        <v>18-25</v>
      </c>
      <c r="F1216" s="2" t="s">
        <v>110</v>
      </c>
      <c r="G1216" s="2" t="s">
        <v>21</v>
      </c>
      <c r="H1216" s="2">
        <v>18</v>
      </c>
      <c r="I1216" s="2" t="str">
        <f t="shared" si="72"/>
        <v>13-24 months</v>
      </c>
      <c r="J1216" s="3">
        <v>899</v>
      </c>
      <c r="K1216" s="3">
        <v>16182</v>
      </c>
      <c r="L1216" s="2" t="s">
        <v>22</v>
      </c>
      <c r="M1216" s="4">
        <v>45362</v>
      </c>
      <c r="N1216" s="2" t="s">
        <v>23</v>
      </c>
      <c r="O1216" s="2">
        <f t="shared" si="75"/>
        <v>0</v>
      </c>
      <c r="P1216" s="2" t="s">
        <v>23</v>
      </c>
      <c r="Q1216" s="2" t="s">
        <v>23</v>
      </c>
      <c r="R1216" s="2" t="s">
        <v>23</v>
      </c>
      <c r="S1216" s="2" t="s">
        <v>23</v>
      </c>
      <c r="T1216" s="2" t="s">
        <v>23</v>
      </c>
      <c r="U1216" s="25">
        <f t="shared" si="73"/>
        <v>16182.001216000001</v>
      </c>
    </row>
    <row r="1217" spans="1:21">
      <c r="A1217" s="2" t="s">
        <v>1950</v>
      </c>
      <c r="B1217" s="2" t="s">
        <v>1531</v>
      </c>
      <c r="C1217" s="2" t="s">
        <v>37</v>
      </c>
      <c r="D1217" s="2">
        <v>63</v>
      </c>
      <c r="E1217" s="2" t="str">
        <f t="shared" si="74"/>
        <v>60+</v>
      </c>
      <c r="F1217" s="2" t="s">
        <v>46</v>
      </c>
      <c r="G1217" s="2" t="s">
        <v>21</v>
      </c>
      <c r="H1217" s="2">
        <v>15</v>
      </c>
      <c r="I1217" s="2" t="str">
        <f t="shared" si="72"/>
        <v>13-24 months</v>
      </c>
      <c r="J1217" s="3">
        <v>749</v>
      </c>
      <c r="K1217" s="3">
        <v>11235</v>
      </c>
      <c r="L1217" s="2" t="s">
        <v>31</v>
      </c>
      <c r="M1217" s="4">
        <v>45462</v>
      </c>
      <c r="N1217" s="2" t="s">
        <v>23</v>
      </c>
      <c r="O1217" s="2">
        <f t="shared" si="75"/>
        <v>0</v>
      </c>
      <c r="P1217" s="2" t="s">
        <v>23</v>
      </c>
      <c r="Q1217" s="2" t="s">
        <v>23</v>
      </c>
      <c r="R1217" s="2" t="s">
        <v>23</v>
      </c>
      <c r="S1217" s="2" t="s">
        <v>23</v>
      </c>
      <c r="T1217" s="2" t="s">
        <v>23</v>
      </c>
      <c r="U1217" s="25">
        <f t="shared" si="73"/>
        <v>11235.001217000001</v>
      </c>
    </row>
    <row r="1218" spans="1:21">
      <c r="A1218" s="2" t="s">
        <v>1951</v>
      </c>
      <c r="B1218" s="2" t="s">
        <v>318</v>
      </c>
      <c r="C1218" s="2" t="s">
        <v>19</v>
      </c>
      <c r="D1218" s="2">
        <v>30</v>
      </c>
      <c r="E1218" s="2" t="str">
        <f t="shared" si="74"/>
        <v>26-35</v>
      </c>
      <c r="F1218" s="2" t="s">
        <v>37</v>
      </c>
      <c r="G1218" s="2" t="s">
        <v>47</v>
      </c>
      <c r="H1218" s="2">
        <v>3</v>
      </c>
      <c r="I1218" s="2" t="str">
        <f t="shared" ref="I1218:I1281" si="76">IF(H1218="","Unknown",IF(H1218&lt;=6,"0-6 months",IF(H1218&lt;=12,"7-12 months",IF(H1218&lt;=24,"13-24 months",IF(H1218&lt;=48,"25-48 months","49+ months")))))</f>
        <v>0-6 months</v>
      </c>
      <c r="J1218" s="3">
        <v>649</v>
      </c>
      <c r="K1218" s="3">
        <v>1947</v>
      </c>
      <c r="L1218" s="2" t="s">
        <v>31</v>
      </c>
      <c r="M1218" s="4">
        <v>45814</v>
      </c>
      <c r="N1218" s="2" t="s">
        <v>37</v>
      </c>
      <c r="O1218" s="2" t="str">
        <f t="shared" si="75"/>
        <v/>
      </c>
      <c r="P1218" s="2" t="s">
        <v>23</v>
      </c>
      <c r="Q1218" s="2" t="s">
        <v>23</v>
      </c>
      <c r="R1218" s="2" t="s">
        <v>23</v>
      </c>
      <c r="S1218" s="2" t="s">
        <v>23</v>
      </c>
      <c r="T1218" s="2" t="s">
        <v>38</v>
      </c>
      <c r="U1218" s="25">
        <f t="shared" ref="U1218:U1281" si="77">IF(K1218="","",K1218+ROW()/1000000)</f>
        <v>1947.0012180000001</v>
      </c>
    </row>
    <row r="1219" spans="1:21">
      <c r="A1219" s="2" t="s">
        <v>1952</v>
      </c>
      <c r="B1219" s="2" t="s">
        <v>483</v>
      </c>
      <c r="C1219" s="2" t="s">
        <v>19</v>
      </c>
      <c r="D1219" s="2">
        <v>51</v>
      </c>
      <c r="E1219" s="2" t="str">
        <f t="shared" ref="E1219:E1282" si="78">IF(D1219&lt;=25,"18-25",IF(D1219&lt;=35,"26-35",IF(D1219&lt;=45,"36-45",IF(D1219&lt;=60,"46-60","60+"))))</f>
        <v>46-60</v>
      </c>
      <c r="F1219" s="2" t="s">
        <v>36</v>
      </c>
      <c r="G1219" s="2" t="s">
        <v>47</v>
      </c>
      <c r="H1219" s="2"/>
      <c r="I1219" s="2" t="str">
        <f t="shared" si="76"/>
        <v>Unknown</v>
      </c>
      <c r="J1219" s="3"/>
      <c r="K1219" s="3">
        <v>34470</v>
      </c>
      <c r="L1219" s="2" t="s">
        <v>22</v>
      </c>
      <c r="M1219" s="4">
        <v>45025</v>
      </c>
      <c r="N1219" s="2" t="s">
        <v>23</v>
      </c>
      <c r="O1219" s="2">
        <f t="shared" ref="O1219:O1282" si="79">IF(N1219="Yes",1,IF(N1219="No",0,""))</f>
        <v>0</v>
      </c>
      <c r="P1219" s="2" t="s">
        <v>23</v>
      </c>
      <c r="Q1219" s="2" t="s">
        <v>23</v>
      </c>
      <c r="R1219" s="2" t="s">
        <v>23</v>
      </c>
      <c r="S1219" s="2" t="s">
        <v>23</v>
      </c>
      <c r="T1219" s="2" t="s">
        <v>72</v>
      </c>
      <c r="U1219" s="25">
        <f t="shared" si="77"/>
        <v>34470.001218999998</v>
      </c>
    </row>
    <row r="1220" spans="1:21">
      <c r="A1220" s="2" t="s">
        <v>1953</v>
      </c>
      <c r="B1220" s="2" t="s">
        <v>1954</v>
      </c>
      <c r="C1220" s="2" t="s">
        <v>19</v>
      </c>
      <c r="D1220" s="2">
        <v>71</v>
      </c>
      <c r="E1220" s="2" t="str">
        <f t="shared" si="78"/>
        <v>60+</v>
      </c>
      <c r="F1220" s="2" t="s">
        <v>110</v>
      </c>
      <c r="G1220" s="2" t="s">
        <v>27</v>
      </c>
      <c r="H1220" s="2">
        <v>40</v>
      </c>
      <c r="I1220" s="2" t="str">
        <f t="shared" si="76"/>
        <v>25-48 months</v>
      </c>
      <c r="J1220" s="3">
        <v>1299</v>
      </c>
      <c r="K1220" s="3">
        <v>51960</v>
      </c>
      <c r="L1220" s="2" t="s">
        <v>22</v>
      </c>
      <c r="M1220" s="4">
        <v>44716</v>
      </c>
      <c r="N1220" s="2" t="s">
        <v>23</v>
      </c>
      <c r="O1220" s="2">
        <f t="shared" si="79"/>
        <v>0</v>
      </c>
      <c r="P1220" s="2" t="s">
        <v>23</v>
      </c>
      <c r="Q1220" s="2" t="s">
        <v>23</v>
      </c>
      <c r="R1220" s="2" t="s">
        <v>23</v>
      </c>
      <c r="S1220" s="2" t="s">
        <v>23</v>
      </c>
      <c r="T1220" s="2" t="s">
        <v>23</v>
      </c>
      <c r="U1220" s="25">
        <f t="shared" si="77"/>
        <v>51960.001219999998</v>
      </c>
    </row>
    <row r="1221" spans="1:21">
      <c r="A1221" s="2" t="s">
        <v>1955</v>
      </c>
      <c r="B1221" s="2" t="s">
        <v>1956</v>
      </c>
      <c r="C1221" s="2" t="s">
        <v>35</v>
      </c>
      <c r="D1221" s="2">
        <v>44</v>
      </c>
      <c r="E1221" s="2" t="str">
        <f t="shared" si="78"/>
        <v>36-45</v>
      </c>
      <c r="F1221" s="2" t="s">
        <v>60</v>
      </c>
      <c r="G1221" s="2" t="s">
        <v>21</v>
      </c>
      <c r="H1221" s="2"/>
      <c r="I1221" s="2" t="str">
        <f t="shared" si="76"/>
        <v>Unknown</v>
      </c>
      <c r="J1221" s="3"/>
      <c r="K1221" s="3">
        <v>5990</v>
      </c>
      <c r="L1221" s="2" t="s">
        <v>31</v>
      </c>
      <c r="M1221" s="4">
        <v>45607</v>
      </c>
      <c r="N1221" s="2" t="s">
        <v>23</v>
      </c>
      <c r="O1221" s="2">
        <f t="shared" si="79"/>
        <v>0</v>
      </c>
      <c r="P1221" s="2" t="s">
        <v>23</v>
      </c>
      <c r="Q1221" s="2" t="s">
        <v>23</v>
      </c>
      <c r="R1221" s="2" t="s">
        <v>23</v>
      </c>
      <c r="S1221" s="2" t="s">
        <v>23</v>
      </c>
      <c r="T1221" s="2" t="s">
        <v>72</v>
      </c>
      <c r="U1221" s="25">
        <f t="shared" si="77"/>
        <v>5990.0012210000004</v>
      </c>
    </row>
    <row r="1222" spans="1:21">
      <c r="A1222" s="2" t="s">
        <v>1957</v>
      </c>
      <c r="B1222" s="2" t="s">
        <v>1064</v>
      </c>
      <c r="C1222" s="2" t="s">
        <v>35</v>
      </c>
      <c r="D1222" s="2">
        <v>57</v>
      </c>
      <c r="E1222" s="2" t="str">
        <f t="shared" si="78"/>
        <v>46-60</v>
      </c>
      <c r="F1222" s="2" t="s">
        <v>91</v>
      </c>
      <c r="G1222" s="2" t="s">
        <v>47</v>
      </c>
      <c r="H1222" s="2">
        <v>53</v>
      </c>
      <c r="I1222" s="2" t="str">
        <f t="shared" si="76"/>
        <v>49+ months</v>
      </c>
      <c r="J1222" s="3">
        <v>649</v>
      </c>
      <c r="K1222" s="3">
        <v>34397</v>
      </c>
      <c r="L1222" s="2" t="s">
        <v>31</v>
      </c>
      <c r="M1222" s="4">
        <v>44314</v>
      </c>
      <c r="N1222" s="2" t="s">
        <v>23</v>
      </c>
      <c r="O1222" s="2">
        <f t="shared" si="79"/>
        <v>0</v>
      </c>
      <c r="P1222" s="2" t="s">
        <v>23</v>
      </c>
      <c r="Q1222" s="2" t="s">
        <v>23</v>
      </c>
      <c r="R1222" s="2" t="s">
        <v>23</v>
      </c>
      <c r="S1222" s="2" t="s">
        <v>23</v>
      </c>
      <c r="T1222" s="2" t="s">
        <v>23</v>
      </c>
      <c r="U1222" s="25">
        <f t="shared" si="77"/>
        <v>34397.001221999999</v>
      </c>
    </row>
    <row r="1223" spans="1:21">
      <c r="A1223" s="2" t="s">
        <v>1958</v>
      </c>
      <c r="B1223" s="2" t="s">
        <v>1959</v>
      </c>
      <c r="C1223" s="2" t="s">
        <v>19</v>
      </c>
      <c r="D1223" s="2">
        <v>59</v>
      </c>
      <c r="E1223" s="2" t="str">
        <f t="shared" si="78"/>
        <v>46-60</v>
      </c>
      <c r="F1223" s="2" t="s">
        <v>105</v>
      </c>
      <c r="G1223" s="2" t="s">
        <v>21</v>
      </c>
      <c r="H1223" s="2">
        <v>12</v>
      </c>
      <c r="I1223" s="2" t="str">
        <f t="shared" si="76"/>
        <v>7-12 months</v>
      </c>
      <c r="J1223" s="3">
        <v>599</v>
      </c>
      <c r="K1223" s="3">
        <v>7188</v>
      </c>
      <c r="L1223" s="2" t="s">
        <v>31</v>
      </c>
      <c r="M1223" s="4">
        <v>45556</v>
      </c>
      <c r="N1223" s="2" t="s">
        <v>32</v>
      </c>
      <c r="O1223" s="2">
        <f t="shared" si="79"/>
        <v>1</v>
      </c>
      <c r="P1223" s="2" t="s">
        <v>23</v>
      </c>
      <c r="Q1223" s="2" t="s">
        <v>23</v>
      </c>
      <c r="R1223" s="2" t="s">
        <v>23</v>
      </c>
      <c r="S1223" s="2" t="s">
        <v>23</v>
      </c>
      <c r="T1223" s="2" t="s">
        <v>23</v>
      </c>
      <c r="U1223" s="25">
        <f t="shared" si="77"/>
        <v>7188.0012230000002</v>
      </c>
    </row>
    <row r="1224" spans="1:21">
      <c r="A1224" s="2" t="s">
        <v>1960</v>
      </c>
      <c r="B1224" s="2" t="s">
        <v>823</v>
      </c>
      <c r="C1224" s="2" t="s">
        <v>19</v>
      </c>
      <c r="D1224" s="2">
        <v>27</v>
      </c>
      <c r="E1224" s="2" t="str">
        <f t="shared" si="78"/>
        <v>26-35</v>
      </c>
      <c r="F1224" s="2" t="s">
        <v>20</v>
      </c>
      <c r="G1224" s="2" t="s">
        <v>21</v>
      </c>
      <c r="H1224" s="2">
        <v>11</v>
      </c>
      <c r="I1224" s="2" t="str">
        <f t="shared" si="76"/>
        <v>7-12 months</v>
      </c>
      <c r="J1224" s="3">
        <v>1199</v>
      </c>
      <c r="K1224" s="3">
        <v>13189</v>
      </c>
      <c r="L1224" s="2" t="s">
        <v>22</v>
      </c>
      <c r="M1224" s="4">
        <v>45582</v>
      </c>
      <c r="N1224" s="2" t="s">
        <v>23</v>
      </c>
      <c r="O1224" s="2">
        <f t="shared" si="79"/>
        <v>0</v>
      </c>
      <c r="P1224" s="2" t="s">
        <v>23</v>
      </c>
      <c r="Q1224" s="2" t="s">
        <v>23</v>
      </c>
      <c r="R1224" s="2" t="s">
        <v>23</v>
      </c>
      <c r="S1224" s="2" t="s">
        <v>23</v>
      </c>
      <c r="T1224" s="2" t="s">
        <v>23</v>
      </c>
      <c r="U1224" s="25">
        <f t="shared" si="77"/>
        <v>13189.001224</v>
      </c>
    </row>
    <row r="1225" spans="1:21">
      <c r="A1225" s="2" t="s">
        <v>1961</v>
      </c>
      <c r="B1225" s="2" t="s">
        <v>1962</v>
      </c>
      <c r="C1225" s="2" t="s">
        <v>19</v>
      </c>
      <c r="D1225" s="2">
        <v>32</v>
      </c>
      <c r="E1225" s="2" t="str">
        <f t="shared" si="78"/>
        <v>26-35</v>
      </c>
      <c r="F1225" s="2" t="s">
        <v>71</v>
      </c>
      <c r="G1225" s="2" t="s">
        <v>21</v>
      </c>
      <c r="H1225" s="2">
        <v>18</v>
      </c>
      <c r="I1225" s="2" t="str">
        <f t="shared" si="76"/>
        <v>13-24 months</v>
      </c>
      <c r="J1225" s="3">
        <v>499</v>
      </c>
      <c r="K1225" s="3">
        <v>8982</v>
      </c>
      <c r="L1225" s="2" t="s">
        <v>66</v>
      </c>
      <c r="M1225" s="4">
        <v>45360</v>
      </c>
      <c r="N1225" s="2" t="s">
        <v>32</v>
      </c>
      <c r="O1225" s="2">
        <f t="shared" si="79"/>
        <v>1</v>
      </c>
      <c r="P1225" s="2" t="s">
        <v>23</v>
      </c>
      <c r="Q1225" s="2" t="s">
        <v>23</v>
      </c>
      <c r="R1225" s="2" t="s">
        <v>23</v>
      </c>
      <c r="S1225" s="2" t="s">
        <v>32</v>
      </c>
      <c r="T1225" s="2" t="s">
        <v>23</v>
      </c>
      <c r="U1225" s="25">
        <f t="shared" si="77"/>
        <v>8982.001225</v>
      </c>
    </row>
    <row r="1226" spans="1:21">
      <c r="A1226" s="2" t="s">
        <v>1963</v>
      </c>
      <c r="B1226" s="2" t="s">
        <v>336</v>
      </c>
      <c r="C1226" s="2" t="s">
        <v>35</v>
      </c>
      <c r="D1226" s="2">
        <v>42</v>
      </c>
      <c r="E1226" s="2" t="str">
        <f t="shared" si="78"/>
        <v>36-45</v>
      </c>
      <c r="F1226" s="2" t="s">
        <v>57</v>
      </c>
      <c r="G1226" s="2" t="s">
        <v>47</v>
      </c>
      <c r="H1226" s="2">
        <v>60</v>
      </c>
      <c r="I1226" s="2" t="str">
        <f t="shared" si="76"/>
        <v>49+ months</v>
      </c>
      <c r="J1226" s="3">
        <v>749</v>
      </c>
      <c r="K1226" s="3">
        <v>44940</v>
      </c>
      <c r="L1226" s="2" t="s">
        <v>31</v>
      </c>
      <c r="M1226" s="4">
        <v>44106</v>
      </c>
      <c r="N1226" s="2" t="s">
        <v>23</v>
      </c>
      <c r="O1226" s="2">
        <f t="shared" si="79"/>
        <v>0</v>
      </c>
      <c r="P1226" s="2" t="s">
        <v>23</v>
      </c>
      <c r="Q1226" s="2" t="s">
        <v>23</v>
      </c>
      <c r="R1226" s="2" t="s">
        <v>23</v>
      </c>
      <c r="S1226" s="2" t="s">
        <v>23</v>
      </c>
      <c r="T1226" s="2" t="s">
        <v>23</v>
      </c>
      <c r="U1226" s="25">
        <f t="shared" si="77"/>
        <v>44940.001226</v>
      </c>
    </row>
    <row r="1227" spans="1:21">
      <c r="A1227" s="2" t="s">
        <v>1964</v>
      </c>
      <c r="B1227" s="2" t="s">
        <v>65</v>
      </c>
      <c r="C1227" s="2" t="s">
        <v>35</v>
      </c>
      <c r="D1227" s="2">
        <v>51</v>
      </c>
      <c r="E1227" s="2" t="str">
        <f t="shared" si="78"/>
        <v>46-60</v>
      </c>
      <c r="F1227" s="2" t="s">
        <v>41</v>
      </c>
      <c r="G1227" s="2" t="s">
        <v>21</v>
      </c>
      <c r="H1227" s="2">
        <v>20</v>
      </c>
      <c r="I1227" s="2" t="str">
        <f t="shared" si="76"/>
        <v>13-24 months</v>
      </c>
      <c r="J1227" s="3">
        <v>1049</v>
      </c>
      <c r="K1227" s="3">
        <v>20980</v>
      </c>
      <c r="L1227" s="2" t="s">
        <v>22</v>
      </c>
      <c r="M1227" s="4">
        <v>45307</v>
      </c>
      <c r="N1227" s="2" t="s">
        <v>23</v>
      </c>
      <c r="O1227" s="2">
        <f t="shared" si="79"/>
        <v>0</v>
      </c>
      <c r="P1227" s="2" t="s">
        <v>23</v>
      </c>
      <c r="Q1227" s="2" t="s">
        <v>23</v>
      </c>
      <c r="R1227" s="2" t="s">
        <v>23</v>
      </c>
      <c r="S1227" s="2" t="s">
        <v>23</v>
      </c>
      <c r="T1227" s="2" t="s">
        <v>23</v>
      </c>
      <c r="U1227" s="25">
        <f t="shared" si="77"/>
        <v>20980.001227000001</v>
      </c>
    </row>
    <row r="1228" spans="1:21">
      <c r="A1228" s="2" t="s">
        <v>1965</v>
      </c>
      <c r="B1228" s="2" t="s">
        <v>922</v>
      </c>
      <c r="C1228" s="2" t="s">
        <v>35</v>
      </c>
      <c r="D1228" s="2">
        <v>21</v>
      </c>
      <c r="E1228" s="2" t="str">
        <f t="shared" si="78"/>
        <v>18-25</v>
      </c>
      <c r="F1228" s="2" t="s">
        <v>71</v>
      </c>
      <c r="G1228" s="2" t="s">
        <v>21</v>
      </c>
      <c r="H1228" s="2">
        <v>24</v>
      </c>
      <c r="I1228" s="2" t="str">
        <f t="shared" si="76"/>
        <v>13-24 months</v>
      </c>
      <c r="J1228" s="3">
        <v>1049</v>
      </c>
      <c r="K1228" s="3">
        <v>25176</v>
      </c>
      <c r="L1228" s="2" t="s">
        <v>22</v>
      </c>
      <c r="M1228" s="4">
        <v>45198</v>
      </c>
      <c r="N1228" s="2" t="s">
        <v>23</v>
      </c>
      <c r="O1228" s="2">
        <f t="shared" si="79"/>
        <v>0</v>
      </c>
      <c r="P1228" s="2" t="s">
        <v>23</v>
      </c>
      <c r="Q1228" s="2" t="s">
        <v>23</v>
      </c>
      <c r="R1228" s="2" t="s">
        <v>23</v>
      </c>
      <c r="S1228" s="2" t="s">
        <v>23</v>
      </c>
      <c r="T1228" s="2" t="s">
        <v>23</v>
      </c>
      <c r="U1228" s="25">
        <f t="shared" si="77"/>
        <v>25176.001228000001</v>
      </c>
    </row>
    <row r="1229" spans="1:21">
      <c r="A1229" s="2" t="s">
        <v>1966</v>
      </c>
      <c r="B1229" s="2" t="s">
        <v>151</v>
      </c>
      <c r="C1229" s="2" t="s">
        <v>35</v>
      </c>
      <c r="D1229" s="2">
        <v>23</v>
      </c>
      <c r="E1229" s="2" t="str">
        <f t="shared" si="78"/>
        <v>18-25</v>
      </c>
      <c r="F1229" s="2" t="s">
        <v>36</v>
      </c>
      <c r="G1229" s="2" t="s">
        <v>21</v>
      </c>
      <c r="H1229" s="2">
        <v>8</v>
      </c>
      <c r="I1229" s="2" t="str">
        <f t="shared" si="76"/>
        <v>7-12 months</v>
      </c>
      <c r="J1229" s="3">
        <v>399</v>
      </c>
      <c r="K1229" s="3">
        <v>3192</v>
      </c>
      <c r="L1229" s="2" t="s">
        <v>66</v>
      </c>
      <c r="M1229" s="4">
        <v>45667</v>
      </c>
      <c r="N1229" s="2" t="s">
        <v>23</v>
      </c>
      <c r="O1229" s="2">
        <f t="shared" si="79"/>
        <v>0</v>
      </c>
      <c r="P1229" s="2" t="s">
        <v>23</v>
      </c>
      <c r="Q1229" s="2" t="s">
        <v>23</v>
      </c>
      <c r="R1229" s="2" t="s">
        <v>23</v>
      </c>
      <c r="S1229" s="2" t="s">
        <v>23</v>
      </c>
      <c r="T1229" s="2" t="s">
        <v>23</v>
      </c>
      <c r="U1229" s="25">
        <f t="shared" si="77"/>
        <v>3192.001229</v>
      </c>
    </row>
    <row r="1230" spans="1:21">
      <c r="A1230" s="2" t="s">
        <v>1967</v>
      </c>
      <c r="B1230" s="2" t="s">
        <v>1160</v>
      </c>
      <c r="C1230" s="2" t="s">
        <v>35</v>
      </c>
      <c r="D1230" s="2">
        <v>49</v>
      </c>
      <c r="E1230" s="2" t="str">
        <f t="shared" si="78"/>
        <v>46-60</v>
      </c>
      <c r="F1230" s="2" t="s">
        <v>26</v>
      </c>
      <c r="G1230" s="2" t="s">
        <v>27</v>
      </c>
      <c r="H1230" s="2">
        <v>39</v>
      </c>
      <c r="I1230" s="2" t="str">
        <f t="shared" si="76"/>
        <v>25-48 months</v>
      </c>
      <c r="J1230" s="3">
        <v>1299</v>
      </c>
      <c r="K1230" s="3">
        <v>50661</v>
      </c>
      <c r="L1230" s="2" t="s">
        <v>22</v>
      </c>
      <c r="M1230" s="4">
        <v>44755</v>
      </c>
      <c r="N1230" s="2" t="s">
        <v>32</v>
      </c>
      <c r="O1230" s="2">
        <f t="shared" si="79"/>
        <v>1</v>
      </c>
      <c r="P1230" s="2" t="s">
        <v>23</v>
      </c>
      <c r="Q1230" s="2" t="s">
        <v>23</v>
      </c>
      <c r="R1230" s="2" t="s">
        <v>23</v>
      </c>
      <c r="S1230" s="2" t="s">
        <v>23</v>
      </c>
      <c r="T1230" s="2" t="s">
        <v>23</v>
      </c>
      <c r="U1230" s="25">
        <f t="shared" si="77"/>
        <v>50661.001230000002</v>
      </c>
    </row>
    <row r="1231" spans="1:21">
      <c r="A1231" s="2" t="s">
        <v>1968</v>
      </c>
      <c r="B1231" s="2" t="s">
        <v>1969</v>
      </c>
      <c r="C1231" s="2" t="s">
        <v>19</v>
      </c>
      <c r="D1231" s="2">
        <v>25</v>
      </c>
      <c r="E1231" s="2" t="str">
        <f t="shared" si="78"/>
        <v>18-25</v>
      </c>
      <c r="F1231" s="2" t="s">
        <v>110</v>
      </c>
      <c r="G1231" s="2" t="s">
        <v>21</v>
      </c>
      <c r="H1231" s="2">
        <v>23</v>
      </c>
      <c r="I1231" s="2" t="str">
        <f t="shared" si="76"/>
        <v>13-24 months</v>
      </c>
      <c r="J1231" s="3">
        <v>1099</v>
      </c>
      <c r="K1231" s="3">
        <v>25277</v>
      </c>
      <c r="L1231" s="2" t="s">
        <v>22</v>
      </c>
      <c r="M1231" s="4">
        <v>45237</v>
      </c>
      <c r="N1231" s="2" t="s">
        <v>23</v>
      </c>
      <c r="O1231" s="2">
        <f t="shared" si="79"/>
        <v>0</v>
      </c>
      <c r="P1231" s="2" t="s">
        <v>23</v>
      </c>
      <c r="Q1231" s="2" t="s">
        <v>23</v>
      </c>
      <c r="R1231" s="2" t="s">
        <v>23</v>
      </c>
      <c r="S1231" s="2" t="s">
        <v>23</v>
      </c>
      <c r="T1231" s="2" t="s">
        <v>23</v>
      </c>
      <c r="U1231" s="25">
        <f t="shared" si="77"/>
        <v>25277.001230999998</v>
      </c>
    </row>
    <row r="1232" spans="1:21">
      <c r="A1232" s="2" t="s">
        <v>1970</v>
      </c>
      <c r="B1232" s="2" t="s">
        <v>1971</v>
      </c>
      <c r="C1232" s="2" t="s">
        <v>35</v>
      </c>
      <c r="D1232" s="2">
        <v>54</v>
      </c>
      <c r="E1232" s="2" t="str">
        <f t="shared" si="78"/>
        <v>46-60</v>
      </c>
      <c r="F1232" s="2" t="s">
        <v>57</v>
      </c>
      <c r="G1232" s="2" t="s">
        <v>21</v>
      </c>
      <c r="H1232" s="2">
        <v>21</v>
      </c>
      <c r="I1232" s="2" t="str">
        <f t="shared" si="76"/>
        <v>13-24 months</v>
      </c>
      <c r="J1232" s="3">
        <v>499</v>
      </c>
      <c r="K1232" s="3">
        <v>10479</v>
      </c>
      <c r="L1232" s="2" t="s">
        <v>66</v>
      </c>
      <c r="M1232" s="4">
        <v>45298</v>
      </c>
      <c r="N1232" s="2" t="s">
        <v>23</v>
      </c>
      <c r="O1232" s="2">
        <f t="shared" si="79"/>
        <v>0</v>
      </c>
      <c r="P1232" s="2" t="s">
        <v>23</v>
      </c>
      <c r="Q1232" s="2" t="s">
        <v>23</v>
      </c>
      <c r="R1232" s="2" t="s">
        <v>23</v>
      </c>
      <c r="S1232" s="2" t="s">
        <v>23</v>
      </c>
      <c r="T1232" s="2" t="s">
        <v>23</v>
      </c>
      <c r="U1232" s="25">
        <f t="shared" si="77"/>
        <v>10479.001232000001</v>
      </c>
    </row>
    <row r="1233" spans="1:21">
      <c r="A1233" s="2" t="s">
        <v>1972</v>
      </c>
      <c r="B1233" s="2" t="s">
        <v>920</v>
      </c>
      <c r="C1233" s="2" t="s">
        <v>19</v>
      </c>
      <c r="D1233" s="2">
        <v>19</v>
      </c>
      <c r="E1233" s="2" t="str">
        <f t="shared" si="78"/>
        <v>18-25</v>
      </c>
      <c r="F1233" s="2" t="s">
        <v>71</v>
      </c>
      <c r="G1233" s="2" t="s">
        <v>47</v>
      </c>
      <c r="H1233" s="2">
        <v>53</v>
      </c>
      <c r="I1233" s="2" t="str">
        <f t="shared" si="76"/>
        <v>49+ months</v>
      </c>
      <c r="J1233" s="3">
        <v>899</v>
      </c>
      <c r="K1233" s="3">
        <v>47647</v>
      </c>
      <c r="L1233" s="2" t="s">
        <v>31</v>
      </c>
      <c r="M1233" s="4">
        <v>44330</v>
      </c>
      <c r="N1233" s="2" t="s">
        <v>23</v>
      </c>
      <c r="O1233" s="2">
        <f t="shared" si="79"/>
        <v>0</v>
      </c>
      <c r="P1233" s="2" t="s">
        <v>23</v>
      </c>
      <c r="Q1233" s="2" t="s">
        <v>23</v>
      </c>
      <c r="R1233" s="2" t="s">
        <v>23</v>
      </c>
      <c r="S1233" s="2" t="s">
        <v>23</v>
      </c>
      <c r="T1233" s="2" t="s">
        <v>23</v>
      </c>
      <c r="U1233" s="25">
        <f t="shared" si="77"/>
        <v>47647.001233000003</v>
      </c>
    </row>
    <row r="1234" spans="1:21">
      <c r="A1234" s="2" t="s">
        <v>1973</v>
      </c>
      <c r="B1234" s="2" t="s">
        <v>770</v>
      </c>
      <c r="C1234" s="2" t="s">
        <v>35</v>
      </c>
      <c r="D1234" s="2">
        <v>33</v>
      </c>
      <c r="E1234" s="2" t="str">
        <f t="shared" si="78"/>
        <v>26-35</v>
      </c>
      <c r="F1234" s="2" t="s">
        <v>46</v>
      </c>
      <c r="G1234" s="2" t="s">
        <v>21</v>
      </c>
      <c r="H1234" s="2">
        <v>15</v>
      </c>
      <c r="I1234" s="2" t="str">
        <f t="shared" si="76"/>
        <v>13-24 months</v>
      </c>
      <c r="J1234" s="3">
        <v>849</v>
      </c>
      <c r="K1234" s="3">
        <v>12735</v>
      </c>
      <c r="L1234" s="2" t="s">
        <v>31</v>
      </c>
      <c r="M1234" s="4">
        <v>45473</v>
      </c>
      <c r="N1234" s="2" t="s">
        <v>23</v>
      </c>
      <c r="O1234" s="2">
        <f t="shared" si="79"/>
        <v>0</v>
      </c>
      <c r="P1234" s="2" t="s">
        <v>23</v>
      </c>
      <c r="Q1234" s="2" t="s">
        <v>23</v>
      </c>
      <c r="R1234" s="2" t="s">
        <v>23</v>
      </c>
      <c r="S1234" s="2" t="s">
        <v>23</v>
      </c>
      <c r="T1234" s="2" t="s">
        <v>23</v>
      </c>
      <c r="U1234" s="25">
        <f t="shared" si="77"/>
        <v>12735.001233999999</v>
      </c>
    </row>
    <row r="1235" spans="1:21">
      <c r="A1235" s="2" t="s">
        <v>1974</v>
      </c>
      <c r="B1235" s="2" t="s">
        <v>354</v>
      </c>
      <c r="C1235" s="2" t="s">
        <v>19</v>
      </c>
      <c r="D1235" s="2">
        <v>59</v>
      </c>
      <c r="E1235" s="2" t="str">
        <f t="shared" si="78"/>
        <v>46-60</v>
      </c>
      <c r="F1235" s="2" t="s">
        <v>30</v>
      </c>
      <c r="G1235" s="2" t="s">
        <v>27</v>
      </c>
      <c r="H1235" s="2">
        <v>12</v>
      </c>
      <c r="I1235" s="2" t="str">
        <f t="shared" si="76"/>
        <v>7-12 months</v>
      </c>
      <c r="J1235" s="3">
        <v>1099</v>
      </c>
      <c r="K1235" s="3">
        <v>13188</v>
      </c>
      <c r="L1235" s="2" t="s">
        <v>22</v>
      </c>
      <c r="M1235" s="4">
        <v>45549</v>
      </c>
      <c r="N1235" s="2" t="s">
        <v>23</v>
      </c>
      <c r="O1235" s="2">
        <f t="shared" si="79"/>
        <v>0</v>
      </c>
      <c r="P1235" s="2" t="s">
        <v>23</v>
      </c>
      <c r="Q1235" s="2" t="s">
        <v>23</v>
      </c>
      <c r="R1235" s="2" t="s">
        <v>23</v>
      </c>
      <c r="S1235" s="2" t="s">
        <v>23</v>
      </c>
      <c r="T1235" s="2" t="s">
        <v>23</v>
      </c>
      <c r="U1235" s="25">
        <f t="shared" si="77"/>
        <v>13188.001235</v>
      </c>
    </row>
    <row r="1236" spans="1:21">
      <c r="A1236" s="2" t="s">
        <v>1975</v>
      </c>
      <c r="B1236" s="2" t="s">
        <v>1976</v>
      </c>
      <c r="C1236" s="2" t="s">
        <v>19</v>
      </c>
      <c r="D1236" s="2">
        <v>47</v>
      </c>
      <c r="E1236" s="2" t="str">
        <f t="shared" si="78"/>
        <v>46-60</v>
      </c>
      <c r="F1236" s="2" t="s">
        <v>141</v>
      </c>
      <c r="G1236" s="2" t="s">
        <v>21</v>
      </c>
      <c r="H1236" s="2">
        <v>20</v>
      </c>
      <c r="I1236" s="2" t="str">
        <f t="shared" si="76"/>
        <v>13-24 months</v>
      </c>
      <c r="J1236" s="3">
        <v>1199</v>
      </c>
      <c r="K1236" s="3">
        <v>23980</v>
      </c>
      <c r="L1236" s="2" t="s">
        <v>22</v>
      </c>
      <c r="M1236" s="4">
        <v>45322</v>
      </c>
      <c r="N1236" s="2" t="s">
        <v>23</v>
      </c>
      <c r="O1236" s="2">
        <f t="shared" si="79"/>
        <v>0</v>
      </c>
      <c r="P1236" s="2" t="s">
        <v>32</v>
      </c>
      <c r="Q1236" s="2" t="s">
        <v>23</v>
      </c>
      <c r="R1236" s="2" t="s">
        <v>23</v>
      </c>
      <c r="S1236" s="2" t="s">
        <v>23</v>
      </c>
      <c r="T1236" s="2" t="s">
        <v>23</v>
      </c>
      <c r="U1236" s="25">
        <f t="shared" si="77"/>
        <v>23980.001236</v>
      </c>
    </row>
    <row r="1237" spans="1:21">
      <c r="A1237" s="2" t="s">
        <v>1977</v>
      </c>
      <c r="B1237" s="2" t="s">
        <v>1978</v>
      </c>
      <c r="C1237" s="2" t="s">
        <v>35</v>
      </c>
      <c r="D1237" s="2">
        <v>39</v>
      </c>
      <c r="E1237" s="2" t="str">
        <f t="shared" si="78"/>
        <v>36-45</v>
      </c>
      <c r="F1237" s="2" t="s">
        <v>110</v>
      </c>
      <c r="G1237" s="2" t="s">
        <v>21</v>
      </c>
      <c r="H1237" s="2">
        <v>6</v>
      </c>
      <c r="I1237" s="2" t="str">
        <f t="shared" si="76"/>
        <v>0-6 months</v>
      </c>
      <c r="J1237" s="3">
        <v>1049</v>
      </c>
      <c r="K1237" s="3">
        <v>6294</v>
      </c>
      <c r="L1237" s="2" t="s">
        <v>22</v>
      </c>
      <c r="M1237" s="4">
        <v>45730</v>
      </c>
      <c r="N1237" s="2" t="s">
        <v>32</v>
      </c>
      <c r="O1237" s="2">
        <f t="shared" si="79"/>
        <v>1</v>
      </c>
      <c r="P1237" s="2" t="s">
        <v>23</v>
      </c>
      <c r="Q1237" s="2" t="s">
        <v>23</v>
      </c>
      <c r="R1237" s="2" t="s">
        <v>23</v>
      </c>
      <c r="S1237" s="2" t="s">
        <v>23</v>
      </c>
      <c r="T1237" s="2" t="s">
        <v>23</v>
      </c>
      <c r="U1237" s="25">
        <f t="shared" si="77"/>
        <v>6294.0012370000004</v>
      </c>
    </row>
    <row r="1238" spans="1:21">
      <c r="A1238" s="2" t="s">
        <v>1979</v>
      </c>
      <c r="B1238" s="2" t="s">
        <v>420</v>
      </c>
      <c r="C1238" s="2" t="s">
        <v>35</v>
      </c>
      <c r="D1238" s="2">
        <v>59</v>
      </c>
      <c r="E1238" s="2" t="str">
        <f t="shared" si="78"/>
        <v>46-60</v>
      </c>
      <c r="F1238" s="2" t="s">
        <v>26</v>
      </c>
      <c r="G1238" s="2" t="s">
        <v>21</v>
      </c>
      <c r="H1238" s="2">
        <v>6</v>
      </c>
      <c r="I1238" s="2" t="str">
        <f t="shared" si="76"/>
        <v>0-6 months</v>
      </c>
      <c r="J1238" s="3">
        <v>1149</v>
      </c>
      <c r="K1238" s="3">
        <v>6894</v>
      </c>
      <c r="L1238" s="2" t="s">
        <v>22</v>
      </c>
      <c r="M1238" s="4">
        <v>45746</v>
      </c>
      <c r="N1238" s="2" t="s">
        <v>32</v>
      </c>
      <c r="O1238" s="2">
        <f t="shared" si="79"/>
        <v>1</v>
      </c>
      <c r="P1238" s="2" t="s">
        <v>23</v>
      </c>
      <c r="Q1238" s="2" t="s">
        <v>23</v>
      </c>
      <c r="R1238" s="2" t="s">
        <v>23</v>
      </c>
      <c r="S1238" s="2" t="s">
        <v>32</v>
      </c>
      <c r="T1238" s="2" t="s">
        <v>23</v>
      </c>
      <c r="U1238" s="25">
        <f t="shared" si="77"/>
        <v>6894.0012379999998</v>
      </c>
    </row>
    <row r="1239" spans="1:21">
      <c r="A1239" s="2" t="s">
        <v>1980</v>
      </c>
      <c r="B1239" s="2" t="s">
        <v>978</v>
      </c>
      <c r="C1239" s="2" t="s">
        <v>35</v>
      </c>
      <c r="D1239" s="2">
        <v>63</v>
      </c>
      <c r="E1239" s="2" t="str">
        <f t="shared" si="78"/>
        <v>60+</v>
      </c>
      <c r="F1239" s="2" t="s">
        <v>30</v>
      </c>
      <c r="G1239" s="2" t="s">
        <v>21</v>
      </c>
      <c r="H1239" s="2">
        <v>13</v>
      </c>
      <c r="I1239" s="2" t="str">
        <f t="shared" si="76"/>
        <v>13-24 months</v>
      </c>
      <c r="J1239" s="3">
        <v>1299</v>
      </c>
      <c r="K1239" s="3">
        <v>16887</v>
      </c>
      <c r="L1239" s="2" t="s">
        <v>22</v>
      </c>
      <c r="M1239" s="4">
        <v>45536</v>
      </c>
      <c r="N1239" s="2" t="s">
        <v>23</v>
      </c>
      <c r="O1239" s="2">
        <f t="shared" si="79"/>
        <v>0</v>
      </c>
      <c r="P1239" s="2" t="s">
        <v>23</v>
      </c>
      <c r="Q1239" s="2" t="s">
        <v>23</v>
      </c>
      <c r="R1239" s="2" t="s">
        <v>23</v>
      </c>
      <c r="S1239" s="2" t="s">
        <v>23</v>
      </c>
      <c r="T1239" s="2" t="s">
        <v>23</v>
      </c>
      <c r="U1239" s="25">
        <f t="shared" si="77"/>
        <v>16887.001239000001</v>
      </c>
    </row>
    <row r="1240" spans="1:21">
      <c r="A1240" s="2" t="s">
        <v>1981</v>
      </c>
      <c r="B1240" s="2" t="s">
        <v>204</v>
      </c>
      <c r="C1240" s="2" t="s">
        <v>37</v>
      </c>
      <c r="D1240" s="2">
        <v>70</v>
      </c>
      <c r="E1240" s="2" t="str">
        <f t="shared" si="78"/>
        <v>60+</v>
      </c>
      <c r="F1240" s="2" t="s">
        <v>36</v>
      </c>
      <c r="G1240" s="2" t="s">
        <v>21</v>
      </c>
      <c r="H1240" s="2">
        <v>9</v>
      </c>
      <c r="I1240" s="2" t="str">
        <f t="shared" si="76"/>
        <v>7-12 months</v>
      </c>
      <c r="J1240" s="3">
        <v>599</v>
      </c>
      <c r="K1240" s="3">
        <v>5391</v>
      </c>
      <c r="L1240" s="2" t="s">
        <v>31</v>
      </c>
      <c r="M1240" s="4">
        <v>45651</v>
      </c>
      <c r="N1240" s="2" t="s">
        <v>23</v>
      </c>
      <c r="O1240" s="2">
        <f t="shared" si="79"/>
        <v>0</v>
      </c>
      <c r="P1240" s="2" t="s">
        <v>23</v>
      </c>
      <c r="Q1240" s="2" t="s">
        <v>23</v>
      </c>
      <c r="R1240" s="2" t="s">
        <v>23</v>
      </c>
      <c r="S1240" s="2" t="s">
        <v>23</v>
      </c>
      <c r="T1240" s="2" t="s">
        <v>23</v>
      </c>
      <c r="U1240" s="25">
        <f t="shared" si="77"/>
        <v>5391.0012399999996</v>
      </c>
    </row>
    <row r="1241" spans="1:21">
      <c r="A1241" s="2" t="s">
        <v>1982</v>
      </c>
      <c r="B1241" s="2" t="s">
        <v>703</v>
      </c>
      <c r="C1241" s="2" t="s">
        <v>19</v>
      </c>
      <c r="D1241" s="2">
        <v>59</v>
      </c>
      <c r="E1241" s="2" t="str">
        <f t="shared" si="78"/>
        <v>46-60</v>
      </c>
      <c r="F1241" s="2" t="s">
        <v>110</v>
      </c>
      <c r="G1241" s="2" t="s">
        <v>21</v>
      </c>
      <c r="H1241" s="2">
        <v>8</v>
      </c>
      <c r="I1241" s="2" t="str">
        <f t="shared" si="76"/>
        <v>7-12 months</v>
      </c>
      <c r="J1241" s="3">
        <v>599</v>
      </c>
      <c r="K1241" s="3">
        <v>4792</v>
      </c>
      <c r="L1241" s="2" t="s">
        <v>31</v>
      </c>
      <c r="M1241" s="4">
        <v>45674</v>
      </c>
      <c r="N1241" s="2" t="s">
        <v>23</v>
      </c>
      <c r="O1241" s="2">
        <f t="shared" si="79"/>
        <v>0</v>
      </c>
      <c r="P1241" s="2" t="s">
        <v>23</v>
      </c>
      <c r="Q1241" s="2" t="s">
        <v>23</v>
      </c>
      <c r="R1241" s="2" t="s">
        <v>23</v>
      </c>
      <c r="S1241" s="2" t="s">
        <v>23</v>
      </c>
      <c r="T1241" s="2" t="s">
        <v>23</v>
      </c>
      <c r="U1241" s="25">
        <f t="shared" si="77"/>
        <v>4792.0012409999999</v>
      </c>
    </row>
    <row r="1242" spans="1:21">
      <c r="A1242" s="2" t="s">
        <v>1983</v>
      </c>
      <c r="B1242" s="2" t="s">
        <v>963</v>
      </c>
      <c r="C1242" s="2" t="s">
        <v>35</v>
      </c>
      <c r="D1242" s="2">
        <v>54</v>
      </c>
      <c r="E1242" s="2" t="str">
        <f t="shared" si="78"/>
        <v>46-60</v>
      </c>
      <c r="F1242" s="2" t="s">
        <v>20</v>
      </c>
      <c r="G1242" s="2" t="s">
        <v>21</v>
      </c>
      <c r="H1242" s="2">
        <v>19</v>
      </c>
      <c r="I1242" s="2" t="str">
        <f t="shared" si="76"/>
        <v>13-24 months</v>
      </c>
      <c r="J1242" s="3">
        <v>549</v>
      </c>
      <c r="K1242" s="3">
        <v>10431</v>
      </c>
      <c r="L1242" s="2" t="s">
        <v>66</v>
      </c>
      <c r="M1242" s="4">
        <v>45346</v>
      </c>
      <c r="N1242" s="2" t="s">
        <v>23</v>
      </c>
      <c r="O1242" s="2">
        <f t="shared" si="79"/>
        <v>0</v>
      </c>
      <c r="P1242" s="2" t="s">
        <v>23</v>
      </c>
      <c r="Q1242" s="2" t="s">
        <v>23</v>
      </c>
      <c r="R1242" s="2" t="s">
        <v>23</v>
      </c>
      <c r="S1242" s="2" t="s">
        <v>23</v>
      </c>
      <c r="T1242" s="2" t="s">
        <v>23</v>
      </c>
      <c r="U1242" s="25">
        <f t="shared" si="77"/>
        <v>10431.001242</v>
      </c>
    </row>
    <row r="1243" spans="1:21">
      <c r="A1243" s="2" t="s">
        <v>1984</v>
      </c>
      <c r="B1243" s="2" t="s">
        <v>479</v>
      </c>
      <c r="C1243" s="2" t="s">
        <v>35</v>
      </c>
      <c r="D1243" s="2">
        <v>45</v>
      </c>
      <c r="E1243" s="2" t="str">
        <f t="shared" si="78"/>
        <v>36-45</v>
      </c>
      <c r="F1243" s="2" t="s">
        <v>30</v>
      </c>
      <c r="G1243" s="2" t="s">
        <v>21</v>
      </c>
      <c r="H1243" s="2">
        <v>8</v>
      </c>
      <c r="I1243" s="2" t="str">
        <f t="shared" si="76"/>
        <v>7-12 months</v>
      </c>
      <c r="J1243" s="3">
        <v>449</v>
      </c>
      <c r="K1243" s="3">
        <v>3592</v>
      </c>
      <c r="L1243" s="2" t="s">
        <v>66</v>
      </c>
      <c r="M1243" s="4">
        <v>45666</v>
      </c>
      <c r="N1243" s="2" t="s">
        <v>32</v>
      </c>
      <c r="O1243" s="2">
        <f t="shared" si="79"/>
        <v>1</v>
      </c>
      <c r="P1243" s="2" t="s">
        <v>23</v>
      </c>
      <c r="Q1243" s="2" t="s">
        <v>23</v>
      </c>
      <c r="R1243" s="2" t="s">
        <v>23</v>
      </c>
      <c r="S1243" s="2" t="s">
        <v>23</v>
      </c>
      <c r="T1243" s="2" t="s">
        <v>23</v>
      </c>
      <c r="U1243" s="25">
        <f t="shared" si="77"/>
        <v>3592.0012430000002</v>
      </c>
    </row>
    <row r="1244" spans="1:21">
      <c r="A1244" s="2" t="s">
        <v>1985</v>
      </c>
      <c r="B1244" s="2" t="s">
        <v>527</v>
      </c>
      <c r="C1244" s="2" t="s">
        <v>19</v>
      </c>
      <c r="D1244" s="2">
        <v>33</v>
      </c>
      <c r="E1244" s="2" t="str">
        <f t="shared" si="78"/>
        <v>26-35</v>
      </c>
      <c r="F1244" s="2" t="s">
        <v>110</v>
      </c>
      <c r="G1244" s="2" t="s">
        <v>21</v>
      </c>
      <c r="H1244" s="2">
        <v>17</v>
      </c>
      <c r="I1244" s="2" t="str">
        <f t="shared" si="76"/>
        <v>13-24 months</v>
      </c>
      <c r="J1244" s="3">
        <v>849</v>
      </c>
      <c r="K1244" s="3">
        <v>14433</v>
      </c>
      <c r="L1244" s="2" t="s">
        <v>31</v>
      </c>
      <c r="M1244" s="4">
        <v>45393</v>
      </c>
      <c r="N1244" s="2" t="s">
        <v>32</v>
      </c>
      <c r="O1244" s="2">
        <f t="shared" si="79"/>
        <v>1</v>
      </c>
      <c r="P1244" s="2" t="s">
        <v>23</v>
      </c>
      <c r="Q1244" s="2" t="s">
        <v>23</v>
      </c>
      <c r="R1244" s="2" t="s">
        <v>23</v>
      </c>
      <c r="S1244" s="2" t="s">
        <v>23</v>
      </c>
      <c r="T1244" s="2" t="s">
        <v>23</v>
      </c>
      <c r="U1244" s="25">
        <f t="shared" si="77"/>
        <v>14433.001243999999</v>
      </c>
    </row>
    <row r="1245" spans="1:21">
      <c r="A1245" s="2" t="s">
        <v>1986</v>
      </c>
      <c r="B1245" s="2" t="s">
        <v>1987</v>
      </c>
      <c r="C1245" s="2" t="s">
        <v>19</v>
      </c>
      <c r="D1245" s="2">
        <v>62</v>
      </c>
      <c r="E1245" s="2" t="str">
        <f t="shared" si="78"/>
        <v>60+</v>
      </c>
      <c r="F1245" s="2" t="s">
        <v>71</v>
      </c>
      <c r="G1245" s="2" t="s">
        <v>47</v>
      </c>
      <c r="H1245" s="2">
        <v>29</v>
      </c>
      <c r="I1245" s="2" t="str">
        <f t="shared" si="76"/>
        <v>25-48 months</v>
      </c>
      <c r="J1245" s="3">
        <v>549</v>
      </c>
      <c r="K1245" s="3">
        <v>15921</v>
      </c>
      <c r="L1245" s="2" t="s">
        <v>66</v>
      </c>
      <c r="M1245" s="4">
        <v>45044</v>
      </c>
      <c r="N1245" s="2" t="s">
        <v>23</v>
      </c>
      <c r="O1245" s="2">
        <f t="shared" si="79"/>
        <v>0</v>
      </c>
      <c r="P1245" s="2" t="s">
        <v>23</v>
      </c>
      <c r="Q1245" s="2" t="s">
        <v>23</v>
      </c>
      <c r="R1245" s="2" t="s">
        <v>23</v>
      </c>
      <c r="S1245" s="2" t="s">
        <v>32</v>
      </c>
      <c r="T1245" s="2" t="s">
        <v>23</v>
      </c>
      <c r="U1245" s="25">
        <f t="shared" si="77"/>
        <v>15921.001244999999</v>
      </c>
    </row>
    <row r="1246" spans="1:21">
      <c r="A1246" s="2" t="s">
        <v>1988</v>
      </c>
      <c r="B1246" s="2" t="s">
        <v>1095</v>
      </c>
      <c r="C1246" s="2" t="s">
        <v>35</v>
      </c>
      <c r="D1246" s="2">
        <v>45</v>
      </c>
      <c r="E1246" s="2" t="str">
        <f t="shared" si="78"/>
        <v>36-45</v>
      </c>
      <c r="F1246" s="2" t="s">
        <v>41</v>
      </c>
      <c r="G1246" s="2" t="s">
        <v>47</v>
      </c>
      <c r="H1246" s="2">
        <v>72</v>
      </c>
      <c r="I1246" s="2" t="str">
        <f t="shared" si="76"/>
        <v>49+ months</v>
      </c>
      <c r="J1246" s="3">
        <v>749</v>
      </c>
      <c r="K1246" s="3">
        <v>53928</v>
      </c>
      <c r="L1246" s="2" t="s">
        <v>31</v>
      </c>
      <c r="M1246" s="4">
        <v>43753</v>
      </c>
      <c r="N1246" s="2" t="s">
        <v>23</v>
      </c>
      <c r="O1246" s="2">
        <f t="shared" si="79"/>
        <v>0</v>
      </c>
      <c r="P1246" s="2" t="s">
        <v>23</v>
      </c>
      <c r="Q1246" s="2" t="s">
        <v>23</v>
      </c>
      <c r="R1246" s="2" t="s">
        <v>23</v>
      </c>
      <c r="S1246" s="2" t="s">
        <v>23</v>
      </c>
      <c r="T1246" s="2" t="s">
        <v>23</v>
      </c>
      <c r="U1246" s="25">
        <f t="shared" si="77"/>
        <v>53928.001246</v>
      </c>
    </row>
    <row r="1247" spans="1:21">
      <c r="A1247" s="2" t="s">
        <v>1989</v>
      </c>
      <c r="B1247" s="2" t="s">
        <v>456</v>
      </c>
      <c r="C1247" s="2" t="s">
        <v>37</v>
      </c>
      <c r="D1247" s="2">
        <v>40</v>
      </c>
      <c r="E1247" s="2" t="str">
        <f t="shared" si="78"/>
        <v>36-45</v>
      </c>
      <c r="F1247" s="2" t="s">
        <v>41</v>
      </c>
      <c r="G1247" s="2" t="s">
        <v>47</v>
      </c>
      <c r="H1247" s="2">
        <v>33</v>
      </c>
      <c r="I1247" s="2" t="str">
        <f t="shared" si="76"/>
        <v>25-48 months</v>
      </c>
      <c r="J1247" s="3">
        <v>849</v>
      </c>
      <c r="K1247" s="3">
        <v>28017</v>
      </c>
      <c r="L1247" s="2" t="s">
        <v>31</v>
      </c>
      <c r="M1247" s="4">
        <v>44916</v>
      </c>
      <c r="N1247" s="2" t="s">
        <v>23</v>
      </c>
      <c r="O1247" s="2">
        <f t="shared" si="79"/>
        <v>0</v>
      </c>
      <c r="P1247" s="2" t="s">
        <v>23</v>
      </c>
      <c r="Q1247" s="2" t="s">
        <v>32</v>
      </c>
      <c r="R1247" s="2" t="s">
        <v>23</v>
      </c>
      <c r="S1247" s="2" t="s">
        <v>23</v>
      </c>
      <c r="T1247" s="2" t="s">
        <v>23</v>
      </c>
      <c r="U1247" s="25">
        <f t="shared" si="77"/>
        <v>28017.001247</v>
      </c>
    </row>
    <row r="1248" spans="1:21">
      <c r="A1248" s="2" t="s">
        <v>1990</v>
      </c>
      <c r="B1248" s="2" t="s">
        <v>1637</v>
      </c>
      <c r="C1248" s="2" t="s">
        <v>19</v>
      </c>
      <c r="D1248" s="2">
        <v>60</v>
      </c>
      <c r="E1248" s="2" t="str">
        <f t="shared" si="78"/>
        <v>46-60</v>
      </c>
      <c r="F1248" s="2" t="s">
        <v>60</v>
      </c>
      <c r="G1248" s="2" t="s">
        <v>21</v>
      </c>
      <c r="H1248" s="2">
        <v>10</v>
      </c>
      <c r="I1248" s="2" t="str">
        <f t="shared" si="76"/>
        <v>7-12 months</v>
      </c>
      <c r="J1248" s="3">
        <v>999</v>
      </c>
      <c r="K1248" s="3">
        <v>9990</v>
      </c>
      <c r="L1248" s="2" t="s">
        <v>22</v>
      </c>
      <c r="M1248" s="4">
        <v>45612</v>
      </c>
      <c r="N1248" s="2" t="s">
        <v>23</v>
      </c>
      <c r="O1248" s="2">
        <f t="shared" si="79"/>
        <v>0</v>
      </c>
      <c r="P1248" s="2" t="s">
        <v>23</v>
      </c>
      <c r="Q1248" s="2" t="s">
        <v>23</v>
      </c>
      <c r="R1248" s="2" t="s">
        <v>23</v>
      </c>
      <c r="S1248" s="2" t="s">
        <v>23</v>
      </c>
      <c r="T1248" s="2" t="s">
        <v>23</v>
      </c>
      <c r="U1248" s="25">
        <f t="shared" si="77"/>
        <v>9990.0012480000005</v>
      </c>
    </row>
    <row r="1249" spans="1:21">
      <c r="A1249" s="2" t="s">
        <v>1991</v>
      </c>
      <c r="B1249" s="2" t="s">
        <v>360</v>
      </c>
      <c r="C1249" s="2" t="s">
        <v>35</v>
      </c>
      <c r="D1249" s="2">
        <v>61</v>
      </c>
      <c r="E1249" s="2" t="str">
        <f t="shared" si="78"/>
        <v>60+</v>
      </c>
      <c r="F1249" s="2" t="s">
        <v>91</v>
      </c>
      <c r="G1249" s="2" t="s">
        <v>21</v>
      </c>
      <c r="H1249" s="2">
        <v>20</v>
      </c>
      <c r="I1249" s="2" t="str">
        <f t="shared" si="76"/>
        <v>13-24 months</v>
      </c>
      <c r="J1249" s="3">
        <v>599</v>
      </c>
      <c r="K1249" s="3">
        <v>11980</v>
      </c>
      <c r="L1249" s="2" t="s">
        <v>31</v>
      </c>
      <c r="M1249" s="4">
        <v>45304</v>
      </c>
      <c r="N1249" s="2" t="s">
        <v>23</v>
      </c>
      <c r="O1249" s="2">
        <f t="shared" si="79"/>
        <v>0</v>
      </c>
      <c r="P1249" s="2" t="s">
        <v>23</v>
      </c>
      <c r="Q1249" s="2" t="s">
        <v>23</v>
      </c>
      <c r="R1249" s="2" t="s">
        <v>23</v>
      </c>
      <c r="S1249" s="2" t="s">
        <v>23</v>
      </c>
      <c r="T1249" s="2" t="s">
        <v>23</v>
      </c>
      <c r="U1249" s="25">
        <f t="shared" si="77"/>
        <v>11980.001249000001</v>
      </c>
    </row>
    <row r="1250" spans="1:21">
      <c r="A1250" s="2" t="s">
        <v>1992</v>
      </c>
      <c r="B1250" s="2" t="s">
        <v>1993</v>
      </c>
      <c r="C1250" s="2" t="s">
        <v>19</v>
      </c>
      <c r="D1250" s="2">
        <v>51</v>
      </c>
      <c r="E1250" s="2" t="str">
        <f t="shared" si="78"/>
        <v>46-60</v>
      </c>
      <c r="F1250" s="2" t="s">
        <v>105</v>
      </c>
      <c r="G1250" s="2" t="s">
        <v>27</v>
      </c>
      <c r="H1250" s="2">
        <v>16</v>
      </c>
      <c r="I1250" s="2" t="str">
        <f t="shared" si="76"/>
        <v>13-24 months</v>
      </c>
      <c r="J1250" s="3">
        <v>1299</v>
      </c>
      <c r="K1250" s="3">
        <v>20784</v>
      </c>
      <c r="L1250" s="2" t="s">
        <v>22</v>
      </c>
      <c r="M1250" s="4">
        <v>45448</v>
      </c>
      <c r="N1250" s="2" t="s">
        <v>23</v>
      </c>
      <c r="O1250" s="2">
        <f t="shared" si="79"/>
        <v>0</v>
      </c>
      <c r="P1250" s="2" t="s">
        <v>23</v>
      </c>
      <c r="Q1250" s="2" t="s">
        <v>23</v>
      </c>
      <c r="R1250" s="2" t="s">
        <v>23</v>
      </c>
      <c r="S1250" s="2" t="s">
        <v>23</v>
      </c>
      <c r="T1250" s="2" t="s">
        <v>23</v>
      </c>
      <c r="U1250" s="25">
        <f t="shared" si="77"/>
        <v>20784.001250000001</v>
      </c>
    </row>
    <row r="1251" spans="1:21">
      <c r="A1251" s="2" t="s">
        <v>1994</v>
      </c>
      <c r="B1251" s="2" t="s">
        <v>1804</v>
      </c>
      <c r="C1251" s="2" t="s">
        <v>35</v>
      </c>
      <c r="D1251" s="2">
        <v>23</v>
      </c>
      <c r="E1251" s="2" t="str">
        <f t="shared" si="78"/>
        <v>18-25</v>
      </c>
      <c r="F1251" s="2" t="s">
        <v>41</v>
      </c>
      <c r="G1251" s="2" t="s">
        <v>47</v>
      </c>
      <c r="H1251" s="2">
        <v>50</v>
      </c>
      <c r="I1251" s="2" t="str">
        <f t="shared" si="76"/>
        <v>49+ months</v>
      </c>
      <c r="J1251" s="3">
        <v>1099</v>
      </c>
      <c r="K1251" s="3">
        <v>54950</v>
      </c>
      <c r="L1251" s="2" t="s">
        <v>22</v>
      </c>
      <c r="M1251" s="4">
        <v>44424</v>
      </c>
      <c r="N1251" s="2" t="s">
        <v>23</v>
      </c>
      <c r="O1251" s="2">
        <f t="shared" si="79"/>
        <v>0</v>
      </c>
      <c r="P1251" s="2" t="s">
        <v>23</v>
      </c>
      <c r="Q1251" s="2" t="s">
        <v>23</v>
      </c>
      <c r="R1251" s="2" t="s">
        <v>23</v>
      </c>
      <c r="S1251" s="2" t="s">
        <v>23</v>
      </c>
      <c r="T1251" s="2" t="s">
        <v>23</v>
      </c>
      <c r="U1251" s="25">
        <f t="shared" si="77"/>
        <v>54950.001251000002</v>
      </c>
    </row>
    <row r="1252" spans="1:21">
      <c r="A1252" s="2" t="s">
        <v>1995</v>
      </c>
      <c r="B1252" s="2" t="s">
        <v>1996</v>
      </c>
      <c r="C1252" s="2" t="s">
        <v>35</v>
      </c>
      <c r="D1252" s="2">
        <v>37</v>
      </c>
      <c r="E1252" s="2" t="str">
        <f t="shared" si="78"/>
        <v>36-45</v>
      </c>
      <c r="F1252" s="2" t="s">
        <v>30</v>
      </c>
      <c r="G1252" s="2" t="s">
        <v>21</v>
      </c>
      <c r="H1252" s="2">
        <v>9</v>
      </c>
      <c r="I1252" s="2" t="str">
        <f t="shared" si="76"/>
        <v>7-12 months</v>
      </c>
      <c r="J1252" s="3">
        <v>899</v>
      </c>
      <c r="K1252" s="3">
        <v>8091</v>
      </c>
      <c r="L1252" s="2" t="s">
        <v>22</v>
      </c>
      <c r="M1252" s="4">
        <v>45652</v>
      </c>
      <c r="N1252" s="2" t="s">
        <v>32</v>
      </c>
      <c r="O1252" s="2">
        <f t="shared" si="79"/>
        <v>1</v>
      </c>
      <c r="P1252" s="2" t="s">
        <v>23</v>
      </c>
      <c r="Q1252" s="2" t="s">
        <v>23</v>
      </c>
      <c r="R1252" s="2" t="s">
        <v>23</v>
      </c>
      <c r="S1252" s="2" t="s">
        <v>23</v>
      </c>
      <c r="T1252" s="2" t="s">
        <v>23</v>
      </c>
      <c r="U1252" s="25">
        <f t="shared" si="77"/>
        <v>8091.001252</v>
      </c>
    </row>
    <row r="1253" spans="1:21">
      <c r="A1253" s="2" t="s">
        <v>1997</v>
      </c>
      <c r="B1253" s="2" t="s">
        <v>1080</v>
      </c>
      <c r="C1253" s="2" t="s">
        <v>19</v>
      </c>
      <c r="D1253" s="2">
        <v>58</v>
      </c>
      <c r="E1253" s="2" t="str">
        <f t="shared" si="78"/>
        <v>46-60</v>
      </c>
      <c r="F1253" s="2" t="s">
        <v>41</v>
      </c>
      <c r="G1253" s="2" t="s">
        <v>21</v>
      </c>
      <c r="H1253" s="2">
        <v>17</v>
      </c>
      <c r="I1253" s="2" t="str">
        <f t="shared" si="76"/>
        <v>13-24 months</v>
      </c>
      <c r="J1253" s="3">
        <v>899</v>
      </c>
      <c r="K1253" s="3">
        <v>15283</v>
      </c>
      <c r="L1253" s="2" t="s">
        <v>22</v>
      </c>
      <c r="M1253" s="4">
        <v>45401</v>
      </c>
      <c r="N1253" s="2" t="s">
        <v>32</v>
      </c>
      <c r="O1253" s="2">
        <f t="shared" si="79"/>
        <v>1</v>
      </c>
      <c r="P1253" s="2" t="s">
        <v>23</v>
      </c>
      <c r="Q1253" s="2" t="s">
        <v>23</v>
      </c>
      <c r="R1253" s="2" t="s">
        <v>23</v>
      </c>
      <c r="S1253" s="2" t="s">
        <v>23</v>
      </c>
      <c r="T1253" s="2" t="s">
        <v>23</v>
      </c>
      <c r="U1253" s="25">
        <f t="shared" si="77"/>
        <v>15283.001253</v>
      </c>
    </row>
    <row r="1254" spans="1:21">
      <c r="A1254" s="2" t="s">
        <v>1998</v>
      </c>
      <c r="B1254" s="2" t="s">
        <v>242</v>
      </c>
      <c r="C1254" s="2" t="s">
        <v>19</v>
      </c>
      <c r="D1254" s="2">
        <v>28</v>
      </c>
      <c r="E1254" s="2" t="str">
        <f t="shared" si="78"/>
        <v>26-35</v>
      </c>
      <c r="F1254" s="2" t="s">
        <v>36</v>
      </c>
      <c r="G1254" s="2" t="s">
        <v>47</v>
      </c>
      <c r="H1254" s="2">
        <v>1</v>
      </c>
      <c r="I1254" s="2" t="str">
        <f t="shared" si="76"/>
        <v>0-6 months</v>
      </c>
      <c r="J1254" s="3">
        <v>1099</v>
      </c>
      <c r="K1254" s="3">
        <v>1099</v>
      </c>
      <c r="L1254" s="2" t="s">
        <v>22</v>
      </c>
      <c r="M1254" s="4">
        <v>45870</v>
      </c>
      <c r="N1254" s="2" t="s">
        <v>32</v>
      </c>
      <c r="O1254" s="2">
        <f t="shared" si="79"/>
        <v>1</v>
      </c>
      <c r="P1254" s="2" t="s">
        <v>23</v>
      </c>
      <c r="Q1254" s="2" t="s">
        <v>23</v>
      </c>
      <c r="R1254" s="2" t="s">
        <v>23</v>
      </c>
      <c r="S1254" s="2" t="s">
        <v>23</v>
      </c>
      <c r="T1254" s="2" t="s">
        <v>23</v>
      </c>
      <c r="U1254" s="25">
        <f t="shared" si="77"/>
        <v>1099.001254</v>
      </c>
    </row>
    <row r="1255" spans="1:21">
      <c r="A1255" s="2" t="s">
        <v>1999</v>
      </c>
      <c r="B1255" s="2" t="s">
        <v>2000</v>
      </c>
      <c r="C1255" s="2" t="s">
        <v>35</v>
      </c>
      <c r="D1255" s="2">
        <v>30</v>
      </c>
      <c r="E1255" s="2" t="str">
        <f t="shared" si="78"/>
        <v>26-35</v>
      </c>
      <c r="F1255" s="2" t="s">
        <v>71</v>
      </c>
      <c r="G1255" s="2" t="s">
        <v>27</v>
      </c>
      <c r="H1255" s="2">
        <v>14</v>
      </c>
      <c r="I1255" s="2" t="str">
        <f t="shared" si="76"/>
        <v>13-24 months</v>
      </c>
      <c r="J1255" s="3">
        <v>699</v>
      </c>
      <c r="K1255" s="3">
        <v>9786</v>
      </c>
      <c r="L1255" s="2" t="s">
        <v>31</v>
      </c>
      <c r="M1255" s="4">
        <v>45490</v>
      </c>
      <c r="N1255" s="2" t="s">
        <v>23</v>
      </c>
      <c r="O1255" s="2">
        <f t="shared" si="79"/>
        <v>0</v>
      </c>
      <c r="P1255" s="2" t="s">
        <v>23</v>
      </c>
      <c r="Q1255" s="2" t="s">
        <v>23</v>
      </c>
      <c r="R1255" s="2" t="s">
        <v>23</v>
      </c>
      <c r="S1255" s="2" t="s">
        <v>23</v>
      </c>
      <c r="T1255" s="2" t="s">
        <v>23</v>
      </c>
      <c r="U1255" s="25">
        <f t="shared" si="77"/>
        <v>9786.0012549999992</v>
      </c>
    </row>
    <row r="1256" spans="1:21">
      <c r="A1256" s="2" t="s">
        <v>2001</v>
      </c>
      <c r="B1256" s="2" t="s">
        <v>492</v>
      </c>
      <c r="C1256" s="2" t="s">
        <v>19</v>
      </c>
      <c r="D1256" s="2">
        <v>47</v>
      </c>
      <c r="E1256" s="2" t="str">
        <f t="shared" si="78"/>
        <v>46-60</v>
      </c>
      <c r="F1256" s="2" t="s">
        <v>110</v>
      </c>
      <c r="G1256" s="2" t="s">
        <v>21</v>
      </c>
      <c r="H1256" s="2">
        <v>15</v>
      </c>
      <c r="I1256" s="2" t="str">
        <f t="shared" si="76"/>
        <v>13-24 months</v>
      </c>
      <c r="J1256" s="3">
        <v>599</v>
      </c>
      <c r="K1256" s="3">
        <v>8985</v>
      </c>
      <c r="L1256" s="2" t="s">
        <v>31</v>
      </c>
      <c r="M1256" s="4">
        <v>45450</v>
      </c>
      <c r="N1256" s="2" t="s">
        <v>23</v>
      </c>
      <c r="O1256" s="2">
        <f t="shared" si="79"/>
        <v>0</v>
      </c>
      <c r="P1256" s="2" t="s">
        <v>32</v>
      </c>
      <c r="Q1256" s="2" t="s">
        <v>23</v>
      </c>
      <c r="R1256" s="2" t="s">
        <v>23</v>
      </c>
      <c r="S1256" s="2" t="s">
        <v>23</v>
      </c>
      <c r="T1256" s="2" t="s">
        <v>23</v>
      </c>
      <c r="U1256" s="25">
        <f t="shared" si="77"/>
        <v>8985.0012559999996</v>
      </c>
    </row>
    <row r="1257" spans="1:21">
      <c r="A1257" s="2" t="s">
        <v>2002</v>
      </c>
      <c r="B1257" s="2" t="s">
        <v>37</v>
      </c>
      <c r="C1257" s="2" t="s">
        <v>19</v>
      </c>
      <c r="D1257" s="2">
        <v>24</v>
      </c>
      <c r="E1257" s="2" t="str">
        <f t="shared" si="78"/>
        <v>18-25</v>
      </c>
      <c r="F1257" s="2" t="s">
        <v>30</v>
      </c>
      <c r="G1257" s="2" t="s">
        <v>27</v>
      </c>
      <c r="H1257" s="2">
        <v>11</v>
      </c>
      <c r="I1257" s="2" t="str">
        <f t="shared" si="76"/>
        <v>7-12 months</v>
      </c>
      <c r="J1257" s="3">
        <v>1099</v>
      </c>
      <c r="K1257" s="3">
        <v>12089</v>
      </c>
      <c r="L1257" s="2" t="s">
        <v>22</v>
      </c>
      <c r="M1257" s="4">
        <v>45579</v>
      </c>
      <c r="N1257" s="2" t="s">
        <v>23</v>
      </c>
      <c r="O1257" s="2">
        <f t="shared" si="79"/>
        <v>0</v>
      </c>
      <c r="P1257" s="2" t="s">
        <v>23</v>
      </c>
      <c r="Q1257" s="2" t="s">
        <v>23</v>
      </c>
      <c r="R1257" s="2" t="s">
        <v>23</v>
      </c>
      <c r="S1257" s="2" t="s">
        <v>23</v>
      </c>
      <c r="T1257" s="2" t="s">
        <v>23</v>
      </c>
      <c r="U1257" s="25">
        <f t="shared" si="77"/>
        <v>12089.001257</v>
      </c>
    </row>
    <row r="1258" spans="1:21">
      <c r="A1258" s="2" t="s">
        <v>2003</v>
      </c>
      <c r="B1258" s="2" t="s">
        <v>1631</v>
      </c>
      <c r="C1258" s="2" t="s">
        <v>35</v>
      </c>
      <c r="D1258" s="2">
        <v>53</v>
      </c>
      <c r="E1258" s="2" t="str">
        <f t="shared" si="78"/>
        <v>46-60</v>
      </c>
      <c r="F1258" s="2" t="s">
        <v>57</v>
      </c>
      <c r="G1258" s="2" t="s">
        <v>21</v>
      </c>
      <c r="H1258" s="2">
        <v>4</v>
      </c>
      <c r="I1258" s="2" t="str">
        <f t="shared" si="76"/>
        <v>0-6 months</v>
      </c>
      <c r="J1258" s="3">
        <v>1149</v>
      </c>
      <c r="K1258" s="3">
        <v>4596</v>
      </c>
      <c r="L1258" s="2" t="s">
        <v>22</v>
      </c>
      <c r="M1258" s="4">
        <v>45797</v>
      </c>
      <c r="N1258" s="2" t="s">
        <v>32</v>
      </c>
      <c r="O1258" s="2">
        <f t="shared" si="79"/>
        <v>1</v>
      </c>
      <c r="P1258" s="2" t="s">
        <v>23</v>
      </c>
      <c r="Q1258" s="2" t="s">
        <v>23</v>
      </c>
      <c r="R1258" s="2" t="s">
        <v>23</v>
      </c>
      <c r="S1258" s="2" t="s">
        <v>32</v>
      </c>
      <c r="T1258" s="2" t="s">
        <v>23</v>
      </c>
      <c r="U1258" s="25">
        <f t="shared" si="77"/>
        <v>4596.0012580000002</v>
      </c>
    </row>
    <row r="1259" spans="1:21">
      <c r="A1259" s="2" t="s">
        <v>2004</v>
      </c>
      <c r="B1259" s="2" t="s">
        <v>356</v>
      </c>
      <c r="C1259" s="2" t="s">
        <v>19</v>
      </c>
      <c r="D1259" s="2">
        <v>30</v>
      </c>
      <c r="E1259" s="2" t="str">
        <f t="shared" si="78"/>
        <v>26-35</v>
      </c>
      <c r="F1259" s="2" t="s">
        <v>110</v>
      </c>
      <c r="G1259" s="2" t="s">
        <v>21</v>
      </c>
      <c r="H1259" s="2">
        <v>16</v>
      </c>
      <c r="I1259" s="2" t="str">
        <f t="shared" si="76"/>
        <v>13-24 months</v>
      </c>
      <c r="J1259" s="3">
        <v>1299</v>
      </c>
      <c r="K1259" s="3">
        <v>20784</v>
      </c>
      <c r="L1259" s="2" t="s">
        <v>22</v>
      </c>
      <c r="M1259" s="4">
        <v>45432</v>
      </c>
      <c r="N1259" s="2" t="s">
        <v>32</v>
      </c>
      <c r="O1259" s="2">
        <f t="shared" si="79"/>
        <v>1</v>
      </c>
      <c r="P1259" s="2" t="s">
        <v>23</v>
      </c>
      <c r="Q1259" s="2" t="s">
        <v>23</v>
      </c>
      <c r="R1259" s="2" t="s">
        <v>23</v>
      </c>
      <c r="S1259" s="2" t="s">
        <v>23</v>
      </c>
      <c r="T1259" s="2" t="s">
        <v>23</v>
      </c>
      <c r="U1259" s="25">
        <f t="shared" si="77"/>
        <v>20784.001259000001</v>
      </c>
    </row>
    <row r="1260" spans="1:21">
      <c r="A1260" s="2" t="s">
        <v>2005</v>
      </c>
      <c r="B1260" s="2" t="s">
        <v>693</v>
      </c>
      <c r="C1260" s="2" t="s">
        <v>19</v>
      </c>
      <c r="D1260" s="2">
        <v>54</v>
      </c>
      <c r="E1260" s="2" t="str">
        <f t="shared" si="78"/>
        <v>46-60</v>
      </c>
      <c r="F1260" s="2" t="s">
        <v>91</v>
      </c>
      <c r="G1260" s="2" t="s">
        <v>27</v>
      </c>
      <c r="H1260" s="2">
        <v>35</v>
      </c>
      <c r="I1260" s="2" t="str">
        <f t="shared" si="76"/>
        <v>25-48 months</v>
      </c>
      <c r="J1260" s="3">
        <v>999</v>
      </c>
      <c r="K1260" s="3">
        <v>34965</v>
      </c>
      <c r="L1260" s="2" t="s">
        <v>22</v>
      </c>
      <c r="M1260" s="4">
        <v>44864</v>
      </c>
      <c r="N1260" s="2" t="s">
        <v>23</v>
      </c>
      <c r="O1260" s="2">
        <f t="shared" si="79"/>
        <v>0</v>
      </c>
      <c r="P1260" s="2" t="s">
        <v>23</v>
      </c>
      <c r="Q1260" s="2" t="s">
        <v>23</v>
      </c>
      <c r="R1260" s="2" t="s">
        <v>23</v>
      </c>
      <c r="S1260" s="2" t="s">
        <v>23</v>
      </c>
      <c r="T1260" s="2" t="s">
        <v>23</v>
      </c>
      <c r="U1260" s="25">
        <f t="shared" si="77"/>
        <v>34965.001259999997</v>
      </c>
    </row>
    <row r="1261" spans="1:21">
      <c r="A1261" s="2" t="s">
        <v>2006</v>
      </c>
      <c r="B1261" s="2" t="s">
        <v>2007</v>
      </c>
      <c r="C1261" s="2" t="s">
        <v>19</v>
      </c>
      <c r="D1261" s="2">
        <v>45</v>
      </c>
      <c r="E1261" s="2" t="str">
        <f t="shared" si="78"/>
        <v>36-45</v>
      </c>
      <c r="F1261" s="2" t="s">
        <v>105</v>
      </c>
      <c r="G1261" s="2" t="s">
        <v>21</v>
      </c>
      <c r="H1261" s="2">
        <v>1</v>
      </c>
      <c r="I1261" s="2" t="str">
        <f t="shared" si="76"/>
        <v>0-6 months</v>
      </c>
      <c r="J1261" s="3">
        <v>749</v>
      </c>
      <c r="K1261" s="3">
        <v>749</v>
      </c>
      <c r="L1261" s="2" t="s">
        <v>31</v>
      </c>
      <c r="M1261" s="4">
        <v>45879</v>
      </c>
      <c r="N1261" s="2" t="s">
        <v>32</v>
      </c>
      <c r="O1261" s="2">
        <f t="shared" si="79"/>
        <v>1</v>
      </c>
      <c r="P1261" s="2" t="s">
        <v>23</v>
      </c>
      <c r="Q1261" s="2" t="s">
        <v>23</v>
      </c>
      <c r="R1261" s="2" t="s">
        <v>23</v>
      </c>
      <c r="S1261" s="2" t="s">
        <v>23</v>
      </c>
      <c r="T1261" s="2" t="s">
        <v>23</v>
      </c>
      <c r="U1261" s="25">
        <f t="shared" si="77"/>
        <v>749.001261</v>
      </c>
    </row>
    <row r="1262" spans="1:21">
      <c r="A1262" s="2" t="s">
        <v>2008</v>
      </c>
      <c r="B1262" s="2" t="s">
        <v>1103</v>
      </c>
      <c r="C1262" s="2" t="s">
        <v>35</v>
      </c>
      <c r="D1262" s="2">
        <v>68</v>
      </c>
      <c r="E1262" s="2" t="str">
        <f t="shared" si="78"/>
        <v>60+</v>
      </c>
      <c r="F1262" s="2" t="s">
        <v>110</v>
      </c>
      <c r="G1262" s="2" t="s">
        <v>21</v>
      </c>
      <c r="H1262" s="2">
        <v>2</v>
      </c>
      <c r="I1262" s="2" t="str">
        <f t="shared" si="76"/>
        <v>0-6 months</v>
      </c>
      <c r="J1262" s="3">
        <v>1299</v>
      </c>
      <c r="K1262" s="3">
        <v>2598</v>
      </c>
      <c r="L1262" s="2" t="s">
        <v>22</v>
      </c>
      <c r="M1262" s="4">
        <v>45866</v>
      </c>
      <c r="N1262" s="2" t="s">
        <v>32</v>
      </c>
      <c r="O1262" s="2">
        <f t="shared" si="79"/>
        <v>1</v>
      </c>
      <c r="P1262" s="2" t="s">
        <v>23</v>
      </c>
      <c r="Q1262" s="2" t="s">
        <v>23</v>
      </c>
      <c r="R1262" s="2" t="s">
        <v>23</v>
      </c>
      <c r="S1262" s="2" t="s">
        <v>23</v>
      </c>
      <c r="T1262" s="2" t="s">
        <v>23</v>
      </c>
      <c r="U1262" s="25">
        <f t="shared" si="77"/>
        <v>2598.0012620000002</v>
      </c>
    </row>
    <row r="1263" spans="1:21">
      <c r="A1263" s="2" t="s">
        <v>2009</v>
      </c>
      <c r="B1263" s="2" t="s">
        <v>2010</v>
      </c>
      <c r="C1263" s="2" t="s">
        <v>35</v>
      </c>
      <c r="D1263" s="2">
        <v>75</v>
      </c>
      <c r="E1263" s="2" t="str">
        <f t="shared" si="78"/>
        <v>60+</v>
      </c>
      <c r="F1263" s="2" t="s">
        <v>91</v>
      </c>
      <c r="G1263" s="2" t="s">
        <v>21</v>
      </c>
      <c r="H1263" s="2">
        <v>24</v>
      </c>
      <c r="I1263" s="2" t="str">
        <f t="shared" si="76"/>
        <v>13-24 months</v>
      </c>
      <c r="J1263" s="3">
        <v>1149</v>
      </c>
      <c r="K1263" s="3">
        <v>27576</v>
      </c>
      <c r="L1263" s="2" t="s">
        <v>22</v>
      </c>
      <c r="M1263" s="4">
        <v>45199</v>
      </c>
      <c r="N1263" s="2" t="s">
        <v>32</v>
      </c>
      <c r="O1263" s="2">
        <f t="shared" si="79"/>
        <v>1</v>
      </c>
      <c r="P1263" s="2" t="s">
        <v>23</v>
      </c>
      <c r="Q1263" s="2" t="s">
        <v>23</v>
      </c>
      <c r="R1263" s="2" t="s">
        <v>23</v>
      </c>
      <c r="S1263" s="2" t="s">
        <v>23</v>
      </c>
      <c r="T1263" s="2" t="s">
        <v>23</v>
      </c>
      <c r="U1263" s="25">
        <f t="shared" si="77"/>
        <v>27576.001262999998</v>
      </c>
    </row>
    <row r="1264" spans="1:21">
      <c r="A1264" s="2" t="s">
        <v>2011</v>
      </c>
      <c r="B1264" s="2" t="s">
        <v>312</v>
      </c>
      <c r="C1264" s="2" t="s">
        <v>35</v>
      </c>
      <c r="D1264" s="2">
        <v>52</v>
      </c>
      <c r="E1264" s="2" t="str">
        <f t="shared" si="78"/>
        <v>46-60</v>
      </c>
      <c r="F1264" s="2" t="s">
        <v>36</v>
      </c>
      <c r="G1264" s="2" t="s">
        <v>47</v>
      </c>
      <c r="H1264" s="2">
        <v>56</v>
      </c>
      <c r="I1264" s="2" t="str">
        <f t="shared" si="76"/>
        <v>49+ months</v>
      </c>
      <c r="J1264" s="3">
        <v>1149</v>
      </c>
      <c r="K1264" s="3">
        <v>64344</v>
      </c>
      <c r="L1264" s="2" t="s">
        <v>22</v>
      </c>
      <c r="M1264" s="4">
        <v>44232</v>
      </c>
      <c r="N1264" s="2" t="s">
        <v>23</v>
      </c>
      <c r="O1264" s="2">
        <f t="shared" si="79"/>
        <v>0</v>
      </c>
      <c r="P1264" s="2" t="s">
        <v>23</v>
      </c>
      <c r="Q1264" s="2" t="s">
        <v>23</v>
      </c>
      <c r="R1264" s="2" t="s">
        <v>23</v>
      </c>
      <c r="S1264" s="2" t="s">
        <v>23</v>
      </c>
      <c r="T1264" s="2" t="s">
        <v>23</v>
      </c>
      <c r="U1264" s="25">
        <f t="shared" si="77"/>
        <v>64344.001263999999</v>
      </c>
    </row>
    <row r="1265" spans="1:21">
      <c r="A1265" s="2" t="s">
        <v>2012</v>
      </c>
      <c r="B1265" s="2" t="s">
        <v>1634</v>
      </c>
      <c r="C1265" s="2" t="s">
        <v>35</v>
      </c>
      <c r="D1265" s="2">
        <v>24</v>
      </c>
      <c r="E1265" s="2" t="str">
        <f t="shared" si="78"/>
        <v>18-25</v>
      </c>
      <c r="F1265" s="2" t="s">
        <v>60</v>
      </c>
      <c r="G1265" s="2" t="s">
        <v>37</v>
      </c>
      <c r="H1265" s="2">
        <v>41</v>
      </c>
      <c r="I1265" s="2" t="str">
        <f t="shared" si="76"/>
        <v>25-48 months</v>
      </c>
      <c r="J1265" s="3">
        <v>399</v>
      </c>
      <c r="K1265" s="3">
        <v>16359</v>
      </c>
      <c r="L1265" s="2" t="s">
        <v>66</v>
      </c>
      <c r="M1265" s="4">
        <v>44680</v>
      </c>
      <c r="N1265" s="2" t="s">
        <v>23</v>
      </c>
      <c r="O1265" s="2">
        <f t="shared" si="79"/>
        <v>0</v>
      </c>
      <c r="P1265" s="2" t="s">
        <v>23</v>
      </c>
      <c r="Q1265" s="2" t="s">
        <v>23</v>
      </c>
      <c r="R1265" s="2" t="s">
        <v>23</v>
      </c>
      <c r="S1265" s="2" t="s">
        <v>23</v>
      </c>
      <c r="T1265" s="2" t="s">
        <v>23</v>
      </c>
      <c r="U1265" s="25">
        <f t="shared" si="77"/>
        <v>16359.001265000001</v>
      </c>
    </row>
    <row r="1266" spans="1:21">
      <c r="A1266" s="2" t="s">
        <v>2013</v>
      </c>
      <c r="B1266" s="2" t="s">
        <v>538</v>
      </c>
      <c r="C1266" s="2" t="s">
        <v>19</v>
      </c>
      <c r="D1266" s="2">
        <v>31</v>
      </c>
      <c r="E1266" s="2" t="str">
        <f t="shared" si="78"/>
        <v>26-35</v>
      </c>
      <c r="F1266" s="2" t="s">
        <v>141</v>
      </c>
      <c r="G1266" s="2" t="s">
        <v>21</v>
      </c>
      <c r="H1266" s="2">
        <v>8</v>
      </c>
      <c r="I1266" s="2" t="str">
        <f t="shared" si="76"/>
        <v>7-12 months</v>
      </c>
      <c r="J1266" s="3">
        <v>849</v>
      </c>
      <c r="K1266" s="3">
        <v>6792</v>
      </c>
      <c r="L1266" s="2" t="s">
        <v>31</v>
      </c>
      <c r="M1266" s="4">
        <v>45676</v>
      </c>
      <c r="N1266" s="2" t="s">
        <v>23</v>
      </c>
      <c r="O1266" s="2">
        <f t="shared" si="79"/>
        <v>0</v>
      </c>
      <c r="P1266" s="2" t="s">
        <v>23</v>
      </c>
      <c r="Q1266" s="2" t="s">
        <v>23</v>
      </c>
      <c r="R1266" s="2" t="s">
        <v>23</v>
      </c>
      <c r="S1266" s="2" t="s">
        <v>23</v>
      </c>
      <c r="T1266" s="2" t="s">
        <v>23</v>
      </c>
      <c r="U1266" s="25">
        <f t="shared" si="77"/>
        <v>6792.0012660000002</v>
      </c>
    </row>
    <row r="1267" spans="1:21">
      <c r="A1267" s="2" t="s">
        <v>2014</v>
      </c>
      <c r="B1267" s="2" t="s">
        <v>1406</v>
      </c>
      <c r="C1267" s="2" t="s">
        <v>19</v>
      </c>
      <c r="D1267" s="2">
        <v>20</v>
      </c>
      <c r="E1267" s="2" t="str">
        <f t="shared" si="78"/>
        <v>18-25</v>
      </c>
      <c r="F1267" s="2" t="s">
        <v>63</v>
      </c>
      <c r="G1267" s="2" t="s">
        <v>21</v>
      </c>
      <c r="H1267" s="2">
        <v>22</v>
      </c>
      <c r="I1267" s="2" t="str">
        <f t="shared" si="76"/>
        <v>13-24 months</v>
      </c>
      <c r="J1267" s="3">
        <v>699</v>
      </c>
      <c r="K1267" s="3">
        <v>15378</v>
      </c>
      <c r="L1267" s="2" t="s">
        <v>31</v>
      </c>
      <c r="M1267" s="4">
        <v>45240</v>
      </c>
      <c r="N1267" s="2" t="s">
        <v>23</v>
      </c>
      <c r="O1267" s="2">
        <f t="shared" si="79"/>
        <v>0</v>
      </c>
      <c r="P1267" s="2" t="s">
        <v>23</v>
      </c>
      <c r="Q1267" s="2" t="s">
        <v>23</v>
      </c>
      <c r="R1267" s="2" t="s">
        <v>23</v>
      </c>
      <c r="S1267" s="2" t="s">
        <v>32</v>
      </c>
      <c r="T1267" s="2" t="s">
        <v>23</v>
      </c>
      <c r="U1267" s="25">
        <f t="shared" si="77"/>
        <v>15378.001267</v>
      </c>
    </row>
    <row r="1268" spans="1:21">
      <c r="A1268" s="2" t="s">
        <v>2015</v>
      </c>
      <c r="B1268" s="2" t="s">
        <v>592</v>
      </c>
      <c r="C1268" s="2" t="s">
        <v>35</v>
      </c>
      <c r="D1268" s="2">
        <v>65</v>
      </c>
      <c r="E1268" s="2" t="str">
        <f t="shared" si="78"/>
        <v>60+</v>
      </c>
      <c r="F1268" s="2" t="s">
        <v>46</v>
      </c>
      <c r="G1268" s="2" t="s">
        <v>21</v>
      </c>
      <c r="H1268" s="2">
        <v>14</v>
      </c>
      <c r="I1268" s="2" t="str">
        <f t="shared" si="76"/>
        <v>13-24 months</v>
      </c>
      <c r="J1268" s="3">
        <v>749</v>
      </c>
      <c r="K1268" s="3">
        <v>10486</v>
      </c>
      <c r="L1268" s="2" t="s">
        <v>31</v>
      </c>
      <c r="M1268" s="4">
        <v>45493</v>
      </c>
      <c r="N1268" s="2" t="s">
        <v>23</v>
      </c>
      <c r="O1268" s="2">
        <f t="shared" si="79"/>
        <v>0</v>
      </c>
      <c r="P1268" s="2" t="s">
        <v>23</v>
      </c>
      <c r="Q1268" s="2" t="s">
        <v>23</v>
      </c>
      <c r="R1268" s="2" t="s">
        <v>23</v>
      </c>
      <c r="S1268" s="2" t="s">
        <v>23</v>
      </c>
      <c r="T1268" s="2" t="s">
        <v>23</v>
      </c>
      <c r="U1268" s="25">
        <f t="shared" si="77"/>
        <v>10486.001268</v>
      </c>
    </row>
    <row r="1269" spans="1:21">
      <c r="A1269" s="2" t="s">
        <v>2016</v>
      </c>
      <c r="B1269" s="2" t="s">
        <v>433</v>
      </c>
      <c r="C1269" s="2" t="s">
        <v>35</v>
      </c>
      <c r="D1269" s="2">
        <v>58</v>
      </c>
      <c r="E1269" s="2" t="str">
        <f t="shared" si="78"/>
        <v>46-60</v>
      </c>
      <c r="F1269" s="2" t="s">
        <v>141</v>
      </c>
      <c r="G1269" s="2" t="s">
        <v>21</v>
      </c>
      <c r="H1269" s="2">
        <v>15</v>
      </c>
      <c r="I1269" s="2" t="str">
        <f t="shared" si="76"/>
        <v>13-24 months</v>
      </c>
      <c r="J1269" s="3">
        <v>1199</v>
      </c>
      <c r="K1269" s="3">
        <v>17985</v>
      </c>
      <c r="L1269" s="2" t="s">
        <v>22</v>
      </c>
      <c r="M1269" s="4">
        <v>45475</v>
      </c>
      <c r="N1269" s="2" t="s">
        <v>32</v>
      </c>
      <c r="O1269" s="2">
        <f t="shared" si="79"/>
        <v>1</v>
      </c>
      <c r="P1269" s="2" t="s">
        <v>23</v>
      </c>
      <c r="Q1269" s="2" t="s">
        <v>23</v>
      </c>
      <c r="R1269" s="2" t="s">
        <v>23</v>
      </c>
      <c r="S1269" s="2" t="s">
        <v>23</v>
      </c>
      <c r="T1269" s="2" t="s">
        <v>23</v>
      </c>
      <c r="U1269" s="25">
        <f t="shared" si="77"/>
        <v>17985.001269</v>
      </c>
    </row>
    <row r="1270" spans="1:21">
      <c r="A1270" s="2" t="s">
        <v>2017</v>
      </c>
      <c r="B1270" s="2" t="s">
        <v>350</v>
      </c>
      <c r="C1270" s="2" t="s">
        <v>37</v>
      </c>
      <c r="D1270" s="2">
        <v>22</v>
      </c>
      <c r="E1270" s="2" t="str">
        <f t="shared" si="78"/>
        <v>18-25</v>
      </c>
      <c r="F1270" s="2" t="s">
        <v>63</v>
      </c>
      <c r="G1270" s="2" t="s">
        <v>21</v>
      </c>
      <c r="H1270" s="2">
        <v>24</v>
      </c>
      <c r="I1270" s="2" t="str">
        <f t="shared" si="76"/>
        <v>13-24 months</v>
      </c>
      <c r="J1270" s="3">
        <v>699</v>
      </c>
      <c r="K1270" s="3">
        <v>16776</v>
      </c>
      <c r="L1270" s="2" t="s">
        <v>31</v>
      </c>
      <c r="M1270" s="4">
        <v>45199</v>
      </c>
      <c r="N1270" s="2" t="s">
        <v>32</v>
      </c>
      <c r="O1270" s="2">
        <f t="shared" si="79"/>
        <v>1</v>
      </c>
      <c r="P1270" s="2" t="s">
        <v>23</v>
      </c>
      <c r="Q1270" s="2" t="s">
        <v>32</v>
      </c>
      <c r="R1270" s="2" t="s">
        <v>23</v>
      </c>
      <c r="S1270" s="2" t="s">
        <v>23</v>
      </c>
      <c r="T1270" s="2" t="s">
        <v>23</v>
      </c>
      <c r="U1270" s="25">
        <f t="shared" si="77"/>
        <v>16776.001270000001</v>
      </c>
    </row>
    <row r="1271" spans="1:21">
      <c r="A1271" s="2" t="s">
        <v>2018</v>
      </c>
      <c r="B1271" s="2" t="s">
        <v>2019</v>
      </c>
      <c r="C1271" s="2" t="s">
        <v>35</v>
      </c>
      <c r="D1271" s="2">
        <v>24</v>
      </c>
      <c r="E1271" s="2" t="str">
        <f t="shared" si="78"/>
        <v>18-25</v>
      </c>
      <c r="F1271" s="2" t="s">
        <v>110</v>
      </c>
      <c r="G1271" s="2" t="s">
        <v>21</v>
      </c>
      <c r="H1271" s="2">
        <v>7</v>
      </c>
      <c r="I1271" s="2" t="str">
        <f t="shared" si="76"/>
        <v>7-12 months</v>
      </c>
      <c r="J1271" s="3">
        <v>499</v>
      </c>
      <c r="K1271" s="3">
        <v>3493</v>
      </c>
      <c r="L1271" s="2" t="s">
        <v>66</v>
      </c>
      <c r="M1271" s="4">
        <v>45702</v>
      </c>
      <c r="N1271" s="2" t="s">
        <v>32</v>
      </c>
      <c r="O1271" s="2">
        <f t="shared" si="79"/>
        <v>1</v>
      </c>
      <c r="P1271" s="2" t="s">
        <v>23</v>
      </c>
      <c r="Q1271" s="2" t="s">
        <v>23</v>
      </c>
      <c r="R1271" s="2" t="s">
        <v>32</v>
      </c>
      <c r="S1271" s="2" t="s">
        <v>23</v>
      </c>
      <c r="T1271" s="2" t="s">
        <v>23</v>
      </c>
      <c r="U1271" s="25">
        <f t="shared" si="77"/>
        <v>3493.0012710000001</v>
      </c>
    </row>
    <row r="1272" spans="1:21">
      <c r="A1272" s="2" t="s">
        <v>2020</v>
      </c>
      <c r="B1272" s="2" t="s">
        <v>2021</v>
      </c>
      <c r="C1272" s="2" t="s">
        <v>19</v>
      </c>
      <c r="D1272" s="2">
        <v>24</v>
      </c>
      <c r="E1272" s="2" t="str">
        <f t="shared" si="78"/>
        <v>18-25</v>
      </c>
      <c r="F1272" s="2" t="s">
        <v>41</v>
      </c>
      <c r="G1272" s="2" t="s">
        <v>21</v>
      </c>
      <c r="H1272" s="2">
        <v>6</v>
      </c>
      <c r="I1272" s="2" t="str">
        <f t="shared" si="76"/>
        <v>0-6 months</v>
      </c>
      <c r="J1272" s="3">
        <v>349</v>
      </c>
      <c r="K1272" s="3">
        <v>2094</v>
      </c>
      <c r="L1272" s="2" t="s">
        <v>66</v>
      </c>
      <c r="M1272" s="4">
        <v>45729</v>
      </c>
      <c r="N1272" s="2" t="s">
        <v>32</v>
      </c>
      <c r="O1272" s="2">
        <f t="shared" si="79"/>
        <v>1</v>
      </c>
      <c r="P1272" s="2" t="s">
        <v>23</v>
      </c>
      <c r="Q1272" s="2" t="s">
        <v>23</v>
      </c>
      <c r="R1272" s="2" t="s">
        <v>23</v>
      </c>
      <c r="S1272" s="2" t="s">
        <v>23</v>
      </c>
      <c r="T1272" s="2" t="s">
        <v>23</v>
      </c>
      <c r="U1272" s="25">
        <f t="shared" si="77"/>
        <v>2094.001272</v>
      </c>
    </row>
    <row r="1273" spans="1:21">
      <c r="A1273" s="2" t="s">
        <v>2022</v>
      </c>
      <c r="B1273" s="2" t="s">
        <v>2023</v>
      </c>
      <c r="C1273" s="2" t="s">
        <v>35</v>
      </c>
      <c r="D1273" s="2">
        <v>27</v>
      </c>
      <c r="E1273" s="2" t="str">
        <f t="shared" si="78"/>
        <v>26-35</v>
      </c>
      <c r="F1273" s="2" t="s">
        <v>60</v>
      </c>
      <c r="G1273" s="2" t="s">
        <v>27</v>
      </c>
      <c r="H1273" s="2">
        <v>33</v>
      </c>
      <c r="I1273" s="2" t="str">
        <f t="shared" si="76"/>
        <v>25-48 months</v>
      </c>
      <c r="J1273" s="3">
        <v>899</v>
      </c>
      <c r="K1273" s="3">
        <v>29667</v>
      </c>
      <c r="L1273" s="2" t="s">
        <v>31</v>
      </c>
      <c r="M1273" s="4">
        <v>44937</v>
      </c>
      <c r="N1273" s="2" t="s">
        <v>23</v>
      </c>
      <c r="O1273" s="2">
        <f t="shared" si="79"/>
        <v>0</v>
      </c>
      <c r="P1273" s="2" t="s">
        <v>23</v>
      </c>
      <c r="Q1273" s="2" t="s">
        <v>23</v>
      </c>
      <c r="R1273" s="2" t="s">
        <v>23</v>
      </c>
      <c r="S1273" s="2" t="s">
        <v>23</v>
      </c>
      <c r="T1273" s="2" t="s">
        <v>23</v>
      </c>
      <c r="U1273" s="25">
        <f t="shared" si="77"/>
        <v>29667.001273000002</v>
      </c>
    </row>
    <row r="1274" spans="1:21">
      <c r="A1274" s="2" t="s">
        <v>2024</v>
      </c>
      <c r="B1274" s="2" t="s">
        <v>1086</v>
      </c>
      <c r="C1274" s="2" t="s">
        <v>19</v>
      </c>
      <c r="D1274" s="2">
        <v>73</v>
      </c>
      <c r="E1274" s="2" t="str">
        <f t="shared" si="78"/>
        <v>60+</v>
      </c>
      <c r="F1274" s="2" t="s">
        <v>46</v>
      </c>
      <c r="G1274" s="2" t="s">
        <v>47</v>
      </c>
      <c r="H1274" s="2">
        <v>26</v>
      </c>
      <c r="I1274" s="2" t="str">
        <f t="shared" si="76"/>
        <v>25-48 months</v>
      </c>
      <c r="J1274" s="3">
        <v>899</v>
      </c>
      <c r="K1274" s="3">
        <v>23374</v>
      </c>
      <c r="L1274" s="2" t="s">
        <v>22</v>
      </c>
      <c r="M1274" s="4">
        <v>45139</v>
      </c>
      <c r="N1274" s="2" t="s">
        <v>23</v>
      </c>
      <c r="O1274" s="2">
        <f t="shared" si="79"/>
        <v>0</v>
      </c>
      <c r="P1274" s="2" t="s">
        <v>23</v>
      </c>
      <c r="Q1274" s="2" t="s">
        <v>23</v>
      </c>
      <c r="R1274" s="2" t="s">
        <v>23</v>
      </c>
      <c r="S1274" s="2" t="s">
        <v>23</v>
      </c>
      <c r="T1274" s="2" t="s">
        <v>23</v>
      </c>
      <c r="U1274" s="25">
        <f t="shared" si="77"/>
        <v>23374.001273999998</v>
      </c>
    </row>
    <row r="1275" spans="1:21">
      <c r="A1275" s="2" t="s">
        <v>2025</v>
      </c>
      <c r="B1275" s="2" t="s">
        <v>1210</v>
      </c>
      <c r="C1275" s="2" t="s">
        <v>19</v>
      </c>
      <c r="D1275" s="2">
        <v>58</v>
      </c>
      <c r="E1275" s="2" t="str">
        <f t="shared" si="78"/>
        <v>46-60</v>
      </c>
      <c r="F1275" s="2" t="s">
        <v>20</v>
      </c>
      <c r="G1275" s="2" t="s">
        <v>21</v>
      </c>
      <c r="H1275" s="2">
        <v>1</v>
      </c>
      <c r="I1275" s="2" t="str">
        <f t="shared" si="76"/>
        <v>0-6 months</v>
      </c>
      <c r="J1275" s="3">
        <v>1099</v>
      </c>
      <c r="K1275" s="3">
        <v>1099</v>
      </c>
      <c r="L1275" s="2" t="s">
        <v>22</v>
      </c>
      <c r="M1275" s="4">
        <v>45879</v>
      </c>
      <c r="N1275" s="2" t="s">
        <v>23</v>
      </c>
      <c r="O1275" s="2">
        <f t="shared" si="79"/>
        <v>0</v>
      </c>
      <c r="P1275" s="2" t="s">
        <v>23</v>
      </c>
      <c r="Q1275" s="2" t="s">
        <v>23</v>
      </c>
      <c r="R1275" s="2" t="s">
        <v>23</v>
      </c>
      <c r="S1275" s="2" t="s">
        <v>23</v>
      </c>
      <c r="T1275" s="2" t="s">
        <v>23</v>
      </c>
      <c r="U1275" s="25">
        <f t="shared" si="77"/>
        <v>1099.0012750000001</v>
      </c>
    </row>
    <row r="1276" spans="1:21">
      <c r="A1276" s="2" t="s">
        <v>2026</v>
      </c>
      <c r="B1276" s="2" t="s">
        <v>965</v>
      </c>
      <c r="C1276" s="2" t="s">
        <v>35</v>
      </c>
      <c r="D1276" s="2">
        <v>47</v>
      </c>
      <c r="E1276" s="2" t="str">
        <f t="shared" si="78"/>
        <v>46-60</v>
      </c>
      <c r="F1276" s="2" t="s">
        <v>26</v>
      </c>
      <c r="G1276" s="2" t="s">
        <v>47</v>
      </c>
      <c r="H1276" s="2">
        <v>9</v>
      </c>
      <c r="I1276" s="2" t="str">
        <f t="shared" si="76"/>
        <v>7-12 months</v>
      </c>
      <c r="J1276" s="3">
        <v>749</v>
      </c>
      <c r="K1276" s="3">
        <v>6741</v>
      </c>
      <c r="L1276" s="2" t="s">
        <v>31</v>
      </c>
      <c r="M1276" s="4">
        <v>45635</v>
      </c>
      <c r="N1276" s="2" t="s">
        <v>32</v>
      </c>
      <c r="O1276" s="2">
        <f t="shared" si="79"/>
        <v>1</v>
      </c>
      <c r="P1276" s="2" t="s">
        <v>32</v>
      </c>
      <c r="Q1276" s="2" t="s">
        <v>23</v>
      </c>
      <c r="R1276" s="2" t="s">
        <v>32</v>
      </c>
      <c r="S1276" s="2" t="s">
        <v>23</v>
      </c>
      <c r="T1276" s="2" t="s">
        <v>23</v>
      </c>
      <c r="U1276" s="25">
        <f t="shared" si="77"/>
        <v>6741.001276</v>
      </c>
    </row>
    <row r="1277" spans="1:21">
      <c r="A1277" s="2" t="s">
        <v>2027</v>
      </c>
      <c r="B1277" s="2" t="s">
        <v>685</v>
      </c>
      <c r="C1277" s="2" t="s">
        <v>19</v>
      </c>
      <c r="D1277" s="2">
        <v>20</v>
      </c>
      <c r="E1277" s="2" t="str">
        <f t="shared" si="78"/>
        <v>18-25</v>
      </c>
      <c r="F1277" s="2" t="s">
        <v>63</v>
      </c>
      <c r="G1277" s="2" t="s">
        <v>47</v>
      </c>
      <c r="H1277" s="2">
        <v>1</v>
      </c>
      <c r="I1277" s="2" t="str">
        <f t="shared" si="76"/>
        <v>0-6 months</v>
      </c>
      <c r="J1277" s="3">
        <v>899</v>
      </c>
      <c r="K1277" s="3">
        <v>899</v>
      </c>
      <c r="L1277" s="2" t="s">
        <v>22</v>
      </c>
      <c r="M1277" s="4">
        <v>45886</v>
      </c>
      <c r="N1277" s="2" t="s">
        <v>32</v>
      </c>
      <c r="O1277" s="2">
        <f t="shared" si="79"/>
        <v>1</v>
      </c>
      <c r="P1277" s="2" t="s">
        <v>23</v>
      </c>
      <c r="Q1277" s="2" t="s">
        <v>23</v>
      </c>
      <c r="R1277" s="2" t="s">
        <v>23</v>
      </c>
      <c r="S1277" s="2" t="s">
        <v>23</v>
      </c>
      <c r="T1277" s="2" t="s">
        <v>23</v>
      </c>
      <c r="U1277" s="25">
        <f t="shared" si="77"/>
        <v>899.00127699999996</v>
      </c>
    </row>
    <row r="1278" spans="1:21">
      <c r="A1278" s="2" t="s">
        <v>2028</v>
      </c>
      <c r="B1278" s="2" t="s">
        <v>1718</v>
      </c>
      <c r="C1278" s="2" t="s">
        <v>19</v>
      </c>
      <c r="D1278" s="2">
        <v>20</v>
      </c>
      <c r="E1278" s="2" t="str">
        <f t="shared" si="78"/>
        <v>18-25</v>
      </c>
      <c r="F1278" s="2" t="s">
        <v>91</v>
      </c>
      <c r="G1278" s="2" t="s">
        <v>21</v>
      </c>
      <c r="H1278" s="2">
        <v>16</v>
      </c>
      <c r="I1278" s="2" t="str">
        <f t="shared" si="76"/>
        <v>13-24 months</v>
      </c>
      <c r="J1278" s="3">
        <v>799</v>
      </c>
      <c r="K1278" s="3">
        <v>12784</v>
      </c>
      <c r="L1278" s="2" t="s">
        <v>31</v>
      </c>
      <c r="M1278" s="4">
        <v>45429</v>
      </c>
      <c r="N1278" s="2" t="s">
        <v>32</v>
      </c>
      <c r="O1278" s="2">
        <f t="shared" si="79"/>
        <v>1</v>
      </c>
      <c r="P1278" s="2" t="s">
        <v>23</v>
      </c>
      <c r="Q1278" s="2" t="s">
        <v>23</v>
      </c>
      <c r="R1278" s="2" t="s">
        <v>23</v>
      </c>
      <c r="S1278" s="2" t="s">
        <v>23</v>
      </c>
      <c r="T1278" s="2" t="s">
        <v>23</v>
      </c>
      <c r="U1278" s="25">
        <f t="shared" si="77"/>
        <v>12784.001278</v>
      </c>
    </row>
    <row r="1279" spans="1:21">
      <c r="A1279" s="2" t="s">
        <v>2029</v>
      </c>
      <c r="B1279" s="2" t="s">
        <v>2023</v>
      </c>
      <c r="C1279" s="2" t="s">
        <v>35</v>
      </c>
      <c r="D1279" s="2">
        <v>33</v>
      </c>
      <c r="E1279" s="2" t="str">
        <f t="shared" si="78"/>
        <v>26-35</v>
      </c>
      <c r="F1279" s="2" t="s">
        <v>71</v>
      </c>
      <c r="G1279" s="2" t="s">
        <v>21</v>
      </c>
      <c r="H1279" s="2">
        <v>21</v>
      </c>
      <c r="I1279" s="2" t="str">
        <f t="shared" si="76"/>
        <v>13-24 months</v>
      </c>
      <c r="J1279" s="3">
        <v>749</v>
      </c>
      <c r="K1279" s="3">
        <v>15729</v>
      </c>
      <c r="L1279" s="2" t="s">
        <v>31</v>
      </c>
      <c r="M1279" s="4">
        <v>45270</v>
      </c>
      <c r="N1279" s="2" t="s">
        <v>23</v>
      </c>
      <c r="O1279" s="2">
        <f t="shared" si="79"/>
        <v>0</v>
      </c>
      <c r="P1279" s="2" t="s">
        <v>23</v>
      </c>
      <c r="Q1279" s="2" t="s">
        <v>23</v>
      </c>
      <c r="R1279" s="2" t="s">
        <v>23</v>
      </c>
      <c r="S1279" s="2" t="s">
        <v>23</v>
      </c>
      <c r="T1279" s="2" t="s">
        <v>23</v>
      </c>
      <c r="U1279" s="25">
        <f t="shared" si="77"/>
        <v>15729.001279</v>
      </c>
    </row>
    <row r="1280" spans="1:21">
      <c r="A1280" s="2" t="s">
        <v>2030</v>
      </c>
      <c r="B1280" s="2" t="s">
        <v>2031</v>
      </c>
      <c r="C1280" s="2" t="s">
        <v>35</v>
      </c>
      <c r="D1280" s="2">
        <v>36</v>
      </c>
      <c r="E1280" s="2" t="str">
        <f t="shared" si="78"/>
        <v>36-45</v>
      </c>
      <c r="F1280" s="2" t="s">
        <v>71</v>
      </c>
      <c r="G1280" s="2" t="s">
        <v>37</v>
      </c>
      <c r="H1280" s="2">
        <v>25</v>
      </c>
      <c r="I1280" s="2" t="str">
        <f t="shared" si="76"/>
        <v>25-48 months</v>
      </c>
      <c r="J1280" s="3">
        <v>449</v>
      </c>
      <c r="K1280" s="3">
        <v>11225</v>
      </c>
      <c r="L1280" s="2" t="s">
        <v>37</v>
      </c>
      <c r="M1280" s="4">
        <v>45165</v>
      </c>
      <c r="N1280" s="2" t="s">
        <v>23</v>
      </c>
      <c r="O1280" s="2">
        <f t="shared" si="79"/>
        <v>0</v>
      </c>
      <c r="P1280" s="2" t="s">
        <v>23</v>
      </c>
      <c r="Q1280" s="2" t="s">
        <v>23</v>
      </c>
      <c r="R1280" s="2" t="s">
        <v>23</v>
      </c>
      <c r="S1280" s="2" t="s">
        <v>23</v>
      </c>
      <c r="T1280" s="2" t="s">
        <v>23</v>
      </c>
      <c r="U1280" s="25">
        <f t="shared" si="77"/>
        <v>11225.00128</v>
      </c>
    </row>
    <row r="1281" spans="1:21">
      <c r="A1281" s="2" t="s">
        <v>2032</v>
      </c>
      <c r="B1281" s="2" t="s">
        <v>722</v>
      </c>
      <c r="C1281" s="2" t="s">
        <v>35</v>
      </c>
      <c r="D1281" s="2">
        <v>47</v>
      </c>
      <c r="E1281" s="2" t="str">
        <f t="shared" si="78"/>
        <v>46-60</v>
      </c>
      <c r="F1281" s="2" t="s">
        <v>105</v>
      </c>
      <c r="G1281" s="2" t="s">
        <v>27</v>
      </c>
      <c r="H1281" s="2">
        <v>15</v>
      </c>
      <c r="I1281" s="2" t="str">
        <f t="shared" si="76"/>
        <v>13-24 months</v>
      </c>
      <c r="J1281" s="3">
        <v>999</v>
      </c>
      <c r="K1281" s="3">
        <v>14985</v>
      </c>
      <c r="L1281" s="2" t="s">
        <v>22</v>
      </c>
      <c r="M1281" s="4">
        <v>45466</v>
      </c>
      <c r="N1281" s="2" t="s">
        <v>23</v>
      </c>
      <c r="O1281" s="2">
        <f t="shared" si="79"/>
        <v>0</v>
      </c>
      <c r="P1281" s="2" t="s">
        <v>23</v>
      </c>
      <c r="Q1281" s="2" t="s">
        <v>23</v>
      </c>
      <c r="R1281" s="2" t="s">
        <v>23</v>
      </c>
      <c r="S1281" s="2" t="s">
        <v>23</v>
      </c>
      <c r="T1281" s="2" t="s">
        <v>23</v>
      </c>
      <c r="U1281" s="25">
        <f t="shared" si="77"/>
        <v>14985.001281000001</v>
      </c>
    </row>
    <row r="1282" spans="1:21">
      <c r="A1282" s="2" t="s">
        <v>2033</v>
      </c>
      <c r="B1282" s="2" t="s">
        <v>944</v>
      </c>
      <c r="C1282" s="2" t="s">
        <v>35</v>
      </c>
      <c r="D1282" s="2">
        <v>64</v>
      </c>
      <c r="E1282" s="2" t="str">
        <f t="shared" si="78"/>
        <v>60+</v>
      </c>
      <c r="F1282" s="2" t="s">
        <v>60</v>
      </c>
      <c r="G1282" s="2" t="s">
        <v>21</v>
      </c>
      <c r="H1282" s="2">
        <v>12</v>
      </c>
      <c r="I1282" s="2" t="str">
        <f t="shared" ref="I1282:I1345" si="80">IF(H1282="","Unknown",IF(H1282&lt;=6,"0-6 months",IF(H1282&lt;=12,"7-12 months",IF(H1282&lt;=24,"13-24 months",IF(H1282&lt;=48,"25-48 months","49+ months")))))</f>
        <v>7-12 months</v>
      </c>
      <c r="J1282" s="3">
        <v>1049</v>
      </c>
      <c r="K1282" s="3">
        <v>12588</v>
      </c>
      <c r="L1282" s="2" t="s">
        <v>22</v>
      </c>
      <c r="M1282" s="4">
        <v>45552</v>
      </c>
      <c r="N1282" s="2" t="s">
        <v>32</v>
      </c>
      <c r="O1282" s="2">
        <f t="shared" si="79"/>
        <v>1</v>
      </c>
      <c r="P1282" s="2" t="s">
        <v>23</v>
      </c>
      <c r="Q1282" s="2" t="s">
        <v>23</v>
      </c>
      <c r="R1282" s="2" t="s">
        <v>23</v>
      </c>
      <c r="S1282" s="2" t="s">
        <v>23</v>
      </c>
      <c r="T1282" s="2" t="s">
        <v>23</v>
      </c>
      <c r="U1282" s="25">
        <f t="shared" ref="U1282:U1345" si="81">IF(K1282="","",K1282+ROW()/1000000)</f>
        <v>12588.001281999999</v>
      </c>
    </row>
    <row r="1283" spans="1:21">
      <c r="A1283" s="2" t="s">
        <v>2034</v>
      </c>
      <c r="B1283" s="2" t="s">
        <v>1562</v>
      </c>
      <c r="C1283" s="2" t="s">
        <v>19</v>
      </c>
      <c r="D1283" s="2">
        <v>63</v>
      </c>
      <c r="E1283" s="2" t="str">
        <f t="shared" ref="E1283:E1346" si="82">IF(D1283&lt;=25,"18-25",IF(D1283&lt;=35,"26-35",IF(D1283&lt;=45,"36-45",IF(D1283&lt;=60,"46-60","60+"))))</f>
        <v>60+</v>
      </c>
      <c r="F1283" s="2" t="s">
        <v>20</v>
      </c>
      <c r="G1283" s="2" t="s">
        <v>27</v>
      </c>
      <c r="H1283" s="2">
        <v>40</v>
      </c>
      <c r="I1283" s="2" t="str">
        <f t="shared" si="80"/>
        <v>25-48 months</v>
      </c>
      <c r="J1283" s="3">
        <v>549</v>
      </c>
      <c r="K1283" s="3">
        <v>21960</v>
      </c>
      <c r="L1283" s="2" t="s">
        <v>66</v>
      </c>
      <c r="M1283" s="4">
        <v>44703</v>
      </c>
      <c r="N1283" s="2" t="s">
        <v>23</v>
      </c>
      <c r="O1283" s="2">
        <f t="shared" ref="O1283:O1346" si="83">IF(N1283="Yes",1,IF(N1283="No",0,""))</f>
        <v>0</v>
      </c>
      <c r="P1283" s="2" t="s">
        <v>23</v>
      </c>
      <c r="Q1283" s="2" t="s">
        <v>23</v>
      </c>
      <c r="R1283" s="2" t="s">
        <v>23</v>
      </c>
      <c r="S1283" s="2" t="s">
        <v>23</v>
      </c>
      <c r="T1283" s="2" t="s">
        <v>23</v>
      </c>
      <c r="U1283" s="25">
        <f t="shared" si="81"/>
        <v>21960.001283000001</v>
      </c>
    </row>
    <row r="1284" spans="1:21">
      <c r="A1284" s="2" t="s">
        <v>2035</v>
      </c>
      <c r="B1284" s="2" t="s">
        <v>114</v>
      </c>
      <c r="C1284" s="2" t="s">
        <v>35</v>
      </c>
      <c r="D1284" s="2">
        <v>37</v>
      </c>
      <c r="E1284" s="2" t="str">
        <f t="shared" si="82"/>
        <v>36-45</v>
      </c>
      <c r="F1284" s="2" t="s">
        <v>20</v>
      </c>
      <c r="G1284" s="2" t="s">
        <v>21</v>
      </c>
      <c r="H1284" s="2">
        <v>18</v>
      </c>
      <c r="I1284" s="2" t="str">
        <f t="shared" si="80"/>
        <v>13-24 months</v>
      </c>
      <c r="J1284" s="3">
        <v>1099</v>
      </c>
      <c r="K1284" s="3">
        <v>19782</v>
      </c>
      <c r="L1284" s="2" t="s">
        <v>22</v>
      </c>
      <c r="M1284" s="4">
        <v>45364</v>
      </c>
      <c r="N1284" s="2" t="s">
        <v>23</v>
      </c>
      <c r="O1284" s="2">
        <f t="shared" si="83"/>
        <v>0</v>
      </c>
      <c r="P1284" s="2" t="s">
        <v>23</v>
      </c>
      <c r="Q1284" s="2" t="s">
        <v>23</v>
      </c>
      <c r="R1284" s="2" t="s">
        <v>23</v>
      </c>
      <c r="S1284" s="2" t="s">
        <v>23</v>
      </c>
      <c r="T1284" s="2" t="s">
        <v>23</v>
      </c>
      <c r="U1284" s="25">
        <f t="shared" si="81"/>
        <v>19782.001284000002</v>
      </c>
    </row>
    <row r="1285" spans="1:21">
      <c r="A1285" s="2" t="s">
        <v>2036</v>
      </c>
      <c r="B1285" s="2" t="s">
        <v>37</v>
      </c>
      <c r="C1285" s="2" t="s">
        <v>35</v>
      </c>
      <c r="D1285" s="2">
        <v>31</v>
      </c>
      <c r="E1285" s="2" t="str">
        <f t="shared" si="82"/>
        <v>26-35</v>
      </c>
      <c r="F1285" s="2" t="s">
        <v>30</v>
      </c>
      <c r="G1285" s="2" t="s">
        <v>27</v>
      </c>
      <c r="H1285" s="2">
        <v>25</v>
      </c>
      <c r="I1285" s="2" t="str">
        <f t="shared" si="80"/>
        <v>25-48 months</v>
      </c>
      <c r="J1285" s="3">
        <v>799</v>
      </c>
      <c r="K1285" s="3">
        <v>19975</v>
      </c>
      <c r="L1285" s="2" t="s">
        <v>31</v>
      </c>
      <c r="M1285" s="4">
        <v>45178</v>
      </c>
      <c r="N1285" s="2" t="s">
        <v>23</v>
      </c>
      <c r="O1285" s="2">
        <f t="shared" si="83"/>
        <v>0</v>
      </c>
      <c r="P1285" s="2" t="s">
        <v>23</v>
      </c>
      <c r="Q1285" s="2" t="s">
        <v>23</v>
      </c>
      <c r="R1285" s="2" t="s">
        <v>23</v>
      </c>
      <c r="S1285" s="2" t="s">
        <v>23</v>
      </c>
      <c r="T1285" s="2" t="s">
        <v>23</v>
      </c>
      <c r="U1285" s="25">
        <f t="shared" si="81"/>
        <v>19975.001284999998</v>
      </c>
    </row>
    <row r="1286" spans="1:21">
      <c r="A1286" s="2" t="s">
        <v>2037</v>
      </c>
      <c r="B1286" s="2" t="s">
        <v>2038</v>
      </c>
      <c r="C1286" s="2" t="s">
        <v>19</v>
      </c>
      <c r="D1286" s="2">
        <v>60</v>
      </c>
      <c r="E1286" s="2" t="str">
        <f t="shared" si="82"/>
        <v>46-60</v>
      </c>
      <c r="F1286" s="2" t="s">
        <v>63</v>
      </c>
      <c r="G1286" s="2" t="s">
        <v>21</v>
      </c>
      <c r="H1286" s="2">
        <v>19</v>
      </c>
      <c r="I1286" s="2" t="str">
        <f t="shared" si="80"/>
        <v>13-24 months</v>
      </c>
      <c r="J1286" s="3">
        <v>999</v>
      </c>
      <c r="K1286" s="3">
        <v>18981</v>
      </c>
      <c r="L1286" s="2" t="s">
        <v>22</v>
      </c>
      <c r="M1286" s="4">
        <v>45333</v>
      </c>
      <c r="N1286" s="2" t="s">
        <v>23</v>
      </c>
      <c r="O1286" s="2">
        <f t="shared" si="83"/>
        <v>0</v>
      </c>
      <c r="P1286" s="2" t="s">
        <v>23</v>
      </c>
      <c r="Q1286" s="2" t="s">
        <v>23</v>
      </c>
      <c r="R1286" s="2" t="s">
        <v>23</v>
      </c>
      <c r="S1286" s="2" t="s">
        <v>23</v>
      </c>
      <c r="T1286" s="2" t="s">
        <v>23</v>
      </c>
      <c r="U1286" s="25">
        <f t="shared" si="81"/>
        <v>18981.001285999999</v>
      </c>
    </row>
    <row r="1287" spans="1:21">
      <c r="A1287" s="2" t="s">
        <v>2039</v>
      </c>
      <c r="B1287" s="2" t="s">
        <v>37</v>
      </c>
      <c r="C1287" s="2" t="s">
        <v>19</v>
      </c>
      <c r="D1287" s="2">
        <v>38</v>
      </c>
      <c r="E1287" s="2" t="str">
        <f t="shared" si="82"/>
        <v>36-45</v>
      </c>
      <c r="F1287" s="2" t="s">
        <v>60</v>
      </c>
      <c r="G1287" s="2" t="s">
        <v>21</v>
      </c>
      <c r="H1287" s="2">
        <v>16</v>
      </c>
      <c r="I1287" s="2" t="str">
        <f t="shared" si="80"/>
        <v>13-24 months</v>
      </c>
      <c r="J1287" s="3">
        <v>1149</v>
      </c>
      <c r="K1287" s="3">
        <v>18384</v>
      </c>
      <c r="L1287" s="2" t="s">
        <v>22</v>
      </c>
      <c r="M1287" s="4">
        <v>45428</v>
      </c>
      <c r="N1287" s="2" t="s">
        <v>23</v>
      </c>
      <c r="O1287" s="2">
        <f t="shared" si="83"/>
        <v>0</v>
      </c>
      <c r="P1287" s="2" t="s">
        <v>23</v>
      </c>
      <c r="Q1287" s="2" t="s">
        <v>23</v>
      </c>
      <c r="R1287" s="2" t="s">
        <v>23</v>
      </c>
      <c r="S1287" s="2" t="s">
        <v>23</v>
      </c>
      <c r="T1287" s="2" t="s">
        <v>23</v>
      </c>
      <c r="U1287" s="25">
        <f t="shared" si="81"/>
        <v>18384.001286999999</v>
      </c>
    </row>
    <row r="1288" spans="1:21">
      <c r="A1288" s="2" t="s">
        <v>2040</v>
      </c>
      <c r="B1288" s="2" t="s">
        <v>2041</v>
      </c>
      <c r="C1288" s="2" t="s">
        <v>19</v>
      </c>
      <c r="D1288" s="2">
        <v>23</v>
      </c>
      <c r="E1288" s="2" t="str">
        <f t="shared" si="82"/>
        <v>18-25</v>
      </c>
      <c r="F1288" s="2" t="s">
        <v>36</v>
      </c>
      <c r="G1288" s="2" t="s">
        <v>21</v>
      </c>
      <c r="H1288" s="2">
        <v>2</v>
      </c>
      <c r="I1288" s="2" t="str">
        <f t="shared" si="80"/>
        <v>0-6 months</v>
      </c>
      <c r="J1288" s="3">
        <v>349</v>
      </c>
      <c r="K1288" s="3">
        <v>698</v>
      </c>
      <c r="L1288" s="2" t="s">
        <v>66</v>
      </c>
      <c r="M1288" s="4">
        <v>45840</v>
      </c>
      <c r="N1288" s="2" t="s">
        <v>32</v>
      </c>
      <c r="O1288" s="2">
        <f t="shared" si="83"/>
        <v>1</v>
      </c>
      <c r="P1288" s="2" t="s">
        <v>23</v>
      </c>
      <c r="Q1288" s="2" t="s">
        <v>23</v>
      </c>
      <c r="R1288" s="2" t="s">
        <v>23</v>
      </c>
      <c r="S1288" s="2" t="s">
        <v>23</v>
      </c>
      <c r="T1288" s="2" t="s">
        <v>23</v>
      </c>
      <c r="U1288" s="25">
        <f t="shared" si="81"/>
        <v>698.00128800000005</v>
      </c>
    </row>
    <row r="1289" spans="1:21">
      <c r="A1289" s="2" t="s">
        <v>2042</v>
      </c>
      <c r="B1289" s="2" t="s">
        <v>1064</v>
      </c>
      <c r="C1289" s="2" t="s">
        <v>35</v>
      </c>
      <c r="D1289" s="2">
        <v>27</v>
      </c>
      <c r="E1289" s="2" t="str">
        <f t="shared" si="82"/>
        <v>26-35</v>
      </c>
      <c r="F1289" s="2" t="s">
        <v>20</v>
      </c>
      <c r="G1289" s="2" t="s">
        <v>21</v>
      </c>
      <c r="H1289" s="2">
        <v>20</v>
      </c>
      <c r="I1289" s="2" t="str">
        <f t="shared" si="80"/>
        <v>13-24 months</v>
      </c>
      <c r="J1289" s="3">
        <v>699</v>
      </c>
      <c r="K1289" s="3">
        <v>13980</v>
      </c>
      <c r="L1289" s="2" t="s">
        <v>31</v>
      </c>
      <c r="M1289" s="4">
        <v>45306</v>
      </c>
      <c r="N1289" s="2" t="s">
        <v>23</v>
      </c>
      <c r="O1289" s="2">
        <f t="shared" si="83"/>
        <v>0</v>
      </c>
      <c r="P1289" s="2" t="s">
        <v>23</v>
      </c>
      <c r="Q1289" s="2" t="s">
        <v>23</v>
      </c>
      <c r="R1289" s="2" t="s">
        <v>23</v>
      </c>
      <c r="S1289" s="2" t="s">
        <v>23</v>
      </c>
      <c r="T1289" s="2" t="s">
        <v>23</v>
      </c>
      <c r="U1289" s="25">
        <f t="shared" si="81"/>
        <v>13980.001289</v>
      </c>
    </row>
    <row r="1290" spans="1:21">
      <c r="A1290" s="2" t="s">
        <v>2043</v>
      </c>
      <c r="B1290" s="2" t="s">
        <v>124</v>
      </c>
      <c r="C1290" s="2" t="s">
        <v>19</v>
      </c>
      <c r="D1290" s="2">
        <v>24</v>
      </c>
      <c r="E1290" s="2" t="str">
        <f t="shared" si="82"/>
        <v>18-25</v>
      </c>
      <c r="F1290" s="2" t="s">
        <v>110</v>
      </c>
      <c r="G1290" s="2" t="s">
        <v>27</v>
      </c>
      <c r="H1290" s="2">
        <v>10</v>
      </c>
      <c r="I1290" s="2" t="str">
        <f t="shared" si="80"/>
        <v>7-12 months</v>
      </c>
      <c r="J1290" s="3">
        <v>349</v>
      </c>
      <c r="K1290" s="3">
        <v>3490</v>
      </c>
      <c r="L1290" s="2" t="s">
        <v>66</v>
      </c>
      <c r="M1290" s="4">
        <v>45609</v>
      </c>
      <c r="N1290" s="2" t="s">
        <v>37</v>
      </c>
      <c r="O1290" s="2" t="str">
        <f t="shared" si="83"/>
        <v/>
      </c>
      <c r="P1290" s="2" t="s">
        <v>23</v>
      </c>
      <c r="Q1290" s="2" t="s">
        <v>23</v>
      </c>
      <c r="R1290" s="2" t="s">
        <v>23</v>
      </c>
      <c r="S1290" s="2" t="s">
        <v>23</v>
      </c>
      <c r="T1290" s="2" t="s">
        <v>38</v>
      </c>
      <c r="U1290" s="25">
        <f t="shared" si="81"/>
        <v>3490.0012900000002</v>
      </c>
    </row>
    <row r="1291" spans="1:21">
      <c r="A1291" s="2" t="s">
        <v>2044</v>
      </c>
      <c r="B1291" s="2" t="s">
        <v>2045</v>
      </c>
      <c r="C1291" s="2" t="s">
        <v>35</v>
      </c>
      <c r="D1291" s="2">
        <v>53</v>
      </c>
      <c r="E1291" s="2" t="str">
        <f t="shared" si="82"/>
        <v>46-60</v>
      </c>
      <c r="F1291" s="2" t="s">
        <v>71</v>
      </c>
      <c r="G1291" s="2" t="s">
        <v>21</v>
      </c>
      <c r="H1291" s="2">
        <v>23</v>
      </c>
      <c r="I1291" s="2" t="str">
        <f t="shared" si="80"/>
        <v>13-24 months</v>
      </c>
      <c r="J1291" s="3">
        <v>349</v>
      </c>
      <c r="K1291" s="3">
        <v>8027</v>
      </c>
      <c r="L1291" s="2" t="s">
        <v>66</v>
      </c>
      <c r="M1291" s="4">
        <v>45234</v>
      </c>
      <c r="N1291" s="2" t="s">
        <v>23</v>
      </c>
      <c r="O1291" s="2">
        <f t="shared" si="83"/>
        <v>0</v>
      </c>
      <c r="P1291" s="2" t="s">
        <v>23</v>
      </c>
      <c r="Q1291" s="2" t="s">
        <v>23</v>
      </c>
      <c r="R1291" s="2" t="s">
        <v>23</v>
      </c>
      <c r="S1291" s="2" t="s">
        <v>23</v>
      </c>
      <c r="T1291" s="2" t="s">
        <v>23</v>
      </c>
      <c r="U1291" s="25">
        <f t="shared" si="81"/>
        <v>8027.0012909999996</v>
      </c>
    </row>
    <row r="1292" spans="1:21">
      <c r="A1292" s="2" t="s">
        <v>2046</v>
      </c>
      <c r="B1292" s="2" t="s">
        <v>324</v>
      </c>
      <c r="C1292" s="2" t="s">
        <v>35</v>
      </c>
      <c r="D1292" s="2">
        <v>26</v>
      </c>
      <c r="E1292" s="2" t="str">
        <f t="shared" si="82"/>
        <v>26-35</v>
      </c>
      <c r="F1292" s="2" t="s">
        <v>105</v>
      </c>
      <c r="G1292" s="2" t="s">
        <v>21</v>
      </c>
      <c r="H1292" s="2">
        <v>1</v>
      </c>
      <c r="I1292" s="2" t="str">
        <f t="shared" si="80"/>
        <v>0-6 months</v>
      </c>
      <c r="J1292" s="3">
        <v>1199</v>
      </c>
      <c r="K1292" s="3">
        <v>1199</v>
      </c>
      <c r="L1292" s="2" t="s">
        <v>22</v>
      </c>
      <c r="M1292" s="4">
        <v>45880</v>
      </c>
      <c r="N1292" s="2" t="s">
        <v>23</v>
      </c>
      <c r="O1292" s="2">
        <f t="shared" si="83"/>
        <v>0</v>
      </c>
      <c r="P1292" s="2" t="s">
        <v>23</v>
      </c>
      <c r="Q1292" s="2" t="s">
        <v>23</v>
      </c>
      <c r="R1292" s="2" t="s">
        <v>23</v>
      </c>
      <c r="S1292" s="2" t="s">
        <v>23</v>
      </c>
      <c r="T1292" s="2" t="s">
        <v>23</v>
      </c>
      <c r="U1292" s="25">
        <f t="shared" si="81"/>
        <v>1199.0012919999999</v>
      </c>
    </row>
    <row r="1293" spans="1:21">
      <c r="A1293" s="2" t="s">
        <v>2047</v>
      </c>
      <c r="B1293" s="2" t="s">
        <v>1308</v>
      </c>
      <c r="C1293" s="2" t="s">
        <v>19</v>
      </c>
      <c r="D1293" s="2">
        <v>49</v>
      </c>
      <c r="E1293" s="2" t="str">
        <f t="shared" si="82"/>
        <v>46-60</v>
      </c>
      <c r="F1293" s="2" t="s">
        <v>71</v>
      </c>
      <c r="G1293" s="2" t="s">
        <v>27</v>
      </c>
      <c r="H1293" s="2">
        <v>6</v>
      </c>
      <c r="I1293" s="2" t="str">
        <f t="shared" si="80"/>
        <v>0-6 months</v>
      </c>
      <c r="J1293" s="3">
        <v>399</v>
      </c>
      <c r="K1293" s="3">
        <v>2394</v>
      </c>
      <c r="L1293" s="2" t="s">
        <v>66</v>
      </c>
      <c r="M1293" s="4">
        <v>45739</v>
      </c>
      <c r="N1293" s="2" t="s">
        <v>32</v>
      </c>
      <c r="O1293" s="2">
        <f t="shared" si="83"/>
        <v>1</v>
      </c>
      <c r="P1293" s="2" t="s">
        <v>23</v>
      </c>
      <c r="Q1293" s="2" t="s">
        <v>23</v>
      </c>
      <c r="R1293" s="2" t="s">
        <v>23</v>
      </c>
      <c r="S1293" s="2" t="s">
        <v>23</v>
      </c>
      <c r="T1293" s="2" t="s">
        <v>23</v>
      </c>
      <c r="U1293" s="25">
        <f t="shared" si="81"/>
        <v>2394.0012929999998</v>
      </c>
    </row>
    <row r="1294" spans="1:21">
      <c r="A1294" s="2" t="s">
        <v>2048</v>
      </c>
      <c r="B1294" s="2" t="s">
        <v>1258</v>
      </c>
      <c r="C1294" s="2" t="s">
        <v>35</v>
      </c>
      <c r="D1294" s="2">
        <v>68</v>
      </c>
      <c r="E1294" s="2" t="str">
        <f t="shared" si="82"/>
        <v>60+</v>
      </c>
      <c r="F1294" s="2" t="s">
        <v>37</v>
      </c>
      <c r="G1294" s="2" t="s">
        <v>21</v>
      </c>
      <c r="H1294" s="2">
        <v>10</v>
      </c>
      <c r="I1294" s="2" t="str">
        <f t="shared" si="80"/>
        <v>7-12 months</v>
      </c>
      <c r="J1294" s="3">
        <v>1299</v>
      </c>
      <c r="K1294" s="3">
        <v>12990</v>
      </c>
      <c r="L1294" s="2" t="s">
        <v>22</v>
      </c>
      <c r="M1294" s="4">
        <v>45603</v>
      </c>
      <c r="N1294" s="2" t="s">
        <v>37</v>
      </c>
      <c r="O1294" s="2" t="str">
        <f t="shared" si="83"/>
        <v/>
      </c>
      <c r="P1294" s="2" t="s">
        <v>23</v>
      </c>
      <c r="Q1294" s="2" t="s">
        <v>23</v>
      </c>
      <c r="R1294" s="2" t="s">
        <v>23</v>
      </c>
      <c r="S1294" s="2" t="s">
        <v>23</v>
      </c>
      <c r="T1294" s="2" t="s">
        <v>38</v>
      </c>
      <c r="U1294" s="25">
        <f t="shared" si="81"/>
        <v>12990.001294</v>
      </c>
    </row>
    <row r="1295" spans="1:21">
      <c r="A1295" s="2" t="s">
        <v>2049</v>
      </c>
      <c r="B1295" s="2" t="s">
        <v>2050</v>
      </c>
      <c r="C1295" s="2" t="s">
        <v>35</v>
      </c>
      <c r="D1295" s="2">
        <v>47</v>
      </c>
      <c r="E1295" s="2" t="str">
        <f t="shared" si="82"/>
        <v>46-60</v>
      </c>
      <c r="F1295" s="2" t="s">
        <v>91</v>
      </c>
      <c r="G1295" s="2" t="s">
        <v>21</v>
      </c>
      <c r="H1295" s="2">
        <v>9</v>
      </c>
      <c r="I1295" s="2" t="str">
        <f t="shared" si="80"/>
        <v>7-12 months</v>
      </c>
      <c r="J1295" s="3">
        <v>649</v>
      </c>
      <c r="K1295" s="3">
        <v>5841</v>
      </c>
      <c r="L1295" s="2" t="s">
        <v>31</v>
      </c>
      <c r="M1295" s="4">
        <v>45630</v>
      </c>
      <c r="N1295" s="2" t="s">
        <v>23</v>
      </c>
      <c r="O1295" s="2">
        <f t="shared" si="83"/>
        <v>0</v>
      </c>
      <c r="P1295" s="2" t="s">
        <v>32</v>
      </c>
      <c r="Q1295" s="2" t="s">
        <v>23</v>
      </c>
      <c r="R1295" s="2" t="s">
        <v>23</v>
      </c>
      <c r="S1295" s="2" t="s">
        <v>23</v>
      </c>
      <c r="T1295" s="2" t="s">
        <v>23</v>
      </c>
      <c r="U1295" s="25">
        <f t="shared" si="81"/>
        <v>5841.001295</v>
      </c>
    </row>
    <row r="1296" spans="1:21">
      <c r="A1296" s="2" t="s">
        <v>2051</v>
      </c>
      <c r="B1296" s="2" t="s">
        <v>412</v>
      </c>
      <c r="C1296" s="2" t="s">
        <v>19</v>
      </c>
      <c r="D1296" s="2">
        <v>75</v>
      </c>
      <c r="E1296" s="2" t="str">
        <f t="shared" si="82"/>
        <v>60+</v>
      </c>
      <c r="F1296" s="2" t="s">
        <v>63</v>
      </c>
      <c r="G1296" s="2" t="s">
        <v>21</v>
      </c>
      <c r="H1296" s="2">
        <v>10</v>
      </c>
      <c r="I1296" s="2" t="str">
        <f t="shared" si="80"/>
        <v>7-12 months</v>
      </c>
      <c r="J1296" s="3">
        <v>699</v>
      </c>
      <c r="K1296" s="3">
        <v>6990</v>
      </c>
      <c r="L1296" s="2" t="s">
        <v>31</v>
      </c>
      <c r="M1296" s="4">
        <v>45620</v>
      </c>
      <c r="N1296" s="2" t="s">
        <v>32</v>
      </c>
      <c r="O1296" s="2">
        <f t="shared" si="83"/>
        <v>1</v>
      </c>
      <c r="P1296" s="2" t="s">
        <v>23</v>
      </c>
      <c r="Q1296" s="2" t="s">
        <v>23</v>
      </c>
      <c r="R1296" s="2" t="s">
        <v>23</v>
      </c>
      <c r="S1296" s="2" t="s">
        <v>23</v>
      </c>
      <c r="T1296" s="2" t="s">
        <v>23</v>
      </c>
      <c r="U1296" s="25">
        <f t="shared" si="81"/>
        <v>6990.0012960000004</v>
      </c>
    </row>
    <row r="1297" spans="1:21">
      <c r="A1297" s="2" t="s">
        <v>2052</v>
      </c>
      <c r="B1297" s="2" t="s">
        <v>1393</v>
      </c>
      <c r="C1297" s="2" t="s">
        <v>35</v>
      </c>
      <c r="D1297" s="2">
        <v>53</v>
      </c>
      <c r="E1297" s="2" t="str">
        <f t="shared" si="82"/>
        <v>46-60</v>
      </c>
      <c r="F1297" s="2" t="s">
        <v>36</v>
      </c>
      <c r="G1297" s="2" t="s">
        <v>21</v>
      </c>
      <c r="H1297" s="2">
        <v>20</v>
      </c>
      <c r="I1297" s="2" t="str">
        <f t="shared" si="80"/>
        <v>13-24 months</v>
      </c>
      <c r="J1297" s="3">
        <v>549</v>
      </c>
      <c r="K1297" s="3">
        <v>10980</v>
      </c>
      <c r="L1297" s="2" t="s">
        <v>66</v>
      </c>
      <c r="M1297" s="4">
        <v>45316</v>
      </c>
      <c r="N1297" s="2" t="s">
        <v>32</v>
      </c>
      <c r="O1297" s="2">
        <f t="shared" si="83"/>
        <v>1</v>
      </c>
      <c r="P1297" s="2" t="s">
        <v>23</v>
      </c>
      <c r="Q1297" s="2" t="s">
        <v>23</v>
      </c>
      <c r="R1297" s="2" t="s">
        <v>23</v>
      </c>
      <c r="S1297" s="2" t="s">
        <v>32</v>
      </c>
      <c r="T1297" s="2" t="s">
        <v>23</v>
      </c>
      <c r="U1297" s="25">
        <f t="shared" si="81"/>
        <v>10980.001297000001</v>
      </c>
    </row>
    <row r="1298" spans="1:21">
      <c r="A1298" s="2" t="s">
        <v>2053</v>
      </c>
      <c r="B1298" s="2" t="s">
        <v>254</v>
      </c>
      <c r="C1298" s="2" t="s">
        <v>19</v>
      </c>
      <c r="D1298" s="2">
        <v>42</v>
      </c>
      <c r="E1298" s="2" t="str">
        <f t="shared" si="82"/>
        <v>36-45</v>
      </c>
      <c r="F1298" s="2" t="s">
        <v>36</v>
      </c>
      <c r="G1298" s="2" t="s">
        <v>27</v>
      </c>
      <c r="H1298" s="2">
        <v>25</v>
      </c>
      <c r="I1298" s="2" t="str">
        <f t="shared" si="80"/>
        <v>25-48 months</v>
      </c>
      <c r="J1298" s="3">
        <v>699</v>
      </c>
      <c r="K1298" s="3">
        <v>17475</v>
      </c>
      <c r="L1298" s="2" t="s">
        <v>31</v>
      </c>
      <c r="M1298" s="4">
        <v>45153</v>
      </c>
      <c r="N1298" s="2" t="s">
        <v>23</v>
      </c>
      <c r="O1298" s="2">
        <f t="shared" si="83"/>
        <v>0</v>
      </c>
      <c r="P1298" s="2" t="s">
        <v>23</v>
      </c>
      <c r="Q1298" s="2" t="s">
        <v>23</v>
      </c>
      <c r="R1298" s="2" t="s">
        <v>23</v>
      </c>
      <c r="S1298" s="2" t="s">
        <v>23</v>
      </c>
      <c r="T1298" s="2" t="s">
        <v>23</v>
      </c>
      <c r="U1298" s="25">
        <f t="shared" si="81"/>
        <v>17475.001297999999</v>
      </c>
    </row>
    <row r="1299" spans="1:21">
      <c r="A1299" s="2" t="s">
        <v>2054</v>
      </c>
      <c r="B1299" s="2" t="s">
        <v>418</v>
      </c>
      <c r="C1299" s="2" t="s">
        <v>35</v>
      </c>
      <c r="D1299" s="2">
        <v>39</v>
      </c>
      <c r="E1299" s="2" t="str">
        <f t="shared" si="82"/>
        <v>36-45</v>
      </c>
      <c r="F1299" s="2" t="s">
        <v>63</v>
      </c>
      <c r="G1299" s="2" t="s">
        <v>47</v>
      </c>
      <c r="H1299" s="2">
        <v>71</v>
      </c>
      <c r="I1299" s="2" t="str">
        <f t="shared" si="80"/>
        <v>49+ months</v>
      </c>
      <c r="J1299" s="3">
        <v>1099</v>
      </c>
      <c r="K1299" s="3">
        <v>78029</v>
      </c>
      <c r="L1299" s="2" t="s">
        <v>22</v>
      </c>
      <c r="M1299" s="4">
        <v>43769</v>
      </c>
      <c r="N1299" s="2" t="s">
        <v>23</v>
      </c>
      <c r="O1299" s="2">
        <f t="shared" si="83"/>
        <v>0</v>
      </c>
      <c r="P1299" s="2" t="s">
        <v>23</v>
      </c>
      <c r="Q1299" s="2" t="s">
        <v>23</v>
      </c>
      <c r="R1299" s="2" t="s">
        <v>23</v>
      </c>
      <c r="S1299" s="2" t="s">
        <v>23</v>
      </c>
      <c r="T1299" s="2" t="s">
        <v>23</v>
      </c>
      <c r="U1299" s="25">
        <f t="shared" si="81"/>
        <v>78029.001298999996</v>
      </c>
    </row>
    <row r="1300" spans="1:21">
      <c r="A1300" s="2" t="s">
        <v>2055</v>
      </c>
      <c r="B1300" s="2" t="s">
        <v>37</v>
      </c>
      <c r="C1300" s="2" t="s">
        <v>35</v>
      </c>
      <c r="D1300" s="2">
        <v>38</v>
      </c>
      <c r="E1300" s="2" t="str">
        <f t="shared" si="82"/>
        <v>36-45</v>
      </c>
      <c r="F1300" s="2" t="s">
        <v>57</v>
      </c>
      <c r="G1300" s="2" t="s">
        <v>21</v>
      </c>
      <c r="H1300" s="2">
        <v>5</v>
      </c>
      <c r="I1300" s="2" t="str">
        <f t="shared" si="80"/>
        <v>0-6 months</v>
      </c>
      <c r="J1300" s="3">
        <v>899</v>
      </c>
      <c r="K1300" s="3">
        <v>4495</v>
      </c>
      <c r="L1300" s="2" t="s">
        <v>31</v>
      </c>
      <c r="M1300" s="4">
        <v>45773</v>
      </c>
      <c r="N1300" s="2" t="s">
        <v>32</v>
      </c>
      <c r="O1300" s="2">
        <f t="shared" si="83"/>
        <v>1</v>
      </c>
      <c r="P1300" s="2" t="s">
        <v>23</v>
      </c>
      <c r="Q1300" s="2" t="s">
        <v>23</v>
      </c>
      <c r="R1300" s="2" t="s">
        <v>23</v>
      </c>
      <c r="S1300" s="2" t="s">
        <v>32</v>
      </c>
      <c r="T1300" s="2" t="s">
        <v>23</v>
      </c>
      <c r="U1300" s="25">
        <f t="shared" si="81"/>
        <v>4495.0012999999999</v>
      </c>
    </row>
    <row r="1301" spans="1:21">
      <c r="A1301" s="2" t="s">
        <v>2056</v>
      </c>
      <c r="B1301" s="2" t="s">
        <v>1836</v>
      </c>
      <c r="C1301" s="2" t="s">
        <v>35</v>
      </c>
      <c r="D1301" s="2">
        <v>54</v>
      </c>
      <c r="E1301" s="2" t="str">
        <f t="shared" si="82"/>
        <v>46-60</v>
      </c>
      <c r="F1301" s="2" t="s">
        <v>110</v>
      </c>
      <c r="G1301" s="2" t="s">
        <v>21</v>
      </c>
      <c r="H1301" s="2">
        <v>3</v>
      </c>
      <c r="I1301" s="2" t="str">
        <f t="shared" si="80"/>
        <v>0-6 months</v>
      </c>
      <c r="J1301" s="3">
        <v>599</v>
      </c>
      <c r="K1301" s="3">
        <v>1797</v>
      </c>
      <c r="L1301" s="2" t="s">
        <v>31</v>
      </c>
      <c r="M1301" s="4">
        <v>45828</v>
      </c>
      <c r="N1301" s="2" t="s">
        <v>23</v>
      </c>
      <c r="O1301" s="2">
        <f t="shared" si="83"/>
        <v>0</v>
      </c>
      <c r="P1301" s="2" t="s">
        <v>23</v>
      </c>
      <c r="Q1301" s="2" t="s">
        <v>23</v>
      </c>
      <c r="R1301" s="2" t="s">
        <v>23</v>
      </c>
      <c r="S1301" s="2" t="s">
        <v>23</v>
      </c>
      <c r="T1301" s="2" t="s">
        <v>23</v>
      </c>
      <c r="U1301" s="25">
        <f t="shared" si="81"/>
        <v>1797.001301</v>
      </c>
    </row>
    <row r="1302" spans="1:21">
      <c r="A1302" s="2" t="s">
        <v>2057</v>
      </c>
      <c r="B1302" s="2" t="s">
        <v>540</v>
      </c>
      <c r="C1302" s="2" t="s">
        <v>19</v>
      </c>
      <c r="D1302" s="2">
        <v>58</v>
      </c>
      <c r="E1302" s="2" t="str">
        <f t="shared" si="82"/>
        <v>46-60</v>
      </c>
      <c r="F1302" s="2" t="s">
        <v>57</v>
      </c>
      <c r="G1302" s="2" t="s">
        <v>47</v>
      </c>
      <c r="H1302" s="2">
        <v>43</v>
      </c>
      <c r="I1302" s="2" t="str">
        <f t="shared" si="80"/>
        <v>25-48 months</v>
      </c>
      <c r="J1302" s="3">
        <v>1199</v>
      </c>
      <c r="K1302" s="3">
        <v>51557</v>
      </c>
      <c r="L1302" s="2" t="s">
        <v>22</v>
      </c>
      <c r="M1302" s="4">
        <v>44637</v>
      </c>
      <c r="N1302" s="2" t="s">
        <v>23</v>
      </c>
      <c r="O1302" s="2">
        <f t="shared" si="83"/>
        <v>0</v>
      </c>
      <c r="P1302" s="2" t="s">
        <v>23</v>
      </c>
      <c r="Q1302" s="2" t="s">
        <v>23</v>
      </c>
      <c r="R1302" s="2" t="s">
        <v>23</v>
      </c>
      <c r="S1302" s="2" t="s">
        <v>23</v>
      </c>
      <c r="T1302" s="2" t="s">
        <v>23</v>
      </c>
      <c r="U1302" s="25">
        <f t="shared" si="81"/>
        <v>51557.001301999997</v>
      </c>
    </row>
    <row r="1303" spans="1:21">
      <c r="A1303" s="2" t="s">
        <v>2058</v>
      </c>
      <c r="B1303" s="2" t="s">
        <v>1447</v>
      </c>
      <c r="C1303" s="2" t="s">
        <v>19</v>
      </c>
      <c r="D1303" s="2">
        <v>23</v>
      </c>
      <c r="E1303" s="2" t="str">
        <f t="shared" si="82"/>
        <v>18-25</v>
      </c>
      <c r="F1303" s="2" t="s">
        <v>63</v>
      </c>
      <c r="G1303" s="2" t="s">
        <v>21</v>
      </c>
      <c r="H1303" s="2">
        <v>1</v>
      </c>
      <c r="I1303" s="2" t="str">
        <f t="shared" si="80"/>
        <v>0-6 months</v>
      </c>
      <c r="J1303" s="3">
        <v>399</v>
      </c>
      <c r="K1303" s="3">
        <v>399</v>
      </c>
      <c r="L1303" s="2" t="s">
        <v>66</v>
      </c>
      <c r="M1303" s="4">
        <v>45876</v>
      </c>
      <c r="N1303" s="2" t="s">
        <v>32</v>
      </c>
      <c r="O1303" s="2">
        <f t="shared" si="83"/>
        <v>1</v>
      </c>
      <c r="P1303" s="2" t="s">
        <v>23</v>
      </c>
      <c r="Q1303" s="2" t="s">
        <v>23</v>
      </c>
      <c r="R1303" s="2" t="s">
        <v>23</v>
      </c>
      <c r="S1303" s="2" t="s">
        <v>23</v>
      </c>
      <c r="T1303" s="2" t="s">
        <v>23</v>
      </c>
      <c r="U1303" s="25">
        <f t="shared" si="81"/>
        <v>399.00130300000001</v>
      </c>
    </row>
    <row r="1304" spans="1:21">
      <c r="A1304" s="2" t="s">
        <v>2059</v>
      </c>
      <c r="B1304" s="2" t="s">
        <v>2060</v>
      </c>
      <c r="C1304" s="2" t="s">
        <v>19</v>
      </c>
      <c r="D1304" s="2">
        <v>58</v>
      </c>
      <c r="E1304" s="2" t="str">
        <f t="shared" si="82"/>
        <v>46-60</v>
      </c>
      <c r="F1304" s="2" t="s">
        <v>26</v>
      </c>
      <c r="G1304" s="2" t="s">
        <v>21</v>
      </c>
      <c r="H1304" s="2">
        <v>23</v>
      </c>
      <c r="I1304" s="2" t="str">
        <f t="shared" si="80"/>
        <v>13-24 months</v>
      </c>
      <c r="J1304" s="3">
        <v>399</v>
      </c>
      <c r="K1304" s="3">
        <v>9177</v>
      </c>
      <c r="L1304" s="2" t="s">
        <v>37</v>
      </c>
      <c r="M1304" s="4">
        <v>45215</v>
      </c>
      <c r="N1304" s="2" t="s">
        <v>23</v>
      </c>
      <c r="O1304" s="2">
        <f t="shared" si="83"/>
        <v>0</v>
      </c>
      <c r="P1304" s="2" t="s">
        <v>23</v>
      </c>
      <c r="Q1304" s="2" t="s">
        <v>23</v>
      </c>
      <c r="R1304" s="2" t="s">
        <v>32</v>
      </c>
      <c r="S1304" s="2" t="s">
        <v>23</v>
      </c>
      <c r="T1304" s="2" t="s">
        <v>23</v>
      </c>
      <c r="U1304" s="25">
        <f t="shared" si="81"/>
        <v>9177.0013039999994</v>
      </c>
    </row>
    <row r="1305" spans="1:21">
      <c r="A1305" s="2" t="s">
        <v>2061</v>
      </c>
      <c r="B1305" s="2" t="s">
        <v>765</v>
      </c>
      <c r="C1305" s="2" t="s">
        <v>19</v>
      </c>
      <c r="D1305" s="2">
        <v>50</v>
      </c>
      <c r="E1305" s="2" t="str">
        <f t="shared" si="82"/>
        <v>46-60</v>
      </c>
      <c r="F1305" s="2" t="s">
        <v>36</v>
      </c>
      <c r="G1305" s="2" t="s">
        <v>21</v>
      </c>
      <c r="H1305" s="2">
        <v>9</v>
      </c>
      <c r="I1305" s="2" t="str">
        <f t="shared" si="80"/>
        <v>7-12 months</v>
      </c>
      <c r="J1305" s="3">
        <v>549</v>
      </c>
      <c r="K1305" s="3">
        <v>4941</v>
      </c>
      <c r="L1305" s="2" t="s">
        <v>66</v>
      </c>
      <c r="M1305" s="4">
        <v>45636</v>
      </c>
      <c r="N1305" s="2" t="s">
        <v>23</v>
      </c>
      <c r="O1305" s="2">
        <f t="shared" si="83"/>
        <v>0</v>
      </c>
      <c r="P1305" s="2" t="s">
        <v>23</v>
      </c>
      <c r="Q1305" s="2" t="s">
        <v>23</v>
      </c>
      <c r="R1305" s="2" t="s">
        <v>23</v>
      </c>
      <c r="S1305" s="2" t="s">
        <v>23</v>
      </c>
      <c r="T1305" s="2" t="s">
        <v>23</v>
      </c>
      <c r="U1305" s="25">
        <f t="shared" si="81"/>
        <v>4941.0013049999998</v>
      </c>
    </row>
    <row r="1306" spans="1:21">
      <c r="A1306" s="2" t="s">
        <v>2062</v>
      </c>
      <c r="B1306" s="2" t="s">
        <v>25</v>
      </c>
      <c r="C1306" s="2" t="s">
        <v>19</v>
      </c>
      <c r="D1306" s="2">
        <v>29</v>
      </c>
      <c r="E1306" s="2" t="str">
        <f t="shared" si="82"/>
        <v>26-35</v>
      </c>
      <c r="F1306" s="2" t="s">
        <v>57</v>
      </c>
      <c r="G1306" s="2" t="s">
        <v>21</v>
      </c>
      <c r="H1306" s="2">
        <v>6</v>
      </c>
      <c r="I1306" s="2" t="str">
        <f t="shared" si="80"/>
        <v>0-6 months</v>
      </c>
      <c r="J1306" s="3">
        <v>549</v>
      </c>
      <c r="K1306" s="3">
        <v>3294</v>
      </c>
      <c r="L1306" s="2" t="s">
        <v>66</v>
      </c>
      <c r="M1306" s="4">
        <v>45735</v>
      </c>
      <c r="N1306" s="2" t="s">
        <v>32</v>
      </c>
      <c r="O1306" s="2">
        <f t="shared" si="83"/>
        <v>1</v>
      </c>
      <c r="P1306" s="2" t="s">
        <v>23</v>
      </c>
      <c r="Q1306" s="2" t="s">
        <v>23</v>
      </c>
      <c r="R1306" s="2" t="s">
        <v>23</v>
      </c>
      <c r="S1306" s="2" t="s">
        <v>23</v>
      </c>
      <c r="T1306" s="2" t="s">
        <v>23</v>
      </c>
      <c r="U1306" s="25">
        <f t="shared" si="81"/>
        <v>3294.0013060000001</v>
      </c>
    </row>
    <row r="1307" spans="1:21">
      <c r="A1307" s="2" t="s">
        <v>2063</v>
      </c>
      <c r="B1307" s="2" t="s">
        <v>533</v>
      </c>
      <c r="C1307" s="2" t="s">
        <v>35</v>
      </c>
      <c r="D1307" s="2">
        <v>34</v>
      </c>
      <c r="E1307" s="2" t="str">
        <f t="shared" si="82"/>
        <v>26-35</v>
      </c>
      <c r="F1307" s="2" t="s">
        <v>57</v>
      </c>
      <c r="G1307" s="2" t="s">
        <v>21</v>
      </c>
      <c r="H1307" s="2">
        <v>1</v>
      </c>
      <c r="I1307" s="2" t="str">
        <f t="shared" si="80"/>
        <v>0-6 months</v>
      </c>
      <c r="J1307" s="3">
        <v>849</v>
      </c>
      <c r="K1307" s="3">
        <v>849</v>
      </c>
      <c r="L1307" s="2" t="s">
        <v>31</v>
      </c>
      <c r="M1307" s="4">
        <v>45893</v>
      </c>
      <c r="N1307" s="2" t="s">
        <v>32</v>
      </c>
      <c r="O1307" s="2">
        <f t="shared" si="83"/>
        <v>1</v>
      </c>
      <c r="P1307" s="2" t="s">
        <v>23</v>
      </c>
      <c r="Q1307" s="2" t="s">
        <v>23</v>
      </c>
      <c r="R1307" s="2" t="s">
        <v>23</v>
      </c>
      <c r="S1307" s="2" t="s">
        <v>23</v>
      </c>
      <c r="T1307" s="2" t="s">
        <v>23</v>
      </c>
      <c r="U1307" s="25">
        <f t="shared" si="81"/>
        <v>849.001307</v>
      </c>
    </row>
    <row r="1308" spans="1:21">
      <c r="A1308" s="2" t="s">
        <v>2064</v>
      </c>
      <c r="B1308" s="2" t="s">
        <v>2065</v>
      </c>
      <c r="C1308" s="2" t="s">
        <v>37</v>
      </c>
      <c r="D1308" s="2">
        <v>49</v>
      </c>
      <c r="E1308" s="2" t="str">
        <f t="shared" si="82"/>
        <v>46-60</v>
      </c>
      <c r="F1308" s="2" t="s">
        <v>30</v>
      </c>
      <c r="G1308" s="2" t="s">
        <v>47</v>
      </c>
      <c r="H1308" s="2">
        <v>56</v>
      </c>
      <c r="I1308" s="2" t="str">
        <f t="shared" si="80"/>
        <v>49+ months</v>
      </c>
      <c r="J1308" s="3">
        <v>599</v>
      </c>
      <c r="K1308" s="3">
        <v>33544</v>
      </c>
      <c r="L1308" s="2" t="s">
        <v>31</v>
      </c>
      <c r="M1308" s="4">
        <v>44225</v>
      </c>
      <c r="N1308" s="2" t="s">
        <v>32</v>
      </c>
      <c r="O1308" s="2">
        <f t="shared" si="83"/>
        <v>1</v>
      </c>
      <c r="P1308" s="2" t="s">
        <v>23</v>
      </c>
      <c r="Q1308" s="2" t="s">
        <v>23</v>
      </c>
      <c r="R1308" s="2" t="s">
        <v>23</v>
      </c>
      <c r="S1308" s="2" t="s">
        <v>23</v>
      </c>
      <c r="T1308" s="2" t="s">
        <v>23</v>
      </c>
      <c r="U1308" s="25">
        <f t="shared" si="81"/>
        <v>33544.001307999999</v>
      </c>
    </row>
    <row r="1309" spans="1:21">
      <c r="A1309" s="2" t="s">
        <v>2066</v>
      </c>
      <c r="B1309" s="2" t="s">
        <v>1806</v>
      </c>
      <c r="C1309" s="2" t="s">
        <v>19</v>
      </c>
      <c r="D1309" s="2">
        <v>67</v>
      </c>
      <c r="E1309" s="2" t="str">
        <f t="shared" si="82"/>
        <v>60+</v>
      </c>
      <c r="F1309" s="2" t="s">
        <v>30</v>
      </c>
      <c r="G1309" s="2" t="s">
        <v>27</v>
      </c>
      <c r="H1309" s="2">
        <v>5</v>
      </c>
      <c r="I1309" s="2" t="str">
        <f t="shared" si="80"/>
        <v>0-6 months</v>
      </c>
      <c r="J1309" s="3">
        <v>1049</v>
      </c>
      <c r="K1309" s="3">
        <v>5245</v>
      </c>
      <c r="L1309" s="2" t="s">
        <v>22</v>
      </c>
      <c r="M1309" s="4">
        <v>45755</v>
      </c>
      <c r="N1309" s="2" t="s">
        <v>23</v>
      </c>
      <c r="O1309" s="2">
        <f t="shared" si="83"/>
        <v>0</v>
      </c>
      <c r="P1309" s="2" t="s">
        <v>23</v>
      </c>
      <c r="Q1309" s="2" t="s">
        <v>23</v>
      </c>
      <c r="R1309" s="2" t="s">
        <v>23</v>
      </c>
      <c r="S1309" s="2" t="s">
        <v>23</v>
      </c>
      <c r="T1309" s="2" t="s">
        <v>23</v>
      </c>
      <c r="U1309" s="25">
        <f t="shared" si="81"/>
        <v>5245.0013090000002</v>
      </c>
    </row>
    <row r="1310" spans="1:21">
      <c r="A1310" s="2" t="s">
        <v>2067</v>
      </c>
      <c r="B1310" s="2" t="s">
        <v>843</v>
      </c>
      <c r="C1310" s="2" t="s">
        <v>35</v>
      </c>
      <c r="D1310" s="2">
        <v>37</v>
      </c>
      <c r="E1310" s="2" t="str">
        <f t="shared" si="82"/>
        <v>36-45</v>
      </c>
      <c r="F1310" s="2" t="s">
        <v>110</v>
      </c>
      <c r="G1310" s="2" t="s">
        <v>21</v>
      </c>
      <c r="H1310" s="2">
        <v>24</v>
      </c>
      <c r="I1310" s="2" t="str">
        <f t="shared" si="80"/>
        <v>13-24 months</v>
      </c>
      <c r="J1310" s="3">
        <v>999</v>
      </c>
      <c r="K1310" s="3">
        <v>23976</v>
      </c>
      <c r="L1310" s="2" t="s">
        <v>22</v>
      </c>
      <c r="M1310" s="4">
        <v>45186</v>
      </c>
      <c r="N1310" s="2" t="s">
        <v>32</v>
      </c>
      <c r="O1310" s="2">
        <f t="shared" si="83"/>
        <v>1</v>
      </c>
      <c r="P1310" s="2" t="s">
        <v>23</v>
      </c>
      <c r="Q1310" s="2" t="s">
        <v>23</v>
      </c>
      <c r="R1310" s="2" t="s">
        <v>23</v>
      </c>
      <c r="S1310" s="2" t="s">
        <v>23</v>
      </c>
      <c r="T1310" s="2" t="s">
        <v>23</v>
      </c>
      <c r="U1310" s="25">
        <f t="shared" si="81"/>
        <v>23976.00131</v>
      </c>
    </row>
    <row r="1311" spans="1:21">
      <c r="A1311" s="2" t="s">
        <v>2068</v>
      </c>
      <c r="B1311" s="2" t="s">
        <v>944</v>
      </c>
      <c r="C1311" s="2" t="s">
        <v>35</v>
      </c>
      <c r="D1311" s="2">
        <v>74</v>
      </c>
      <c r="E1311" s="2" t="str">
        <f t="shared" si="82"/>
        <v>60+</v>
      </c>
      <c r="F1311" s="2" t="s">
        <v>60</v>
      </c>
      <c r="G1311" s="2" t="s">
        <v>21</v>
      </c>
      <c r="H1311" s="2">
        <v>13</v>
      </c>
      <c r="I1311" s="2" t="str">
        <f t="shared" si="80"/>
        <v>13-24 months</v>
      </c>
      <c r="J1311" s="3">
        <v>1299</v>
      </c>
      <c r="K1311" s="3">
        <v>16887</v>
      </c>
      <c r="L1311" s="2" t="s">
        <v>22</v>
      </c>
      <c r="M1311" s="4">
        <v>45534</v>
      </c>
      <c r="N1311" s="2" t="s">
        <v>32</v>
      </c>
      <c r="O1311" s="2">
        <f t="shared" si="83"/>
        <v>1</v>
      </c>
      <c r="P1311" s="2" t="s">
        <v>23</v>
      </c>
      <c r="Q1311" s="2" t="s">
        <v>23</v>
      </c>
      <c r="R1311" s="2" t="s">
        <v>23</v>
      </c>
      <c r="S1311" s="2" t="s">
        <v>23</v>
      </c>
      <c r="T1311" s="2" t="s">
        <v>23</v>
      </c>
      <c r="U1311" s="25">
        <f t="shared" si="81"/>
        <v>16887.001311</v>
      </c>
    </row>
    <row r="1312" spans="1:21">
      <c r="A1312" s="2" t="s">
        <v>2069</v>
      </c>
      <c r="B1312" s="2" t="s">
        <v>2070</v>
      </c>
      <c r="C1312" s="2" t="s">
        <v>35</v>
      </c>
      <c r="D1312" s="2">
        <v>73</v>
      </c>
      <c r="E1312" s="2" t="str">
        <f t="shared" si="82"/>
        <v>60+</v>
      </c>
      <c r="F1312" s="2" t="s">
        <v>63</v>
      </c>
      <c r="G1312" s="2" t="s">
        <v>27</v>
      </c>
      <c r="H1312" s="2">
        <v>10</v>
      </c>
      <c r="I1312" s="2" t="str">
        <f t="shared" si="80"/>
        <v>7-12 months</v>
      </c>
      <c r="J1312" s="3">
        <v>1049</v>
      </c>
      <c r="K1312" s="3">
        <v>10490</v>
      </c>
      <c r="L1312" s="2" t="s">
        <v>22</v>
      </c>
      <c r="M1312" s="4">
        <v>45602</v>
      </c>
      <c r="N1312" s="2" t="s">
        <v>23</v>
      </c>
      <c r="O1312" s="2">
        <f t="shared" si="83"/>
        <v>0</v>
      </c>
      <c r="P1312" s="2" t="s">
        <v>23</v>
      </c>
      <c r="Q1312" s="2" t="s">
        <v>23</v>
      </c>
      <c r="R1312" s="2" t="s">
        <v>23</v>
      </c>
      <c r="S1312" s="2" t="s">
        <v>23</v>
      </c>
      <c r="T1312" s="2" t="s">
        <v>23</v>
      </c>
      <c r="U1312" s="25">
        <f t="shared" si="81"/>
        <v>10490.001312</v>
      </c>
    </row>
    <row r="1313" spans="1:21">
      <c r="A1313" s="2" t="s">
        <v>2071</v>
      </c>
      <c r="B1313" s="2" t="s">
        <v>540</v>
      </c>
      <c r="C1313" s="2" t="s">
        <v>19</v>
      </c>
      <c r="D1313" s="2">
        <v>29</v>
      </c>
      <c r="E1313" s="2" t="str">
        <f t="shared" si="82"/>
        <v>26-35</v>
      </c>
      <c r="F1313" s="2" t="s">
        <v>20</v>
      </c>
      <c r="G1313" s="2" t="s">
        <v>21</v>
      </c>
      <c r="H1313" s="2">
        <v>5</v>
      </c>
      <c r="I1313" s="2" t="str">
        <f t="shared" si="80"/>
        <v>0-6 months</v>
      </c>
      <c r="J1313" s="3">
        <v>1049</v>
      </c>
      <c r="K1313" s="3">
        <v>5245</v>
      </c>
      <c r="L1313" s="2" t="s">
        <v>22</v>
      </c>
      <c r="M1313" s="4">
        <v>45766</v>
      </c>
      <c r="N1313" s="2" t="s">
        <v>32</v>
      </c>
      <c r="O1313" s="2">
        <f t="shared" si="83"/>
        <v>1</v>
      </c>
      <c r="P1313" s="2" t="s">
        <v>23</v>
      </c>
      <c r="Q1313" s="2" t="s">
        <v>23</v>
      </c>
      <c r="R1313" s="2" t="s">
        <v>23</v>
      </c>
      <c r="S1313" s="2" t="s">
        <v>23</v>
      </c>
      <c r="T1313" s="2" t="s">
        <v>23</v>
      </c>
      <c r="U1313" s="25">
        <f t="shared" si="81"/>
        <v>5245.0013129999998</v>
      </c>
    </row>
    <row r="1314" spans="1:21">
      <c r="A1314" s="2" t="s">
        <v>2072</v>
      </c>
      <c r="B1314" s="2" t="s">
        <v>2073</v>
      </c>
      <c r="C1314" s="2" t="s">
        <v>19</v>
      </c>
      <c r="D1314" s="2">
        <v>35</v>
      </c>
      <c r="E1314" s="2" t="str">
        <f t="shared" si="82"/>
        <v>26-35</v>
      </c>
      <c r="F1314" s="2" t="s">
        <v>20</v>
      </c>
      <c r="G1314" s="2" t="s">
        <v>21</v>
      </c>
      <c r="H1314" s="2">
        <v>16</v>
      </c>
      <c r="I1314" s="2" t="str">
        <f t="shared" si="80"/>
        <v>13-24 months</v>
      </c>
      <c r="J1314" s="3">
        <v>1099</v>
      </c>
      <c r="K1314" s="3">
        <v>17584</v>
      </c>
      <c r="L1314" s="2" t="s">
        <v>22</v>
      </c>
      <c r="M1314" s="4">
        <v>45427</v>
      </c>
      <c r="N1314" s="2" t="s">
        <v>23</v>
      </c>
      <c r="O1314" s="2">
        <f t="shared" si="83"/>
        <v>0</v>
      </c>
      <c r="P1314" s="2" t="s">
        <v>23</v>
      </c>
      <c r="Q1314" s="2" t="s">
        <v>23</v>
      </c>
      <c r="R1314" s="2" t="s">
        <v>23</v>
      </c>
      <c r="S1314" s="2" t="s">
        <v>23</v>
      </c>
      <c r="T1314" s="2" t="s">
        <v>23</v>
      </c>
      <c r="U1314" s="25">
        <f t="shared" si="81"/>
        <v>17584.001314000001</v>
      </c>
    </row>
    <row r="1315" spans="1:21">
      <c r="A1315" s="2" t="s">
        <v>2074</v>
      </c>
      <c r="B1315" s="2" t="s">
        <v>242</v>
      </c>
      <c r="C1315" s="2" t="s">
        <v>19</v>
      </c>
      <c r="D1315" s="2">
        <v>22</v>
      </c>
      <c r="E1315" s="2" t="str">
        <f t="shared" si="82"/>
        <v>18-25</v>
      </c>
      <c r="F1315" s="2" t="s">
        <v>30</v>
      </c>
      <c r="G1315" s="2" t="s">
        <v>27</v>
      </c>
      <c r="H1315" s="2">
        <v>10</v>
      </c>
      <c r="I1315" s="2" t="str">
        <f t="shared" si="80"/>
        <v>7-12 months</v>
      </c>
      <c r="J1315" s="3">
        <v>1149</v>
      </c>
      <c r="K1315" s="3">
        <v>11490</v>
      </c>
      <c r="L1315" s="2" t="s">
        <v>22</v>
      </c>
      <c r="M1315" s="4">
        <v>45615</v>
      </c>
      <c r="N1315" s="2" t="s">
        <v>23</v>
      </c>
      <c r="O1315" s="2">
        <f t="shared" si="83"/>
        <v>0</v>
      </c>
      <c r="P1315" s="2" t="s">
        <v>23</v>
      </c>
      <c r="Q1315" s="2" t="s">
        <v>23</v>
      </c>
      <c r="R1315" s="2" t="s">
        <v>23</v>
      </c>
      <c r="S1315" s="2" t="s">
        <v>23</v>
      </c>
      <c r="T1315" s="2" t="s">
        <v>23</v>
      </c>
      <c r="U1315" s="25">
        <f t="shared" si="81"/>
        <v>11490.001315</v>
      </c>
    </row>
    <row r="1316" spans="1:21">
      <c r="A1316" s="2" t="s">
        <v>2075</v>
      </c>
      <c r="B1316" s="2" t="s">
        <v>886</v>
      </c>
      <c r="C1316" s="2" t="s">
        <v>35</v>
      </c>
      <c r="D1316" s="2">
        <v>58</v>
      </c>
      <c r="E1316" s="2" t="str">
        <f t="shared" si="82"/>
        <v>46-60</v>
      </c>
      <c r="F1316" s="2" t="s">
        <v>37</v>
      </c>
      <c r="G1316" s="2" t="s">
        <v>21</v>
      </c>
      <c r="H1316" s="2">
        <v>20</v>
      </c>
      <c r="I1316" s="2" t="str">
        <f t="shared" si="80"/>
        <v>13-24 months</v>
      </c>
      <c r="J1316" s="3">
        <v>749</v>
      </c>
      <c r="K1316" s="3">
        <v>14980</v>
      </c>
      <c r="L1316" s="2" t="s">
        <v>31</v>
      </c>
      <c r="M1316" s="4">
        <v>45312</v>
      </c>
      <c r="N1316" s="2" t="s">
        <v>23</v>
      </c>
      <c r="O1316" s="2">
        <f t="shared" si="83"/>
        <v>0</v>
      </c>
      <c r="P1316" s="2" t="s">
        <v>23</v>
      </c>
      <c r="Q1316" s="2" t="s">
        <v>23</v>
      </c>
      <c r="R1316" s="2" t="s">
        <v>23</v>
      </c>
      <c r="S1316" s="2" t="s">
        <v>23</v>
      </c>
      <c r="T1316" s="2" t="s">
        <v>23</v>
      </c>
      <c r="U1316" s="25">
        <f t="shared" si="81"/>
        <v>14980.001316</v>
      </c>
    </row>
    <row r="1317" spans="1:21">
      <c r="A1317" s="2" t="s">
        <v>2076</v>
      </c>
      <c r="B1317" s="2" t="s">
        <v>867</v>
      </c>
      <c r="C1317" s="2" t="s">
        <v>35</v>
      </c>
      <c r="D1317" s="2">
        <v>41</v>
      </c>
      <c r="E1317" s="2" t="str">
        <f t="shared" si="82"/>
        <v>36-45</v>
      </c>
      <c r="F1317" s="2" t="s">
        <v>110</v>
      </c>
      <c r="G1317" s="2" t="s">
        <v>27</v>
      </c>
      <c r="H1317" s="2">
        <v>37</v>
      </c>
      <c r="I1317" s="2" t="str">
        <f t="shared" si="80"/>
        <v>25-48 months</v>
      </c>
      <c r="J1317" s="3">
        <v>749</v>
      </c>
      <c r="K1317" s="3">
        <v>27713</v>
      </c>
      <c r="L1317" s="2" t="s">
        <v>31</v>
      </c>
      <c r="M1317" s="4">
        <v>44805</v>
      </c>
      <c r="N1317" s="2" t="s">
        <v>23</v>
      </c>
      <c r="O1317" s="2">
        <f t="shared" si="83"/>
        <v>0</v>
      </c>
      <c r="P1317" s="2" t="s">
        <v>23</v>
      </c>
      <c r="Q1317" s="2" t="s">
        <v>23</v>
      </c>
      <c r="R1317" s="2" t="s">
        <v>23</v>
      </c>
      <c r="S1317" s="2" t="s">
        <v>23</v>
      </c>
      <c r="T1317" s="2" t="s">
        <v>23</v>
      </c>
      <c r="U1317" s="25">
        <f t="shared" si="81"/>
        <v>27713.001316999998</v>
      </c>
    </row>
    <row r="1318" spans="1:21">
      <c r="A1318" s="2" t="s">
        <v>2077</v>
      </c>
      <c r="B1318" s="2" t="s">
        <v>452</v>
      </c>
      <c r="C1318" s="2" t="s">
        <v>19</v>
      </c>
      <c r="D1318" s="2">
        <v>62</v>
      </c>
      <c r="E1318" s="2" t="str">
        <f t="shared" si="82"/>
        <v>60+</v>
      </c>
      <c r="F1318" s="2" t="s">
        <v>20</v>
      </c>
      <c r="G1318" s="2" t="s">
        <v>47</v>
      </c>
      <c r="H1318" s="2">
        <v>61</v>
      </c>
      <c r="I1318" s="2" t="str">
        <f t="shared" si="80"/>
        <v>49+ months</v>
      </c>
      <c r="J1318" s="3">
        <v>549</v>
      </c>
      <c r="K1318" s="3">
        <v>33489</v>
      </c>
      <c r="L1318" s="2" t="s">
        <v>66</v>
      </c>
      <c r="M1318" s="4">
        <v>44073</v>
      </c>
      <c r="N1318" s="2" t="s">
        <v>23</v>
      </c>
      <c r="O1318" s="2">
        <f t="shared" si="83"/>
        <v>0</v>
      </c>
      <c r="P1318" s="2" t="s">
        <v>23</v>
      </c>
      <c r="Q1318" s="2" t="s">
        <v>23</v>
      </c>
      <c r="R1318" s="2" t="s">
        <v>23</v>
      </c>
      <c r="S1318" s="2" t="s">
        <v>23</v>
      </c>
      <c r="T1318" s="2" t="s">
        <v>23</v>
      </c>
      <c r="U1318" s="25">
        <f t="shared" si="81"/>
        <v>33489.001318000002</v>
      </c>
    </row>
    <row r="1319" spans="1:21">
      <c r="A1319" s="2" t="s">
        <v>2078</v>
      </c>
      <c r="B1319" s="2" t="s">
        <v>772</v>
      </c>
      <c r="C1319" s="2" t="s">
        <v>35</v>
      </c>
      <c r="D1319" s="2">
        <v>38</v>
      </c>
      <c r="E1319" s="2" t="str">
        <f t="shared" si="82"/>
        <v>36-45</v>
      </c>
      <c r="F1319" s="2" t="s">
        <v>110</v>
      </c>
      <c r="G1319" s="2" t="s">
        <v>27</v>
      </c>
      <c r="H1319" s="2">
        <v>15</v>
      </c>
      <c r="I1319" s="2" t="str">
        <f t="shared" si="80"/>
        <v>13-24 months</v>
      </c>
      <c r="J1319" s="3">
        <v>549</v>
      </c>
      <c r="K1319" s="3">
        <v>8235</v>
      </c>
      <c r="L1319" s="2" t="s">
        <v>66</v>
      </c>
      <c r="M1319" s="4">
        <v>45452</v>
      </c>
      <c r="N1319" s="2" t="s">
        <v>23</v>
      </c>
      <c r="O1319" s="2">
        <f t="shared" si="83"/>
        <v>0</v>
      </c>
      <c r="P1319" s="2" t="s">
        <v>23</v>
      </c>
      <c r="Q1319" s="2" t="s">
        <v>23</v>
      </c>
      <c r="R1319" s="2" t="s">
        <v>23</v>
      </c>
      <c r="S1319" s="2" t="s">
        <v>23</v>
      </c>
      <c r="T1319" s="2" t="s">
        <v>23</v>
      </c>
      <c r="U1319" s="25">
        <f t="shared" si="81"/>
        <v>8235.0013190000009</v>
      </c>
    </row>
    <row r="1320" spans="1:21">
      <c r="A1320" s="2" t="s">
        <v>2079</v>
      </c>
      <c r="B1320" s="2" t="s">
        <v>37</v>
      </c>
      <c r="C1320" s="2" t="s">
        <v>19</v>
      </c>
      <c r="D1320" s="2">
        <v>48</v>
      </c>
      <c r="E1320" s="2" t="str">
        <f t="shared" si="82"/>
        <v>46-60</v>
      </c>
      <c r="F1320" s="2" t="s">
        <v>36</v>
      </c>
      <c r="G1320" s="2" t="s">
        <v>21</v>
      </c>
      <c r="H1320" s="2">
        <v>13</v>
      </c>
      <c r="I1320" s="2" t="str">
        <f t="shared" si="80"/>
        <v>13-24 months</v>
      </c>
      <c r="J1320" s="3">
        <v>549</v>
      </c>
      <c r="K1320" s="3">
        <v>7137</v>
      </c>
      <c r="L1320" s="2" t="s">
        <v>66</v>
      </c>
      <c r="M1320" s="4">
        <v>45522</v>
      </c>
      <c r="N1320" s="2" t="s">
        <v>32</v>
      </c>
      <c r="O1320" s="2">
        <f t="shared" si="83"/>
        <v>1</v>
      </c>
      <c r="P1320" s="2" t="s">
        <v>23</v>
      </c>
      <c r="Q1320" s="2" t="s">
        <v>23</v>
      </c>
      <c r="R1320" s="2" t="s">
        <v>23</v>
      </c>
      <c r="S1320" s="2" t="s">
        <v>23</v>
      </c>
      <c r="T1320" s="2" t="s">
        <v>23</v>
      </c>
      <c r="U1320" s="25">
        <f t="shared" si="81"/>
        <v>7137.0013200000003</v>
      </c>
    </row>
    <row r="1321" spans="1:21">
      <c r="A1321" s="2" t="s">
        <v>2080</v>
      </c>
      <c r="B1321" s="2" t="s">
        <v>516</v>
      </c>
      <c r="C1321" s="2" t="s">
        <v>35</v>
      </c>
      <c r="D1321" s="2">
        <v>75</v>
      </c>
      <c r="E1321" s="2" t="str">
        <f t="shared" si="82"/>
        <v>60+</v>
      </c>
      <c r="F1321" s="2" t="s">
        <v>141</v>
      </c>
      <c r="G1321" s="2" t="s">
        <v>21</v>
      </c>
      <c r="H1321" s="2">
        <v>7</v>
      </c>
      <c r="I1321" s="2" t="str">
        <f t="shared" si="80"/>
        <v>7-12 months</v>
      </c>
      <c r="J1321" s="3">
        <v>1299</v>
      </c>
      <c r="K1321" s="3">
        <v>9093</v>
      </c>
      <c r="L1321" s="2" t="s">
        <v>22</v>
      </c>
      <c r="M1321" s="4">
        <v>45707</v>
      </c>
      <c r="N1321" s="2" t="s">
        <v>23</v>
      </c>
      <c r="O1321" s="2">
        <f t="shared" si="83"/>
        <v>0</v>
      </c>
      <c r="P1321" s="2" t="s">
        <v>23</v>
      </c>
      <c r="Q1321" s="2" t="s">
        <v>23</v>
      </c>
      <c r="R1321" s="2" t="s">
        <v>32</v>
      </c>
      <c r="S1321" s="2" t="s">
        <v>23</v>
      </c>
      <c r="T1321" s="2" t="s">
        <v>23</v>
      </c>
      <c r="U1321" s="25">
        <f t="shared" si="81"/>
        <v>9093.0013209999997</v>
      </c>
    </row>
    <row r="1322" spans="1:21">
      <c r="A1322" s="2" t="s">
        <v>2081</v>
      </c>
      <c r="B1322" s="2" t="s">
        <v>446</v>
      </c>
      <c r="C1322" s="2" t="s">
        <v>19</v>
      </c>
      <c r="D1322" s="2">
        <v>32</v>
      </c>
      <c r="E1322" s="2" t="str">
        <f t="shared" si="82"/>
        <v>26-35</v>
      </c>
      <c r="F1322" s="2" t="s">
        <v>71</v>
      </c>
      <c r="G1322" s="2" t="s">
        <v>21</v>
      </c>
      <c r="H1322" s="2">
        <v>20</v>
      </c>
      <c r="I1322" s="2" t="str">
        <f t="shared" si="80"/>
        <v>13-24 months</v>
      </c>
      <c r="J1322" s="3">
        <v>1149</v>
      </c>
      <c r="K1322" s="3">
        <v>22980</v>
      </c>
      <c r="L1322" s="2" t="s">
        <v>22</v>
      </c>
      <c r="M1322" s="4">
        <v>45318</v>
      </c>
      <c r="N1322" s="2" t="s">
        <v>37</v>
      </c>
      <c r="O1322" s="2" t="str">
        <f t="shared" si="83"/>
        <v/>
      </c>
      <c r="P1322" s="2" t="s">
        <v>23</v>
      </c>
      <c r="Q1322" s="2" t="s">
        <v>23</v>
      </c>
      <c r="R1322" s="2" t="s">
        <v>23</v>
      </c>
      <c r="S1322" s="2" t="s">
        <v>23</v>
      </c>
      <c r="T1322" s="2" t="s">
        <v>38</v>
      </c>
      <c r="U1322" s="25">
        <f t="shared" si="81"/>
        <v>22980.001322</v>
      </c>
    </row>
    <row r="1323" spans="1:21">
      <c r="A1323" s="2" t="s">
        <v>2082</v>
      </c>
      <c r="B1323" s="2" t="s">
        <v>2083</v>
      </c>
      <c r="C1323" s="2" t="s">
        <v>35</v>
      </c>
      <c r="D1323" s="2">
        <v>74</v>
      </c>
      <c r="E1323" s="2" t="str">
        <f t="shared" si="82"/>
        <v>60+</v>
      </c>
      <c r="F1323" s="2" t="s">
        <v>26</v>
      </c>
      <c r="G1323" s="2" t="s">
        <v>21</v>
      </c>
      <c r="H1323" s="2">
        <v>7</v>
      </c>
      <c r="I1323" s="2" t="str">
        <f t="shared" si="80"/>
        <v>7-12 months</v>
      </c>
      <c r="J1323" s="3">
        <v>349</v>
      </c>
      <c r="K1323" s="3">
        <v>2443</v>
      </c>
      <c r="L1323" s="2" t="s">
        <v>66</v>
      </c>
      <c r="M1323" s="4">
        <v>45717</v>
      </c>
      <c r="N1323" s="2" t="s">
        <v>32</v>
      </c>
      <c r="O1323" s="2">
        <f t="shared" si="83"/>
        <v>1</v>
      </c>
      <c r="P1323" s="2" t="s">
        <v>23</v>
      </c>
      <c r="Q1323" s="2" t="s">
        <v>32</v>
      </c>
      <c r="R1323" s="2" t="s">
        <v>23</v>
      </c>
      <c r="S1323" s="2" t="s">
        <v>23</v>
      </c>
      <c r="T1323" s="2" t="s">
        <v>23</v>
      </c>
      <c r="U1323" s="25">
        <f t="shared" si="81"/>
        <v>2443.001323</v>
      </c>
    </row>
    <row r="1324" spans="1:21">
      <c r="A1324" s="2" t="s">
        <v>2084</v>
      </c>
      <c r="B1324" s="2" t="s">
        <v>2085</v>
      </c>
      <c r="C1324" s="2" t="s">
        <v>19</v>
      </c>
      <c r="D1324" s="2">
        <v>36</v>
      </c>
      <c r="E1324" s="2" t="str">
        <f t="shared" si="82"/>
        <v>36-45</v>
      </c>
      <c r="F1324" s="2" t="s">
        <v>20</v>
      </c>
      <c r="G1324" s="2" t="s">
        <v>27</v>
      </c>
      <c r="H1324" s="2">
        <v>1</v>
      </c>
      <c r="I1324" s="2" t="str">
        <f t="shared" si="80"/>
        <v>0-6 months</v>
      </c>
      <c r="J1324" s="3">
        <v>1049</v>
      </c>
      <c r="K1324" s="3">
        <v>1049</v>
      </c>
      <c r="L1324" s="2" t="s">
        <v>22</v>
      </c>
      <c r="M1324" s="4">
        <v>45898</v>
      </c>
      <c r="N1324" s="2" t="s">
        <v>32</v>
      </c>
      <c r="O1324" s="2">
        <f t="shared" si="83"/>
        <v>1</v>
      </c>
      <c r="P1324" s="2" t="s">
        <v>23</v>
      </c>
      <c r="Q1324" s="2" t="s">
        <v>23</v>
      </c>
      <c r="R1324" s="2" t="s">
        <v>23</v>
      </c>
      <c r="S1324" s="2" t="s">
        <v>23</v>
      </c>
      <c r="T1324" s="2" t="s">
        <v>23</v>
      </c>
      <c r="U1324" s="25">
        <f t="shared" si="81"/>
        <v>1049.0013240000001</v>
      </c>
    </row>
    <row r="1325" spans="1:21">
      <c r="A1325" s="2" t="s">
        <v>2086</v>
      </c>
      <c r="B1325" s="2" t="s">
        <v>1940</v>
      </c>
      <c r="C1325" s="2" t="s">
        <v>19</v>
      </c>
      <c r="D1325" s="2">
        <v>41</v>
      </c>
      <c r="E1325" s="2" t="str">
        <f t="shared" si="82"/>
        <v>36-45</v>
      </c>
      <c r="F1325" s="2" t="s">
        <v>60</v>
      </c>
      <c r="G1325" s="2" t="s">
        <v>27</v>
      </c>
      <c r="H1325" s="2">
        <v>29</v>
      </c>
      <c r="I1325" s="2" t="str">
        <f t="shared" si="80"/>
        <v>25-48 months</v>
      </c>
      <c r="J1325" s="3">
        <v>549</v>
      </c>
      <c r="K1325" s="3">
        <v>15921</v>
      </c>
      <c r="L1325" s="2" t="s">
        <v>66</v>
      </c>
      <c r="M1325" s="4">
        <v>45044</v>
      </c>
      <c r="N1325" s="2" t="s">
        <v>23</v>
      </c>
      <c r="O1325" s="2">
        <f t="shared" si="83"/>
        <v>0</v>
      </c>
      <c r="P1325" s="2" t="s">
        <v>23</v>
      </c>
      <c r="Q1325" s="2" t="s">
        <v>23</v>
      </c>
      <c r="R1325" s="2" t="s">
        <v>23</v>
      </c>
      <c r="S1325" s="2" t="s">
        <v>23</v>
      </c>
      <c r="T1325" s="2" t="s">
        <v>23</v>
      </c>
      <c r="U1325" s="25">
        <f t="shared" si="81"/>
        <v>15921.001324999999</v>
      </c>
    </row>
    <row r="1326" spans="1:21">
      <c r="A1326" s="2" t="s">
        <v>2087</v>
      </c>
      <c r="B1326" s="2" t="s">
        <v>976</v>
      </c>
      <c r="C1326" s="2" t="s">
        <v>35</v>
      </c>
      <c r="D1326" s="2">
        <v>47</v>
      </c>
      <c r="E1326" s="2" t="str">
        <f t="shared" si="82"/>
        <v>46-60</v>
      </c>
      <c r="F1326" s="2" t="s">
        <v>46</v>
      </c>
      <c r="G1326" s="2" t="s">
        <v>21</v>
      </c>
      <c r="H1326" s="2">
        <v>10</v>
      </c>
      <c r="I1326" s="2" t="str">
        <f t="shared" si="80"/>
        <v>7-12 months</v>
      </c>
      <c r="J1326" s="3">
        <v>1149</v>
      </c>
      <c r="K1326" s="3">
        <v>11490</v>
      </c>
      <c r="L1326" s="2" t="s">
        <v>22</v>
      </c>
      <c r="M1326" s="4">
        <v>45628</v>
      </c>
      <c r="N1326" s="2" t="s">
        <v>32</v>
      </c>
      <c r="O1326" s="2">
        <f t="shared" si="83"/>
        <v>1</v>
      </c>
      <c r="P1326" s="2" t="s">
        <v>23</v>
      </c>
      <c r="Q1326" s="2" t="s">
        <v>23</v>
      </c>
      <c r="R1326" s="2" t="s">
        <v>23</v>
      </c>
      <c r="S1326" s="2" t="s">
        <v>23</v>
      </c>
      <c r="T1326" s="2" t="s">
        <v>23</v>
      </c>
      <c r="U1326" s="25">
        <f t="shared" si="81"/>
        <v>11490.001326</v>
      </c>
    </row>
    <row r="1327" spans="1:21">
      <c r="A1327" s="2" t="s">
        <v>2088</v>
      </c>
      <c r="B1327" s="2" t="s">
        <v>1691</v>
      </c>
      <c r="C1327" s="2" t="s">
        <v>19</v>
      </c>
      <c r="D1327" s="2">
        <v>53</v>
      </c>
      <c r="E1327" s="2" t="str">
        <f t="shared" si="82"/>
        <v>46-60</v>
      </c>
      <c r="F1327" s="2" t="s">
        <v>60</v>
      </c>
      <c r="G1327" s="2" t="s">
        <v>21</v>
      </c>
      <c r="H1327" s="2">
        <v>24</v>
      </c>
      <c r="I1327" s="2" t="str">
        <f t="shared" si="80"/>
        <v>13-24 months</v>
      </c>
      <c r="J1327" s="3">
        <v>749</v>
      </c>
      <c r="K1327" s="3">
        <v>17976</v>
      </c>
      <c r="L1327" s="2" t="s">
        <v>31</v>
      </c>
      <c r="M1327" s="4">
        <v>45188</v>
      </c>
      <c r="N1327" s="2" t="s">
        <v>23</v>
      </c>
      <c r="O1327" s="2">
        <f t="shared" si="83"/>
        <v>0</v>
      </c>
      <c r="P1327" s="2" t="s">
        <v>23</v>
      </c>
      <c r="Q1327" s="2" t="s">
        <v>23</v>
      </c>
      <c r="R1327" s="2" t="s">
        <v>23</v>
      </c>
      <c r="S1327" s="2" t="s">
        <v>23</v>
      </c>
      <c r="T1327" s="2" t="s">
        <v>23</v>
      </c>
      <c r="U1327" s="25">
        <f t="shared" si="81"/>
        <v>17976.001327000002</v>
      </c>
    </row>
    <row r="1328" spans="1:21">
      <c r="A1328" s="2" t="s">
        <v>2089</v>
      </c>
      <c r="B1328" s="2" t="s">
        <v>1368</v>
      </c>
      <c r="C1328" s="2" t="s">
        <v>35</v>
      </c>
      <c r="D1328" s="2">
        <v>38</v>
      </c>
      <c r="E1328" s="2" t="str">
        <f t="shared" si="82"/>
        <v>36-45</v>
      </c>
      <c r="F1328" s="2" t="s">
        <v>91</v>
      </c>
      <c r="G1328" s="2" t="s">
        <v>47</v>
      </c>
      <c r="H1328" s="2">
        <v>37</v>
      </c>
      <c r="I1328" s="2" t="str">
        <f t="shared" si="80"/>
        <v>25-48 months</v>
      </c>
      <c r="J1328" s="3">
        <v>699</v>
      </c>
      <c r="K1328" s="3">
        <v>25863</v>
      </c>
      <c r="L1328" s="2" t="s">
        <v>31</v>
      </c>
      <c r="M1328" s="4">
        <v>44802</v>
      </c>
      <c r="N1328" s="2" t="s">
        <v>32</v>
      </c>
      <c r="O1328" s="2">
        <f t="shared" si="83"/>
        <v>1</v>
      </c>
      <c r="P1328" s="2" t="s">
        <v>23</v>
      </c>
      <c r="Q1328" s="2" t="s">
        <v>23</v>
      </c>
      <c r="R1328" s="2" t="s">
        <v>23</v>
      </c>
      <c r="S1328" s="2" t="s">
        <v>23</v>
      </c>
      <c r="T1328" s="2" t="s">
        <v>23</v>
      </c>
      <c r="U1328" s="25">
        <f t="shared" si="81"/>
        <v>25863.001327999998</v>
      </c>
    </row>
    <row r="1329" spans="1:21">
      <c r="A1329" s="2" t="s">
        <v>2090</v>
      </c>
      <c r="B1329" s="2" t="s">
        <v>691</v>
      </c>
      <c r="C1329" s="2" t="s">
        <v>19</v>
      </c>
      <c r="D1329" s="2">
        <v>22</v>
      </c>
      <c r="E1329" s="2" t="str">
        <f t="shared" si="82"/>
        <v>18-25</v>
      </c>
      <c r="F1329" s="2" t="s">
        <v>41</v>
      </c>
      <c r="G1329" s="2" t="s">
        <v>21</v>
      </c>
      <c r="H1329" s="2">
        <v>6</v>
      </c>
      <c r="I1329" s="2" t="str">
        <f t="shared" si="80"/>
        <v>0-6 months</v>
      </c>
      <c r="J1329" s="3">
        <v>849</v>
      </c>
      <c r="K1329" s="3">
        <v>5094</v>
      </c>
      <c r="L1329" s="2" t="s">
        <v>31</v>
      </c>
      <c r="M1329" s="4">
        <v>45737</v>
      </c>
      <c r="N1329" s="2" t="s">
        <v>23</v>
      </c>
      <c r="O1329" s="2">
        <f t="shared" si="83"/>
        <v>0</v>
      </c>
      <c r="P1329" s="2" t="s">
        <v>23</v>
      </c>
      <c r="Q1329" s="2" t="s">
        <v>23</v>
      </c>
      <c r="R1329" s="2" t="s">
        <v>23</v>
      </c>
      <c r="S1329" s="2" t="s">
        <v>23</v>
      </c>
      <c r="T1329" s="2" t="s">
        <v>23</v>
      </c>
      <c r="U1329" s="25">
        <f t="shared" si="81"/>
        <v>5094.0013289999997</v>
      </c>
    </row>
    <row r="1330" spans="1:21">
      <c r="A1330" s="2" t="s">
        <v>2091</v>
      </c>
      <c r="B1330" s="2" t="s">
        <v>848</v>
      </c>
      <c r="C1330" s="2" t="s">
        <v>35</v>
      </c>
      <c r="D1330" s="2">
        <v>39</v>
      </c>
      <c r="E1330" s="2" t="str">
        <f t="shared" si="82"/>
        <v>36-45</v>
      </c>
      <c r="F1330" s="2" t="s">
        <v>110</v>
      </c>
      <c r="G1330" s="2" t="s">
        <v>21</v>
      </c>
      <c r="H1330" s="2">
        <v>2</v>
      </c>
      <c r="I1330" s="2" t="str">
        <f t="shared" si="80"/>
        <v>0-6 months</v>
      </c>
      <c r="J1330" s="3">
        <v>1099</v>
      </c>
      <c r="K1330" s="3">
        <v>2198</v>
      </c>
      <c r="L1330" s="2" t="s">
        <v>22</v>
      </c>
      <c r="M1330" s="4">
        <v>45851</v>
      </c>
      <c r="N1330" s="2" t="s">
        <v>23</v>
      </c>
      <c r="O1330" s="2">
        <f t="shared" si="83"/>
        <v>0</v>
      </c>
      <c r="P1330" s="2" t="s">
        <v>23</v>
      </c>
      <c r="Q1330" s="2" t="s">
        <v>23</v>
      </c>
      <c r="R1330" s="2" t="s">
        <v>23</v>
      </c>
      <c r="S1330" s="2" t="s">
        <v>23</v>
      </c>
      <c r="T1330" s="2" t="s">
        <v>23</v>
      </c>
      <c r="U1330" s="25">
        <f t="shared" si="81"/>
        <v>2198.0013300000001</v>
      </c>
    </row>
    <row r="1331" spans="1:21">
      <c r="A1331" s="2" t="s">
        <v>2092</v>
      </c>
      <c r="B1331" s="2" t="s">
        <v>1794</v>
      </c>
      <c r="C1331" s="2" t="s">
        <v>19</v>
      </c>
      <c r="D1331" s="2">
        <v>28</v>
      </c>
      <c r="E1331" s="2" t="str">
        <f t="shared" si="82"/>
        <v>26-35</v>
      </c>
      <c r="F1331" s="2" t="s">
        <v>41</v>
      </c>
      <c r="G1331" s="2" t="s">
        <v>27</v>
      </c>
      <c r="H1331" s="2">
        <v>15</v>
      </c>
      <c r="I1331" s="2" t="str">
        <f t="shared" si="80"/>
        <v>13-24 months</v>
      </c>
      <c r="J1331" s="3">
        <v>549</v>
      </c>
      <c r="K1331" s="3">
        <v>8235</v>
      </c>
      <c r="L1331" s="2" t="s">
        <v>66</v>
      </c>
      <c r="M1331" s="4">
        <v>45458</v>
      </c>
      <c r="N1331" s="2" t="s">
        <v>32</v>
      </c>
      <c r="O1331" s="2">
        <f t="shared" si="83"/>
        <v>1</v>
      </c>
      <c r="P1331" s="2" t="s">
        <v>23</v>
      </c>
      <c r="Q1331" s="2" t="s">
        <v>23</v>
      </c>
      <c r="R1331" s="2" t="s">
        <v>32</v>
      </c>
      <c r="S1331" s="2" t="s">
        <v>23</v>
      </c>
      <c r="T1331" s="2" t="s">
        <v>23</v>
      </c>
      <c r="U1331" s="25">
        <f t="shared" si="81"/>
        <v>8235.0013309999995</v>
      </c>
    </row>
    <row r="1332" spans="1:21">
      <c r="A1332" s="2" t="s">
        <v>2093</v>
      </c>
      <c r="B1332" s="2" t="s">
        <v>2094</v>
      </c>
      <c r="C1332" s="2" t="s">
        <v>19</v>
      </c>
      <c r="D1332" s="2">
        <v>20</v>
      </c>
      <c r="E1332" s="2" t="str">
        <f t="shared" si="82"/>
        <v>18-25</v>
      </c>
      <c r="F1332" s="2" t="s">
        <v>20</v>
      </c>
      <c r="G1332" s="2" t="s">
        <v>27</v>
      </c>
      <c r="H1332" s="2">
        <v>9</v>
      </c>
      <c r="I1332" s="2" t="str">
        <f t="shared" si="80"/>
        <v>7-12 months</v>
      </c>
      <c r="J1332" s="3">
        <v>449</v>
      </c>
      <c r="K1332" s="3">
        <v>4041</v>
      </c>
      <c r="L1332" s="2" t="s">
        <v>66</v>
      </c>
      <c r="M1332" s="4">
        <v>45638</v>
      </c>
      <c r="N1332" s="2" t="s">
        <v>23</v>
      </c>
      <c r="O1332" s="2">
        <f t="shared" si="83"/>
        <v>0</v>
      </c>
      <c r="P1332" s="2" t="s">
        <v>23</v>
      </c>
      <c r="Q1332" s="2" t="s">
        <v>23</v>
      </c>
      <c r="R1332" s="2" t="s">
        <v>23</v>
      </c>
      <c r="S1332" s="2" t="s">
        <v>23</v>
      </c>
      <c r="T1332" s="2" t="s">
        <v>23</v>
      </c>
      <c r="U1332" s="25">
        <f t="shared" si="81"/>
        <v>4041.0013319999998</v>
      </c>
    </row>
    <row r="1333" spans="1:21">
      <c r="A1333" s="2" t="s">
        <v>2095</v>
      </c>
      <c r="B1333" s="2" t="s">
        <v>720</v>
      </c>
      <c r="C1333" s="2" t="s">
        <v>35</v>
      </c>
      <c r="D1333" s="2">
        <v>66</v>
      </c>
      <c r="E1333" s="2" t="str">
        <f t="shared" si="82"/>
        <v>60+</v>
      </c>
      <c r="F1333" s="2" t="s">
        <v>46</v>
      </c>
      <c r="G1333" s="2" t="s">
        <v>21</v>
      </c>
      <c r="H1333" s="2">
        <v>23</v>
      </c>
      <c r="I1333" s="2" t="str">
        <f t="shared" si="80"/>
        <v>13-24 months</v>
      </c>
      <c r="J1333" s="3">
        <v>1149</v>
      </c>
      <c r="K1333" s="3">
        <v>26427</v>
      </c>
      <c r="L1333" s="2" t="s">
        <v>22</v>
      </c>
      <c r="M1333" s="4">
        <v>45220</v>
      </c>
      <c r="N1333" s="2" t="s">
        <v>32</v>
      </c>
      <c r="O1333" s="2">
        <f t="shared" si="83"/>
        <v>1</v>
      </c>
      <c r="P1333" s="2" t="s">
        <v>23</v>
      </c>
      <c r="Q1333" s="2" t="s">
        <v>23</v>
      </c>
      <c r="R1333" s="2" t="s">
        <v>23</v>
      </c>
      <c r="S1333" s="2" t="s">
        <v>23</v>
      </c>
      <c r="T1333" s="2" t="s">
        <v>23</v>
      </c>
      <c r="U1333" s="25">
        <f t="shared" si="81"/>
        <v>26427.001333</v>
      </c>
    </row>
    <row r="1334" spans="1:21">
      <c r="A1334" s="2" t="s">
        <v>2096</v>
      </c>
      <c r="B1334" s="2" t="s">
        <v>1345</v>
      </c>
      <c r="C1334" s="2" t="s">
        <v>19</v>
      </c>
      <c r="D1334" s="2">
        <v>55</v>
      </c>
      <c r="E1334" s="2" t="str">
        <f t="shared" si="82"/>
        <v>46-60</v>
      </c>
      <c r="F1334" s="2" t="s">
        <v>60</v>
      </c>
      <c r="G1334" s="2" t="s">
        <v>21</v>
      </c>
      <c r="H1334" s="2">
        <v>19</v>
      </c>
      <c r="I1334" s="2" t="str">
        <f t="shared" si="80"/>
        <v>13-24 months</v>
      </c>
      <c r="J1334" s="3">
        <v>1149</v>
      </c>
      <c r="K1334" s="3">
        <v>21831</v>
      </c>
      <c r="L1334" s="2" t="s">
        <v>22</v>
      </c>
      <c r="M1334" s="4">
        <v>45354</v>
      </c>
      <c r="N1334" s="2" t="s">
        <v>32</v>
      </c>
      <c r="O1334" s="2">
        <f t="shared" si="83"/>
        <v>1</v>
      </c>
      <c r="P1334" s="2" t="s">
        <v>23</v>
      </c>
      <c r="Q1334" s="2" t="s">
        <v>23</v>
      </c>
      <c r="R1334" s="2" t="s">
        <v>23</v>
      </c>
      <c r="S1334" s="2" t="s">
        <v>23</v>
      </c>
      <c r="T1334" s="2" t="s">
        <v>23</v>
      </c>
      <c r="U1334" s="25">
        <f t="shared" si="81"/>
        <v>21831.001334</v>
      </c>
    </row>
    <row r="1335" spans="1:21">
      <c r="A1335" s="2" t="s">
        <v>2097</v>
      </c>
      <c r="B1335" s="2" t="s">
        <v>2098</v>
      </c>
      <c r="C1335" s="2" t="s">
        <v>19</v>
      </c>
      <c r="D1335" s="2">
        <v>35</v>
      </c>
      <c r="E1335" s="2" t="str">
        <f t="shared" si="82"/>
        <v>26-35</v>
      </c>
      <c r="F1335" s="2" t="s">
        <v>26</v>
      </c>
      <c r="G1335" s="2" t="s">
        <v>21</v>
      </c>
      <c r="H1335" s="2">
        <v>7</v>
      </c>
      <c r="I1335" s="2" t="str">
        <f t="shared" si="80"/>
        <v>7-12 months</v>
      </c>
      <c r="J1335" s="3">
        <v>1149</v>
      </c>
      <c r="K1335" s="3">
        <v>8043</v>
      </c>
      <c r="L1335" s="2" t="s">
        <v>22</v>
      </c>
      <c r="M1335" s="4">
        <v>45708</v>
      </c>
      <c r="N1335" s="2" t="s">
        <v>32</v>
      </c>
      <c r="O1335" s="2">
        <f t="shared" si="83"/>
        <v>1</v>
      </c>
      <c r="P1335" s="2" t="s">
        <v>23</v>
      </c>
      <c r="Q1335" s="2" t="s">
        <v>23</v>
      </c>
      <c r="R1335" s="2" t="s">
        <v>23</v>
      </c>
      <c r="S1335" s="2" t="s">
        <v>23</v>
      </c>
      <c r="T1335" s="2" t="s">
        <v>23</v>
      </c>
      <c r="U1335" s="25">
        <f t="shared" si="81"/>
        <v>8043.0013349999999</v>
      </c>
    </row>
    <row r="1336" spans="1:21">
      <c r="A1336" s="2" t="s">
        <v>2099</v>
      </c>
      <c r="B1336" s="2" t="s">
        <v>1155</v>
      </c>
      <c r="C1336" s="2" t="s">
        <v>35</v>
      </c>
      <c r="D1336" s="2">
        <v>59</v>
      </c>
      <c r="E1336" s="2" t="str">
        <f t="shared" si="82"/>
        <v>46-60</v>
      </c>
      <c r="F1336" s="2" t="s">
        <v>46</v>
      </c>
      <c r="G1336" s="2" t="s">
        <v>21</v>
      </c>
      <c r="H1336" s="2">
        <v>21</v>
      </c>
      <c r="I1336" s="2" t="str">
        <f t="shared" si="80"/>
        <v>13-24 months</v>
      </c>
      <c r="J1336" s="3">
        <v>1149</v>
      </c>
      <c r="K1336" s="3">
        <v>24129</v>
      </c>
      <c r="L1336" s="2" t="s">
        <v>22</v>
      </c>
      <c r="M1336" s="4">
        <v>45295</v>
      </c>
      <c r="N1336" s="2" t="s">
        <v>32</v>
      </c>
      <c r="O1336" s="2">
        <f t="shared" si="83"/>
        <v>1</v>
      </c>
      <c r="P1336" s="2" t="s">
        <v>23</v>
      </c>
      <c r="Q1336" s="2" t="s">
        <v>23</v>
      </c>
      <c r="R1336" s="2" t="s">
        <v>23</v>
      </c>
      <c r="S1336" s="2" t="s">
        <v>23</v>
      </c>
      <c r="T1336" s="2" t="s">
        <v>23</v>
      </c>
      <c r="U1336" s="25">
        <f t="shared" si="81"/>
        <v>24129.001336000001</v>
      </c>
    </row>
    <row r="1337" spans="1:21">
      <c r="A1337" s="2" t="s">
        <v>2100</v>
      </c>
      <c r="B1337" s="2" t="s">
        <v>1046</v>
      </c>
      <c r="C1337" s="2" t="s">
        <v>19</v>
      </c>
      <c r="D1337" s="2">
        <v>65</v>
      </c>
      <c r="E1337" s="2" t="str">
        <f t="shared" si="82"/>
        <v>60+</v>
      </c>
      <c r="F1337" s="2" t="s">
        <v>57</v>
      </c>
      <c r="G1337" s="2" t="s">
        <v>21</v>
      </c>
      <c r="H1337" s="2">
        <v>24</v>
      </c>
      <c r="I1337" s="2" t="str">
        <f t="shared" si="80"/>
        <v>13-24 months</v>
      </c>
      <c r="J1337" s="3">
        <v>1049</v>
      </c>
      <c r="K1337" s="3">
        <v>25176</v>
      </c>
      <c r="L1337" s="2" t="s">
        <v>22</v>
      </c>
      <c r="M1337" s="4">
        <v>45182</v>
      </c>
      <c r="N1337" s="2" t="s">
        <v>23</v>
      </c>
      <c r="O1337" s="2">
        <f t="shared" si="83"/>
        <v>0</v>
      </c>
      <c r="P1337" s="2" t="s">
        <v>23</v>
      </c>
      <c r="Q1337" s="2" t="s">
        <v>23</v>
      </c>
      <c r="R1337" s="2" t="s">
        <v>23</v>
      </c>
      <c r="S1337" s="2" t="s">
        <v>23</v>
      </c>
      <c r="T1337" s="2" t="s">
        <v>23</v>
      </c>
      <c r="U1337" s="25">
        <f t="shared" si="81"/>
        <v>25176.001337000002</v>
      </c>
    </row>
    <row r="1338" spans="1:21">
      <c r="A1338" s="2" t="s">
        <v>2101</v>
      </c>
      <c r="B1338" s="2" t="s">
        <v>348</v>
      </c>
      <c r="C1338" s="2" t="s">
        <v>35</v>
      </c>
      <c r="D1338" s="2">
        <v>21</v>
      </c>
      <c r="E1338" s="2" t="str">
        <f t="shared" si="82"/>
        <v>18-25</v>
      </c>
      <c r="F1338" s="2" t="s">
        <v>71</v>
      </c>
      <c r="G1338" s="2" t="s">
        <v>27</v>
      </c>
      <c r="H1338" s="2">
        <v>17</v>
      </c>
      <c r="I1338" s="2" t="str">
        <f t="shared" si="80"/>
        <v>13-24 months</v>
      </c>
      <c r="J1338" s="3">
        <v>1149</v>
      </c>
      <c r="K1338" s="3">
        <v>19533</v>
      </c>
      <c r="L1338" s="2" t="s">
        <v>22</v>
      </c>
      <c r="M1338" s="4">
        <v>45412</v>
      </c>
      <c r="N1338" s="2" t="s">
        <v>23</v>
      </c>
      <c r="O1338" s="2">
        <f t="shared" si="83"/>
        <v>0</v>
      </c>
      <c r="P1338" s="2" t="s">
        <v>23</v>
      </c>
      <c r="Q1338" s="2" t="s">
        <v>23</v>
      </c>
      <c r="R1338" s="2" t="s">
        <v>23</v>
      </c>
      <c r="S1338" s="2" t="s">
        <v>23</v>
      </c>
      <c r="T1338" s="2" t="s">
        <v>23</v>
      </c>
      <c r="U1338" s="25">
        <f t="shared" si="81"/>
        <v>19533.001337999998</v>
      </c>
    </row>
    <row r="1339" spans="1:21">
      <c r="A1339" s="2" t="s">
        <v>2102</v>
      </c>
      <c r="B1339" s="2" t="s">
        <v>1501</v>
      </c>
      <c r="C1339" s="2" t="s">
        <v>19</v>
      </c>
      <c r="D1339" s="2">
        <v>49</v>
      </c>
      <c r="E1339" s="2" t="str">
        <f t="shared" si="82"/>
        <v>46-60</v>
      </c>
      <c r="F1339" s="2" t="s">
        <v>141</v>
      </c>
      <c r="G1339" s="2" t="s">
        <v>21</v>
      </c>
      <c r="H1339" s="2">
        <v>13</v>
      </c>
      <c r="I1339" s="2" t="str">
        <f t="shared" si="80"/>
        <v>13-24 months</v>
      </c>
      <c r="J1339" s="3">
        <v>799</v>
      </c>
      <c r="K1339" s="3">
        <v>10387</v>
      </c>
      <c r="L1339" s="2" t="s">
        <v>31</v>
      </c>
      <c r="M1339" s="4">
        <v>45523</v>
      </c>
      <c r="N1339" s="2" t="s">
        <v>23</v>
      </c>
      <c r="O1339" s="2">
        <f t="shared" si="83"/>
        <v>0</v>
      </c>
      <c r="P1339" s="2" t="s">
        <v>23</v>
      </c>
      <c r="Q1339" s="2" t="s">
        <v>23</v>
      </c>
      <c r="R1339" s="2" t="s">
        <v>23</v>
      </c>
      <c r="S1339" s="2" t="s">
        <v>23</v>
      </c>
      <c r="T1339" s="2" t="s">
        <v>23</v>
      </c>
      <c r="U1339" s="25">
        <f t="shared" si="81"/>
        <v>10387.001339</v>
      </c>
    </row>
    <row r="1340" spans="1:21">
      <c r="A1340" s="2" t="s">
        <v>2103</v>
      </c>
      <c r="B1340" s="2" t="s">
        <v>2104</v>
      </c>
      <c r="C1340" s="2" t="s">
        <v>35</v>
      </c>
      <c r="D1340" s="2">
        <v>57</v>
      </c>
      <c r="E1340" s="2" t="str">
        <f t="shared" si="82"/>
        <v>46-60</v>
      </c>
      <c r="F1340" s="2" t="s">
        <v>41</v>
      </c>
      <c r="G1340" s="2" t="s">
        <v>47</v>
      </c>
      <c r="H1340" s="2">
        <v>7</v>
      </c>
      <c r="I1340" s="2" t="str">
        <f t="shared" si="80"/>
        <v>7-12 months</v>
      </c>
      <c r="J1340" s="3">
        <v>449</v>
      </c>
      <c r="K1340" s="3">
        <v>3143</v>
      </c>
      <c r="L1340" s="2" t="s">
        <v>66</v>
      </c>
      <c r="M1340" s="4">
        <v>45709</v>
      </c>
      <c r="N1340" s="2" t="s">
        <v>23</v>
      </c>
      <c r="O1340" s="2">
        <f t="shared" si="83"/>
        <v>0</v>
      </c>
      <c r="P1340" s="2" t="s">
        <v>23</v>
      </c>
      <c r="Q1340" s="2" t="s">
        <v>23</v>
      </c>
      <c r="R1340" s="2" t="s">
        <v>23</v>
      </c>
      <c r="S1340" s="2" t="s">
        <v>23</v>
      </c>
      <c r="T1340" s="2" t="s">
        <v>23</v>
      </c>
      <c r="U1340" s="25">
        <f t="shared" si="81"/>
        <v>3143.0013399999998</v>
      </c>
    </row>
    <row r="1341" spans="1:21">
      <c r="A1341" s="2" t="s">
        <v>2105</v>
      </c>
      <c r="B1341" s="2" t="s">
        <v>2106</v>
      </c>
      <c r="C1341" s="2" t="s">
        <v>35</v>
      </c>
      <c r="D1341" s="2">
        <v>54</v>
      </c>
      <c r="E1341" s="2" t="str">
        <f t="shared" si="82"/>
        <v>46-60</v>
      </c>
      <c r="F1341" s="2" t="s">
        <v>63</v>
      </c>
      <c r="G1341" s="2" t="s">
        <v>21</v>
      </c>
      <c r="H1341" s="2">
        <v>21</v>
      </c>
      <c r="I1341" s="2" t="str">
        <f t="shared" si="80"/>
        <v>13-24 months</v>
      </c>
      <c r="J1341" s="3">
        <v>1099</v>
      </c>
      <c r="K1341" s="3">
        <v>23079</v>
      </c>
      <c r="L1341" s="2" t="s">
        <v>22</v>
      </c>
      <c r="M1341" s="4">
        <v>45285</v>
      </c>
      <c r="N1341" s="2" t="s">
        <v>32</v>
      </c>
      <c r="O1341" s="2">
        <f t="shared" si="83"/>
        <v>1</v>
      </c>
      <c r="P1341" s="2" t="s">
        <v>23</v>
      </c>
      <c r="Q1341" s="2" t="s">
        <v>23</v>
      </c>
      <c r="R1341" s="2" t="s">
        <v>23</v>
      </c>
      <c r="S1341" s="2" t="s">
        <v>23</v>
      </c>
      <c r="T1341" s="2" t="s">
        <v>23</v>
      </c>
      <c r="U1341" s="25">
        <f t="shared" si="81"/>
        <v>23079.001340999999</v>
      </c>
    </row>
    <row r="1342" spans="1:21">
      <c r="A1342" s="2" t="s">
        <v>2107</v>
      </c>
      <c r="B1342" s="2" t="s">
        <v>524</v>
      </c>
      <c r="C1342" s="2" t="s">
        <v>19</v>
      </c>
      <c r="D1342" s="2">
        <v>75</v>
      </c>
      <c r="E1342" s="2" t="str">
        <f t="shared" si="82"/>
        <v>60+</v>
      </c>
      <c r="F1342" s="2" t="s">
        <v>41</v>
      </c>
      <c r="G1342" s="2" t="s">
        <v>21</v>
      </c>
      <c r="H1342" s="2">
        <v>7</v>
      </c>
      <c r="I1342" s="2" t="str">
        <f t="shared" si="80"/>
        <v>7-12 months</v>
      </c>
      <c r="J1342" s="3">
        <v>599</v>
      </c>
      <c r="K1342" s="3">
        <v>4193</v>
      </c>
      <c r="L1342" s="2" t="s">
        <v>31</v>
      </c>
      <c r="M1342" s="4">
        <v>45689</v>
      </c>
      <c r="N1342" s="2" t="s">
        <v>23</v>
      </c>
      <c r="O1342" s="2">
        <f t="shared" si="83"/>
        <v>0</v>
      </c>
      <c r="P1342" s="2" t="s">
        <v>23</v>
      </c>
      <c r="Q1342" s="2" t="s">
        <v>23</v>
      </c>
      <c r="R1342" s="2" t="s">
        <v>23</v>
      </c>
      <c r="S1342" s="2" t="s">
        <v>23</v>
      </c>
      <c r="T1342" s="2" t="s">
        <v>23</v>
      </c>
      <c r="U1342" s="25">
        <f t="shared" si="81"/>
        <v>4193.0013419999996</v>
      </c>
    </row>
    <row r="1343" spans="1:21">
      <c r="A1343" s="2" t="s">
        <v>2108</v>
      </c>
      <c r="B1343" s="2" t="s">
        <v>1299</v>
      </c>
      <c r="C1343" s="2" t="s">
        <v>35</v>
      </c>
      <c r="D1343" s="2">
        <v>25</v>
      </c>
      <c r="E1343" s="2" t="str">
        <f t="shared" si="82"/>
        <v>18-25</v>
      </c>
      <c r="F1343" s="2" t="s">
        <v>41</v>
      </c>
      <c r="G1343" s="2" t="s">
        <v>27</v>
      </c>
      <c r="H1343" s="2">
        <v>38</v>
      </c>
      <c r="I1343" s="2" t="str">
        <f t="shared" si="80"/>
        <v>25-48 months</v>
      </c>
      <c r="J1343" s="3">
        <v>1149</v>
      </c>
      <c r="K1343" s="3">
        <v>43662</v>
      </c>
      <c r="L1343" s="2" t="s">
        <v>22</v>
      </c>
      <c r="M1343" s="4">
        <v>44766</v>
      </c>
      <c r="N1343" s="2" t="s">
        <v>23</v>
      </c>
      <c r="O1343" s="2">
        <f t="shared" si="83"/>
        <v>0</v>
      </c>
      <c r="P1343" s="2" t="s">
        <v>23</v>
      </c>
      <c r="Q1343" s="2" t="s">
        <v>23</v>
      </c>
      <c r="R1343" s="2" t="s">
        <v>23</v>
      </c>
      <c r="S1343" s="2" t="s">
        <v>23</v>
      </c>
      <c r="T1343" s="2" t="s">
        <v>23</v>
      </c>
      <c r="U1343" s="25">
        <f t="shared" si="81"/>
        <v>43662.001343000004</v>
      </c>
    </row>
    <row r="1344" spans="1:21">
      <c r="A1344" s="2" t="s">
        <v>2109</v>
      </c>
      <c r="B1344" s="2" t="s">
        <v>340</v>
      </c>
      <c r="C1344" s="2" t="s">
        <v>35</v>
      </c>
      <c r="D1344" s="2">
        <v>62</v>
      </c>
      <c r="E1344" s="2" t="str">
        <f t="shared" si="82"/>
        <v>60+</v>
      </c>
      <c r="F1344" s="2" t="s">
        <v>63</v>
      </c>
      <c r="G1344" s="2" t="s">
        <v>21</v>
      </c>
      <c r="H1344" s="2"/>
      <c r="I1344" s="2" t="str">
        <f t="shared" si="80"/>
        <v>Unknown</v>
      </c>
      <c r="J1344" s="3"/>
      <c r="K1344" s="3">
        <v>11687</v>
      </c>
      <c r="L1344" s="2" t="s">
        <v>22</v>
      </c>
      <c r="M1344" s="4">
        <v>45524</v>
      </c>
      <c r="N1344" s="2" t="s">
        <v>32</v>
      </c>
      <c r="O1344" s="2">
        <f t="shared" si="83"/>
        <v>1</v>
      </c>
      <c r="P1344" s="2" t="s">
        <v>23</v>
      </c>
      <c r="Q1344" s="2" t="s">
        <v>23</v>
      </c>
      <c r="R1344" s="2" t="s">
        <v>23</v>
      </c>
      <c r="S1344" s="2" t="s">
        <v>23</v>
      </c>
      <c r="T1344" s="2" t="s">
        <v>72</v>
      </c>
      <c r="U1344" s="25">
        <f t="shared" si="81"/>
        <v>11687.001344</v>
      </c>
    </row>
    <row r="1345" spans="1:21">
      <c r="A1345" s="2" t="s">
        <v>2110</v>
      </c>
      <c r="B1345" s="2" t="s">
        <v>1299</v>
      </c>
      <c r="C1345" s="2" t="s">
        <v>35</v>
      </c>
      <c r="D1345" s="2">
        <v>54</v>
      </c>
      <c r="E1345" s="2" t="str">
        <f t="shared" si="82"/>
        <v>46-60</v>
      </c>
      <c r="F1345" s="2" t="s">
        <v>36</v>
      </c>
      <c r="G1345" s="2" t="s">
        <v>27</v>
      </c>
      <c r="H1345" s="2">
        <v>18</v>
      </c>
      <c r="I1345" s="2" t="str">
        <f t="shared" si="80"/>
        <v>13-24 months</v>
      </c>
      <c r="J1345" s="3"/>
      <c r="K1345" s="3"/>
      <c r="L1345" s="2" t="s">
        <v>66</v>
      </c>
      <c r="M1345" s="4">
        <v>45380</v>
      </c>
      <c r="N1345" s="2" t="s">
        <v>23</v>
      </c>
      <c r="O1345" s="2">
        <f t="shared" si="83"/>
        <v>0</v>
      </c>
      <c r="P1345" s="2" t="s">
        <v>23</v>
      </c>
      <c r="Q1345" s="2" t="s">
        <v>23</v>
      </c>
      <c r="R1345" s="2" t="s">
        <v>23</v>
      </c>
      <c r="S1345" s="2" t="s">
        <v>23</v>
      </c>
      <c r="T1345" s="2" t="s">
        <v>553</v>
      </c>
      <c r="U1345" s="25" t="str">
        <f t="shared" si="81"/>
        <v/>
      </c>
    </row>
    <row r="1346" spans="1:21">
      <c r="A1346" s="2" t="s">
        <v>2111</v>
      </c>
      <c r="B1346" s="2" t="s">
        <v>2112</v>
      </c>
      <c r="C1346" s="2" t="s">
        <v>19</v>
      </c>
      <c r="D1346" s="2">
        <v>33</v>
      </c>
      <c r="E1346" s="2" t="str">
        <f t="shared" si="82"/>
        <v>26-35</v>
      </c>
      <c r="F1346" s="2" t="s">
        <v>141</v>
      </c>
      <c r="G1346" s="2" t="s">
        <v>21</v>
      </c>
      <c r="H1346" s="2">
        <v>21</v>
      </c>
      <c r="I1346" s="2" t="str">
        <f t="shared" ref="I1346:I1409" si="84">IF(H1346="","Unknown",IF(H1346&lt;=6,"0-6 months",IF(H1346&lt;=12,"7-12 months",IF(H1346&lt;=24,"13-24 months",IF(H1346&lt;=48,"25-48 months","49+ months")))))</f>
        <v>13-24 months</v>
      </c>
      <c r="J1346" s="3">
        <v>599</v>
      </c>
      <c r="K1346" s="3">
        <v>12579</v>
      </c>
      <c r="L1346" s="2" t="s">
        <v>31</v>
      </c>
      <c r="M1346" s="4">
        <v>45285</v>
      </c>
      <c r="N1346" s="2" t="s">
        <v>23</v>
      </c>
      <c r="O1346" s="2">
        <f t="shared" si="83"/>
        <v>0</v>
      </c>
      <c r="P1346" s="2" t="s">
        <v>23</v>
      </c>
      <c r="Q1346" s="2" t="s">
        <v>23</v>
      </c>
      <c r="R1346" s="2" t="s">
        <v>23</v>
      </c>
      <c r="S1346" s="2" t="s">
        <v>32</v>
      </c>
      <c r="T1346" s="2" t="s">
        <v>23</v>
      </c>
      <c r="U1346" s="25">
        <f t="shared" ref="U1346:U1409" si="85">IF(K1346="","",K1346+ROW()/1000000)</f>
        <v>12579.001345999999</v>
      </c>
    </row>
    <row r="1347" spans="1:21">
      <c r="A1347" s="2" t="s">
        <v>2113</v>
      </c>
      <c r="B1347" s="2" t="s">
        <v>2114</v>
      </c>
      <c r="C1347" s="2" t="s">
        <v>35</v>
      </c>
      <c r="D1347" s="2">
        <v>72</v>
      </c>
      <c r="E1347" s="2" t="str">
        <f t="shared" ref="E1347:E1410" si="86">IF(D1347&lt;=25,"18-25",IF(D1347&lt;=35,"26-35",IF(D1347&lt;=45,"36-45",IF(D1347&lt;=60,"46-60","60+"))))</f>
        <v>60+</v>
      </c>
      <c r="F1347" s="2" t="s">
        <v>141</v>
      </c>
      <c r="G1347" s="2" t="s">
        <v>21</v>
      </c>
      <c r="H1347" s="2">
        <v>20</v>
      </c>
      <c r="I1347" s="2" t="str">
        <f t="shared" si="84"/>
        <v>13-24 months</v>
      </c>
      <c r="J1347" s="3">
        <v>1099</v>
      </c>
      <c r="K1347" s="3">
        <v>21980</v>
      </c>
      <c r="L1347" s="2" t="s">
        <v>22</v>
      </c>
      <c r="M1347" s="4">
        <v>45317</v>
      </c>
      <c r="N1347" s="2" t="s">
        <v>23</v>
      </c>
      <c r="O1347" s="2">
        <f t="shared" ref="O1347:O1410" si="87">IF(N1347="Yes",1,IF(N1347="No",0,""))</f>
        <v>0</v>
      </c>
      <c r="P1347" s="2" t="s">
        <v>23</v>
      </c>
      <c r="Q1347" s="2" t="s">
        <v>32</v>
      </c>
      <c r="R1347" s="2" t="s">
        <v>23</v>
      </c>
      <c r="S1347" s="2" t="s">
        <v>23</v>
      </c>
      <c r="T1347" s="2" t="s">
        <v>23</v>
      </c>
      <c r="U1347" s="25">
        <f t="shared" si="85"/>
        <v>21980.001347000001</v>
      </c>
    </row>
    <row r="1348" spans="1:21">
      <c r="A1348" s="2" t="s">
        <v>2115</v>
      </c>
      <c r="B1348" s="2" t="s">
        <v>963</v>
      </c>
      <c r="C1348" s="2" t="s">
        <v>35</v>
      </c>
      <c r="D1348" s="2">
        <v>27</v>
      </c>
      <c r="E1348" s="2" t="str">
        <f t="shared" si="86"/>
        <v>26-35</v>
      </c>
      <c r="F1348" s="2" t="s">
        <v>30</v>
      </c>
      <c r="G1348" s="2" t="s">
        <v>27</v>
      </c>
      <c r="H1348" s="2">
        <v>12</v>
      </c>
      <c r="I1348" s="2" t="str">
        <f t="shared" si="84"/>
        <v>7-12 months</v>
      </c>
      <c r="J1348" s="3">
        <v>799</v>
      </c>
      <c r="K1348" s="3">
        <v>9588</v>
      </c>
      <c r="L1348" s="2" t="s">
        <v>31</v>
      </c>
      <c r="M1348" s="4">
        <v>45557</v>
      </c>
      <c r="N1348" s="2" t="s">
        <v>23</v>
      </c>
      <c r="O1348" s="2">
        <f t="shared" si="87"/>
        <v>0</v>
      </c>
      <c r="P1348" s="2" t="s">
        <v>23</v>
      </c>
      <c r="Q1348" s="2" t="s">
        <v>23</v>
      </c>
      <c r="R1348" s="2" t="s">
        <v>23</v>
      </c>
      <c r="S1348" s="2" t="s">
        <v>23</v>
      </c>
      <c r="T1348" s="2" t="s">
        <v>23</v>
      </c>
      <c r="U1348" s="25">
        <f t="shared" si="85"/>
        <v>9588.0013479999998</v>
      </c>
    </row>
    <row r="1349" spans="1:21">
      <c r="A1349" s="2" t="s">
        <v>2116</v>
      </c>
      <c r="B1349" s="2" t="s">
        <v>794</v>
      </c>
      <c r="C1349" s="2" t="s">
        <v>35</v>
      </c>
      <c r="D1349" s="2">
        <v>66</v>
      </c>
      <c r="E1349" s="2" t="str">
        <f t="shared" si="86"/>
        <v>60+</v>
      </c>
      <c r="F1349" s="2" t="s">
        <v>60</v>
      </c>
      <c r="G1349" s="2" t="s">
        <v>27</v>
      </c>
      <c r="H1349" s="2">
        <v>28</v>
      </c>
      <c r="I1349" s="2" t="str">
        <f t="shared" si="84"/>
        <v>25-48 months</v>
      </c>
      <c r="J1349" s="3">
        <v>1149</v>
      </c>
      <c r="K1349" s="3">
        <v>32172</v>
      </c>
      <c r="L1349" s="2" t="s">
        <v>22</v>
      </c>
      <c r="M1349" s="4">
        <v>45078</v>
      </c>
      <c r="N1349" s="2" t="s">
        <v>23</v>
      </c>
      <c r="O1349" s="2">
        <f t="shared" si="87"/>
        <v>0</v>
      </c>
      <c r="P1349" s="2" t="s">
        <v>23</v>
      </c>
      <c r="Q1349" s="2" t="s">
        <v>23</v>
      </c>
      <c r="R1349" s="2" t="s">
        <v>23</v>
      </c>
      <c r="S1349" s="2" t="s">
        <v>23</v>
      </c>
      <c r="T1349" s="2" t="s">
        <v>23</v>
      </c>
      <c r="U1349" s="25">
        <f t="shared" si="85"/>
        <v>32172.001348999998</v>
      </c>
    </row>
    <row r="1350" spans="1:21">
      <c r="A1350" s="2" t="s">
        <v>2117</v>
      </c>
      <c r="B1350" s="2" t="s">
        <v>1971</v>
      </c>
      <c r="C1350" s="2" t="s">
        <v>35</v>
      </c>
      <c r="D1350" s="2">
        <v>66</v>
      </c>
      <c r="E1350" s="2" t="str">
        <f t="shared" si="86"/>
        <v>60+</v>
      </c>
      <c r="F1350" s="2" t="s">
        <v>26</v>
      </c>
      <c r="G1350" s="2" t="s">
        <v>37</v>
      </c>
      <c r="H1350" s="2">
        <v>6</v>
      </c>
      <c r="I1350" s="2" t="str">
        <f t="shared" si="84"/>
        <v>0-6 months</v>
      </c>
      <c r="J1350" s="3">
        <v>699</v>
      </c>
      <c r="K1350" s="3">
        <v>4194</v>
      </c>
      <c r="L1350" s="2" t="s">
        <v>31</v>
      </c>
      <c r="M1350" s="4">
        <v>45731</v>
      </c>
      <c r="N1350" s="2" t="s">
        <v>23</v>
      </c>
      <c r="O1350" s="2">
        <f t="shared" si="87"/>
        <v>0</v>
      </c>
      <c r="P1350" s="2" t="s">
        <v>23</v>
      </c>
      <c r="Q1350" s="2" t="s">
        <v>23</v>
      </c>
      <c r="R1350" s="2" t="s">
        <v>23</v>
      </c>
      <c r="S1350" s="2" t="s">
        <v>23</v>
      </c>
      <c r="T1350" s="2" t="s">
        <v>23</v>
      </c>
      <c r="U1350" s="25">
        <f t="shared" si="85"/>
        <v>4194.0013499999995</v>
      </c>
    </row>
    <row r="1351" spans="1:21">
      <c r="A1351" s="2" t="s">
        <v>2118</v>
      </c>
      <c r="B1351" s="2" t="s">
        <v>2119</v>
      </c>
      <c r="C1351" s="2" t="s">
        <v>19</v>
      </c>
      <c r="D1351" s="2">
        <v>70</v>
      </c>
      <c r="E1351" s="2" t="str">
        <f t="shared" si="86"/>
        <v>60+</v>
      </c>
      <c r="F1351" s="2" t="s">
        <v>110</v>
      </c>
      <c r="G1351" s="2" t="s">
        <v>21</v>
      </c>
      <c r="H1351" s="2">
        <v>3</v>
      </c>
      <c r="I1351" s="2" t="str">
        <f t="shared" si="84"/>
        <v>0-6 months</v>
      </c>
      <c r="J1351" s="3">
        <v>1099</v>
      </c>
      <c r="K1351" s="3">
        <v>3297</v>
      </c>
      <c r="L1351" s="2" t="s">
        <v>22</v>
      </c>
      <c r="M1351" s="4">
        <v>45821</v>
      </c>
      <c r="N1351" s="2" t="s">
        <v>23</v>
      </c>
      <c r="O1351" s="2">
        <f t="shared" si="87"/>
        <v>0</v>
      </c>
      <c r="P1351" s="2" t="s">
        <v>23</v>
      </c>
      <c r="Q1351" s="2" t="s">
        <v>23</v>
      </c>
      <c r="R1351" s="2" t="s">
        <v>23</v>
      </c>
      <c r="S1351" s="2" t="s">
        <v>23</v>
      </c>
      <c r="T1351" s="2" t="s">
        <v>23</v>
      </c>
      <c r="U1351" s="25">
        <f t="shared" si="85"/>
        <v>3297.0013509999999</v>
      </c>
    </row>
    <row r="1352" spans="1:21">
      <c r="A1352" s="2" t="s">
        <v>2120</v>
      </c>
      <c r="B1352" s="2" t="s">
        <v>1594</v>
      </c>
      <c r="C1352" s="2" t="s">
        <v>19</v>
      </c>
      <c r="D1352" s="2">
        <v>54</v>
      </c>
      <c r="E1352" s="2" t="str">
        <f t="shared" si="86"/>
        <v>46-60</v>
      </c>
      <c r="F1352" s="2" t="s">
        <v>36</v>
      </c>
      <c r="G1352" s="2" t="s">
        <v>21</v>
      </c>
      <c r="H1352" s="2">
        <v>6</v>
      </c>
      <c r="I1352" s="2" t="str">
        <f t="shared" si="84"/>
        <v>0-6 months</v>
      </c>
      <c r="J1352" s="3">
        <v>999</v>
      </c>
      <c r="K1352" s="3">
        <v>5994</v>
      </c>
      <c r="L1352" s="2" t="s">
        <v>22</v>
      </c>
      <c r="M1352" s="4">
        <v>45738</v>
      </c>
      <c r="N1352" s="2" t="s">
        <v>23</v>
      </c>
      <c r="O1352" s="2">
        <f t="shared" si="87"/>
        <v>0</v>
      </c>
      <c r="P1352" s="2" t="s">
        <v>23</v>
      </c>
      <c r="Q1352" s="2" t="s">
        <v>23</v>
      </c>
      <c r="R1352" s="2" t="s">
        <v>23</v>
      </c>
      <c r="S1352" s="2" t="s">
        <v>23</v>
      </c>
      <c r="T1352" s="2" t="s">
        <v>23</v>
      </c>
      <c r="U1352" s="25">
        <f t="shared" si="85"/>
        <v>5994.0013520000002</v>
      </c>
    </row>
    <row r="1353" spans="1:21">
      <c r="A1353" s="2" t="s">
        <v>2121</v>
      </c>
      <c r="B1353" s="2" t="s">
        <v>431</v>
      </c>
      <c r="C1353" s="2" t="s">
        <v>35</v>
      </c>
      <c r="D1353" s="2">
        <v>51</v>
      </c>
      <c r="E1353" s="2" t="str">
        <f t="shared" si="86"/>
        <v>46-60</v>
      </c>
      <c r="F1353" s="2" t="s">
        <v>71</v>
      </c>
      <c r="G1353" s="2" t="s">
        <v>47</v>
      </c>
      <c r="H1353" s="2">
        <v>45</v>
      </c>
      <c r="I1353" s="2" t="str">
        <f t="shared" si="84"/>
        <v>25-48 months</v>
      </c>
      <c r="J1353" s="3">
        <v>849</v>
      </c>
      <c r="K1353" s="3">
        <v>38205</v>
      </c>
      <c r="L1353" s="2" t="s">
        <v>31</v>
      </c>
      <c r="M1353" s="4">
        <v>44558</v>
      </c>
      <c r="N1353" s="2" t="s">
        <v>23</v>
      </c>
      <c r="O1353" s="2">
        <f t="shared" si="87"/>
        <v>0</v>
      </c>
      <c r="P1353" s="2" t="s">
        <v>23</v>
      </c>
      <c r="Q1353" s="2" t="s">
        <v>23</v>
      </c>
      <c r="R1353" s="2" t="s">
        <v>23</v>
      </c>
      <c r="S1353" s="2" t="s">
        <v>23</v>
      </c>
      <c r="T1353" s="2" t="s">
        <v>23</v>
      </c>
      <c r="U1353" s="25">
        <f t="shared" si="85"/>
        <v>38205.001353</v>
      </c>
    </row>
    <row r="1354" spans="1:21">
      <c r="A1354" s="2" t="s">
        <v>2122</v>
      </c>
      <c r="B1354" s="2" t="s">
        <v>706</v>
      </c>
      <c r="C1354" s="2" t="s">
        <v>35</v>
      </c>
      <c r="D1354" s="2">
        <v>47</v>
      </c>
      <c r="E1354" s="2" t="str">
        <f t="shared" si="86"/>
        <v>46-60</v>
      </c>
      <c r="F1354" s="2" t="s">
        <v>110</v>
      </c>
      <c r="G1354" s="2" t="s">
        <v>21</v>
      </c>
      <c r="H1354" s="2">
        <v>17</v>
      </c>
      <c r="I1354" s="2" t="str">
        <f t="shared" si="84"/>
        <v>13-24 months</v>
      </c>
      <c r="J1354" s="3">
        <v>899</v>
      </c>
      <c r="K1354" s="3">
        <v>15283</v>
      </c>
      <c r="L1354" s="2" t="s">
        <v>31</v>
      </c>
      <c r="M1354" s="4">
        <v>45416</v>
      </c>
      <c r="N1354" s="2" t="s">
        <v>37</v>
      </c>
      <c r="O1354" s="2" t="str">
        <f t="shared" si="87"/>
        <v/>
      </c>
      <c r="P1354" s="2" t="s">
        <v>32</v>
      </c>
      <c r="Q1354" s="2" t="s">
        <v>23</v>
      </c>
      <c r="R1354" s="2" t="s">
        <v>23</v>
      </c>
      <c r="S1354" s="2" t="s">
        <v>32</v>
      </c>
      <c r="T1354" s="2" t="s">
        <v>38</v>
      </c>
      <c r="U1354" s="25">
        <f t="shared" si="85"/>
        <v>15283.001354</v>
      </c>
    </row>
    <row r="1355" spans="1:21">
      <c r="A1355" s="2" t="s">
        <v>2123</v>
      </c>
      <c r="B1355" s="2" t="s">
        <v>2124</v>
      </c>
      <c r="C1355" s="2" t="s">
        <v>35</v>
      </c>
      <c r="D1355" s="2">
        <v>37</v>
      </c>
      <c r="E1355" s="2" t="str">
        <f t="shared" si="86"/>
        <v>36-45</v>
      </c>
      <c r="F1355" s="2" t="s">
        <v>57</v>
      </c>
      <c r="G1355" s="2" t="s">
        <v>21</v>
      </c>
      <c r="H1355" s="2">
        <v>7</v>
      </c>
      <c r="I1355" s="2" t="str">
        <f t="shared" si="84"/>
        <v>7-12 months</v>
      </c>
      <c r="J1355" s="3">
        <v>899</v>
      </c>
      <c r="K1355" s="3">
        <v>6293</v>
      </c>
      <c r="L1355" s="2" t="s">
        <v>22</v>
      </c>
      <c r="M1355" s="4">
        <v>45712</v>
      </c>
      <c r="N1355" s="2" t="s">
        <v>32</v>
      </c>
      <c r="O1355" s="2">
        <f t="shared" si="87"/>
        <v>1</v>
      </c>
      <c r="P1355" s="2" t="s">
        <v>23</v>
      </c>
      <c r="Q1355" s="2" t="s">
        <v>23</v>
      </c>
      <c r="R1355" s="2" t="s">
        <v>23</v>
      </c>
      <c r="S1355" s="2" t="s">
        <v>32</v>
      </c>
      <c r="T1355" s="2" t="s">
        <v>23</v>
      </c>
      <c r="U1355" s="25">
        <f t="shared" si="85"/>
        <v>6293.0013550000003</v>
      </c>
    </row>
    <row r="1356" spans="1:21">
      <c r="A1356" s="2" t="s">
        <v>2125</v>
      </c>
      <c r="B1356" s="2" t="s">
        <v>2126</v>
      </c>
      <c r="C1356" s="2" t="s">
        <v>19</v>
      </c>
      <c r="D1356" s="2">
        <v>34</v>
      </c>
      <c r="E1356" s="2" t="str">
        <f t="shared" si="86"/>
        <v>26-35</v>
      </c>
      <c r="F1356" s="2" t="s">
        <v>60</v>
      </c>
      <c r="G1356" s="2" t="s">
        <v>47</v>
      </c>
      <c r="H1356" s="2">
        <v>46</v>
      </c>
      <c r="I1356" s="2" t="str">
        <f t="shared" si="84"/>
        <v>25-48 months</v>
      </c>
      <c r="J1356" s="3">
        <v>1099</v>
      </c>
      <c r="K1356" s="3">
        <v>50554</v>
      </c>
      <c r="L1356" s="2" t="s">
        <v>22</v>
      </c>
      <c r="M1356" s="4">
        <v>44539</v>
      </c>
      <c r="N1356" s="2" t="s">
        <v>23</v>
      </c>
      <c r="O1356" s="2">
        <f t="shared" si="87"/>
        <v>0</v>
      </c>
      <c r="P1356" s="2" t="s">
        <v>23</v>
      </c>
      <c r="Q1356" s="2" t="s">
        <v>23</v>
      </c>
      <c r="R1356" s="2" t="s">
        <v>23</v>
      </c>
      <c r="S1356" s="2" t="s">
        <v>23</v>
      </c>
      <c r="T1356" s="2" t="s">
        <v>23</v>
      </c>
      <c r="U1356" s="25">
        <f t="shared" si="85"/>
        <v>50554.001356000001</v>
      </c>
    </row>
    <row r="1357" spans="1:21">
      <c r="A1357" s="2" t="s">
        <v>2127</v>
      </c>
      <c r="B1357" s="2" t="s">
        <v>1007</v>
      </c>
      <c r="C1357" s="2" t="s">
        <v>35</v>
      </c>
      <c r="D1357" s="2">
        <v>31</v>
      </c>
      <c r="E1357" s="2" t="str">
        <f t="shared" si="86"/>
        <v>26-35</v>
      </c>
      <c r="F1357" s="2" t="s">
        <v>46</v>
      </c>
      <c r="G1357" s="2" t="s">
        <v>21</v>
      </c>
      <c r="H1357" s="2">
        <v>16</v>
      </c>
      <c r="I1357" s="2" t="str">
        <f t="shared" si="84"/>
        <v>13-24 months</v>
      </c>
      <c r="J1357" s="3">
        <v>1149</v>
      </c>
      <c r="K1357" s="3">
        <v>18384</v>
      </c>
      <c r="L1357" s="2" t="s">
        <v>22</v>
      </c>
      <c r="M1357" s="4">
        <v>45433</v>
      </c>
      <c r="N1357" s="2" t="s">
        <v>32</v>
      </c>
      <c r="O1357" s="2">
        <f t="shared" si="87"/>
        <v>1</v>
      </c>
      <c r="P1357" s="2" t="s">
        <v>23</v>
      </c>
      <c r="Q1357" s="2" t="s">
        <v>32</v>
      </c>
      <c r="R1357" s="2" t="s">
        <v>23</v>
      </c>
      <c r="S1357" s="2" t="s">
        <v>23</v>
      </c>
      <c r="T1357" s="2" t="s">
        <v>23</v>
      </c>
      <c r="U1357" s="25">
        <f t="shared" si="85"/>
        <v>18384.001357000001</v>
      </c>
    </row>
    <row r="1358" spans="1:21">
      <c r="A1358" s="2" t="s">
        <v>2128</v>
      </c>
      <c r="B1358" s="2" t="s">
        <v>412</v>
      </c>
      <c r="C1358" s="2" t="s">
        <v>19</v>
      </c>
      <c r="D1358" s="2">
        <v>40</v>
      </c>
      <c r="E1358" s="2" t="str">
        <f t="shared" si="86"/>
        <v>36-45</v>
      </c>
      <c r="F1358" s="2" t="s">
        <v>36</v>
      </c>
      <c r="G1358" s="2" t="s">
        <v>21</v>
      </c>
      <c r="H1358" s="2">
        <v>13</v>
      </c>
      <c r="I1358" s="2" t="str">
        <f t="shared" si="84"/>
        <v>13-24 months</v>
      </c>
      <c r="J1358" s="3">
        <v>1149</v>
      </c>
      <c r="K1358" s="3">
        <v>14937</v>
      </c>
      <c r="L1358" s="2" t="s">
        <v>22</v>
      </c>
      <c r="M1358" s="4">
        <v>45520</v>
      </c>
      <c r="N1358" s="2" t="s">
        <v>32</v>
      </c>
      <c r="O1358" s="2">
        <f t="shared" si="87"/>
        <v>1</v>
      </c>
      <c r="P1358" s="2" t="s">
        <v>23</v>
      </c>
      <c r="Q1358" s="2" t="s">
        <v>32</v>
      </c>
      <c r="R1358" s="2" t="s">
        <v>23</v>
      </c>
      <c r="S1358" s="2" t="s">
        <v>23</v>
      </c>
      <c r="T1358" s="2" t="s">
        <v>23</v>
      </c>
      <c r="U1358" s="25">
        <f t="shared" si="85"/>
        <v>14937.001358</v>
      </c>
    </row>
    <row r="1359" spans="1:21">
      <c r="A1359" s="2" t="s">
        <v>2129</v>
      </c>
      <c r="B1359" s="2" t="s">
        <v>1708</v>
      </c>
      <c r="C1359" s="2" t="s">
        <v>35</v>
      </c>
      <c r="D1359" s="2">
        <v>42</v>
      </c>
      <c r="E1359" s="2" t="str">
        <f t="shared" si="86"/>
        <v>36-45</v>
      </c>
      <c r="F1359" s="2" t="s">
        <v>36</v>
      </c>
      <c r="G1359" s="2" t="s">
        <v>47</v>
      </c>
      <c r="H1359" s="2">
        <v>12</v>
      </c>
      <c r="I1359" s="2" t="str">
        <f t="shared" si="84"/>
        <v>7-12 months</v>
      </c>
      <c r="J1359" s="3">
        <v>1049</v>
      </c>
      <c r="K1359" s="3">
        <v>12588</v>
      </c>
      <c r="L1359" s="2" t="s">
        <v>22</v>
      </c>
      <c r="M1359" s="4">
        <v>45561</v>
      </c>
      <c r="N1359" s="2" t="s">
        <v>32</v>
      </c>
      <c r="O1359" s="2">
        <f t="shared" si="87"/>
        <v>1</v>
      </c>
      <c r="P1359" s="2" t="s">
        <v>23</v>
      </c>
      <c r="Q1359" s="2" t="s">
        <v>23</v>
      </c>
      <c r="R1359" s="2" t="s">
        <v>23</v>
      </c>
      <c r="S1359" s="2" t="s">
        <v>23</v>
      </c>
      <c r="T1359" s="2" t="s">
        <v>23</v>
      </c>
      <c r="U1359" s="25">
        <f t="shared" si="85"/>
        <v>12588.001359</v>
      </c>
    </row>
    <row r="1360" spans="1:21">
      <c r="A1360" s="2" t="s">
        <v>2130</v>
      </c>
      <c r="B1360" s="2" t="s">
        <v>2131</v>
      </c>
      <c r="C1360" s="2" t="s">
        <v>19</v>
      </c>
      <c r="D1360" s="2">
        <v>65</v>
      </c>
      <c r="E1360" s="2" t="str">
        <f t="shared" si="86"/>
        <v>60+</v>
      </c>
      <c r="F1360" s="2" t="s">
        <v>30</v>
      </c>
      <c r="G1360" s="2" t="s">
        <v>21</v>
      </c>
      <c r="H1360" s="2">
        <v>2</v>
      </c>
      <c r="I1360" s="2" t="str">
        <f t="shared" si="84"/>
        <v>0-6 months</v>
      </c>
      <c r="J1360" s="3">
        <v>549</v>
      </c>
      <c r="K1360" s="3">
        <v>1098</v>
      </c>
      <c r="L1360" s="2" t="s">
        <v>66</v>
      </c>
      <c r="M1360" s="4">
        <v>45841</v>
      </c>
      <c r="N1360" s="2" t="s">
        <v>23</v>
      </c>
      <c r="O1360" s="2">
        <f t="shared" si="87"/>
        <v>0</v>
      </c>
      <c r="P1360" s="2" t="s">
        <v>23</v>
      </c>
      <c r="Q1360" s="2" t="s">
        <v>23</v>
      </c>
      <c r="R1360" s="2" t="s">
        <v>23</v>
      </c>
      <c r="S1360" s="2" t="s">
        <v>23</v>
      </c>
      <c r="T1360" s="2" t="s">
        <v>23</v>
      </c>
      <c r="U1360" s="25">
        <f t="shared" si="85"/>
        <v>1098.00136</v>
      </c>
    </row>
    <row r="1361" spans="1:21">
      <c r="A1361" s="2" t="s">
        <v>2132</v>
      </c>
      <c r="B1361" s="2" t="s">
        <v>1141</v>
      </c>
      <c r="C1361" s="2" t="s">
        <v>35</v>
      </c>
      <c r="D1361" s="2">
        <v>44</v>
      </c>
      <c r="E1361" s="2" t="str">
        <f t="shared" si="86"/>
        <v>36-45</v>
      </c>
      <c r="F1361" s="2" t="s">
        <v>41</v>
      </c>
      <c r="G1361" s="2" t="s">
        <v>21</v>
      </c>
      <c r="H1361" s="2">
        <v>22</v>
      </c>
      <c r="I1361" s="2" t="str">
        <f t="shared" si="84"/>
        <v>13-24 months</v>
      </c>
      <c r="J1361" s="3">
        <v>899</v>
      </c>
      <c r="K1361" s="3">
        <v>19778</v>
      </c>
      <c r="L1361" s="2" t="s">
        <v>31</v>
      </c>
      <c r="M1361" s="4">
        <v>45252</v>
      </c>
      <c r="N1361" s="2" t="s">
        <v>23</v>
      </c>
      <c r="O1361" s="2">
        <f t="shared" si="87"/>
        <v>0</v>
      </c>
      <c r="P1361" s="2" t="s">
        <v>23</v>
      </c>
      <c r="Q1361" s="2" t="s">
        <v>23</v>
      </c>
      <c r="R1361" s="2" t="s">
        <v>23</v>
      </c>
      <c r="S1361" s="2" t="s">
        <v>23</v>
      </c>
      <c r="T1361" s="2" t="s">
        <v>23</v>
      </c>
      <c r="U1361" s="25">
        <f t="shared" si="85"/>
        <v>19778.001360999999</v>
      </c>
    </row>
    <row r="1362" spans="1:21">
      <c r="A1362" s="2" t="s">
        <v>2133</v>
      </c>
      <c r="B1362" s="2" t="s">
        <v>1100</v>
      </c>
      <c r="C1362" s="2" t="s">
        <v>19</v>
      </c>
      <c r="D1362" s="2">
        <v>62</v>
      </c>
      <c r="E1362" s="2" t="str">
        <f t="shared" si="86"/>
        <v>60+</v>
      </c>
      <c r="F1362" s="2" t="s">
        <v>91</v>
      </c>
      <c r="G1362" s="2" t="s">
        <v>21</v>
      </c>
      <c r="H1362" s="2">
        <v>21</v>
      </c>
      <c r="I1362" s="2" t="str">
        <f t="shared" si="84"/>
        <v>13-24 months</v>
      </c>
      <c r="J1362" s="3">
        <v>449</v>
      </c>
      <c r="K1362" s="3">
        <v>9429</v>
      </c>
      <c r="L1362" s="2" t="s">
        <v>66</v>
      </c>
      <c r="M1362" s="4">
        <v>45276</v>
      </c>
      <c r="N1362" s="2" t="s">
        <v>23</v>
      </c>
      <c r="O1362" s="2">
        <f t="shared" si="87"/>
        <v>0</v>
      </c>
      <c r="P1362" s="2" t="s">
        <v>23</v>
      </c>
      <c r="Q1362" s="2" t="s">
        <v>23</v>
      </c>
      <c r="R1362" s="2" t="s">
        <v>32</v>
      </c>
      <c r="S1362" s="2" t="s">
        <v>23</v>
      </c>
      <c r="T1362" s="2" t="s">
        <v>23</v>
      </c>
      <c r="U1362" s="25">
        <f t="shared" si="85"/>
        <v>9429.0013620000009</v>
      </c>
    </row>
    <row r="1363" spans="1:21">
      <c r="A1363" s="2" t="s">
        <v>2134</v>
      </c>
      <c r="B1363" s="2" t="s">
        <v>1402</v>
      </c>
      <c r="C1363" s="2" t="s">
        <v>35</v>
      </c>
      <c r="D1363" s="2">
        <v>36</v>
      </c>
      <c r="E1363" s="2" t="str">
        <f t="shared" si="86"/>
        <v>36-45</v>
      </c>
      <c r="F1363" s="2" t="s">
        <v>57</v>
      </c>
      <c r="G1363" s="2" t="s">
        <v>21</v>
      </c>
      <c r="H1363" s="2">
        <v>11</v>
      </c>
      <c r="I1363" s="2" t="str">
        <f t="shared" si="84"/>
        <v>7-12 months</v>
      </c>
      <c r="J1363" s="3">
        <v>749</v>
      </c>
      <c r="K1363" s="3">
        <v>8239</v>
      </c>
      <c r="L1363" s="2" t="s">
        <v>31</v>
      </c>
      <c r="M1363" s="4">
        <v>45596</v>
      </c>
      <c r="N1363" s="2" t="s">
        <v>23</v>
      </c>
      <c r="O1363" s="2">
        <f t="shared" si="87"/>
        <v>0</v>
      </c>
      <c r="P1363" s="2" t="s">
        <v>23</v>
      </c>
      <c r="Q1363" s="2" t="s">
        <v>23</v>
      </c>
      <c r="R1363" s="2" t="s">
        <v>23</v>
      </c>
      <c r="S1363" s="2" t="s">
        <v>23</v>
      </c>
      <c r="T1363" s="2" t="s">
        <v>23</v>
      </c>
      <c r="U1363" s="25">
        <f t="shared" si="85"/>
        <v>8239.0013629999994</v>
      </c>
    </row>
    <row r="1364" spans="1:21">
      <c r="A1364" s="2" t="s">
        <v>2135</v>
      </c>
      <c r="B1364" s="2" t="s">
        <v>2021</v>
      </c>
      <c r="C1364" s="2" t="s">
        <v>19</v>
      </c>
      <c r="D1364" s="2">
        <v>33</v>
      </c>
      <c r="E1364" s="2" t="str">
        <f t="shared" si="86"/>
        <v>26-35</v>
      </c>
      <c r="F1364" s="2" t="s">
        <v>36</v>
      </c>
      <c r="G1364" s="2" t="s">
        <v>21</v>
      </c>
      <c r="H1364" s="2">
        <v>21</v>
      </c>
      <c r="I1364" s="2" t="str">
        <f t="shared" si="84"/>
        <v>13-24 months</v>
      </c>
      <c r="J1364" s="3">
        <v>1299</v>
      </c>
      <c r="K1364" s="3">
        <v>27279</v>
      </c>
      <c r="L1364" s="2" t="s">
        <v>22</v>
      </c>
      <c r="M1364" s="4">
        <v>45293</v>
      </c>
      <c r="N1364" s="2" t="s">
        <v>37</v>
      </c>
      <c r="O1364" s="2" t="str">
        <f t="shared" si="87"/>
        <v/>
      </c>
      <c r="P1364" s="2" t="s">
        <v>23</v>
      </c>
      <c r="Q1364" s="2" t="s">
        <v>23</v>
      </c>
      <c r="R1364" s="2" t="s">
        <v>23</v>
      </c>
      <c r="S1364" s="2" t="s">
        <v>23</v>
      </c>
      <c r="T1364" s="2" t="s">
        <v>38</v>
      </c>
      <c r="U1364" s="25">
        <f t="shared" si="85"/>
        <v>27279.001364</v>
      </c>
    </row>
    <row r="1365" spans="1:21">
      <c r="A1365" s="2" t="s">
        <v>2136</v>
      </c>
      <c r="B1365" s="2" t="s">
        <v>2137</v>
      </c>
      <c r="C1365" s="2" t="s">
        <v>19</v>
      </c>
      <c r="D1365" s="2">
        <v>55</v>
      </c>
      <c r="E1365" s="2" t="str">
        <f t="shared" si="86"/>
        <v>46-60</v>
      </c>
      <c r="F1365" s="2" t="s">
        <v>57</v>
      </c>
      <c r="G1365" s="2" t="s">
        <v>21</v>
      </c>
      <c r="H1365" s="2">
        <v>23</v>
      </c>
      <c r="I1365" s="2" t="str">
        <f t="shared" si="84"/>
        <v>13-24 months</v>
      </c>
      <c r="J1365" s="3">
        <v>899</v>
      </c>
      <c r="K1365" s="3">
        <v>20677</v>
      </c>
      <c r="L1365" s="2" t="s">
        <v>22</v>
      </c>
      <c r="M1365" s="4">
        <v>45215</v>
      </c>
      <c r="N1365" s="2" t="s">
        <v>32</v>
      </c>
      <c r="O1365" s="2">
        <f t="shared" si="87"/>
        <v>1</v>
      </c>
      <c r="P1365" s="2" t="s">
        <v>23</v>
      </c>
      <c r="Q1365" s="2" t="s">
        <v>23</v>
      </c>
      <c r="R1365" s="2" t="s">
        <v>23</v>
      </c>
      <c r="S1365" s="2" t="s">
        <v>23</v>
      </c>
      <c r="T1365" s="2" t="s">
        <v>23</v>
      </c>
      <c r="U1365" s="25">
        <f t="shared" si="85"/>
        <v>20677.001365</v>
      </c>
    </row>
    <row r="1366" spans="1:21">
      <c r="A1366" s="2" t="s">
        <v>2138</v>
      </c>
      <c r="B1366" s="2" t="s">
        <v>1870</v>
      </c>
      <c r="C1366" s="2" t="s">
        <v>19</v>
      </c>
      <c r="D1366" s="2">
        <v>41</v>
      </c>
      <c r="E1366" s="2" t="str">
        <f t="shared" si="86"/>
        <v>36-45</v>
      </c>
      <c r="F1366" s="2" t="s">
        <v>110</v>
      </c>
      <c r="G1366" s="2" t="s">
        <v>27</v>
      </c>
      <c r="H1366" s="2">
        <v>34</v>
      </c>
      <c r="I1366" s="2" t="str">
        <f t="shared" si="84"/>
        <v>25-48 months</v>
      </c>
      <c r="J1366" s="3">
        <v>849</v>
      </c>
      <c r="K1366" s="3">
        <v>28866</v>
      </c>
      <c r="L1366" s="2" t="s">
        <v>31</v>
      </c>
      <c r="M1366" s="4">
        <v>44893</v>
      </c>
      <c r="N1366" s="2" t="s">
        <v>32</v>
      </c>
      <c r="O1366" s="2">
        <f t="shared" si="87"/>
        <v>1</v>
      </c>
      <c r="P1366" s="2" t="s">
        <v>23</v>
      </c>
      <c r="Q1366" s="2" t="s">
        <v>23</v>
      </c>
      <c r="R1366" s="2" t="s">
        <v>23</v>
      </c>
      <c r="S1366" s="2" t="s">
        <v>23</v>
      </c>
      <c r="T1366" s="2" t="s">
        <v>23</v>
      </c>
      <c r="U1366" s="25">
        <f t="shared" si="85"/>
        <v>28866.001366</v>
      </c>
    </row>
    <row r="1367" spans="1:21">
      <c r="A1367" s="2" t="s">
        <v>2139</v>
      </c>
      <c r="B1367" s="2" t="s">
        <v>1620</v>
      </c>
      <c r="C1367" s="2" t="s">
        <v>19</v>
      </c>
      <c r="D1367" s="2">
        <v>53</v>
      </c>
      <c r="E1367" s="2" t="str">
        <f t="shared" si="86"/>
        <v>46-60</v>
      </c>
      <c r="F1367" s="2" t="s">
        <v>141</v>
      </c>
      <c r="G1367" s="2" t="s">
        <v>21</v>
      </c>
      <c r="H1367" s="2">
        <v>9</v>
      </c>
      <c r="I1367" s="2" t="str">
        <f t="shared" si="84"/>
        <v>7-12 months</v>
      </c>
      <c r="J1367" s="3">
        <v>849</v>
      </c>
      <c r="K1367" s="3">
        <v>7641</v>
      </c>
      <c r="L1367" s="2" t="s">
        <v>31</v>
      </c>
      <c r="M1367" s="4">
        <v>45629</v>
      </c>
      <c r="N1367" s="2" t="s">
        <v>32</v>
      </c>
      <c r="O1367" s="2">
        <f t="shared" si="87"/>
        <v>1</v>
      </c>
      <c r="P1367" s="2" t="s">
        <v>23</v>
      </c>
      <c r="Q1367" s="2" t="s">
        <v>23</v>
      </c>
      <c r="R1367" s="2" t="s">
        <v>23</v>
      </c>
      <c r="S1367" s="2" t="s">
        <v>23</v>
      </c>
      <c r="T1367" s="2" t="s">
        <v>23</v>
      </c>
      <c r="U1367" s="25">
        <f t="shared" si="85"/>
        <v>7641.0013669999998</v>
      </c>
    </row>
    <row r="1368" spans="1:21">
      <c r="A1368" s="2" t="s">
        <v>2140</v>
      </c>
      <c r="B1368" s="2" t="s">
        <v>1914</v>
      </c>
      <c r="C1368" s="2" t="s">
        <v>19</v>
      </c>
      <c r="D1368" s="2">
        <v>19</v>
      </c>
      <c r="E1368" s="2" t="str">
        <f t="shared" si="86"/>
        <v>18-25</v>
      </c>
      <c r="F1368" s="2" t="s">
        <v>63</v>
      </c>
      <c r="G1368" s="2" t="s">
        <v>21</v>
      </c>
      <c r="H1368" s="2">
        <v>7</v>
      </c>
      <c r="I1368" s="2" t="str">
        <f t="shared" si="84"/>
        <v>7-12 months</v>
      </c>
      <c r="J1368" s="3">
        <v>749</v>
      </c>
      <c r="K1368" s="3">
        <v>5243</v>
      </c>
      <c r="L1368" s="2" t="s">
        <v>31</v>
      </c>
      <c r="M1368" s="4">
        <v>45710</v>
      </c>
      <c r="N1368" s="2" t="s">
        <v>32</v>
      </c>
      <c r="O1368" s="2">
        <f t="shared" si="87"/>
        <v>1</v>
      </c>
      <c r="P1368" s="2" t="s">
        <v>23</v>
      </c>
      <c r="Q1368" s="2" t="s">
        <v>23</v>
      </c>
      <c r="R1368" s="2" t="s">
        <v>23</v>
      </c>
      <c r="S1368" s="2" t="s">
        <v>32</v>
      </c>
      <c r="T1368" s="2" t="s">
        <v>23</v>
      </c>
      <c r="U1368" s="25">
        <f t="shared" si="85"/>
        <v>5243.0013680000002</v>
      </c>
    </row>
    <row r="1369" spans="1:21">
      <c r="A1369" s="2" t="s">
        <v>2141</v>
      </c>
      <c r="B1369" s="2" t="s">
        <v>244</v>
      </c>
      <c r="C1369" s="2" t="s">
        <v>35</v>
      </c>
      <c r="D1369" s="2">
        <v>29</v>
      </c>
      <c r="E1369" s="2" t="str">
        <f t="shared" si="86"/>
        <v>26-35</v>
      </c>
      <c r="F1369" s="2" t="s">
        <v>91</v>
      </c>
      <c r="G1369" s="2" t="s">
        <v>21</v>
      </c>
      <c r="H1369" s="2">
        <v>8</v>
      </c>
      <c r="I1369" s="2" t="str">
        <f t="shared" si="84"/>
        <v>7-12 months</v>
      </c>
      <c r="J1369" s="3">
        <v>999</v>
      </c>
      <c r="K1369" s="3">
        <v>7992</v>
      </c>
      <c r="L1369" s="2" t="s">
        <v>22</v>
      </c>
      <c r="M1369" s="4">
        <v>45666</v>
      </c>
      <c r="N1369" s="2" t="s">
        <v>32</v>
      </c>
      <c r="O1369" s="2">
        <f t="shared" si="87"/>
        <v>1</v>
      </c>
      <c r="P1369" s="2" t="s">
        <v>23</v>
      </c>
      <c r="Q1369" s="2" t="s">
        <v>23</v>
      </c>
      <c r="R1369" s="2" t="s">
        <v>23</v>
      </c>
      <c r="S1369" s="2" t="s">
        <v>23</v>
      </c>
      <c r="T1369" s="2" t="s">
        <v>23</v>
      </c>
      <c r="U1369" s="25">
        <f t="shared" si="85"/>
        <v>7992.0013689999996</v>
      </c>
    </row>
    <row r="1370" spans="1:21">
      <c r="A1370" s="2" t="s">
        <v>2142</v>
      </c>
      <c r="B1370" s="2" t="s">
        <v>330</v>
      </c>
      <c r="C1370" s="2" t="s">
        <v>35</v>
      </c>
      <c r="D1370" s="2">
        <v>21</v>
      </c>
      <c r="E1370" s="2" t="str">
        <f t="shared" si="86"/>
        <v>18-25</v>
      </c>
      <c r="F1370" s="2" t="s">
        <v>26</v>
      </c>
      <c r="G1370" s="2" t="s">
        <v>27</v>
      </c>
      <c r="H1370" s="2">
        <v>18</v>
      </c>
      <c r="I1370" s="2" t="str">
        <f t="shared" si="84"/>
        <v>13-24 months</v>
      </c>
      <c r="J1370" s="3">
        <v>799</v>
      </c>
      <c r="K1370" s="3">
        <v>14382</v>
      </c>
      <c r="L1370" s="2" t="s">
        <v>31</v>
      </c>
      <c r="M1370" s="4">
        <v>45363</v>
      </c>
      <c r="N1370" s="2" t="s">
        <v>23</v>
      </c>
      <c r="O1370" s="2">
        <f t="shared" si="87"/>
        <v>0</v>
      </c>
      <c r="P1370" s="2" t="s">
        <v>23</v>
      </c>
      <c r="Q1370" s="2" t="s">
        <v>23</v>
      </c>
      <c r="R1370" s="2" t="s">
        <v>23</v>
      </c>
      <c r="S1370" s="2" t="s">
        <v>23</v>
      </c>
      <c r="T1370" s="2" t="s">
        <v>23</v>
      </c>
      <c r="U1370" s="25">
        <f t="shared" si="85"/>
        <v>14382.00137</v>
      </c>
    </row>
    <row r="1371" spans="1:21">
      <c r="A1371" s="2" t="s">
        <v>2143</v>
      </c>
      <c r="B1371" s="2" t="s">
        <v>1849</v>
      </c>
      <c r="C1371" s="2" t="s">
        <v>19</v>
      </c>
      <c r="D1371" s="2">
        <v>73</v>
      </c>
      <c r="E1371" s="2" t="str">
        <f t="shared" si="86"/>
        <v>60+</v>
      </c>
      <c r="F1371" s="2" t="s">
        <v>60</v>
      </c>
      <c r="G1371" s="2" t="s">
        <v>47</v>
      </c>
      <c r="H1371" s="2">
        <v>61</v>
      </c>
      <c r="I1371" s="2" t="str">
        <f t="shared" si="84"/>
        <v>49+ months</v>
      </c>
      <c r="J1371" s="3">
        <v>749</v>
      </c>
      <c r="K1371" s="3">
        <v>45689</v>
      </c>
      <c r="L1371" s="2" t="s">
        <v>31</v>
      </c>
      <c r="M1371" s="4">
        <v>44086</v>
      </c>
      <c r="N1371" s="2" t="s">
        <v>37</v>
      </c>
      <c r="O1371" s="2" t="str">
        <f t="shared" si="87"/>
        <v/>
      </c>
      <c r="P1371" s="2" t="s">
        <v>23</v>
      </c>
      <c r="Q1371" s="2" t="s">
        <v>23</v>
      </c>
      <c r="R1371" s="2" t="s">
        <v>23</v>
      </c>
      <c r="S1371" s="2" t="s">
        <v>23</v>
      </c>
      <c r="T1371" s="2" t="s">
        <v>38</v>
      </c>
      <c r="U1371" s="25">
        <f t="shared" si="85"/>
        <v>45689.001370999998</v>
      </c>
    </row>
    <row r="1372" spans="1:21">
      <c r="A1372" s="2" t="s">
        <v>2144</v>
      </c>
      <c r="B1372" s="2" t="s">
        <v>68</v>
      </c>
      <c r="C1372" s="2" t="s">
        <v>19</v>
      </c>
      <c r="D1372" s="2">
        <v>26</v>
      </c>
      <c r="E1372" s="2" t="str">
        <f t="shared" si="86"/>
        <v>26-35</v>
      </c>
      <c r="F1372" s="2" t="s">
        <v>57</v>
      </c>
      <c r="G1372" s="2" t="s">
        <v>21</v>
      </c>
      <c r="H1372" s="2">
        <v>3</v>
      </c>
      <c r="I1372" s="2" t="str">
        <f t="shared" si="84"/>
        <v>0-6 months</v>
      </c>
      <c r="J1372" s="3">
        <v>349</v>
      </c>
      <c r="K1372" s="3">
        <v>1047</v>
      </c>
      <c r="L1372" s="2" t="s">
        <v>66</v>
      </c>
      <c r="M1372" s="4">
        <v>45831</v>
      </c>
      <c r="N1372" s="2" t="s">
        <v>32</v>
      </c>
      <c r="O1372" s="2">
        <f t="shared" si="87"/>
        <v>1</v>
      </c>
      <c r="P1372" s="2" t="s">
        <v>23</v>
      </c>
      <c r="Q1372" s="2" t="s">
        <v>23</v>
      </c>
      <c r="R1372" s="2" t="s">
        <v>23</v>
      </c>
      <c r="S1372" s="2" t="s">
        <v>23</v>
      </c>
      <c r="T1372" s="2" t="s">
        <v>23</v>
      </c>
      <c r="U1372" s="25">
        <f t="shared" si="85"/>
        <v>1047.0013719999999</v>
      </c>
    </row>
    <row r="1373" spans="1:21">
      <c r="A1373" s="2" t="s">
        <v>2145</v>
      </c>
      <c r="B1373" s="2" t="s">
        <v>2146</v>
      </c>
      <c r="C1373" s="2" t="s">
        <v>37</v>
      </c>
      <c r="D1373" s="2">
        <v>70</v>
      </c>
      <c r="E1373" s="2" t="str">
        <f t="shared" si="86"/>
        <v>60+</v>
      </c>
      <c r="F1373" s="2" t="s">
        <v>46</v>
      </c>
      <c r="G1373" s="2" t="s">
        <v>21</v>
      </c>
      <c r="H1373" s="2">
        <v>2</v>
      </c>
      <c r="I1373" s="2" t="str">
        <f t="shared" si="84"/>
        <v>0-6 months</v>
      </c>
      <c r="J1373" s="3">
        <v>1049</v>
      </c>
      <c r="K1373" s="3">
        <v>2098</v>
      </c>
      <c r="L1373" s="2" t="s">
        <v>22</v>
      </c>
      <c r="M1373" s="4">
        <v>45847</v>
      </c>
      <c r="N1373" s="2" t="s">
        <v>32</v>
      </c>
      <c r="O1373" s="2">
        <f t="shared" si="87"/>
        <v>1</v>
      </c>
      <c r="P1373" s="2" t="s">
        <v>23</v>
      </c>
      <c r="Q1373" s="2" t="s">
        <v>23</v>
      </c>
      <c r="R1373" s="2" t="s">
        <v>23</v>
      </c>
      <c r="S1373" s="2" t="s">
        <v>23</v>
      </c>
      <c r="T1373" s="2" t="s">
        <v>23</v>
      </c>
      <c r="U1373" s="25">
        <f t="shared" si="85"/>
        <v>2098.0013730000001</v>
      </c>
    </row>
    <row r="1374" spans="1:21">
      <c r="A1374" s="2" t="s">
        <v>2147</v>
      </c>
      <c r="B1374" s="2" t="s">
        <v>464</v>
      </c>
      <c r="C1374" s="2" t="s">
        <v>35</v>
      </c>
      <c r="D1374" s="2">
        <v>56</v>
      </c>
      <c r="E1374" s="2" t="str">
        <f t="shared" si="86"/>
        <v>46-60</v>
      </c>
      <c r="F1374" s="2" t="s">
        <v>57</v>
      </c>
      <c r="G1374" s="2" t="s">
        <v>47</v>
      </c>
      <c r="H1374" s="2">
        <v>17</v>
      </c>
      <c r="I1374" s="2" t="str">
        <f t="shared" si="84"/>
        <v>13-24 months</v>
      </c>
      <c r="J1374" s="3">
        <v>1149</v>
      </c>
      <c r="K1374" s="3">
        <v>19533</v>
      </c>
      <c r="L1374" s="2" t="s">
        <v>22</v>
      </c>
      <c r="M1374" s="4">
        <v>45398</v>
      </c>
      <c r="N1374" s="2" t="s">
        <v>23</v>
      </c>
      <c r="O1374" s="2">
        <f t="shared" si="87"/>
        <v>0</v>
      </c>
      <c r="P1374" s="2" t="s">
        <v>23</v>
      </c>
      <c r="Q1374" s="2" t="s">
        <v>32</v>
      </c>
      <c r="R1374" s="2" t="s">
        <v>23</v>
      </c>
      <c r="S1374" s="2" t="s">
        <v>23</v>
      </c>
      <c r="T1374" s="2" t="s">
        <v>23</v>
      </c>
      <c r="U1374" s="25">
        <f t="shared" si="85"/>
        <v>19533.001373999999</v>
      </c>
    </row>
    <row r="1375" spans="1:21">
      <c r="A1375" s="2" t="s">
        <v>2148</v>
      </c>
      <c r="B1375" s="2" t="s">
        <v>1175</v>
      </c>
      <c r="C1375" s="2" t="s">
        <v>19</v>
      </c>
      <c r="D1375" s="2">
        <v>51</v>
      </c>
      <c r="E1375" s="2" t="str">
        <f t="shared" si="86"/>
        <v>46-60</v>
      </c>
      <c r="F1375" s="2" t="s">
        <v>46</v>
      </c>
      <c r="G1375" s="2" t="s">
        <v>21</v>
      </c>
      <c r="H1375" s="2">
        <v>20</v>
      </c>
      <c r="I1375" s="2" t="str">
        <f t="shared" si="84"/>
        <v>13-24 months</v>
      </c>
      <c r="J1375" s="3">
        <v>599</v>
      </c>
      <c r="K1375" s="3">
        <v>11980</v>
      </c>
      <c r="L1375" s="2" t="s">
        <v>31</v>
      </c>
      <c r="M1375" s="4">
        <v>45306</v>
      </c>
      <c r="N1375" s="2" t="s">
        <v>23</v>
      </c>
      <c r="O1375" s="2">
        <f t="shared" si="87"/>
        <v>0</v>
      </c>
      <c r="P1375" s="2" t="s">
        <v>23</v>
      </c>
      <c r="Q1375" s="2" t="s">
        <v>23</v>
      </c>
      <c r="R1375" s="2" t="s">
        <v>23</v>
      </c>
      <c r="S1375" s="2" t="s">
        <v>23</v>
      </c>
      <c r="T1375" s="2" t="s">
        <v>23</v>
      </c>
      <c r="U1375" s="25">
        <f t="shared" si="85"/>
        <v>11980.001375</v>
      </c>
    </row>
    <row r="1376" spans="1:21">
      <c r="A1376" s="2" t="s">
        <v>2149</v>
      </c>
      <c r="B1376" s="2" t="s">
        <v>332</v>
      </c>
      <c r="C1376" s="2" t="s">
        <v>19</v>
      </c>
      <c r="D1376" s="2">
        <v>35</v>
      </c>
      <c r="E1376" s="2" t="str">
        <f t="shared" si="86"/>
        <v>26-35</v>
      </c>
      <c r="F1376" s="2" t="s">
        <v>105</v>
      </c>
      <c r="G1376" s="2" t="s">
        <v>21</v>
      </c>
      <c r="H1376" s="2">
        <v>11</v>
      </c>
      <c r="I1376" s="2" t="str">
        <f t="shared" si="84"/>
        <v>7-12 months</v>
      </c>
      <c r="J1376" s="3">
        <v>1299</v>
      </c>
      <c r="K1376" s="3">
        <v>14289</v>
      </c>
      <c r="L1376" s="2" t="s">
        <v>22</v>
      </c>
      <c r="M1376" s="4">
        <v>45569</v>
      </c>
      <c r="N1376" s="2" t="s">
        <v>23</v>
      </c>
      <c r="O1376" s="2">
        <f t="shared" si="87"/>
        <v>0</v>
      </c>
      <c r="P1376" s="2" t="s">
        <v>23</v>
      </c>
      <c r="Q1376" s="2" t="s">
        <v>23</v>
      </c>
      <c r="R1376" s="2" t="s">
        <v>23</v>
      </c>
      <c r="S1376" s="2" t="s">
        <v>23</v>
      </c>
      <c r="T1376" s="2" t="s">
        <v>23</v>
      </c>
      <c r="U1376" s="25">
        <f t="shared" si="85"/>
        <v>14289.001376</v>
      </c>
    </row>
    <row r="1377" spans="1:21">
      <c r="A1377" s="2" t="s">
        <v>2150</v>
      </c>
      <c r="B1377" s="2" t="s">
        <v>383</v>
      </c>
      <c r="C1377" s="2" t="s">
        <v>35</v>
      </c>
      <c r="D1377" s="2">
        <v>49</v>
      </c>
      <c r="E1377" s="2" t="str">
        <f t="shared" si="86"/>
        <v>46-60</v>
      </c>
      <c r="F1377" s="2" t="s">
        <v>105</v>
      </c>
      <c r="G1377" s="2" t="s">
        <v>27</v>
      </c>
      <c r="H1377" s="2">
        <v>38</v>
      </c>
      <c r="I1377" s="2" t="str">
        <f t="shared" si="84"/>
        <v>25-48 months</v>
      </c>
      <c r="J1377" s="3">
        <v>549</v>
      </c>
      <c r="K1377" s="3">
        <v>20862</v>
      </c>
      <c r="L1377" s="2" t="s">
        <v>66</v>
      </c>
      <c r="M1377" s="4">
        <v>44763</v>
      </c>
      <c r="N1377" s="2" t="s">
        <v>23</v>
      </c>
      <c r="O1377" s="2">
        <f t="shared" si="87"/>
        <v>0</v>
      </c>
      <c r="P1377" s="2" t="s">
        <v>23</v>
      </c>
      <c r="Q1377" s="2" t="s">
        <v>23</v>
      </c>
      <c r="R1377" s="2" t="s">
        <v>23</v>
      </c>
      <c r="S1377" s="2" t="s">
        <v>23</v>
      </c>
      <c r="T1377" s="2" t="s">
        <v>23</v>
      </c>
      <c r="U1377" s="25">
        <f t="shared" si="85"/>
        <v>20862.001377000001</v>
      </c>
    </row>
    <row r="1378" spans="1:21">
      <c r="A1378" s="2" t="s">
        <v>2151</v>
      </c>
      <c r="B1378" s="2" t="s">
        <v>412</v>
      </c>
      <c r="C1378" s="2" t="s">
        <v>19</v>
      </c>
      <c r="D1378" s="2">
        <v>23</v>
      </c>
      <c r="E1378" s="2" t="str">
        <f t="shared" si="86"/>
        <v>18-25</v>
      </c>
      <c r="F1378" s="2" t="s">
        <v>141</v>
      </c>
      <c r="G1378" s="2" t="s">
        <v>21</v>
      </c>
      <c r="H1378" s="2">
        <v>17</v>
      </c>
      <c r="I1378" s="2" t="str">
        <f t="shared" si="84"/>
        <v>13-24 months</v>
      </c>
      <c r="J1378" s="3">
        <v>799</v>
      </c>
      <c r="K1378" s="3">
        <v>13583</v>
      </c>
      <c r="L1378" s="2" t="s">
        <v>31</v>
      </c>
      <c r="M1378" s="4"/>
      <c r="N1378" s="2" t="s">
        <v>32</v>
      </c>
      <c r="O1378" s="2">
        <f t="shared" si="87"/>
        <v>1</v>
      </c>
      <c r="P1378" s="2" t="s">
        <v>23</v>
      </c>
      <c r="Q1378" s="2" t="s">
        <v>23</v>
      </c>
      <c r="R1378" s="2" t="s">
        <v>23</v>
      </c>
      <c r="S1378" s="2" t="s">
        <v>23</v>
      </c>
      <c r="T1378" s="2" t="s">
        <v>54</v>
      </c>
      <c r="U1378" s="25">
        <f t="shared" si="85"/>
        <v>13583.001378000001</v>
      </c>
    </row>
    <row r="1379" spans="1:21">
      <c r="A1379" s="2" t="s">
        <v>2152</v>
      </c>
      <c r="B1379" s="2" t="s">
        <v>1330</v>
      </c>
      <c r="C1379" s="2" t="s">
        <v>35</v>
      </c>
      <c r="D1379" s="2">
        <v>50</v>
      </c>
      <c r="E1379" s="2" t="str">
        <f t="shared" si="86"/>
        <v>46-60</v>
      </c>
      <c r="F1379" s="2" t="s">
        <v>37</v>
      </c>
      <c r="G1379" s="2" t="s">
        <v>21</v>
      </c>
      <c r="H1379" s="2">
        <v>8</v>
      </c>
      <c r="I1379" s="2" t="str">
        <f t="shared" si="84"/>
        <v>7-12 months</v>
      </c>
      <c r="J1379" s="3">
        <v>449</v>
      </c>
      <c r="K1379" s="3">
        <v>3592</v>
      </c>
      <c r="L1379" s="2" t="s">
        <v>66</v>
      </c>
      <c r="M1379" s="4">
        <v>45682</v>
      </c>
      <c r="N1379" s="2" t="s">
        <v>23</v>
      </c>
      <c r="O1379" s="2">
        <f t="shared" si="87"/>
        <v>0</v>
      </c>
      <c r="P1379" s="2" t="s">
        <v>23</v>
      </c>
      <c r="Q1379" s="2" t="s">
        <v>23</v>
      </c>
      <c r="R1379" s="2" t="s">
        <v>23</v>
      </c>
      <c r="S1379" s="2" t="s">
        <v>23</v>
      </c>
      <c r="T1379" s="2" t="s">
        <v>23</v>
      </c>
      <c r="U1379" s="25">
        <f t="shared" si="85"/>
        <v>3592.0013789999998</v>
      </c>
    </row>
    <row r="1380" spans="1:21">
      <c r="A1380" s="2" t="s">
        <v>2153</v>
      </c>
      <c r="B1380" s="2" t="s">
        <v>1139</v>
      </c>
      <c r="C1380" s="2" t="s">
        <v>35</v>
      </c>
      <c r="D1380" s="2">
        <v>44</v>
      </c>
      <c r="E1380" s="2" t="str">
        <f t="shared" si="86"/>
        <v>36-45</v>
      </c>
      <c r="F1380" s="2" t="s">
        <v>46</v>
      </c>
      <c r="G1380" s="2" t="s">
        <v>21</v>
      </c>
      <c r="H1380" s="2">
        <v>22</v>
      </c>
      <c r="I1380" s="2" t="str">
        <f t="shared" si="84"/>
        <v>13-24 months</v>
      </c>
      <c r="J1380" s="3">
        <v>1299</v>
      </c>
      <c r="K1380" s="3">
        <v>28578</v>
      </c>
      <c r="L1380" s="2" t="s">
        <v>22</v>
      </c>
      <c r="M1380" s="4">
        <v>45264</v>
      </c>
      <c r="N1380" s="2" t="s">
        <v>23</v>
      </c>
      <c r="O1380" s="2">
        <f t="shared" si="87"/>
        <v>0</v>
      </c>
      <c r="P1380" s="2" t="s">
        <v>23</v>
      </c>
      <c r="Q1380" s="2" t="s">
        <v>23</v>
      </c>
      <c r="R1380" s="2" t="s">
        <v>23</v>
      </c>
      <c r="S1380" s="2" t="s">
        <v>23</v>
      </c>
      <c r="T1380" s="2" t="s">
        <v>23</v>
      </c>
      <c r="U1380" s="25">
        <f t="shared" si="85"/>
        <v>28578.001380000002</v>
      </c>
    </row>
    <row r="1381" spans="1:21">
      <c r="A1381" s="2" t="s">
        <v>2154</v>
      </c>
      <c r="B1381" s="2" t="s">
        <v>93</v>
      </c>
      <c r="C1381" s="2" t="s">
        <v>35</v>
      </c>
      <c r="D1381" s="2">
        <v>61</v>
      </c>
      <c r="E1381" s="2" t="str">
        <f t="shared" si="86"/>
        <v>60+</v>
      </c>
      <c r="F1381" s="2" t="s">
        <v>30</v>
      </c>
      <c r="G1381" s="2" t="s">
        <v>27</v>
      </c>
      <c r="H1381" s="2">
        <v>14</v>
      </c>
      <c r="I1381" s="2" t="str">
        <f t="shared" si="84"/>
        <v>13-24 months</v>
      </c>
      <c r="J1381" s="3">
        <v>1099</v>
      </c>
      <c r="K1381" s="3">
        <v>15386</v>
      </c>
      <c r="L1381" s="2" t="s">
        <v>37</v>
      </c>
      <c r="M1381" s="4">
        <v>45505</v>
      </c>
      <c r="N1381" s="2" t="s">
        <v>23</v>
      </c>
      <c r="O1381" s="2">
        <f t="shared" si="87"/>
        <v>0</v>
      </c>
      <c r="P1381" s="2" t="s">
        <v>23</v>
      </c>
      <c r="Q1381" s="2" t="s">
        <v>32</v>
      </c>
      <c r="R1381" s="2" t="s">
        <v>23</v>
      </c>
      <c r="S1381" s="2" t="s">
        <v>23</v>
      </c>
      <c r="T1381" s="2" t="s">
        <v>23</v>
      </c>
      <c r="U1381" s="25">
        <f t="shared" si="85"/>
        <v>15386.001381</v>
      </c>
    </row>
    <row r="1382" spans="1:21">
      <c r="A1382" s="2" t="s">
        <v>2155</v>
      </c>
      <c r="B1382" s="2" t="s">
        <v>1546</v>
      </c>
      <c r="C1382" s="2" t="s">
        <v>35</v>
      </c>
      <c r="D1382" s="2">
        <v>56</v>
      </c>
      <c r="E1382" s="2" t="str">
        <f t="shared" si="86"/>
        <v>46-60</v>
      </c>
      <c r="F1382" s="2" t="s">
        <v>110</v>
      </c>
      <c r="G1382" s="2" t="s">
        <v>27</v>
      </c>
      <c r="H1382" s="2">
        <v>32</v>
      </c>
      <c r="I1382" s="2" t="str">
        <f t="shared" si="84"/>
        <v>25-48 months</v>
      </c>
      <c r="J1382" s="3">
        <v>699</v>
      </c>
      <c r="K1382" s="3">
        <v>22368</v>
      </c>
      <c r="L1382" s="2" t="s">
        <v>31</v>
      </c>
      <c r="M1382" s="4">
        <v>44960</v>
      </c>
      <c r="N1382" s="2" t="s">
        <v>23</v>
      </c>
      <c r="O1382" s="2">
        <f t="shared" si="87"/>
        <v>0</v>
      </c>
      <c r="P1382" s="2" t="s">
        <v>23</v>
      </c>
      <c r="Q1382" s="2" t="s">
        <v>23</v>
      </c>
      <c r="R1382" s="2" t="s">
        <v>23</v>
      </c>
      <c r="S1382" s="2" t="s">
        <v>23</v>
      </c>
      <c r="T1382" s="2" t="s">
        <v>23</v>
      </c>
      <c r="U1382" s="25">
        <f t="shared" si="85"/>
        <v>22368.001381999999</v>
      </c>
    </row>
    <row r="1383" spans="1:21">
      <c r="A1383" s="2" t="s">
        <v>2156</v>
      </c>
      <c r="B1383" s="2" t="s">
        <v>471</v>
      </c>
      <c r="C1383" s="2" t="s">
        <v>35</v>
      </c>
      <c r="D1383" s="2">
        <v>27</v>
      </c>
      <c r="E1383" s="2" t="str">
        <f t="shared" si="86"/>
        <v>26-35</v>
      </c>
      <c r="F1383" s="2" t="s">
        <v>46</v>
      </c>
      <c r="G1383" s="2" t="s">
        <v>27</v>
      </c>
      <c r="H1383" s="2">
        <v>25</v>
      </c>
      <c r="I1383" s="2" t="str">
        <f t="shared" si="84"/>
        <v>25-48 months</v>
      </c>
      <c r="J1383" s="3">
        <v>899</v>
      </c>
      <c r="K1383" s="3">
        <v>22475</v>
      </c>
      <c r="L1383" s="2" t="s">
        <v>31</v>
      </c>
      <c r="M1383" s="4">
        <v>45172</v>
      </c>
      <c r="N1383" s="2" t="s">
        <v>32</v>
      </c>
      <c r="O1383" s="2">
        <f t="shared" si="87"/>
        <v>1</v>
      </c>
      <c r="P1383" s="2" t="s">
        <v>23</v>
      </c>
      <c r="Q1383" s="2" t="s">
        <v>23</v>
      </c>
      <c r="R1383" s="2" t="s">
        <v>23</v>
      </c>
      <c r="S1383" s="2" t="s">
        <v>23</v>
      </c>
      <c r="T1383" s="2" t="s">
        <v>23</v>
      </c>
      <c r="U1383" s="25">
        <f t="shared" si="85"/>
        <v>22475.001382999999</v>
      </c>
    </row>
    <row r="1384" spans="1:21">
      <c r="A1384" s="2" t="s">
        <v>2157</v>
      </c>
      <c r="B1384" s="2" t="s">
        <v>454</v>
      </c>
      <c r="C1384" s="2" t="s">
        <v>35</v>
      </c>
      <c r="D1384" s="2">
        <v>53</v>
      </c>
      <c r="E1384" s="2" t="str">
        <f t="shared" si="86"/>
        <v>46-60</v>
      </c>
      <c r="F1384" s="2" t="s">
        <v>91</v>
      </c>
      <c r="G1384" s="2" t="s">
        <v>47</v>
      </c>
      <c r="H1384" s="2">
        <v>54</v>
      </c>
      <c r="I1384" s="2" t="str">
        <f t="shared" si="84"/>
        <v>49+ months</v>
      </c>
      <c r="J1384" s="3">
        <v>1049</v>
      </c>
      <c r="K1384" s="3">
        <v>56646</v>
      </c>
      <c r="L1384" s="2" t="s">
        <v>22</v>
      </c>
      <c r="M1384" s="4">
        <v>44288</v>
      </c>
      <c r="N1384" s="2" t="s">
        <v>23</v>
      </c>
      <c r="O1384" s="2">
        <f t="shared" si="87"/>
        <v>0</v>
      </c>
      <c r="P1384" s="2" t="s">
        <v>23</v>
      </c>
      <c r="Q1384" s="2" t="s">
        <v>23</v>
      </c>
      <c r="R1384" s="2" t="s">
        <v>23</v>
      </c>
      <c r="S1384" s="2" t="s">
        <v>23</v>
      </c>
      <c r="T1384" s="2" t="s">
        <v>23</v>
      </c>
      <c r="U1384" s="25">
        <f t="shared" si="85"/>
        <v>56646.001384000003</v>
      </c>
    </row>
    <row r="1385" spans="1:21">
      <c r="A1385" s="2" t="s">
        <v>2158</v>
      </c>
      <c r="B1385" s="2" t="s">
        <v>155</v>
      </c>
      <c r="C1385" s="2" t="s">
        <v>35</v>
      </c>
      <c r="D1385" s="2">
        <v>48</v>
      </c>
      <c r="E1385" s="2" t="str">
        <f t="shared" si="86"/>
        <v>46-60</v>
      </c>
      <c r="F1385" s="2" t="s">
        <v>105</v>
      </c>
      <c r="G1385" s="2" t="s">
        <v>21</v>
      </c>
      <c r="H1385" s="2">
        <v>6</v>
      </c>
      <c r="I1385" s="2" t="str">
        <f t="shared" si="84"/>
        <v>0-6 months</v>
      </c>
      <c r="J1385" s="3"/>
      <c r="K1385" s="3"/>
      <c r="L1385" s="2" t="s">
        <v>31</v>
      </c>
      <c r="M1385" s="4">
        <v>45746</v>
      </c>
      <c r="N1385" s="2" t="s">
        <v>32</v>
      </c>
      <c r="O1385" s="2">
        <f t="shared" si="87"/>
        <v>1</v>
      </c>
      <c r="P1385" s="2" t="s">
        <v>23</v>
      </c>
      <c r="Q1385" s="2" t="s">
        <v>23</v>
      </c>
      <c r="R1385" s="2" t="s">
        <v>23</v>
      </c>
      <c r="S1385" s="2" t="s">
        <v>23</v>
      </c>
      <c r="T1385" s="2" t="s">
        <v>553</v>
      </c>
      <c r="U1385" s="25" t="str">
        <f t="shared" si="85"/>
        <v/>
      </c>
    </row>
    <row r="1386" spans="1:21">
      <c r="A1386" s="2" t="s">
        <v>2159</v>
      </c>
      <c r="B1386" s="2" t="s">
        <v>2160</v>
      </c>
      <c r="C1386" s="2" t="s">
        <v>35</v>
      </c>
      <c r="D1386" s="2">
        <v>52</v>
      </c>
      <c r="E1386" s="2" t="str">
        <f t="shared" si="86"/>
        <v>46-60</v>
      </c>
      <c r="F1386" s="2" t="s">
        <v>46</v>
      </c>
      <c r="G1386" s="2" t="s">
        <v>21</v>
      </c>
      <c r="H1386" s="2">
        <v>24</v>
      </c>
      <c r="I1386" s="2" t="str">
        <f t="shared" si="84"/>
        <v>13-24 months</v>
      </c>
      <c r="J1386" s="3">
        <v>849</v>
      </c>
      <c r="K1386" s="3">
        <v>20376</v>
      </c>
      <c r="L1386" s="2" t="s">
        <v>31</v>
      </c>
      <c r="M1386" s="4">
        <v>45187</v>
      </c>
      <c r="N1386" s="2" t="s">
        <v>32</v>
      </c>
      <c r="O1386" s="2">
        <f t="shared" si="87"/>
        <v>1</v>
      </c>
      <c r="P1386" s="2" t="s">
        <v>23</v>
      </c>
      <c r="Q1386" s="2" t="s">
        <v>23</v>
      </c>
      <c r="R1386" s="2" t="s">
        <v>23</v>
      </c>
      <c r="S1386" s="2" t="s">
        <v>23</v>
      </c>
      <c r="T1386" s="2" t="s">
        <v>23</v>
      </c>
      <c r="U1386" s="25">
        <f t="shared" si="85"/>
        <v>20376.001386</v>
      </c>
    </row>
    <row r="1387" spans="1:21">
      <c r="A1387" s="2" t="s">
        <v>2161</v>
      </c>
      <c r="B1387" s="2" t="s">
        <v>2162</v>
      </c>
      <c r="C1387" s="2" t="s">
        <v>19</v>
      </c>
      <c r="D1387" s="2">
        <v>39</v>
      </c>
      <c r="E1387" s="2" t="str">
        <f t="shared" si="86"/>
        <v>36-45</v>
      </c>
      <c r="F1387" s="2" t="s">
        <v>91</v>
      </c>
      <c r="G1387" s="2" t="s">
        <v>27</v>
      </c>
      <c r="H1387" s="2">
        <v>16</v>
      </c>
      <c r="I1387" s="2" t="str">
        <f t="shared" si="84"/>
        <v>13-24 months</v>
      </c>
      <c r="J1387" s="3">
        <v>649</v>
      </c>
      <c r="K1387" s="3">
        <v>10384</v>
      </c>
      <c r="L1387" s="2" t="s">
        <v>31</v>
      </c>
      <c r="M1387" s="4">
        <v>45424</v>
      </c>
      <c r="N1387" s="2" t="s">
        <v>23</v>
      </c>
      <c r="O1387" s="2">
        <f t="shared" si="87"/>
        <v>0</v>
      </c>
      <c r="P1387" s="2" t="s">
        <v>23</v>
      </c>
      <c r="Q1387" s="2" t="s">
        <v>23</v>
      </c>
      <c r="R1387" s="2" t="s">
        <v>23</v>
      </c>
      <c r="S1387" s="2" t="s">
        <v>23</v>
      </c>
      <c r="T1387" s="2" t="s">
        <v>23</v>
      </c>
      <c r="U1387" s="25">
        <f t="shared" si="85"/>
        <v>10384.001387</v>
      </c>
    </row>
    <row r="1388" spans="1:21">
      <c r="A1388" s="2" t="s">
        <v>2163</v>
      </c>
      <c r="B1388" s="2" t="s">
        <v>395</v>
      </c>
      <c r="C1388" s="2" t="s">
        <v>35</v>
      </c>
      <c r="D1388" s="2">
        <v>71</v>
      </c>
      <c r="E1388" s="2" t="str">
        <f t="shared" si="86"/>
        <v>60+</v>
      </c>
      <c r="F1388" s="2" t="s">
        <v>20</v>
      </c>
      <c r="G1388" s="2" t="s">
        <v>21</v>
      </c>
      <c r="H1388" s="2">
        <v>11</v>
      </c>
      <c r="I1388" s="2" t="str">
        <f t="shared" si="84"/>
        <v>7-12 months</v>
      </c>
      <c r="J1388" s="3">
        <v>999</v>
      </c>
      <c r="K1388" s="3">
        <v>10989</v>
      </c>
      <c r="L1388" s="2" t="s">
        <v>22</v>
      </c>
      <c r="M1388" s="4">
        <v>45572</v>
      </c>
      <c r="N1388" s="2" t="s">
        <v>23</v>
      </c>
      <c r="O1388" s="2">
        <f t="shared" si="87"/>
        <v>0</v>
      </c>
      <c r="P1388" s="2" t="s">
        <v>23</v>
      </c>
      <c r="Q1388" s="2" t="s">
        <v>23</v>
      </c>
      <c r="R1388" s="2" t="s">
        <v>23</v>
      </c>
      <c r="S1388" s="2" t="s">
        <v>23</v>
      </c>
      <c r="T1388" s="2" t="s">
        <v>23</v>
      </c>
      <c r="U1388" s="25">
        <f t="shared" si="85"/>
        <v>10989.001388000001</v>
      </c>
    </row>
    <row r="1389" spans="1:21">
      <c r="A1389" s="2" t="s">
        <v>2164</v>
      </c>
      <c r="B1389" s="2" t="s">
        <v>2165</v>
      </c>
      <c r="C1389" s="2" t="s">
        <v>35</v>
      </c>
      <c r="D1389" s="2">
        <v>57</v>
      </c>
      <c r="E1389" s="2" t="str">
        <f t="shared" si="86"/>
        <v>46-60</v>
      </c>
      <c r="F1389" s="2" t="s">
        <v>36</v>
      </c>
      <c r="G1389" s="2" t="s">
        <v>47</v>
      </c>
      <c r="H1389" s="2">
        <v>35</v>
      </c>
      <c r="I1389" s="2" t="str">
        <f t="shared" si="84"/>
        <v>25-48 months</v>
      </c>
      <c r="J1389" s="3">
        <v>899</v>
      </c>
      <c r="K1389" s="3">
        <v>31465</v>
      </c>
      <c r="L1389" s="2" t="s">
        <v>31</v>
      </c>
      <c r="M1389" s="4">
        <v>44851</v>
      </c>
      <c r="N1389" s="2" t="s">
        <v>23</v>
      </c>
      <c r="O1389" s="2">
        <f t="shared" si="87"/>
        <v>0</v>
      </c>
      <c r="P1389" s="2" t="s">
        <v>23</v>
      </c>
      <c r="Q1389" s="2" t="s">
        <v>23</v>
      </c>
      <c r="R1389" s="2" t="s">
        <v>23</v>
      </c>
      <c r="S1389" s="2" t="s">
        <v>23</v>
      </c>
      <c r="T1389" s="2" t="s">
        <v>23</v>
      </c>
      <c r="U1389" s="25">
        <f t="shared" si="85"/>
        <v>31465.001389000001</v>
      </c>
    </row>
    <row r="1390" spans="1:21">
      <c r="A1390" s="2" t="s">
        <v>2166</v>
      </c>
      <c r="B1390" s="2" t="s">
        <v>1072</v>
      </c>
      <c r="C1390" s="2" t="s">
        <v>35</v>
      </c>
      <c r="D1390" s="2">
        <v>47</v>
      </c>
      <c r="E1390" s="2" t="str">
        <f t="shared" si="86"/>
        <v>46-60</v>
      </c>
      <c r="F1390" s="2" t="s">
        <v>91</v>
      </c>
      <c r="G1390" s="2" t="s">
        <v>21</v>
      </c>
      <c r="H1390" s="2">
        <v>8</v>
      </c>
      <c r="I1390" s="2" t="str">
        <f t="shared" si="84"/>
        <v>7-12 months</v>
      </c>
      <c r="J1390" s="3">
        <v>699</v>
      </c>
      <c r="K1390" s="3">
        <v>5592</v>
      </c>
      <c r="L1390" s="2" t="s">
        <v>31</v>
      </c>
      <c r="M1390" s="4">
        <v>45679</v>
      </c>
      <c r="N1390" s="2" t="s">
        <v>32</v>
      </c>
      <c r="O1390" s="2">
        <f t="shared" si="87"/>
        <v>1</v>
      </c>
      <c r="P1390" s="2" t="s">
        <v>23</v>
      </c>
      <c r="Q1390" s="2" t="s">
        <v>23</v>
      </c>
      <c r="R1390" s="2" t="s">
        <v>23</v>
      </c>
      <c r="S1390" s="2" t="s">
        <v>23</v>
      </c>
      <c r="T1390" s="2" t="s">
        <v>23</v>
      </c>
      <c r="U1390" s="25">
        <f t="shared" si="85"/>
        <v>5592.0013900000004</v>
      </c>
    </row>
    <row r="1391" spans="1:21">
      <c r="A1391" s="2" t="s">
        <v>2167</v>
      </c>
      <c r="B1391" s="2" t="s">
        <v>436</v>
      </c>
      <c r="C1391" s="2" t="s">
        <v>35</v>
      </c>
      <c r="D1391" s="2">
        <v>72</v>
      </c>
      <c r="E1391" s="2" t="str">
        <f t="shared" si="86"/>
        <v>60+</v>
      </c>
      <c r="F1391" s="2" t="s">
        <v>105</v>
      </c>
      <c r="G1391" s="2" t="s">
        <v>21</v>
      </c>
      <c r="H1391" s="2">
        <v>3</v>
      </c>
      <c r="I1391" s="2" t="str">
        <f t="shared" si="84"/>
        <v>0-6 months</v>
      </c>
      <c r="J1391" s="3">
        <v>749</v>
      </c>
      <c r="K1391" s="3">
        <v>2247</v>
      </c>
      <c r="L1391" s="2" t="s">
        <v>31</v>
      </c>
      <c r="M1391" s="4">
        <v>45815</v>
      </c>
      <c r="N1391" s="2" t="s">
        <v>32</v>
      </c>
      <c r="O1391" s="2">
        <f t="shared" si="87"/>
        <v>1</v>
      </c>
      <c r="P1391" s="2" t="s">
        <v>23</v>
      </c>
      <c r="Q1391" s="2" t="s">
        <v>23</v>
      </c>
      <c r="R1391" s="2" t="s">
        <v>23</v>
      </c>
      <c r="S1391" s="2" t="s">
        <v>23</v>
      </c>
      <c r="T1391" s="2" t="s">
        <v>23</v>
      </c>
      <c r="U1391" s="25">
        <f t="shared" si="85"/>
        <v>2247.0013909999998</v>
      </c>
    </row>
    <row r="1392" spans="1:21">
      <c r="A1392" s="2" t="s">
        <v>2168</v>
      </c>
      <c r="B1392" s="2" t="s">
        <v>2169</v>
      </c>
      <c r="C1392" s="2" t="s">
        <v>35</v>
      </c>
      <c r="D1392" s="2">
        <v>19</v>
      </c>
      <c r="E1392" s="2" t="str">
        <f t="shared" si="86"/>
        <v>18-25</v>
      </c>
      <c r="F1392" s="2" t="s">
        <v>26</v>
      </c>
      <c r="G1392" s="2" t="s">
        <v>27</v>
      </c>
      <c r="H1392" s="2">
        <v>32</v>
      </c>
      <c r="I1392" s="2" t="str">
        <f t="shared" si="84"/>
        <v>25-48 months</v>
      </c>
      <c r="J1392" s="3">
        <v>749</v>
      </c>
      <c r="K1392" s="3">
        <v>23968</v>
      </c>
      <c r="L1392" s="2" t="s">
        <v>31</v>
      </c>
      <c r="M1392" s="4">
        <v>44968</v>
      </c>
      <c r="N1392" s="2" t="s">
        <v>23</v>
      </c>
      <c r="O1392" s="2">
        <f t="shared" si="87"/>
        <v>0</v>
      </c>
      <c r="P1392" s="2" t="s">
        <v>23</v>
      </c>
      <c r="Q1392" s="2" t="s">
        <v>23</v>
      </c>
      <c r="R1392" s="2" t="s">
        <v>23</v>
      </c>
      <c r="S1392" s="2" t="s">
        <v>23</v>
      </c>
      <c r="T1392" s="2" t="s">
        <v>23</v>
      </c>
      <c r="U1392" s="25">
        <f t="shared" si="85"/>
        <v>23968.001391999998</v>
      </c>
    </row>
    <row r="1393" spans="1:21">
      <c r="A1393" s="2" t="s">
        <v>2170</v>
      </c>
      <c r="B1393" s="2" t="s">
        <v>62</v>
      </c>
      <c r="C1393" s="2" t="s">
        <v>35</v>
      </c>
      <c r="D1393" s="2">
        <v>42</v>
      </c>
      <c r="E1393" s="2" t="str">
        <f t="shared" si="86"/>
        <v>36-45</v>
      </c>
      <c r="F1393" s="2" t="s">
        <v>57</v>
      </c>
      <c r="G1393" s="2" t="s">
        <v>21</v>
      </c>
      <c r="H1393" s="2">
        <v>5</v>
      </c>
      <c r="I1393" s="2" t="str">
        <f t="shared" si="84"/>
        <v>0-6 months</v>
      </c>
      <c r="J1393" s="3">
        <v>849</v>
      </c>
      <c r="K1393" s="3">
        <v>4245</v>
      </c>
      <c r="L1393" s="2" t="s">
        <v>31</v>
      </c>
      <c r="M1393" s="4">
        <v>45757</v>
      </c>
      <c r="N1393" s="2" t="s">
        <v>23</v>
      </c>
      <c r="O1393" s="2">
        <f t="shared" si="87"/>
        <v>0</v>
      </c>
      <c r="P1393" s="2" t="s">
        <v>23</v>
      </c>
      <c r="Q1393" s="2" t="s">
        <v>23</v>
      </c>
      <c r="R1393" s="2" t="s">
        <v>23</v>
      </c>
      <c r="S1393" s="2" t="s">
        <v>23</v>
      </c>
      <c r="T1393" s="2" t="s">
        <v>23</v>
      </c>
      <c r="U1393" s="25">
        <f t="shared" si="85"/>
        <v>4245.0013929999996</v>
      </c>
    </row>
    <row r="1394" spans="1:21">
      <c r="A1394" s="2" t="s">
        <v>2171</v>
      </c>
      <c r="B1394" s="2" t="s">
        <v>2172</v>
      </c>
      <c r="C1394" s="2" t="s">
        <v>35</v>
      </c>
      <c r="D1394" s="2">
        <v>31</v>
      </c>
      <c r="E1394" s="2" t="str">
        <f t="shared" si="86"/>
        <v>26-35</v>
      </c>
      <c r="F1394" s="2" t="s">
        <v>20</v>
      </c>
      <c r="G1394" s="2" t="s">
        <v>21</v>
      </c>
      <c r="H1394" s="2">
        <v>8</v>
      </c>
      <c r="I1394" s="2" t="str">
        <f t="shared" si="84"/>
        <v>7-12 months</v>
      </c>
      <c r="J1394" s="3">
        <v>1049</v>
      </c>
      <c r="K1394" s="3">
        <v>8392</v>
      </c>
      <c r="L1394" s="2" t="s">
        <v>22</v>
      </c>
      <c r="M1394" s="4">
        <v>45660</v>
      </c>
      <c r="N1394" s="2" t="s">
        <v>32</v>
      </c>
      <c r="O1394" s="2">
        <f t="shared" si="87"/>
        <v>1</v>
      </c>
      <c r="P1394" s="2" t="s">
        <v>23</v>
      </c>
      <c r="Q1394" s="2" t="s">
        <v>23</v>
      </c>
      <c r="R1394" s="2" t="s">
        <v>23</v>
      </c>
      <c r="S1394" s="2" t="s">
        <v>23</v>
      </c>
      <c r="T1394" s="2" t="s">
        <v>23</v>
      </c>
      <c r="U1394" s="25">
        <f t="shared" si="85"/>
        <v>8392.0013940000008</v>
      </c>
    </row>
    <row r="1395" spans="1:21">
      <c r="A1395" s="2" t="s">
        <v>2173</v>
      </c>
      <c r="B1395" s="2" t="s">
        <v>2174</v>
      </c>
      <c r="C1395" s="2" t="s">
        <v>35</v>
      </c>
      <c r="D1395" s="2">
        <v>54</v>
      </c>
      <c r="E1395" s="2" t="str">
        <f t="shared" si="86"/>
        <v>46-60</v>
      </c>
      <c r="F1395" s="2" t="s">
        <v>20</v>
      </c>
      <c r="G1395" s="2" t="s">
        <v>27</v>
      </c>
      <c r="H1395" s="2">
        <v>2</v>
      </c>
      <c r="I1395" s="2" t="str">
        <f t="shared" si="84"/>
        <v>0-6 months</v>
      </c>
      <c r="J1395" s="3">
        <v>749</v>
      </c>
      <c r="K1395" s="3">
        <v>1498</v>
      </c>
      <c r="L1395" s="2" t="s">
        <v>31</v>
      </c>
      <c r="M1395" s="4">
        <v>45868</v>
      </c>
      <c r="N1395" s="2" t="s">
        <v>23</v>
      </c>
      <c r="O1395" s="2">
        <f t="shared" si="87"/>
        <v>0</v>
      </c>
      <c r="P1395" s="2" t="s">
        <v>23</v>
      </c>
      <c r="Q1395" s="2" t="s">
        <v>32</v>
      </c>
      <c r="R1395" s="2" t="s">
        <v>23</v>
      </c>
      <c r="S1395" s="2" t="s">
        <v>23</v>
      </c>
      <c r="T1395" s="2" t="s">
        <v>23</v>
      </c>
      <c r="U1395" s="25">
        <f t="shared" si="85"/>
        <v>1498.001395</v>
      </c>
    </row>
    <row r="1396" spans="1:21">
      <c r="A1396" s="2" t="s">
        <v>2175</v>
      </c>
      <c r="B1396" s="2" t="s">
        <v>260</v>
      </c>
      <c r="C1396" s="2" t="s">
        <v>35</v>
      </c>
      <c r="D1396" s="2">
        <v>46</v>
      </c>
      <c r="E1396" s="2" t="str">
        <f t="shared" si="86"/>
        <v>46-60</v>
      </c>
      <c r="F1396" s="2" t="s">
        <v>105</v>
      </c>
      <c r="G1396" s="2" t="s">
        <v>21</v>
      </c>
      <c r="H1396" s="2">
        <v>8</v>
      </c>
      <c r="I1396" s="2" t="str">
        <f t="shared" si="84"/>
        <v>7-12 months</v>
      </c>
      <c r="J1396" s="3">
        <v>699</v>
      </c>
      <c r="K1396" s="3">
        <v>5592</v>
      </c>
      <c r="L1396" s="2" t="s">
        <v>31</v>
      </c>
      <c r="M1396" s="4">
        <v>45683</v>
      </c>
      <c r="N1396" s="2" t="s">
        <v>23</v>
      </c>
      <c r="O1396" s="2">
        <f t="shared" si="87"/>
        <v>0</v>
      </c>
      <c r="P1396" s="2" t="s">
        <v>23</v>
      </c>
      <c r="Q1396" s="2" t="s">
        <v>23</v>
      </c>
      <c r="R1396" s="2" t="s">
        <v>23</v>
      </c>
      <c r="S1396" s="2" t="s">
        <v>23</v>
      </c>
      <c r="T1396" s="2" t="s">
        <v>23</v>
      </c>
      <c r="U1396" s="25">
        <f t="shared" si="85"/>
        <v>5592.0013959999997</v>
      </c>
    </row>
    <row r="1397" spans="1:21">
      <c r="A1397" s="2" t="s">
        <v>2176</v>
      </c>
      <c r="B1397" s="2" t="s">
        <v>1618</v>
      </c>
      <c r="C1397" s="2" t="s">
        <v>19</v>
      </c>
      <c r="D1397" s="2">
        <v>51</v>
      </c>
      <c r="E1397" s="2" t="str">
        <f t="shared" si="86"/>
        <v>46-60</v>
      </c>
      <c r="F1397" s="2" t="s">
        <v>91</v>
      </c>
      <c r="G1397" s="2" t="s">
        <v>21</v>
      </c>
      <c r="H1397" s="2">
        <v>2</v>
      </c>
      <c r="I1397" s="2" t="str">
        <f t="shared" si="84"/>
        <v>0-6 months</v>
      </c>
      <c r="J1397" s="3">
        <v>749</v>
      </c>
      <c r="K1397" s="3">
        <v>1498</v>
      </c>
      <c r="L1397" s="2" t="s">
        <v>31</v>
      </c>
      <c r="M1397" s="4">
        <v>45866</v>
      </c>
      <c r="N1397" s="2" t="s">
        <v>23</v>
      </c>
      <c r="O1397" s="2">
        <f t="shared" si="87"/>
        <v>0</v>
      </c>
      <c r="P1397" s="2" t="s">
        <v>23</v>
      </c>
      <c r="Q1397" s="2" t="s">
        <v>23</v>
      </c>
      <c r="R1397" s="2" t="s">
        <v>23</v>
      </c>
      <c r="S1397" s="2" t="s">
        <v>23</v>
      </c>
      <c r="T1397" s="2" t="s">
        <v>23</v>
      </c>
      <c r="U1397" s="25">
        <f t="shared" si="85"/>
        <v>1498.001397</v>
      </c>
    </row>
    <row r="1398" spans="1:21">
      <c r="A1398" s="2" t="s">
        <v>2177</v>
      </c>
      <c r="B1398" s="2" t="s">
        <v>701</v>
      </c>
      <c r="C1398" s="2" t="s">
        <v>19</v>
      </c>
      <c r="D1398" s="2">
        <v>62</v>
      </c>
      <c r="E1398" s="2" t="str">
        <f t="shared" si="86"/>
        <v>60+</v>
      </c>
      <c r="F1398" s="2" t="s">
        <v>26</v>
      </c>
      <c r="G1398" s="2" t="s">
        <v>21</v>
      </c>
      <c r="H1398" s="2">
        <v>9</v>
      </c>
      <c r="I1398" s="2" t="str">
        <f t="shared" si="84"/>
        <v>7-12 months</v>
      </c>
      <c r="J1398" s="3">
        <v>749</v>
      </c>
      <c r="K1398" s="3">
        <v>6741</v>
      </c>
      <c r="L1398" s="2" t="s">
        <v>31</v>
      </c>
      <c r="M1398" s="4">
        <v>45645</v>
      </c>
      <c r="N1398" s="2" t="s">
        <v>32</v>
      </c>
      <c r="O1398" s="2">
        <f t="shared" si="87"/>
        <v>1</v>
      </c>
      <c r="P1398" s="2" t="s">
        <v>23</v>
      </c>
      <c r="Q1398" s="2" t="s">
        <v>23</v>
      </c>
      <c r="R1398" s="2" t="s">
        <v>23</v>
      </c>
      <c r="S1398" s="2" t="s">
        <v>32</v>
      </c>
      <c r="T1398" s="2" t="s">
        <v>23</v>
      </c>
      <c r="U1398" s="25">
        <f t="shared" si="85"/>
        <v>6741.0013980000003</v>
      </c>
    </row>
    <row r="1399" spans="1:21">
      <c r="A1399" s="2" t="s">
        <v>2178</v>
      </c>
      <c r="B1399" s="2" t="s">
        <v>2179</v>
      </c>
      <c r="C1399" s="2" t="s">
        <v>35</v>
      </c>
      <c r="D1399" s="2">
        <v>44</v>
      </c>
      <c r="E1399" s="2" t="str">
        <f t="shared" si="86"/>
        <v>36-45</v>
      </c>
      <c r="F1399" s="2" t="s">
        <v>46</v>
      </c>
      <c r="G1399" s="2" t="s">
        <v>21</v>
      </c>
      <c r="H1399" s="2">
        <v>3</v>
      </c>
      <c r="I1399" s="2" t="str">
        <f t="shared" si="84"/>
        <v>0-6 months</v>
      </c>
      <c r="J1399" s="3">
        <v>799</v>
      </c>
      <c r="K1399" s="3">
        <v>2397</v>
      </c>
      <c r="L1399" s="2" t="s">
        <v>31</v>
      </c>
      <c r="M1399" s="4">
        <v>45813</v>
      </c>
      <c r="N1399" s="2" t="s">
        <v>23</v>
      </c>
      <c r="O1399" s="2">
        <f t="shared" si="87"/>
        <v>0</v>
      </c>
      <c r="P1399" s="2" t="s">
        <v>23</v>
      </c>
      <c r="Q1399" s="2" t="s">
        <v>23</v>
      </c>
      <c r="R1399" s="2" t="s">
        <v>23</v>
      </c>
      <c r="S1399" s="2" t="s">
        <v>23</v>
      </c>
      <c r="T1399" s="2" t="s">
        <v>23</v>
      </c>
      <c r="U1399" s="25">
        <f t="shared" si="85"/>
        <v>2397.0013990000002</v>
      </c>
    </row>
    <row r="1400" spans="1:21">
      <c r="A1400" s="2" t="s">
        <v>2180</v>
      </c>
      <c r="B1400" s="2" t="s">
        <v>2073</v>
      </c>
      <c r="C1400" s="2" t="s">
        <v>19</v>
      </c>
      <c r="D1400" s="2">
        <v>48</v>
      </c>
      <c r="E1400" s="2" t="str">
        <f t="shared" si="86"/>
        <v>46-60</v>
      </c>
      <c r="F1400" s="2" t="s">
        <v>105</v>
      </c>
      <c r="G1400" s="2" t="s">
        <v>47</v>
      </c>
      <c r="H1400" s="2">
        <v>26</v>
      </c>
      <c r="I1400" s="2" t="str">
        <f t="shared" si="84"/>
        <v>25-48 months</v>
      </c>
      <c r="J1400" s="3">
        <v>799</v>
      </c>
      <c r="K1400" s="3">
        <v>20774</v>
      </c>
      <c r="L1400" s="2" t="s">
        <v>31</v>
      </c>
      <c r="M1400" s="4">
        <v>45145</v>
      </c>
      <c r="N1400" s="2" t="s">
        <v>32</v>
      </c>
      <c r="O1400" s="2">
        <f t="shared" si="87"/>
        <v>1</v>
      </c>
      <c r="P1400" s="2" t="s">
        <v>23</v>
      </c>
      <c r="Q1400" s="2" t="s">
        <v>23</v>
      </c>
      <c r="R1400" s="2" t="s">
        <v>23</v>
      </c>
      <c r="S1400" s="2" t="s">
        <v>32</v>
      </c>
      <c r="T1400" s="2" t="s">
        <v>23</v>
      </c>
      <c r="U1400" s="25">
        <f t="shared" si="85"/>
        <v>20774.001400000001</v>
      </c>
    </row>
    <row r="1401" spans="1:21">
      <c r="A1401" s="2" t="s">
        <v>2181</v>
      </c>
      <c r="B1401" s="2" t="s">
        <v>2045</v>
      </c>
      <c r="C1401" s="2" t="s">
        <v>35</v>
      </c>
      <c r="D1401" s="2">
        <v>25</v>
      </c>
      <c r="E1401" s="2" t="str">
        <f t="shared" si="86"/>
        <v>18-25</v>
      </c>
      <c r="F1401" s="2" t="s">
        <v>110</v>
      </c>
      <c r="G1401" s="2" t="s">
        <v>21</v>
      </c>
      <c r="H1401" s="2">
        <v>24</v>
      </c>
      <c r="I1401" s="2" t="str">
        <f t="shared" si="84"/>
        <v>13-24 months</v>
      </c>
      <c r="J1401" s="3">
        <v>999</v>
      </c>
      <c r="K1401" s="3">
        <v>23976</v>
      </c>
      <c r="L1401" s="2" t="s">
        <v>22</v>
      </c>
      <c r="M1401" s="4">
        <v>45201</v>
      </c>
      <c r="N1401" s="2" t="s">
        <v>23</v>
      </c>
      <c r="O1401" s="2">
        <f t="shared" si="87"/>
        <v>0</v>
      </c>
      <c r="P1401" s="2" t="s">
        <v>23</v>
      </c>
      <c r="Q1401" s="2" t="s">
        <v>23</v>
      </c>
      <c r="R1401" s="2" t="s">
        <v>23</v>
      </c>
      <c r="S1401" s="2" t="s">
        <v>23</v>
      </c>
      <c r="T1401" s="2" t="s">
        <v>23</v>
      </c>
      <c r="U1401" s="25">
        <f t="shared" si="85"/>
        <v>23976.001401000001</v>
      </c>
    </row>
    <row r="1402" spans="1:21">
      <c r="A1402" s="2" t="s">
        <v>2182</v>
      </c>
      <c r="B1402" s="2" t="s">
        <v>283</v>
      </c>
      <c r="C1402" s="2" t="s">
        <v>19</v>
      </c>
      <c r="D1402" s="2">
        <v>67</v>
      </c>
      <c r="E1402" s="2" t="str">
        <f t="shared" si="86"/>
        <v>60+</v>
      </c>
      <c r="F1402" s="2" t="s">
        <v>46</v>
      </c>
      <c r="G1402" s="2" t="s">
        <v>21</v>
      </c>
      <c r="H1402" s="2">
        <v>17</v>
      </c>
      <c r="I1402" s="2" t="str">
        <f t="shared" si="84"/>
        <v>13-24 months</v>
      </c>
      <c r="J1402" s="3">
        <v>599</v>
      </c>
      <c r="K1402" s="3">
        <v>10183</v>
      </c>
      <c r="L1402" s="2" t="s">
        <v>31</v>
      </c>
      <c r="M1402" s="4">
        <v>45403</v>
      </c>
      <c r="N1402" s="2" t="s">
        <v>32</v>
      </c>
      <c r="O1402" s="2">
        <f t="shared" si="87"/>
        <v>1</v>
      </c>
      <c r="P1402" s="2" t="s">
        <v>23</v>
      </c>
      <c r="Q1402" s="2" t="s">
        <v>23</v>
      </c>
      <c r="R1402" s="2" t="s">
        <v>23</v>
      </c>
      <c r="S1402" s="2" t="s">
        <v>23</v>
      </c>
      <c r="T1402" s="2" t="s">
        <v>23</v>
      </c>
      <c r="U1402" s="25">
        <f t="shared" si="85"/>
        <v>10183.001402</v>
      </c>
    </row>
    <row r="1403" spans="1:21">
      <c r="A1403" s="2" t="s">
        <v>2183</v>
      </c>
      <c r="B1403" s="2" t="s">
        <v>37</v>
      </c>
      <c r="C1403" s="2" t="s">
        <v>19</v>
      </c>
      <c r="D1403" s="2">
        <v>73</v>
      </c>
      <c r="E1403" s="2" t="str">
        <f t="shared" si="86"/>
        <v>60+</v>
      </c>
      <c r="F1403" s="2" t="s">
        <v>91</v>
      </c>
      <c r="G1403" s="2" t="s">
        <v>47</v>
      </c>
      <c r="H1403" s="2">
        <v>36</v>
      </c>
      <c r="I1403" s="2" t="str">
        <f t="shared" si="84"/>
        <v>25-48 months</v>
      </c>
      <c r="J1403" s="3">
        <v>999</v>
      </c>
      <c r="K1403" s="3">
        <v>35964</v>
      </c>
      <c r="L1403" s="2" t="s">
        <v>22</v>
      </c>
      <c r="M1403" s="4">
        <v>44845</v>
      </c>
      <c r="N1403" s="2" t="s">
        <v>37</v>
      </c>
      <c r="O1403" s="2" t="str">
        <f t="shared" si="87"/>
        <v/>
      </c>
      <c r="P1403" s="2" t="s">
        <v>23</v>
      </c>
      <c r="Q1403" s="2" t="s">
        <v>23</v>
      </c>
      <c r="R1403" s="2" t="s">
        <v>23</v>
      </c>
      <c r="S1403" s="2" t="s">
        <v>23</v>
      </c>
      <c r="T1403" s="2" t="s">
        <v>38</v>
      </c>
      <c r="U1403" s="25">
        <f t="shared" si="85"/>
        <v>35964.001403000002</v>
      </c>
    </row>
    <row r="1404" spans="1:21">
      <c r="A1404" s="2" t="s">
        <v>2184</v>
      </c>
      <c r="B1404" s="2" t="s">
        <v>289</v>
      </c>
      <c r="C1404" s="2" t="s">
        <v>19</v>
      </c>
      <c r="D1404" s="2">
        <v>56</v>
      </c>
      <c r="E1404" s="2" t="str">
        <f t="shared" si="86"/>
        <v>46-60</v>
      </c>
      <c r="F1404" s="2" t="s">
        <v>110</v>
      </c>
      <c r="G1404" s="2" t="s">
        <v>21</v>
      </c>
      <c r="H1404" s="2">
        <v>5</v>
      </c>
      <c r="I1404" s="2" t="str">
        <f t="shared" si="84"/>
        <v>0-6 months</v>
      </c>
      <c r="J1404" s="3">
        <v>499</v>
      </c>
      <c r="K1404" s="3">
        <v>2495</v>
      </c>
      <c r="L1404" s="2" t="s">
        <v>66</v>
      </c>
      <c r="M1404" s="4">
        <v>45763</v>
      </c>
      <c r="N1404" s="2" t="s">
        <v>32</v>
      </c>
      <c r="O1404" s="2">
        <f t="shared" si="87"/>
        <v>1</v>
      </c>
      <c r="P1404" s="2" t="s">
        <v>23</v>
      </c>
      <c r="Q1404" s="2" t="s">
        <v>23</v>
      </c>
      <c r="R1404" s="2" t="s">
        <v>32</v>
      </c>
      <c r="S1404" s="2" t="s">
        <v>23</v>
      </c>
      <c r="T1404" s="2" t="s">
        <v>23</v>
      </c>
      <c r="U1404" s="25">
        <f t="shared" si="85"/>
        <v>2495.0014040000001</v>
      </c>
    </row>
    <row r="1405" spans="1:21">
      <c r="A1405" s="2" t="s">
        <v>2185</v>
      </c>
      <c r="B1405" s="2" t="s">
        <v>963</v>
      </c>
      <c r="C1405" s="2" t="s">
        <v>35</v>
      </c>
      <c r="D1405" s="2">
        <v>64</v>
      </c>
      <c r="E1405" s="2" t="str">
        <f t="shared" si="86"/>
        <v>60+</v>
      </c>
      <c r="F1405" s="2" t="s">
        <v>105</v>
      </c>
      <c r="G1405" s="2" t="s">
        <v>47</v>
      </c>
      <c r="H1405" s="2">
        <v>67</v>
      </c>
      <c r="I1405" s="2" t="str">
        <f t="shared" si="84"/>
        <v>49+ months</v>
      </c>
      <c r="J1405" s="3">
        <v>1299</v>
      </c>
      <c r="K1405" s="3">
        <v>87033</v>
      </c>
      <c r="L1405" s="2" t="s">
        <v>22</v>
      </c>
      <c r="M1405" s="4">
        <v>43892</v>
      </c>
      <c r="N1405" s="2" t="s">
        <v>23</v>
      </c>
      <c r="O1405" s="2">
        <f t="shared" si="87"/>
        <v>0</v>
      </c>
      <c r="P1405" s="2" t="s">
        <v>23</v>
      </c>
      <c r="Q1405" s="2" t="s">
        <v>23</v>
      </c>
      <c r="R1405" s="2" t="s">
        <v>23</v>
      </c>
      <c r="S1405" s="2" t="s">
        <v>32</v>
      </c>
      <c r="T1405" s="2" t="s">
        <v>23</v>
      </c>
      <c r="U1405" s="25">
        <f t="shared" si="85"/>
        <v>87033.001405000003</v>
      </c>
    </row>
    <row r="1406" spans="1:21">
      <c r="A1406" s="2" t="s">
        <v>2186</v>
      </c>
      <c r="B1406" s="2" t="s">
        <v>188</v>
      </c>
      <c r="C1406" s="2" t="s">
        <v>35</v>
      </c>
      <c r="D1406" s="2">
        <v>44</v>
      </c>
      <c r="E1406" s="2" t="str">
        <f t="shared" si="86"/>
        <v>36-45</v>
      </c>
      <c r="F1406" s="2" t="s">
        <v>63</v>
      </c>
      <c r="G1406" s="2" t="s">
        <v>21</v>
      </c>
      <c r="H1406" s="2">
        <v>2</v>
      </c>
      <c r="I1406" s="2" t="str">
        <f t="shared" si="84"/>
        <v>0-6 months</v>
      </c>
      <c r="J1406" s="3">
        <v>899</v>
      </c>
      <c r="K1406" s="3">
        <v>1798</v>
      </c>
      <c r="L1406" s="2" t="s">
        <v>22</v>
      </c>
      <c r="M1406" s="4">
        <v>45842</v>
      </c>
      <c r="N1406" s="2" t="s">
        <v>23</v>
      </c>
      <c r="O1406" s="2">
        <f t="shared" si="87"/>
        <v>0</v>
      </c>
      <c r="P1406" s="2" t="s">
        <v>23</v>
      </c>
      <c r="Q1406" s="2" t="s">
        <v>23</v>
      </c>
      <c r="R1406" s="2" t="s">
        <v>23</v>
      </c>
      <c r="S1406" s="2" t="s">
        <v>23</v>
      </c>
      <c r="T1406" s="2" t="s">
        <v>23</v>
      </c>
      <c r="U1406" s="25">
        <f t="shared" si="85"/>
        <v>1798.0014060000001</v>
      </c>
    </row>
    <row r="1407" spans="1:21">
      <c r="A1407" s="2" t="s">
        <v>2187</v>
      </c>
      <c r="B1407" s="2" t="s">
        <v>1277</v>
      </c>
      <c r="C1407" s="2" t="s">
        <v>35</v>
      </c>
      <c r="D1407" s="2">
        <v>75</v>
      </c>
      <c r="E1407" s="2" t="str">
        <f t="shared" si="86"/>
        <v>60+</v>
      </c>
      <c r="F1407" s="2" t="s">
        <v>105</v>
      </c>
      <c r="G1407" s="2" t="s">
        <v>21</v>
      </c>
      <c r="H1407" s="2">
        <v>1</v>
      </c>
      <c r="I1407" s="2" t="str">
        <f t="shared" si="84"/>
        <v>0-6 months</v>
      </c>
      <c r="J1407" s="3">
        <v>699</v>
      </c>
      <c r="K1407" s="3">
        <v>699</v>
      </c>
      <c r="L1407" s="2" t="s">
        <v>31</v>
      </c>
      <c r="M1407" s="4">
        <v>45892</v>
      </c>
      <c r="N1407" s="2" t="s">
        <v>23</v>
      </c>
      <c r="O1407" s="2">
        <f t="shared" si="87"/>
        <v>0</v>
      </c>
      <c r="P1407" s="2" t="s">
        <v>23</v>
      </c>
      <c r="Q1407" s="2" t="s">
        <v>23</v>
      </c>
      <c r="R1407" s="2" t="s">
        <v>23</v>
      </c>
      <c r="S1407" s="2" t="s">
        <v>23</v>
      </c>
      <c r="T1407" s="2" t="s">
        <v>23</v>
      </c>
      <c r="U1407" s="25">
        <f t="shared" si="85"/>
        <v>699.00140699999997</v>
      </c>
    </row>
    <row r="1408" spans="1:21">
      <c r="A1408" s="2" t="s">
        <v>2188</v>
      </c>
      <c r="B1408" s="2" t="s">
        <v>291</v>
      </c>
      <c r="C1408" s="2" t="s">
        <v>35</v>
      </c>
      <c r="D1408" s="2">
        <v>47</v>
      </c>
      <c r="E1408" s="2" t="str">
        <f t="shared" si="86"/>
        <v>46-60</v>
      </c>
      <c r="F1408" s="2" t="s">
        <v>91</v>
      </c>
      <c r="G1408" s="2" t="s">
        <v>27</v>
      </c>
      <c r="H1408" s="2">
        <v>20</v>
      </c>
      <c r="I1408" s="2" t="str">
        <f t="shared" si="84"/>
        <v>13-24 months</v>
      </c>
      <c r="J1408" s="3">
        <v>999</v>
      </c>
      <c r="K1408" s="3">
        <v>19980</v>
      </c>
      <c r="L1408" s="2" t="s">
        <v>22</v>
      </c>
      <c r="M1408" s="4">
        <v>45321</v>
      </c>
      <c r="N1408" s="2" t="s">
        <v>32</v>
      </c>
      <c r="O1408" s="2">
        <f t="shared" si="87"/>
        <v>1</v>
      </c>
      <c r="P1408" s="2" t="s">
        <v>32</v>
      </c>
      <c r="Q1408" s="2" t="s">
        <v>23</v>
      </c>
      <c r="R1408" s="2" t="s">
        <v>23</v>
      </c>
      <c r="S1408" s="2" t="s">
        <v>23</v>
      </c>
      <c r="T1408" s="2" t="s">
        <v>23</v>
      </c>
      <c r="U1408" s="25">
        <f t="shared" si="85"/>
        <v>19980.001408</v>
      </c>
    </row>
    <row r="1409" spans="1:21">
      <c r="A1409" s="2" t="s">
        <v>2189</v>
      </c>
      <c r="B1409" s="2" t="s">
        <v>2190</v>
      </c>
      <c r="C1409" s="2" t="s">
        <v>35</v>
      </c>
      <c r="D1409" s="2">
        <v>43</v>
      </c>
      <c r="E1409" s="2" t="str">
        <f t="shared" si="86"/>
        <v>36-45</v>
      </c>
      <c r="F1409" s="2" t="s">
        <v>60</v>
      </c>
      <c r="G1409" s="2" t="s">
        <v>27</v>
      </c>
      <c r="H1409" s="2">
        <v>14</v>
      </c>
      <c r="I1409" s="2" t="str">
        <f t="shared" si="84"/>
        <v>13-24 months</v>
      </c>
      <c r="J1409" s="3">
        <v>999</v>
      </c>
      <c r="K1409" s="3">
        <v>13986</v>
      </c>
      <c r="L1409" s="2" t="s">
        <v>22</v>
      </c>
      <c r="M1409" s="4">
        <v>45501</v>
      </c>
      <c r="N1409" s="2" t="s">
        <v>23</v>
      </c>
      <c r="O1409" s="2">
        <f t="shared" si="87"/>
        <v>0</v>
      </c>
      <c r="P1409" s="2" t="s">
        <v>23</v>
      </c>
      <c r="Q1409" s="2" t="s">
        <v>23</v>
      </c>
      <c r="R1409" s="2" t="s">
        <v>23</v>
      </c>
      <c r="S1409" s="2" t="s">
        <v>23</v>
      </c>
      <c r="T1409" s="2" t="s">
        <v>23</v>
      </c>
      <c r="U1409" s="25">
        <f t="shared" si="85"/>
        <v>13986.001409</v>
      </c>
    </row>
    <row r="1410" spans="1:21">
      <c r="A1410" s="2" t="s">
        <v>2191</v>
      </c>
      <c r="B1410" s="2" t="s">
        <v>755</v>
      </c>
      <c r="C1410" s="2" t="s">
        <v>19</v>
      </c>
      <c r="D1410" s="2">
        <v>41</v>
      </c>
      <c r="E1410" s="2" t="str">
        <f t="shared" si="86"/>
        <v>36-45</v>
      </c>
      <c r="F1410" s="2" t="s">
        <v>36</v>
      </c>
      <c r="G1410" s="2" t="s">
        <v>21</v>
      </c>
      <c r="H1410" s="2">
        <v>21</v>
      </c>
      <c r="I1410" s="2" t="str">
        <f t="shared" ref="I1410:I1473" si="88">IF(H1410="","Unknown",IF(H1410&lt;=6,"0-6 months",IF(H1410&lt;=12,"7-12 months",IF(H1410&lt;=24,"13-24 months",IF(H1410&lt;=48,"25-48 months","49+ months")))))</f>
        <v>13-24 months</v>
      </c>
      <c r="J1410" s="3">
        <v>349</v>
      </c>
      <c r="K1410" s="3">
        <v>7329</v>
      </c>
      <c r="L1410" s="2" t="s">
        <v>66</v>
      </c>
      <c r="M1410" s="4">
        <v>45287</v>
      </c>
      <c r="N1410" s="2" t="s">
        <v>23</v>
      </c>
      <c r="O1410" s="2">
        <f t="shared" si="87"/>
        <v>0</v>
      </c>
      <c r="P1410" s="2" t="s">
        <v>23</v>
      </c>
      <c r="Q1410" s="2" t="s">
        <v>23</v>
      </c>
      <c r="R1410" s="2" t="s">
        <v>23</v>
      </c>
      <c r="S1410" s="2" t="s">
        <v>23</v>
      </c>
      <c r="T1410" s="2" t="s">
        <v>23</v>
      </c>
      <c r="U1410" s="25">
        <f t="shared" ref="U1410:U1473" si="89">IF(K1410="","",K1410+ROW()/1000000)</f>
        <v>7329.0014099999999</v>
      </c>
    </row>
    <row r="1411" spans="1:21">
      <c r="A1411" s="2" t="s">
        <v>2192</v>
      </c>
      <c r="B1411" s="2" t="s">
        <v>595</v>
      </c>
      <c r="C1411" s="2" t="s">
        <v>35</v>
      </c>
      <c r="D1411" s="2">
        <v>22</v>
      </c>
      <c r="E1411" s="2" t="str">
        <f t="shared" ref="E1411:E1474" si="90">IF(D1411&lt;=25,"18-25",IF(D1411&lt;=35,"26-35",IF(D1411&lt;=45,"36-45",IF(D1411&lt;=60,"46-60","60+"))))</f>
        <v>18-25</v>
      </c>
      <c r="F1411" s="2" t="s">
        <v>30</v>
      </c>
      <c r="G1411" s="2" t="s">
        <v>21</v>
      </c>
      <c r="H1411" s="2">
        <v>17</v>
      </c>
      <c r="I1411" s="2" t="str">
        <f t="shared" si="88"/>
        <v>13-24 months</v>
      </c>
      <c r="J1411" s="3">
        <v>649</v>
      </c>
      <c r="K1411" s="3">
        <v>11033</v>
      </c>
      <c r="L1411" s="2" t="s">
        <v>31</v>
      </c>
      <c r="M1411" s="4">
        <v>45396</v>
      </c>
      <c r="N1411" s="2" t="s">
        <v>32</v>
      </c>
      <c r="O1411" s="2">
        <f t="shared" ref="O1411:O1474" si="91">IF(N1411="Yes",1,IF(N1411="No",0,""))</f>
        <v>1</v>
      </c>
      <c r="P1411" s="2" t="s">
        <v>23</v>
      </c>
      <c r="Q1411" s="2" t="s">
        <v>23</v>
      </c>
      <c r="R1411" s="2" t="s">
        <v>23</v>
      </c>
      <c r="S1411" s="2" t="s">
        <v>23</v>
      </c>
      <c r="T1411" s="2" t="s">
        <v>23</v>
      </c>
      <c r="U1411" s="25">
        <f t="shared" si="89"/>
        <v>11033.001410999999</v>
      </c>
    </row>
    <row r="1412" spans="1:21">
      <c r="A1412" s="2" t="s">
        <v>2193</v>
      </c>
      <c r="B1412" s="2" t="s">
        <v>2194</v>
      </c>
      <c r="C1412" s="2" t="s">
        <v>35</v>
      </c>
      <c r="D1412" s="2">
        <v>50</v>
      </c>
      <c r="E1412" s="2" t="str">
        <f t="shared" si="90"/>
        <v>46-60</v>
      </c>
      <c r="F1412" s="2" t="s">
        <v>20</v>
      </c>
      <c r="G1412" s="2" t="s">
        <v>27</v>
      </c>
      <c r="H1412" s="2">
        <v>29</v>
      </c>
      <c r="I1412" s="2" t="str">
        <f t="shared" si="88"/>
        <v>25-48 months</v>
      </c>
      <c r="J1412" s="3">
        <v>1049</v>
      </c>
      <c r="K1412" s="3">
        <v>30421</v>
      </c>
      <c r="L1412" s="2" t="s">
        <v>22</v>
      </c>
      <c r="M1412" s="4">
        <v>45039</v>
      </c>
      <c r="N1412" s="2" t="s">
        <v>23</v>
      </c>
      <c r="O1412" s="2">
        <f t="shared" si="91"/>
        <v>0</v>
      </c>
      <c r="P1412" s="2" t="s">
        <v>23</v>
      </c>
      <c r="Q1412" s="2" t="s">
        <v>23</v>
      </c>
      <c r="R1412" s="2" t="s">
        <v>23</v>
      </c>
      <c r="S1412" s="2" t="s">
        <v>23</v>
      </c>
      <c r="T1412" s="2" t="s">
        <v>23</v>
      </c>
      <c r="U1412" s="25">
        <f t="shared" si="89"/>
        <v>30421.001412000001</v>
      </c>
    </row>
    <row r="1413" spans="1:21">
      <c r="A1413" s="2" t="s">
        <v>2195</v>
      </c>
      <c r="B1413" s="2" t="s">
        <v>2196</v>
      </c>
      <c r="C1413" s="2" t="s">
        <v>35</v>
      </c>
      <c r="D1413" s="2">
        <v>21</v>
      </c>
      <c r="E1413" s="2" t="str">
        <f t="shared" si="90"/>
        <v>18-25</v>
      </c>
      <c r="F1413" s="2" t="s">
        <v>110</v>
      </c>
      <c r="G1413" s="2" t="s">
        <v>21</v>
      </c>
      <c r="H1413" s="2">
        <v>15</v>
      </c>
      <c r="I1413" s="2" t="str">
        <f t="shared" si="88"/>
        <v>13-24 months</v>
      </c>
      <c r="J1413" s="3">
        <v>899</v>
      </c>
      <c r="K1413" s="3">
        <v>13485</v>
      </c>
      <c r="L1413" s="2" t="s">
        <v>31</v>
      </c>
      <c r="M1413" s="4">
        <v>45477</v>
      </c>
      <c r="N1413" s="2" t="s">
        <v>23</v>
      </c>
      <c r="O1413" s="2">
        <f t="shared" si="91"/>
        <v>0</v>
      </c>
      <c r="P1413" s="2" t="s">
        <v>23</v>
      </c>
      <c r="Q1413" s="2" t="s">
        <v>23</v>
      </c>
      <c r="R1413" s="2" t="s">
        <v>23</v>
      </c>
      <c r="S1413" s="2" t="s">
        <v>32</v>
      </c>
      <c r="T1413" s="2" t="s">
        <v>23</v>
      </c>
      <c r="U1413" s="25">
        <f t="shared" si="89"/>
        <v>13485.001413</v>
      </c>
    </row>
    <row r="1414" spans="1:21">
      <c r="A1414" s="2" t="s">
        <v>2197</v>
      </c>
      <c r="B1414" s="2" t="s">
        <v>279</v>
      </c>
      <c r="C1414" s="2" t="s">
        <v>19</v>
      </c>
      <c r="D1414" s="2">
        <v>39</v>
      </c>
      <c r="E1414" s="2" t="str">
        <f t="shared" si="90"/>
        <v>36-45</v>
      </c>
      <c r="F1414" s="2" t="s">
        <v>71</v>
      </c>
      <c r="G1414" s="2" t="s">
        <v>27</v>
      </c>
      <c r="H1414" s="2">
        <v>18</v>
      </c>
      <c r="I1414" s="2" t="str">
        <f t="shared" si="88"/>
        <v>13-24 months</v>
      </c>
      <c r="J1414" s="3">
        <v>999</v>
      </c>
      <c r="K1414" s="3">
        <v>17982</v>
      </c>
      <c r="L1414" s="2" t="s">
        <v>22</v>
      </c>
      <c r="M1414" s="4">
        <v>45376</v>
      </c>
      <c r="N1414" s="2" t="s">
        <v>32</v>
      </c>
      <c r="O1414" s="2">
        <f t="shared" si="91"/>
        <v>1</v>
      </c>
      <c r="P1414" s="2" t="s">
        <v>23</v>
      </c>
      <c r="Q1414" s="2" t="s">
        <v>23</v>
      </c>
      <c r="R1414" s="2" t="s">
        <v>23</v>
      </c>
      <c r="S1414" s="2" t="s">
        <v>23</v>
      </c>
      <c r="T1414" s="2" t="s">
        <v>23</v>
      </c>
      <c r="U1414" s="25">
        <f t="shared" si="89"/>
        <v>17982.001413999998</v>
      </c>
    </row>
    <row r="1415" spans="1:21">
      <c r="A1415" s="2" t="s">
        <v>2198</v>
      </c>
      <c r="B1415" s="2" t="s">
        <v>2199</v>
      </c>
      <c r="C1415" s="2" t="s">
        <v>37</v>
      </c>
      <c r="D1415" s="2">
        <v>20</v>
      </c>
      <c r="E1415" s="2" t="str">
        <f t="shared" si="90"/>
        <v>18-25</v>
      </c>
      <c r="F1415" s="2" t="s">
        <v>36</v>
      </c>
      <c r="G1415" s="2" t="s">
        <v>21</v>
      </c>
      <c r="H1415" s="2">
        <v>7</v>
      </c>
      <c r="I1415" s="2" t="str">
        <f t="shared" si="88"/>
        <v>7-12 months</v>
      </c>
      <c r="J1415" s="3">
        <v>399</v>
      </c>
      <c r="K1415" s="3">
        <v>2793</v>
      </c>
      <c r="L1415" s="2" t="s">
        <v>66</v>
      </c>
      <c r="M1415" s="4">
        <v>45692</v>
      </c>
      <c r="N1415" s="2" t="s">
        <v>32</v>
      </c>
      <c r="O1415" s="2">
        <f t="shared" si="91"/>
        <v>1</v>
      </c>
      <c r="P1415" s="2" t="s">
        <v>23</v>
      </c>
      <c r="Q1415" s="2" t="s">
        <v>23</v>
      </c>
      <c r="R1415" s="2" t="s">
        <v>23</v>
      </c>
      <c r="S1415" s="2" t="s">
        <v>23</v>
      </c>
      <c r="T1415" s="2" t="s">
        <v>23</v>
      </c>
      <c r="U1415" s="25">
        <f t="shared" si="89"/>
        <v>2793.0014150000002</v>
      </c>
    </row>
    <row r="1416" spans="1:21">
      <c r="A1416" s="2" t="s">
        <v>2200</v>
      </c>
      <c r="B1416" s="2" t="s">
        <v>792</v>
      </c>
      <c r="C1416" s="2" t="s">
        <v>19</v>
      </c>
      <c r="D1416" s="2">
        <v>54</v>
      </c>
      <c r="E1416" s="2" t="str">
        <f t="shared" si="90"/>
        <v>46-60</v>
      </c>
      <c r="F1416" s="2" t="s">
        <v>46</v>
      </c>
      <c r="G1416" s="2" t="s">
        <v>47</v>
      </c>
      <c r="H1416" s="2">
        <v>9</v>
      </c>
      <c r="I1416" s="2" t="str">
        <f t="shared" si="88"/>
        <v>7-12 months</v>
      </c>
      <c r="J1416" s="3">
        <v>649</v>
      </c>
      <c r="K1416" s="3">
        <v>5841</v>
      </c>
      <c r="L1416" s="2" t="s">
        <v>31</v>
      </c>
      <c r="M1416" s="4">
        <v>45643</v>
      </c>
      <c r="N1416" s="2" t="s">
        <v>23</v>
      </c>
      <c r="O1416" s="2">
        <f t="shared" si="91"/>
        <v>0</v>
      </c>
      <c r="P1416" s="2" t="s">
        <v>23</v>
      </c>
      <c r="Q1416" s="2" t="s">
        <v>23</v>
      </c>
      <c r="R1416" s="2" t="s">
        <v>23</v>
      </c>
      <c r="S1416" s="2" t="s">
        <v>23</v>
      </c>
      <c r="T1416" s="2" t="s">
        <v>23</v>
      </c>
      <c r="U1416" s="25">
        <f t="shared" si="89"/>
        <v>5841.0014160000001</v>
      </c>
    </row>
    <row r="1417" spans="1:21">
      <c r="A1417" s="2" t="s">
        <v>2201</v>
      </c>
      <c r="B1417" s="2" t="s">
        <v>703</v>
      </c>
      <c r="C1417" s="2" t="s">
        <v>19</v>
      </c>
      <c r="D1417" s="2">
        <v>28</v>
      </c>
      <c r="E1417" s="2" t="str">
        <f t="shared" si="90"/>
        <v>26-35</v>
      </c>
      <c r="F1417" s="2" t="s">
        <v>71</v>
      </c>
      <c r="G1417" s="2" t="s">
        <v>21</v>
      </c>
      <c r="H1417" s="2">
        <v>15</v>
      </c>
      <c r="I1417" s="2" t="str">
        <f t="shared" si="88"/>
        <v>13-24 months</v>
      </c>
      <c r="J1417" s="3">
        <v>899</v>
      </c>
      <c r="K1417" s="3">
        <v>13485</v>
      </c>
      <c r="L1417" s="2" t="s">
        <v>31</v>
      </c>
      <c r="M1417" s="4">
        <v>45467</v>
      </c>
      <c r="N1417" s="2" t="s">
        <v>23</v>
      </c>
      <c r="O1417" s="2">
        <f t="shared" si="91"/>
        <v>0</v>
      </c>
      <c r="P1417" s="2" t="s">
        <v>23</v>
      </c>
      <c r="Q1417" s="2" t="s">
        <v>23</v>
      </c>
      <c r="R1417" s="2" t="s">
        <v>32</v>
      </c>
      <c r="S1417" s="2" t="s">
        <v>23</v>
      </c>
      <c r="T1417" s="2" t="s">
        <v>23</v>
      </c>
      <c r="U1417" s="25">
        <f t="shared" si="89"/>
        <v>13485.001416999999</v>
      </c>
    </row>
    <row r="1418" spans="1:21">
      <c r="A1418" s="2" t="s">
        <v>2202</v>
      </c>
      <c r="B1418" s="2" t="s">
        <v>1224</v>
      </c>
      <c r="C1418" s="2" t="s">
        <v>35</v>
      </c>
      <c r="D1418" s="2">
        <v>53</v>
      </c>
      <c r="E1418" s="2" t="str">
        <f t="shared" si="90"/>
        <v>46-60</v>
      </c>
      <c r="F1418" s="2" t="s">
        <v>26</v>
      </c>
      <c r="G1418" s="2" t="s">
        <v>47</v>
      </c>
      <c r="H1418" s="2">
        <v>43</v>
      </c>
      <c r="I1418" s="2" t="str">
        <f t="shared" si="88"/>
        <v>25-48 months</v>
      </c>
      <c r="J1418" s="3">
        <v>449</v>
      </c>
      <c r="K1418" s="3">
        <v>19307</v>
      </c>
      <c r="L1418" s="2" t="s">
        <v>66</v>
      </c>
      <c r="M1418" s="4">
        <v>44617</v>
      </c>
      <c r="N1418" s="2" t="s">
        <v>23</v>
      </c>
      <c r="O1418" s="2">
        <f t="shared" si="91"/>
        <v>0</v>
      </c>
      <c r="P1418" s="2" t="s">
        <v>23</v>
      </c>
      <c r="Q1418" s="2" t="s">
        <v>23</v>
      </c>
      <c r="R1418" s="2" t="s">
        <v>23</v>
      </c>
      <c r="S1418" s="2" t="s">
        <v>23</v>
      </c>
      <c r="T1418" s="2" t="s">
        <v>23</v>
      </c>
      <c r="U1418" s="25">
        <f t="shared" si="89"/>
        <v>19307.001418</v>
      </c>
    </row>
    <row r="1419" spans="1:21">
      <c r="A1419" s="2" t="s">
        <v>2203</v>
      </c>
      <c r="B1419" s="2" t="s">
        <v>237</v>
      </c>
      <c r="C1419" s="2" t="s">
        <v>35</v>
      </c>
      <c r="D1419" s="2">
        <v>32</v>
      </c>
      <c r="E1419" s="2" t="str">
        <f t="shared" si="90"/>
        <v>26-35</v>
      </c>
      <c r="F1419" s="2" t="s">
        <v>57</v>
      </c>
      <c r="G1419" s="2" t="s">
        <v>21</v>
      </c>
      <c r="H1419" s="2">
        <v>11</v>
      </c>
      <c r="I1419" s="2" t="str">
        <f t="shared" si="88"/>
        <v>7-12 months</v>
      </c>
      <c r="J1419" s="3">
        <v>1049</v>
      </c>
      <c r="K1419" s="3">
        <v>11539</v>
      </c>
      <c r="L1419" s="2" t="s">
        <v>22</v>
      </c>
      <c r="M1419" s="4">
        <v>45586</v>
      </c>
      <c r="N1419" s="2" t="s">
        <v>23</v>
      </c>
      <c r="O1419" s="2">
        <f t="shared" si="91"/>
        <v>0</v>
      </c>
      <c r="P1419" s="2" t="s">
        <v>23</v>
      </c>
      <c r="Q1419" s="2" t="s">
        <v>23</v>
      </c>
      <c r="R1419" s="2" t="s">
        <v>23</v>
      </c>
      <c r="S1419" s="2" t="s">
        <v>23</v>
      </c>
      <c r="T1419" s="2" t="s">
        <v>23</v>
      </c>
      <c r="U1419" s="25">
        <f t="shared" si="89"/>
        <v>11539.001419</v>
      </c>
    </row>
    <row r="1420" spans="1:21">
      <c r="A1420" s="2" t="s">
        <v>2204</v>
      </c>
      <c r="B1420" s="2" t="s">
        <v>2205</v>
      </c>
      <c r="C1420" s="2" t="s">
        <v>19</v>
      </c>
      <c r="D1420" s="2">
        <v>69</v>
      </c>
      <c r="E1420" s="2" t="str">
        <f t="shared" si="90"/>
        <v>60+</v>
      </c>
      <c r="F1420" s="2" t="s">
        <v>37</v>
      </c>
      <c r="G1420" s="2" t="s">
        <v>21</v>
      </c>
      <c r="H1420" s="2">
        <v>18</v>
      </c>
      <c r="I1420" s="2" t="str">
        <f t="shared" si="88"/>
        <v>13-24 months</v>
      </c>
      <c r="J1420" s="3">
        <v>399</v>
      </c>
      <c r="K1420" s="3">
        <v>7182</v>
      </c>
      <c r="L1420" s="2" t="s">
        <v>66</v>
      </c>
      <c r="M1420" s="4">
        <v>45381</v>
      </c>
      <c r="N1420" s="2" t="s">
        <v>23</v>
      </c>
      <c r="O1420" s="2">
        <f t="shared" si="91"/>
        <v>0</v>
      </c>
      <c r="P1420" s="2" t="s">
        <v>23</v>
      </c>
      <c r="Q1420" s="2" t="s">
        <v>23</v>
      </c>
      <c r="R1420" s="2" t="s">
        <v>23</v>
      </c>
      <c r="S1420" s="2" t="s">
        <v>23</v>
      </c>
      <c r="T1420" s="2" t="s">
        <v>23</v>
      </c>
      <c r="U1420" s="25">
        <f t="shared" si="89"/>
        <v>7182.0014199999996</v>
      </c>
    </row>
    <row r="1421" spans="1:21">
      <c r="A1421" s="2" t="s">
        <v>2206</v>
      </c>
      <c r="B1421" s="2" t="s">
        <v>1258</v>
      </c>
      <c r="C1421" s="2" t="s">
        <v>35</v>
      </c>
      <c r="D1421" s="2">
        <v>62</v>
      </c>
      <c r="E1421" s="2" t="str">
        <f t="shared" si="90"/>
        <v>60+</v>
      </c>
      <c r="F1421" s="2" t="s">
        <v>26</v>
      </c>
      <c r="G1421" s="2" t="s">
        <v>21</v>
      </c>
      <c r="H1421" s="2">
        <v>13</v>
      </c>
      <c r="I1421" s="2" t="str">
        <f t="shared" si="88"/>
        <v>13-24 months</v>
      </c>
      <c r="J1421" s="3">
        <v>1149</v>
      </c>
      <c r="K1421" s="3">
        <v>14937</v>
      </c>
      <c r="L1421" s="2" t="s">
        <v>22</v>
      </c>
      <c r="M1421" s="4">
        <v>45531</v>
      </c>
      <c r="N1421" s="2" t="s">
        <v>32</v>
      </c>
      <c r="O1421" s="2">
        <f t="shared" si="91"/>
        <v>1</v>
      </c>
      <c r="P1421" s="2" t="s">
        <v>23</v>
      </c>
      <c r="Q1421" s="2" t="s">
        <v>23</v>
      </c>
      <c r="R1421" s="2" t="s">
        <v>23</v>
      </c>
      <c r="S1421" s="2" t="s">
        <v>23</v>
      </c>
      <c r="T1421" s="2" t="s">
        <v>23</v>
      </c>
      <c r="U1421" s="25">
        <f t="shared" si="89"/>
        <v>14937.001421000001</v>
      </c>
    </row>
    <row r="1422" spans="1:21">
      <c r="A1422" s="2" t="s">
        <v>2207</v>
      </c>
      <c r="B1422" s="2" t="s">
        <v>1962</v>
      </c>
      <c r="C1422" s="2" t="s">
        <v>19</v>
      </c>
      <c r="D1422" s="2">
        <v>60</v>
      </c>
      <c r="E1422" s="2" t="str">
        <f t="shared" si="90"/>
        <v>46-60</v>
      </c>
      <c r="F1422" s="2" t="s">
        <v>41</v>
      </c>
      <c r="G1422" s="2" t="s">
        <v>27</v>
      </c>
      <c r="H1422" s="2">
        <v>4</v>
      </c>
      <c r="I1422" s="2" t="str">
        <f t="shared" si="88"/>
        <v>0-6 months</v>
      </c>
      <c r="J1422" s="3">
        <v>499</v>
      </c>
      <c r="K1422" s="3">
        <v>1996</v>
      </c>
      <c r="L1422" s="2" t="s">
        <v>66</v>
      </c>
      <c r="M1422" s="4">
        <v>45793</v>
      </c>
      <c r="N1422" s="2" t="s">
        <v>32</v>
      </c>
      <c r="O1422" s="2">
        <f t="shared" si="91"/>
        <v>1</v>
      </c>
      <c r="P1422" s="2" t="s">
        <v>23</v>
      </c>
      <c r="Q1422" s="2" t="s">
        <v>23</v>
      </c>
      <c r="R1422" s="2" t="s">
        <v>23</v>
      </c>
      <c r="S1422" s="2" t="s">
        <v>23</v>
      </c>
      <c r="T1422" s="2" t="s">
        <v>23</v>
      </c>
      <c r="U1422" s="25">
        <f t="shared" si="89"/>
        <v>1996.001422</v>
      </c>
    </row>
    <row r="1423" spans="1:21">
      <c r="A1423" s="2" t="s">
        <v>2208</v>
      </c>
      <c r="B1423" s="2" t="s">
        <v>685</v>
      </c>
      <c r="C1423" s="2" t="s">
        <v>19</v>
      </c>
      <c r="D1423" s="2">
        <v>25</v>
      </c>
      <c r="E1423" s="2" t="str">
        <f t="shared" si="90"/>
        <v>18-25</v>
      </c>
      <c r="F1423" s="2" t="s">
        <v>46</v>
      </c>
      <c r="G1423" s="2" t="s">
        <v>21</v>
      </c>
      <c r="H1423" s="2">
        <v>16</v>
      </c>
      <c r="I1423" s="2" t="str">
        <f t="shared" si="88"/>
        <v>13-24 months</v>
      </c>
      <c r="J1423" s="3">
        <v>399</v>
      </c>
      <c r="K1423" s="3">
        <v>6384</v>
      </c>
      <c r="L1423" s="2" t="s">
        <v>66</v>
      </c>
      <c r="M1423" s="4">
        <v>45421</v>
      </c>
      <c r="N1423" s="2" t="s">
        <v>32</v>
      </c>
      <c r="O1423" s="2">
        <f t="shared" si="91"/>
        <v>1</v>
      </c>
      <c r="P1423" s="2" t="s">
        <v>23</v>
      </c>
      <c r="Q1423" s="2" t="s">
        <v>23</v>
      </c>
      <c r="R1423" s="2" t="s">
        <v>23</v>
      </c>
      <c r="S1423" s="2" t="s">
        <v>23</v>
      </c>
      <c r="T1423" s="2" t="s">
        <v>23</v>
      </c>
      <c r="U1423" s="25">
        <f t="shared" si="89"/>
        <v>6384.0014229999997</v>
      </c>
    </row>
    <row r="1424" spans="1:21">
      <c r="A1424" s="2" t="s">
        <v>2209</v>
      </c>
      <c r="B1424" s="2" t="s">
        <v>2210</v>
      </c>
      <c r="C1424" s="2" t="s">
        <v>19</v>
      </c>
      <c r="D1424" s="2">
        <v>57</v>
      </c>
      <c r="E1424" s="2" t="str">
        <f t="shared" si="90"/>
        <v>46-60</v>
      </c>
      <c r="F1424" s="2" t="s">
        <v>110</v>
      </c>
      <c r="G1424" s="2" t="s">
        <v>21</v>
      </c>
      <c r="H1424" s="2">
        <v>11</v>
      </c>
      <c r="I1424" s="2" t="str">
        <f t="shared" si="88"/>
        <v>7-12 months</v>
      </c>
      <c r="J1424" s="3">
        <v>799</v>
      </c>
      <c r="K1424" s="3">
        <v>8789</v>
      </c>
      <c r="L1424" s="2" t="s">
        <v>31</v>
      </c>
      <c r="M1424" s="4">
        <v>45596</v>
      </c>
      <c r="N1424" s="2" t="s">
        <v>32</v>
      </c>
      <c r="O1424" s="2">
        <f t="shared" si="91"/>
        <v>1</v>
      </c>
      <c r="P1424" s="2" t="s">
        <v>23</v>
      </c>
      <c r="Q1424" s="2" t="s">
        <v>23</v>
      </c>
      <c r="R1424" s="2" t="s">
        <v>23</v>
      </c>
      <c r="S1424" s="2" t="s">
        <v>23</v>
      </c>
      <c r="T1424" s="2" t="s">
        <v>23</v>
      </c>
      <c r="U1424" s="25">
        <f t="shared" si="89"/>
        <v>8789.001424</v>
      </c>
    </row>
    <row r="1425" spans="1:21">
      <c r="A1425" s="2" t="s">
        <v>2211</v>
      </c>
      <c r="B1425" s="2" t="s">
        <v>248</v>
      </c>
      <c r="C1425" s="2" t="s">
        <v>19</v>
      </c>
      <c r="D1425" s="2">
        <v>45</v>
      </c>
      <c r="E1425" s="2" t="str">
        <f t="shared" si="90"/>
        <v>36-45</v>
      </c>
      <c r="F1425" s="2" t="s">
        <v>60</v>
      </c>
      <c r="G1425" s="2" t="s">
        <v>47</v>
      </c>
      <c r="H1425" s="2">
        <v>20</v>
      </c>
      <c r="I1425" s="2" t="str">
        <f t="shared" si="88"/>
        <v>13-24 months</v>
      </c>
      <c r="J1425" s="3">
        <v>499</v>
      </c>
      <c r="K1425" s="3">
        <v>9980</v>
      </c>
      <c r="L1425" s="2" t="s">
        <v>66</v>
      </c>
      <c r="M1425" s="4">
        <v>45324</v>
      </c>
      <c r="N1425" s="2" t="s">
        <v>23</v>
      </c>
      <c r="O1425" s="2">
        <f t="shared" si="91"/>
        <v>0</v>
      </c>
      <c r="P1425" s="2" t="s">
        <v>23</v>
      </c>
      <c r="Q1425" s="2" t="s">
        <v>23</v>
      </c>
      <c r="R1425" s="2" t="s">
        <v>23</v>
      </c>
      <c r="S1425" s="2" t="s">
        <v>23</v>
      </c>
      <c r="T1425" s="2" t="s">
        <v>23</v>
      </c>
      <c r="U1425" s="25">
        <f t="shared" si="89"/>
        <v>9980.0014250000004</v>
      </c>
    </row>
    <row r="1426" spans="1:21">
      <c r="A1426" s="2" t="s">
        <v>2212</v>
      </c>
      <c r="B1426" s="2" t="s">
        <v>310</v>
      </c>
      <c r="C1426" s="2" t="s">
        <v>35</v>
      </c>
      <c r="D1426" s="2">
        <v>61</v>
      </c>
      <c r="E1426" s="2" t="str">
        <f t="shared" si="90"/>
        <v>60+</v>
      </c>
      <c r="F1426" s="2" t="s">
        <v>57</v>
      </c>
      <c r="G1426" s="2" t="s">
        <v>27</v>
      </c>
      <c r="H1426" s="2">
        <v>6</v>
      </c>
      <c r="I1426" s="2" t="str">
        <f t="shared" si="88"/>
        <v>0-6 months</v>
      </c>
      <c r="J1426" s="3">
        <v>999</v>
      </c>
      <c r="K1426" s="3">
        <v>5994</v>
      </c>
      <c r="L1426" s="2" t="s">
        <v>22</v>
      </c>
      <c r="M1426" s="4">
        <v>45747</v>
      </c>
      <c r="N1426" s="2" t="s">
        <v>23</v>
      </c>
      <c r="O1426" s="2">
        <f t="shared" si="91"/>
        <v>0</v>
      </c>
      <c r="P1426" s="2" t="s">
        <v>23</v>
      </c>
      <c r="Q1426" s="2" t="s">
        <v>23</v>
      </c>
      <c r="R1426" s="2" t="s">
        <v>23</v>
      </c>
      <c r="S1426" s="2" t="s">
        <v>23</v>
      </c>
      <c r="T1426" s="2" t="s">
        <v>23</v>
      </c>
      <c r="U1426" s="25">
        <f t="shared" si="89"/>
        <v>5994.0014259999998</v>
      </c>
    </row>
    <row r="1427" spans="1:21">
      <c r="A1427" s="2" t="s">
        <v>2213</v>
      </c>
      <c r="B1427" s="2" t="s">
        <v>2214</v>
      </c>
      <c r="C1427" s="2" t="s">
        <v>19</v>
      </c>
      <c r="D1427" s="2">
        <v>47</v>
      </c>
      <c r="E1427" s="2" t="str">
        <f t="shared" si="90"/>
        <v>46-60</v>
      </c>
      <c r="F1427" s="2" t="s">
        <v>57</v>
      </c>
      <c r="G1427" s="2" t="s">
        <v>47</v>
      </c>
      <c r="H1427" s="2">
        <v>51</v>
      </c>
      <c r="I1427" s="2" t="str">
        <f t="shared" si="88"/>
        <v>49+ months</v>
      </c>
      <c r="J1427" s="3">
        <v>1099</v>
      </c>
      <c r="K1427" s="3">
        <v>56049</v>
      </c>
      <c r="L1427" s="2" t="s">
        <v>37</v>
      </c>
      <c r="M1427" s="4">
        <v>44389</v>
      </c>
      <c r="N1427" s="2" t="s">
        <v>23</v>
      </c>
      <c r="O1427" s="2">
        <f t="shared" si="91"/>
        <v>0</v>
      </c>
      <c r="P1427" s="2" t="s">
        <v>32</v>
      </c>
      <c r="Q1427" s="2" t="s">
        <v>23</v>
      </c>
      <c r="R1427" s="2" t="s">
        <v>23</v>
      </c>
      <c r="S1427" s="2" t="s">
        <v>23</v>
      </c>
      <c r="T1427" s="2" t="s">
        <v>23</v>
      </c>
      <c r="U1427" s="25">
        <f t="shared" si="89"/>
        <v>56049.001427000003</v>
      </c>
    </row>
    <row r="1428" spans="1:21">
      <c r="A1428" s="2" t="s">
        <v>2215</v>
      </c>
      <c r="B1428" s="2" t="s">
        <v>2098</v>
      </c>
      <c r="C1428" s="2" t="s">
        <v>19</v>
      </c>
      <c r="D1428" s="2">
        <v>26</v>
      </c>
      <c r="E1428" s="2" t="str">
        <f t="shared" si="90"/>
        <v>26-35</v>
      </c>
      <c r="F1428" s="2" t="s">
        <v>41</v>
      </c>
      <c r="G1428" s="2" t="s">
        <v>21</v>
      </c>
      <c r="H1428" s="2">
        <v>6</v>
      </c>
      <c r="I1428" s="2" t="str">
        <f t="shared" si="88"/>
        <v>0-6 months</v>
      </c>
      <c r="J1428" s="3">
        <v>549</v>
      </c>
      <c r="K1428" s="3">
        <v>3294</v>
      </c>
      <c r="L1428" s="2" t="s">
        <v>66</v>
      </c>
      <c r="M1428" s="4">
        <v>45729</v>
      </c>
      <c r="N1428" s="2" t="s">
        <v>32</v>
      </c>
      <c r="O1428" s="2">
        <f t="shared" si="91"/>
        <v>1</v>
      </c>
      <c r="P1428" s="2" t="s">
        <v>23</v>
      </c>
      <c r="Q1428" s="2" t="s">
        <v>23</v>
      </c>
      <c r="R1428" s="2" t="s">
        <v>23</v>
      </c>
      <c r="S1428" s="2" t="s">
        <v>23</v>
      </c>
      <c r="T1428" s="2" t="s">
        <v>23</v>
      </c>
      <c r="U1428" s="25">
        <f t="shared" si="89"/>
        <v>3294.001428</v>
      </c>
    </row>
    <row r="1429" spans="1:21">
      <c r="A1429" s="2" t="s">
        <v>2216</v>
      </c>
      <c r="B1429" s="2" t="s">
        <v>524</v>
      </c>
      <c r="C1429" s="2" t="s">
        <v>19</v>
      </c>
      <c r="D1429" s="2">
        <v>47</v>
      </c>
      <c r="E1429" s="2" t="str">
        <f t="shared" si="90"/>
        <v>46-60</v>
      </c>
      <c r="F1429" s="2" t="s">
        <v>57</v>
      </c>
      <c r="G1429" s="2" t="s">
        <v>21</v>
      </c>
      <c r="H1429" s="2">
        <v>16</v>
      </c>
      <c r="I1429" s="2" t="str">
        <f t="shared" si="88"/>
        <v>13-24 months</v>
      </c>
      <c r="J1429" s="3">
        <v>899</v>
      </c>
      <c r="K1429" s="3">
        <v>14384</v>
      </c>
      <c r="L1429" s="2" t="s">
        <v>31</v>
      </c>
      <c r="M1429" s="4">
        <v>45439</v>
      </c>
      <c r="N1429" s="2" t="s">
        <v>23</v>
      </c>
      <c r="O1429" s="2">
        <f t="shared" si="91"/>
        <v>0</v>
      </c>
      <c r="P1429" s="2" t="s">
        <v>32</v>
      </c>
      <c r="Q1429" s="2" t="s">
        <v>23</v>
      </c>
      <c r="R1429" s="2" t="s">
        <v>23</v>
      </c>
      <c r="S1429" s="2" t="s">
        <v>23</v>
      </c>
      <c r="T1429" s="2" t="s">
        <v>23</v>
      </c>
      <c r="U1429" s="25">
        <f t="shared" si="89"/>
        <v>14384.001429</v>
      </c>
    </row>
    <row r="1430" spans="1:21">
      <c r="A1430" s="2" t="s">
        <v>2217</v>
      </c>
      <c r="B1430" s="2" t="s">
        <v>299</v>
      </c>
      <c r="C1430" s="2" t="s">
        <v>35</v>
      </c>
      <c r="D1430" s="2">
        <v>69</v>
      </c>
      <c r="E1430" s="2" t="str">
        <f t="shared" si="90"/>
        <v>60+</v>
      </c>
      <c r="F1430" s="2" t="s">
        <v>20</v>
      </c>
      <c r="G1430" s="2" t="s">
        <v>27</v>
      </c>
      <c r="H1430" s="2">
        <v>21</v>
      </c>
      <c r="I1430" s="2" t="str">
        <f t="shared" si="88"/>
        <v>13-24 months</v>
      </c>
      <c r="J1430" s="3">
        <v>499</v>
      </c>
      <c r="K1430" s="3">
        <v>10479</v>
      </c>
      <c r="L1430" s="2" t="s">
        <v>66</v>
      </c>
      <c r="M1430" s="4">
        <v>45294</v>
      </c>
      <c r="N1430" s="2" t="s">
        <v>32</v>
      </c>
      <c r="O1430" s="2">
        <f t="shared" si="91"/>
        <v>1</v>
      </c>
      <c r="P1430" s="2" t="s">
        <v>23</v>
      </c>
      <c r="Q1430" s="2" t="s">
        <v>23</v>
      </c>
      <c r="R1430" s="2" t="s">
        <v>23</v>
      </c>
      <c r="S1430" s="2" t="s">
        <v>23</v>
      </c>
      <c r="T1430" s="2" t="s">
        <v>23</v>
      </c>
      <c r="U1430" s="25">
        <f t="shared" si="89"/>
        <v>10479.00143</v>
      </c>
    </row>
    <row r="1431" spans="1:21">
      <c r="A1431" s="2" t="s">
        <v>2218</v>
      </c>
      <c r="B1431" s="2" t="s">
        <v>2219</v>
      </c>
      <c r="C1431" s="2" t="s">
        <v>19</v>
      </c>
      <c r="D1431" s="2">
        <v>55</v>
      </c>
      <c r="E1431" s="2" t="str">
        <f t="shared" si="90"/>
        <v>46-60</v>
      </c>
      <c r="F1431" s="2" t="s">
        <v>41</v>
      </c>
      <c r="G1431" s="2" t="s">
        <v>21</v>
      </c>
      <c r="H1431" s="2">
        <v>5</v>
      </c>
      <c r="I1431" s="2" t="str">
        <f t="shared" si="88"/>
        <v>0-6 months</v>
      </c>
      <c r="J1431" s="3">
        <v>349</v>
      </c>
      <c r="K1431" s="3">
        <v>1745</v>
      </c>
      <c r="L1431" s="2" t="s">
        <v>66</v>
      </c>
      <c r="M1431" s="4">
        <v>45768</v>
      </c>
      <c r="N1431" s="2" t="s">
        <v>32</v>
      </c>
      <c r="O1431" s="2">
        <f t="shared" si="91"/>
        <v>1</v>
      </c>
      <c r="P1431" s="2" t="s">
        <v>23</v>
      </c>
      <c r="Q1431" s="2" t="s">
        <v>23</v>
      </c>
      <c r="R1431" s="2" t="s">
        <v>23</v>
      </c>
      <c r="S1431" s="2" t="s">
        <v>23</v>
      </c>
      <c r="T1431" s="2" t="s">
        <v>23</v>
      </c>
      <c r="U1431" s="25">
        <f t="shared" si="89"/>
        <v>1745.0014309999999</v>
      </c>
    </row>
    <row r="1432" spans="1:21">
      <c r="A1432" s="2" t="s">
        <v>2220</v>
      </c>
      <c r="B1432" s="2" t="s">
        <v>2221</v>
      </c>
      <c r="C1432" s="2" t="s">
        <v>35</v>
      </c>
      <c r="D1432" s="2">
        <v>63</v>
      </c>
      <c r="E1432" s="2" t="str">
        <f t="shared" si="90"/>
        <v>60+</v>
      </c>
      <c r="F1432" s="2" t="s">
        <v>60</v>
      </c>
      <c r="G1432" s="2" t="s">
        <v>21</v>
      </c>
      <c r="H1432" s="2">
        <v>21</v>
      </c>
      <c r="I1432" s="2" t="str">
        <f t="shared" si="88"/>
        <v>13-24 months</v>
      </c>
      <c r="J1432" s="3">
        <v>849</v>
      </c>
      <c r="K1432" s="3">
        <v>17829</v>
      </c>
      <c r="L1432" s="2" t="s">
        <v>31</v>
      </c>
      <c r="M1432" s="4">
        <v>45289</v>
      </c>
      <c r="N1432" s="2" t="s">
        <v>23</v>
      </c>
      <c r="O1432" s="2">
        <f t="shared" si="91"/>
        <v>0</v>
      </c>
      <c r="P1432" s="2" t="s">
        <v>23</v>
      </c>
      <c r="Q1432" s="2" t="s">
        <v>23</v>
      </c>
      <c r="R1432" s="2" t="s">
        <v>23</v>
      </c>
      <c r="S1432" s="2" t="s">
        <v>23</v>
      </c>
      <c r="T1432" s="2" t="s">
        <v>23</v>
      </c>
      <c r="U1432" s="25">
        <f t="shared" si="89"/>
        <v>17829.001432000001</v>
      </c>
    </row>
    <row r="1433" spans="1:21">
      <c r="A1433" s="2" t="s">
        <v>2222</v>
      </c>
      <c r="B1433" s="2" t="s">
        <v>514</v>
      </c>
      <c r="C1433" s="2" t="s">
        <v>19</v>
      </c>
      <c r="D1433" s="2">
        <v>20</v>
      </c>
      <c r="E1433" s="2" t="str">
        <f t="shared" si="90"/>
        <v>18-25</v>
      </c>
      <c r="F1433" s="2" t="s">
        <v>30</v>
      </c>
      <c r="G1433" s="2" t="s">
        <v>21</v>
      </c>
      <c r="H1433" s="2">
        <v>3</v>
      </c>
      <c r="I1433" s="2" t="str">
        <f t="shared" si="88"/>
        <v>0-6 months</v>
      </c>
      <c r="J1433" s="3">
        <v>599</v>
      </c>
      <c r="K1433" s="3">
        <v>1797</v>
      </c>
      <c r="L1433" s="2" t="s">
        <v>31</v>
      </c>
      <c r="M1433" s="4">
        <v>45812</v>
      </c>
      <c r="N1433" s="2" t="s">
        <v>32</v>
      </c>
      <c r="O1433" s="2">
        <f t="shared" si="91"/>
        <v>1</v>
      </c>
      <c r="P1433" s="2" t="s">
        <v>23</v>
      </c>
      <c r="Q1433" s="2" t="s">
        <v>23</v>
      </c>
      <c r="R1433" s="2" t="s">
        <v>23</v>
      </c>
      <c r="S1433" s="2" t="s">
        <v>23</v>
      </c>
      <c r="T1433" s="2" t="s">
        <v>23</v>
      </c>
      <c r="U1433" s="25">
        <f t="shared" si="89"/>
        <v>1797.0014329999999</v>
      </c>
    </row>
    <row r="1434" spans="1:21">
      <c r="A1434" s="2" t="s">
        <v>2223</v>
      </c>
      <c r="B1434" s="2" t="s">
        <v>1631</v>
      </c>
      <c r="C1434" s="2" t="s">
        <v>35</v>
      </c>
      <c r="D1434" s="2">
        <v>43</v>
      </c>
      <c r="E1434" s="2" t="str">
        <f t="shared" si="90"/>
        <v>36-45</v>
      </c>
      <c r="F1434" s="2" t="s">
        <v>110</v>
      </c>
      <c r="G1434" s="2" t="s">
        <v>27</v>
      </c>
      <c r="H1434" s="2">
        <v>9</v>
      </c>
      <c r="I1434" s="2" t="str">
        <f t="shared" si="88"/>
        <v>7-12 months</v>
      </c>
      <c r="J1434" s="3">
        <v>899</v>
      </c>
      <c r="K1434" s="3">
        <v>8091</v>
      </c>
      <c r="L1434" s="2" t="s">
        <v>31</v>
      </c>
      <c r="M1434" s="4">
        <v>45629</v>
      </c>
      <c r="N1434" s="2" t="s">
        <v>23</v>
      </c>
      <c r="O1434" s="2">
        <f t="shared" si="91"/>
        <v>0</v>
      </c>
      <c r="P1434" s="2" t="s">
        <v>23</v>
      </c>
      <c r="Q1434" s="2" t="s">
        <v>23</v>
      </c>
      <c r="R1434" s="2" t="s">
        <v>23</v>
      </c>
      <c r="S1434" s="2" t="s">
        <v>23</v>
      </c>
      <c r="T1434" s="2" t="s">
        <v>23</v>
      </c>
      <c r="U1434" s="25">
        <f t="shared" si="89"/>
        <v>8091.0014339999998</v>
      </c>
    </row>
    <row r="1435" spans="1:21">
      <c r="A1435" s="2" t="s">
        <v>2224</v>
      </c>
      <c r="B1435" s="2" t="s">
        <v>37</v>
      </c>
      <c r="C1435" s="2" t="s">
        <v>19</v>
      </c>
      <c r="D1435" s="2">
        <v>34</v>
      </c>
      <c r="E1435" s="2" t="str">
        <f t="shared" si="90"/>
        <v>26-35</v>
      </c>
      <c r="F1435" s="2" t="s">
        <v>105</v>
      </c>
      <c r="G1435" s="2" t="s">
        <v>21</v>
      </c>
      <c r="H1435" s="2">
        <v>11</v>
      </c>
      <c r="I1435" s="2" t="str">
        <f t="shared" si="88"/>
        <v>7-12 months</v>
      </c>
      <c r="J1435" s="3">
        <v>399</v>
      </c>
      <c r="K1435" s="3">
        <v>4389</v>
      </c>
      <c r="L1435" s="2" t="s">
        <v>66</v>
      </c>
      <c r="M1435" s="4">
        <v>45579</v>
      </c>
      <c r="N1435" s="2" t="s">
        <v>32</v>
      </c>
      <c r="O1435" s="2">
        <f t="shared" si="91"/>
        <v>1</v>
      </c>
      <c r="P1435" s="2" t="s">
        <v>23</v>
      </c>
      <c r="Q1435" s="2" t="s">
        <v>23</v>
      </c>
      <c r="R1435" s="2" t="s">
        <v>23</v>
      </c>
      <c r="S1435" s="2" t="s">
        <v>23</v>
      </c>
      <c r="T1435" s="2" t="s">
        <v>23</v>
      </c>
      <c r="U1435" s="25">
        <f t="shared" si="89"/>
        <v>4389.0014350000001</v>
      </c>
    </row>
    <row r="1436" spans="1:21">
      <c r="A1436" s="2" t="s">
        <v>2225</v>
      </c>
      <c r="B1436" s="2" t="s">
        <v>2226</v>
      </c>
      <c r="C1436" s="2" t="s">
        <v>35</v>
      </c>
      <c r="D1436" s="2">
        <v>64</v>
      </c>
      <c r="E1436" s="2" t="str">
        <f t="shared" si="90"/>
        <v>60+</v>
      </c>
      <c r="F1436" s="2" t="s">
        <v>63</v>
      </c>
      <c r="G1436" s="2" t="s">
        <v>21</v>
      </c>
      <c r="H1436" s="2">
        <v>21</v>
      </c>
      <c r="I1436" s="2" t="str">
        <f t="shared" si="88"/>
        <v>13-24 months</v>
      </c>
      <c r="J1436" s="3">
        <v>1199</v>
      </c>
      <c r="K1436" s="3">
        <v>25179</v>
      </c>
      <c r="L1436" s="2" t="s">
        <v>22</v>
      </c>
      <c r="M1436" s="4">
        <v>45287</v>
      </c>
      <c r="N1436" s="2" t="s">
        <v>23</v>
      </c>
      <c r="O1436" s="2">
        <f t="shared" si="91"/>
        <v>0</v>
      </c>
      <c r="P1436" s="2" t="s">
        <v>23</v>
      </c>
      <c r="Q1436" s="2" t="s">
        <v>23</v>
      </c>
      <c r="R1436" s="2" t="s">
        <v>23</v>
      </c>
      <c r="S1436" s="2" t="s">
        <v>23</v>
      </c>
      <c r="T1436" s="2" t="s">
        <v>23</v>
      </c>
      <c r="U1436" s="25">
        <f t="shared" si="89"/>
        <v>25179.001435999999</v>
      </c>
    </row>
    <row r="1437" spans="1:21">
      <c r="A1437" s="2" t="s">
        <v>2227</v>
      </c>
      <c r="B1437" s="2" t="s">
        <v>2228</v>
      </c>
      <c r="C1437" s="2" t="s">
        <v>35</v>
      </c>
      <c r="D1437" s="2">
        <v>48</v>
      </c>
      <c r="E1437" s="2" t="str">
        <f t="shared" si="90"/>
        <v>46-60</v>
      </c>
      <c r="F1437" s="2" t="s">
        <v>110</v>
      </c>
      <c r="G1437" s="2" t="s">
        <v>47</v>
      </c>
      <c r="H1437" s="2">
        <v>28</v>
      </c>
      <c r="I1437" s="2" t="str">
        <f t="shared" si="88"/>
        <v>25-48 months</v>
      </c>
      <c r="J1437" s="3">
        <v>1049</v>
      </c>
      <c r="K1437" s="3">
        <v>29372</v>
      </c>
      <c r="L1437" s="2" t="s">
        <v>22</v>
      </c>
      <c r="M1437" s="4">
        <v>45076</v>
      </c>
      <c r="N1437" s="2" t="s">
        <v>23</v>
      </c>
      <c r="O1437" s="2">
        <f t="shared" si="91"/>
        <v>0</v>
      </c>
      <c r="P1437" s="2" t="s">
        <v>23</v>
      </c>
      <c r="Q1437" s="2" t="s">
        <v>23</v>
      </c>
      <c r="R1437" s="2" t="s">
        <v>23</v>
      </c>
      <c r="S1437" s="2" t="s">
        <v>32</v>
      </c>
      <c r="T1437" s="2" t="s">
        <v>23</v>
      </c>
      <c r="U1437" s="25">
        <f t="shared" si="89"/>
        <v>29372.001436999999</v>
      </c>
    </row>
    <row r="1438" spans="1:21">
      <c r="A1438" s="2" t="s">
        <v>2229</v>
      </c>
      <c r="B1438" s="2" t="s">
        <v>2230</v>
      </c>
      <c r="C1438" s="2" t="s">
        <v>19</v>
      </c>
      <c r="D1438" s="2">
        <v>69</v>
      </c>
      <c r="E1438" s="2" t="str">
        <f t="shared" si="90"/>
        <v>60+</v>
      </c>
      <c r="F1438" s="2" t="s">
        <v>36</v>
      </c>
      <c r="G1438" s="2" t="s">
        <v>21</v>
      </c>
      <c r="H1438" s="2">
        <v>18</v>
      </c>
      <c r="I1438" s="2" t="str">
        <f t="shared" si="88"/>
        <v>13-24 months</v>
      </c>
      <c r="J1438" s="3">
        <v>1149</v>
      </c>
      <c r="K1438" s="3">
        <v>20682</v>
      </c>
      <c r="L1438" s="2" t="s">
        <v>22</v>
      </c>
      <c r="M1438" s="4">
        <v>45378</v>
      </c>
      <c r="N1438" s="2" t="s">
        <v>32</v>
      </c>
      <c r="O1438" s="2">
        <f t="shared" si="91"/>
        <v>1</v>
      </c>
      <c r="P1438" s="2" t="s">
        <v>23</v>
      </c>
      <c r="Q1438" s="2" t="s">
        <v>23</v>
      </c>
      <c r="R1438" s="2" t="s">
        <v>23</v>
      </c>
      <c r="S1438" s="2" t="s">
        <v>23</v>
      </c>
      <c r="T1438" s="2" t="s">
        <v>23</v>
      </c>
      <c r="U1438" s="25">
        <f t="shared" si="89"/>
        <v>20682.001437999999</v>
      </c>
    </row>
    <row r="1439" spans="1:21">
      <c r="A1439" s="2" t="s">
        <v>2231</v>
      </c>
      <c r="B1439" s="2" t="s">
        <v>387</v>
      </c>
      <c r="C1439" s="2" t="s">
        <v>19</v>
      </c>
      <c r="D1439" s="2">
        <v>58</v>
      </c>
      <c r="E1439" s="2" t="str">
        <f t="shared" si="90"/>
        <v>46-60</v>
      </c>
      <c r="F1439" s="2" t="s">
        <v>110</v>
      </c>
      <c r="G1439" s="2" t="s">
        <v>21</v>
      </c>
      <c r="H1439" s="2">
        <v>14</v>
      </c>
      <c r="I1439" s="2" t="str">
        <f t="shared" si="88"/>
        <v>13-24 months</v>
      </c>
      <c r="J1439" s="3">
        <v>549</v>
      </c>
      <c r="K1439" s="3">
        <v>7686</v>
      </c>
      <c r="L1439" s="2" t="s">
        <v>66</v>
      </c>
      <c r="M1439" s="4">
        <v>45498</v>
      </c>
      <c r="N1439" s="2" t="s">
        <v>32</v>
      </c>
      <c r="O1439" s="2">
        <f t="shared" si="91"/>
        <v>1</v>
      </c>
      <c r="P1439" s="2" t="s">
        <v>23</v>
      </c>
      <c r="Q1439" s="2" t="s">
        <v>23</v>
      </c>
      <c r="R1439" s="2" t="s">
        <v>23</v>
      </c>
      <c r="S1439" s="2" t="s">
        <v>23</v>
      </c>
      <c r="T1439" s="2" t="s">
        <v>23</v>
      </c>
      <c r="U1439" s="25">
        <f t="shared" si="89"/>
        <v>7686.0014389999997</v>
      </c>
    </row>
    <row r="1440" spans="1:21">
      <c r="A1440" s="2" t="s">
        <v>2232</v>
      </c>
      <c r="B1440" s="2" t="s">
        <v>1100</v>
      </c>
      <c r="C1440" s="2" t="s">
        <v>19</v>
      </c>
      <c r="D1440" s="2">
        <v>37</v>
      </c>
      <c r="E1440" s="2" t="str">
        <f t="shared" si="90"/>
        <v>36-45</v>
      </c>
      <c r="F1440" s="2" t="s">
        <v>71</v>
      </c>
      <c r="G1440" s="2" t="s">
        <v>47</v>
      </c>
      <c r="H1440" s="2">
        <v>33</v>
      </c>
      <c r="I1440" s="2" t="str">
        <f t="shared" si="88"/>
        <v>25-48 months</v>
      </c>
      <c r="J1440" s="3">
        <v>349</v>
      </c>
      <c r="K1440" s="3">
        <v>11517</v>
      </c>
      <c r="L1440" s="2" t="s">
        <v>66</v>
      </c>
      <c r="M1440" s="4">
        <v>44937</v>
      </c>
      <c r="N1440" s="2" t="s">
        <v>23</v>
      </c>
      <c r="O1440" s="2">
        <f t="shared" si="91"/>
        <v>0</v>
      </c>
      <c r="P1440" s="2" t="s">
        <v>23</v>
      </c>
      <c r="Q1440" s="2" t="s">
        <v>23</v>
      </c>
      <c r="R1440" s="2" t="s">
        <v>23</v>
      </c>
      <c r="S1440" s="2" t="s">
        <v>23</v>
      </c>
      <c r="T1440" s="2" t="s">
        <v>23</v>
      </c>
      <c r="U1440" s="25">
        <f t="shared" si="89"/>
        <v>11517.00144</v>
      </c>
    </row>
    <row r="1441" spans="1:21">
      <c r="A1441" s="2" t="s">
        <v>2233</v>
      </c>
      <c r="B1441" s="2" t="s">
        <v>2234</v>
      </c>
      <c r="C1441" s="2" t="s">
        <v>19</v>
      </c>
      <c r="D1441" s="2">
        <v>43</v>
      </c>
      <c r="E1441" s="2" t="str">
        <f t="shared" si="90"/>
        <v>36-45</v>
      </c>
      <c r="F1441" s="2" t="s">
        <v>36</v>
      </c>
      <c r="G1441" s="2" t="s">
        <v>21</v>
      </c>
      <c r="H1441" s="2">
        <v>9</v>
      </c>
      <c r="I1441" s="2" t="str">
        <f t="shared" si="88"/>
        <v>7-12 months</v>
      </c>
      <c r="J1441" s="3">
        <v>549</v>
      </c>
      <c r="K1441" s="3">
        <v>4941</v>
      </c>
      <c r="L1441" s="2" t="s">
        <v>66</v>
      </c>
      <c r="M1441" s="4">
        <v>45658</v>
      </c>
      <c r="N1441" s="2" t="s">
        <v>23</v>
      </c>
      <c r="O1441" s="2">
        <f t="shared" si="91"/>
        <v>0</v>
      </c>
      <c r="P1441" s="2" t="s">
        <v>23</v>
      </c>
      <c r="Q1441" s="2" t="s">
        <v>23</v>
      </c>
      <c r="R1441" s="2" t="s">
        <v>23</v>
      </c>
      <c r="S1441" s="2" t="s">
        <v>23</v>
      </c>
      <c r="T1441" s="2" t="s">
        <v>23</v>
      </c>
      <c r="U1441" s="25">
        <f t="shared" si="89"/>
        <v>4941.0014410000003</v>
      </c>
    </row>
    <row r="1442" spans="1:21">
      <c r="A1442" s="2" t="s">
        <v>2235</v>
      </c>
      <c r="B1442" s="2" t="s">
        <v>546</v>
      </c>
      <c r="C1442" s="2" t="s">
        <v>35</v>
      </c>
      <c r="D1442" s="2">
        <v>47</v>
      </c>
      <c r="E1442" s="2" t="str">
        <f t="shared" si="90"/>
        <v>46-60</v>
      </c>
      <c r="F1442" s="2" t="s">
        <v>60</v>
      </c>
      <c r="G1442" s="2" t="s">
        <v>47</v>
      </c>
      <c r="H1442" s="2">
        <v>71</v>
      </c>
      <c r="I1442" s="2" t="str">
        <f t="shared" si="88"/>
        <v>49+ months</v>
      </c>
      <c r="J1442" s="3">
        <v>699</v>
      </c>
      <c r="K1442" s="3">
        <v>49629</v>
      </c>
      <c r="L1442" s="2" t="s">
        <v>37</v>
      </c>
      <c r="M1442" s="4">
        <v>43769</v>
      </c>
      <c r="N1442" s="2" t="s">
        <v>23</v>
      </c>
      <c r="O1442" s="2">
        <f t="shared" si="91"/>
        <v>0</v>
      </c>
      <c r="P1442" s="2" t="s">
        <v>32</v>
      </c>
      <c r="Q1442" s="2" t="s">
        <v>23</v>
      </c>
      <c r="R1442" s="2" t="s">
        <v>23</v>
      </c>
      <c r="S1442" s="2" t="s">
        <v>23</v>
      </c>
      <c r="T1442" s="2" t="s">
        <v>23</v>
      </c>
      <c r="U1442" s="25">
        <f t="shared" si="89"/>
        <v>49629.001442000001</v>
      </c>
    </row>
    <row r="1443" spans="1:21">
      <c r="A1443" s="2" t="s">
        <v>2236</v>
      </c>
      <c r="B1443" s="2" t="s">
        <v>877</v>
      </c>
      <c r="C1443" s="2" t="s">
        <v>35</v>
      </c>
      <c r="D1443" s="2">
        <v>39</v>
      </c>
      <c r="E1443" s="2" t="str">
        <f t="shared" si="90"/>
        <v>36-45</v>
      </c>
      <c r="F1443" s="2" t="s">
        <v>63</v>
      </c>
      <c r="G1443" s="2" t="s">
        <v>21</v>
      </c>
      <c r="H1443" s="2">
        <v>22</v>
      </c>
      <c r="I1443" s="2" t="str">
        <f t="shared" si="88"/>
        <v>13-24 months</v>
      </c>
      <c r="J1443" s="3">
        <v>749</v>
      </c>
      <c r="K1443" s="3">
        <v>16478</v>
      </c>
      <c r="L1443" s="2" t="s">
        <v>31</v>
      </c>
      <c r="M1443" s="4">
        <v>45253</v>
      </c>
      <c r="N1443" s="2" t="s">
        <v>23</v>
      </c>
      <c r="O1443" s="2">
        <f t="shared" si="91"/>
        <v>0</v>
      </c>
      <c r="P1443" s="2" t="s">
        <v>23</v>
      </c>
      <c r="Q1443" s="2" t="s">
        <v>23</v>
      </c>
      <c r="R1443" s="2" t="s">
        <v>23</v>
      </c>
      <c r="S1443" s="2" t="s">
        <v>23</v>
      </c>
      <c r="T1443" s="2" t="s">
        <v>23</v>
      </c>
      <c r="U1443" s="25">
        <f t="shared" si="89"/>
        <v>16478.001443000001</v>
      </c>
    </row>
    <row r="1444" spans="1:21">
      <c r="A1444" s="2" t="s">
        <v>2237</v>
      </c>
      <c r="B1444" s="2" t="s">
        <v>2238</v>
      </c>
      <c r="C1444" s="2" t="s">
        <v>19</v>
      </c>
      <c r="D1444" s="2">
        <v>65</v>
      </c>
      <c r="E1444" s="2" t="str">
        <f t="shared" si="90"/>
        <v>60+</v>
      </c>
      <c r="F1444" s="2" t="s">
        <v>141</v>
      </c>
      <c r="G1444" s="2" t="s">
        <v>21</v>
      </c>
      <c r="H1444" s="2">
        <v>22</v>
      </c>
      <c r="I1444" s="2" t="str">
        <f t="shared" si="88"/>
        <v>13-24 months</v>
      </c>
      <c r="J1444" s="3">
        <v>1099</v>
      </c>
      <c r="K1444" s="3">
        <v>24178</v>
      </c>
      <c r="L1444" s="2" t="s">
        <v>22</v>
      </c>
      <c r="M1444" s="4">
        <v>45262</v>
      </c>
      <c r="N1444" s="2" t="s">
        <v>23</v>
      </c>
      <c r="O1444" s="2">
        <f t="shared" si="91"/>
        <v>0</v>
      </c>
      <c r="P1444" s="2" t="s">
        <v>23</v>
      </c>
      <c r="Q1444" s="2" t="s">
        <v>23</v>
      </c>
      <c r="R1444" s="2" t="s">
        <v>23</v>
      </c>
      <c r="S1444" s="2" t="s">
        <v>23</v>
      </c>
      <c r="T1444" s="2" t="s">
        <v>23</v>
      </c>
      <c r="U1444" s="25">
        <f t="shared" si="89"/>
        <v>24178.001444000001</v>
      </c>
    </row>
    <row r="1445" spans="1:21">
      <c r="A1445" s="2" t="s">
        <v>2239</v>
      </c>
      <c r="B1445" s="2" t="s">
        <v>242</v>
      </c>
      <c r="C1445" s="2" t="s">
        <v>19</v>
      </c>
      <c r="D1445" s="2">
        <v>66</v>
      </c>
      <c r="E1445" s="2" t="str">
        <f t="shared" si="90"/>
        <v>60+</v>
      </c>
      <c r="F1445" s="2" t="s">
        <v>46</v>
      </c>
      <c r="G1445" s="2" t="s">
        <v>21</v>
      </c>
      <c r="H1445" s="2">
        <v>18</v>
      </c>
      <c r="I1445" s="2" t="str">
        <f t="shared" si="88"/>
        <v>13-24 months</v>
      </c>
      <c r="J1445" s="3">
        <v>899</v>
      </c>
      <c r="K1445" s="3">
        <v>16182</v>
      </c>
      <c r="L1445" s="2" t="s">
        <v>22</v>
      </c>
      <c r="M1445" s="4">
        <v>45361</v>
      </c>
      <c r="N1445" s="2" t="s">
        <v>23</v>
      </c>
      <c r="O1445" s="2">
        <f t="shared" si="91"/>
        <v>0</v>
      </c>
      <c r="P1445" s="2" t="s">
        <v>23</v>
      </c>
      <c r="Q1445" s="2" t="s">
        <v>23</v>
      </c>
      <c r="R1445" s="2" t="s">
        <v>23</v>
      </c>
      <c r="S1445" s="2" t="s">
        <v>23</v>
      </c>
      <c r="T1445" s="2" t="s">
        <v>23</v>
      </c>
      <c r="U1445" s="25">
        <f t="shared" si="89"/>
        <v>16182.001445</v>
      </c>
    </row>
    <row r="1446" spans="1:21">
      <c r="A1446" s="2" t="s">
        <v>2240</v>
      </c>
      <c r="B1446" s="2" t="s">
        <v>149</v>
      </c>
      <c r="C1446" s="2" t="s">
        <v>19</v>
      </c>
      <c r="D1446" s="2">
        <v>22</v>
      </c>
      <c r="E1446" s="2" t="str">
        <f t="shared" si="90"/>
        <v>18-25</v>
      </c>
      <c r="F1446" s="2" t="s">
        <v>110</v>
      </c>
      <c r="G1446" s="2" t="s">
        <v>27</v>
      </c>
      <c r="H1446" s="2">
        <v>18</v>
      </c>
      <c r="I1446" s="2" t="str">
        <f t="shared" si="88"/>
        <v>13-24 months</v>
      </c>
      <c r="J1446" s="3">
        <v>899</v>
      </c>
      <c r="K1446" s="3">
        <v>16182</v>
      </c>
      <c r="L1446" s="2" t="s">
        <v>22</v>
      </c>
      <c r="M1446" s="4">
        <v>45372</v>
      </c>
      <c r="N1446" s="2" t="s">
        <v>23</v>
      </c>
      <c r="O1446" s="2">
        <f t="shared" si="91"/>
        <v>0</v>
      </c>
      <c r="P1446" s="2" t="s">
        <v>23</v>
      </c>
      <c r="Q1446" s="2" t="s">
        <v>23</v>
      </c>
      <c r="R1446" s="2" t="s">
        <v>23</v>
      </c>
      <c r="S1446" s="2" t="s">
        <v>23</v>
      </c>
      <c r="T1446" s="2" t="s">
        <v>23</v>
      </c>
      <c r="U1446" s="25">
        <f t="shared" si="89"/>
        <v>16182.001446</v>
      </c>
    </row>
    <row r="1447" spans="1:21">
      <c r="A1447" s="2" t="s">
        <v>2241</v>
      </c>
      <c r="B1447" s="2" t="s">
        <v>972</v>
      </c>
      <c r="C1447" s="2" t="s">
        <v>35</v>
      </c>
      <c r="D1447" s="2">
        <v>48</v>
      </c>
      <c r="E1447" s="2" t="str">
        <f t="shared" si="90"/>
        <v>46-60</v>
      </c>
      <c r="F1447" s="2" t="s">
        <v>71</v>
      </c>
      <c r="G1447" s="2" t="s">
        <v>27</v>
      </c>
      <c r="H1447" s="2">
        <v>23</v>
      </c>
      <c r="I1447" s="2" t="str">
        <f t="shared" si="88"/>
        <v>13-24 months</v>
      </c>
      <c r="J1447" s="3">
        <v>899</v>
      </c>
      <c r="K1447" s="3">
        <v>20677</v>
      </c>
      <c r="L1447" s="2" t="s">
        <v>22</v>
      </c>
      <c r="M1447" s="4"/>
      <c r="N1447" s="2" t="s">
        <v>32</v>
      </c>
      <c r="O1447" s="2">
        <f t="shared" si="91"/>
        <v>1</v>
      </c>
      <c r="P1447" s="2" t="s">
        <v>23</v>
      </c>
      <c r="Q1447" s="2" t="s">
        <v>23</v>
      </c>
      <c r="R1447" s="2" t="s">
        <v>23</v>
      </c>
      <c r="S1447" s="2" t="s">
        <v>23</v>
      </c>
      <c r="T1447" s="2" t="s">
        <v>54</v>
      </c>
      <c r="U1447" s="25">
        <f t="shared" si="89"/>
        <v>20677.001446999999</v>
      </c>
    </row>
    <row r="1448" spans="1:21">
      <c r="A1448" s="2" t="s">
        <v>2242</v>
      </c>
      <c r="B1448" s="2" t="s">
        <v>1254</v>
      </c>
      <c r="C1448" s="2" t="s">
        <v>19</v>
      </c>
      <c r="D1448" s="2">
        <v>64</v>
      </c>
      <c r="E1448" s="2" t="str">
        <f t="shared" si="90"/>
        <v>60+</v>
      </c>
      <c r="F1448" s="2" t="s">
        <v>36</v>
      </c>
      <c r="G1448" s="2" t="s">
        <v>47</v>
      </c>
      <c r="H1448" s="2">
        <v>12</v>
      </c>
      <c r="I1448" s="2" t="str">
        <f t="shared" si="88"/>
        <v>7-12 months</v>
      </c>
      <c r="J1448" s="3">
        <v>999</v>
      </c>
      <c r="K1448" s="3">
        <v>11988</v>
      </c>
      <c r="L1448" s="2" t="s">
        <v>22</v>
      </c>
      <c r="M1448" s="4">
        <v>45552</v>
      </c>
      <c r="N1448" s="2" t="s">
        <v>23</v>
      </c>
      <c r="O1448" s="2">
        <f t="shared" si="91"/>
        <v>0</v>
      </c>
      <c r="P1448" s="2" t="s">
        <v>23</v>
      </c>
      <c r="Q1448" s="2" t="s">
        <v>23</v>
      </c>
      <c r="R1448" s="2" t="s">
        <v>23</v>
      </c>
      <c r="S1448" s="2" t="s">
        <v>23</v>
      </c>
      <c r="T1448" s="2" t="s">
        <v>23</v>
      </c>
      <c r="U1448" s="25">
        <f t="shared" si="89"/>
        <v>11988.001448000001</v>
      </c>
    </row>
    <row r="1449" spans="1:21">
      <c r="A1449" s="2" t="s">
        <v>2243</v>
      </c>
      <c r="B1449" s="2" t="s">
        <v>514</v>
      </c>
      <c r="C1449" s="2" t="s">
        <v>19</v>
      </c>
      <c r="D1449" s="2">
        <v>40</v>
      </c>
      <c r="E1449" s="2" t="str">
        <f t="shared" si="90"/>
        <v>36-45</v>
      </c>
      <c r="F1449" s="2" t="s">
        <v>36</v>
      </c>
      <c r="G1449" s="2" t="s">
        <v>21</v>
      </c>
      <c r="H1449" s="2">
        <v>14</v>
      </c>
      <c r="I1449" s="2" t="str">
        <f t="shared" si="88"/>
        <v>13-24 months</v>
      </c>
      <c r="J1449" s="3">
        <v>1299</v>
      </c>
      <c r="K1449" s="3">
        <v>18186</v>
      </c>
      <c r="L1449" s="2" t="s">
        <v>22</v>
      </c>
      <c r="M1449" s="4">
        <v>45496</v>
      </c>
      <c r="N1449" s="2" t="s">
        <v>23</v>
      </c>
      <c r="O1449" s="2">
        <f t="shared" si="91"/>
        <v>0</v>
      </c>
      <c r="P1449" s="2" t="s">
        <v>23</v>
      </c>
      <c r="Q1449" s="2" t="s">
        <v>23</v>
      </c>
      <c r="R1449" s="2" t="s">
        <v>23</v>
      </c>
      <c r="S1449" s="2" t="s">
        <v>23</v>
      </c>
      <c r="T1449" s="2" t="s">
        <v>23</v>
      </c>
      <c r="U1449" s="25">
        <f t="shared" si="89"/>
        <v>18186.001448999999</v>
      </c>
    </row>
    <row r="1450" spans="1:21">
      <c r="A1450" s="2" t="s">
        <v>2244</v>
      </c>
      <c r="B1450" s="2" t="s">
        <v>910</v>
      </c>
      <c r="C1450" s="2" t="s">
        <v>19</v>
      </c>
      <c r="D1450" s="2">
        <v>57</v>
      </c>
      <c r="E1450" s="2" t="str">
        <f t="shared" si="90"/>
        <v>46-60</v>
      </c>
      <c r="F1450" s="2" t="s">
        <v>71</v>
      </c>
      <c r="G1450" s="2" t="s">
        <v>21</v>
      </c>
      <c r="H1450" s="2">
        <v>23</v>
      </c>
      <c r="I1450" s="2" t="str">
        <f t="shared" si="88"/>
        <v>13-24 months</v>
      </c>
      <c r="J1450" s="3">
        <v>1199</v>
      </c>
      <c r="K1450" s="3">
        <v>27577</v>
      </c>
      <c r="L1450" s="2" t="s">
        <v>22</v>
      </c>
      <c r="M1450" s="4">
        <v>45209</v>
      </c>
      <c r="N1450" s="2" t="s">
        <v>23</v>
      </c>
      <c r="O1450" s="2">
        <f t="shared" si="91"/>
        <v>0</v>
      </c>
      <c r="P1450" s="2" t="s">
        <v>23</v>
      </c>
      <c r="Q1450" s="2" t="s">
        <v>23</v>
      </c>
      <c r="R1450" s="2" t="s">
        <v>23</v>
      </c>
      <c r="S1450" s="2" t="s">
        <v>23</v>
      </c>
      <c r="T1450" s="2" t="s">
        <v>23</v>
      </c>
      <c r="U1450" s="25">
        <f t="shared" si="89"/>
        <v>27577.00145</v>
      </c>
    </row>
    <row r="1451" spans="1:21">
      <c r="A1451" s="2" t="s">
        <v>2245</v>
      </c>
      <c r="B1451" s="2" t="s">
        <v>841</v>
      </c>
      <c r="C1451" s="2" t="s">
        <v>35</v>
      </c>
      <c r="D1451" s="2">
        <v>42</v>
      </c>
      <c r="E1451" s="2" t="str">
        <f t="shared" si="90"/>
        <v>36-45</v>
      </c>
      <c r="F1451" s="2" t="s">
        <v>30</v>
      </c>
      <c r="G1451" s="2" t="s">
        <v>27</v>
      </c>
      <c r="H1451" s="2">
        <v>3</v>
      </c>
      <c r="I1451" s="2" t="str">
        <f t="shared" si="88"/>
        <v>0-6 months</v>
      </c>
      <c r="J1451" s="3">
        <v>599</v>
      </c>
      <c r="K1451" s="3">
        <v>1797</v>
      </c>
      <c r="L1451" s="2" t="s">
        <v>31</v>
      </c>
      <c r="M1451" s="4">
        <v>45827</v>
      </c>
      <c r="N1451" s="2" t="s">
        <v>32</v>
      </c>
      <c r="O1451" s="2">
        <f t="shared" si="91"/>
        <v>1</v>
      </c>
      <c r="P1451" s="2" t="s">
        <v>23</v>
      </c>
      <c r="Q1451" s="2" t="s">
        <v>23</v>
      </c>
      <c r="R1451" s="2" t="s">
        <v>23</v>
      </c>
      <c r="S1451" s="2" t="s">
        <v>23</v>
      </c>
      <c r="T1451" s="2" t="s">
        <v>23</v>
      </c>
      <c r="U1451" s="25">
        <f t="shared" si="89"/>
        <v>1797.0014510000001</v>
      </c>
    </row>
    <row r="1452" spans="1:21">
      <c r="A1452" s="2" t="s">
        <v>2246</v>
      </c>
      <c r="B1452" s="2" t="s">
        <v>1080</v>
      </c>
      <c r="C1452" s="2" t="s">
        <v>19</v>
      </c>
      <c r="D1452" s="2">
        <v>39</v>
      </c>
      <c r="E1452" s="2" t="str">
        <f t="shared" si="90"/>
        <v>36-45</v>
      </c>
      <c r="F1452" s="2" t="s">
        <v>105</v>
      </c>
      <c r="G1452" s="2" t="s">
        <v>27</v>
      </c>
      <c r="H1452" s="2">
        <v>21</v>
      </c>
      <c r="I1452" s="2" t="str">
        <f t="shared" si="88"/>
        <v>13-24 months</v>
      </c>
      <c r="J1452" s="3">
        <v>899</v>
      </c>
      <c r="K1452" s="3">
        <v>18879</v>
      </c>
      <c r="L1452" s="2" t="s">
        <v>31</v>
      </c>
      <c r="M1452" s="4">
        <v>45295</v>
      </c>
      <c r="N1452" s="2" t="s">
        <v>32</v>
      </c>
      <c r="O1452" s="2">
        <f t="shared" si="91"/>
        <v>1</v>
      </c>
      <c r="P1452" s="2" t="s">
        <v>23</v>
      </c>
      <c r="Q1452" s="2" t="s">
        <v>23</v>
      </c>
      <c r="R1452" s="2" t="s">
        <v>23</v>
      </c>
      <c r="S1452" s="2" t="s">
        <v>23</v>
      </c>
      <c r="T1452" s="2" t="s">
        <v>23</v>
      </c>
      <c r="U1452" s="25">
        <f t="shared" si="89"/>
        <v>18879.001452</v>
      </c>
    </row>
    <row r="1453" spans="1:21">
      <c r="A1453" s="2" t="s">
        <v>2247</v>
      </c>
      <c r="B1453" s="2" t="s">
        <v>2119</v>
      </c>
      <c r="C1453" s="2" t="s">
        <v>19</v>
      </c>
      <c r="D1453" s="2">
        <v>48</v>
      </c>
      <c r="E1453" s="2" t="str">
        <f t="shared" si="90"/>
        <v>46-60</v>
      </c>
      <c r="F1453" s="2" t="s">
        <v>60</v>
      </c>
      <c r="G1453" s="2" t="s">
        <v>27</v>
      </c>
      <c r="H1453" s="2">
        <v>22</v>
      </c>
      <c r="I1453" s="2" t="str">
        <f t="shared" si="88"/>
        <v>13-24 months</v>
      </c>
      <c r="J1453" s="3">
        <v>1149</v>
      </c>
      <c r="K1453" s="3">
        <v>25278</v>
      </c>
      <c r="L1453" s="2" t="s">
        <v>22</v>
      </c>
      <c r="M1453" s="4">
        <v>45248</v>
      </c>
      <c r="N1453" s="2" t="s">
        <v>23</v>
      </c>
      <c r="O1453" s="2">
        <f t="shared" si="91"/>
        <v>0</v>
      </c>
      <c r="P1453" s="2" t="s">
        <v>23</v>
      </c>
      <c r="Q1453" s="2" t="s">
        <v>23</v>
      </c>
      <c r="R1453" s="2" t="s">
        <v>23</v>
      </c>
      <c r="S1453" s="2" t="s">
        <v>23</v>
      </c>
      <c r="T1453" s="2" t="s">
        <v>23</v>
      </c>
      <c r="U1453" s="25">
        <f t="shared" si="89"/>
        <v>25278.001453000001</v>
      </c>
    </row>
    <row r="1454" spans="1:21">
      <c r="A1454" s="2" t="s">
        <v>2248</v>
      </c>
      <c r="B1454" s="2" t="s">
        <v>397</v>
      </c>
      <c r="C1454" s="2" t="s">
        <v>35</v>
      </c>
      <c r="D1454" s="2">
        <v>52</v>
      </c>
      <c r="E1454" s="2" t="str">
        <f t="shared" si="90"/>
        <v>46-60</v>
      </c>
      <c r="F1454" s="2" t="s">
        <v>57</v>
      </c>
      <c r="G1454" s="2" t="s">
        <v>21</v>
      </c>
      <c r="H1454" s="2">
        <v>4</v>
      </c>
      <c r="I1454" s="2" t="str">
        <f t="shared" si="88"/>
        <v>0-6 months</v>
      </c>
      <c r="J1454" s="3">
        <v>599</v>
      </c>
      <c r="K1454" s="3">
        <v>2396</v>
      </c>
      <c r="L1454" s="2" t="s">
        <v>31</v>
      </c>
      <c r="M1454" s="4">
        <v>45782</v>
      </c>
      <c r="N1454" s="2" t="s">
        <v>23</v>
      </c>
      <c r="O1454" s="2">
        <f t="shared" si="91"/>
        <v>0</v>
      </c>
      <c r="P1454" s="2" t="s">
        <v>23</v>
      </c>
      <c r="Q1454" s="2" t="s">
        <v>23</v>
      </c>
      <c r="R1454" s="2" t="s">
        <v>23</v>
      </c>
      <c r="S1454" s="2" t="s">
        <v>23</v>
      </c>
      <c r="T1454" s="2" t="s">
        <v>23</v>
      </c>
      <c r="U1454" s="25">
        <f t="shared" si="89"/>
        <v>2396.0014540000002</v>
      </c>
    </row>
    <row r="1455" spans="1:21">
      <c r="A1455" s="2" t="s">
        <v>2249</v>
      </c>
      <c r="B1455" s="2" t="s">
        <v>51</v>
      </c>
      <c r="C1455" s="2" t="s">
        <v>35</v>
      </c>
      <c r="D1455" s="2">
        <v>39</v>
      </c>
      <c r="E1455" s="2" t="str">
        <f t="shared" si="90"/>
        <v>36-45</v>
      </c>
      <c r="F1455" s="2" t="s">
        <v>57</v>
      </c>
      <c r="G1455" s="2" t="s">
        <v>21</v>
      </c>
      <c r="H1455" s="2">
        <v>17</v>
      </c>
      <c r="I1455" s="2" t="str">
        <f t="shared" si="88"/>
        <v>13-24 months</v>
      </c>
      <c r="J1455" s="3">
        <v>699</v>
      </c>
      <c r="K1455" s="3">
        <v>11883</v>
      </c>
      <c r="L1455" s="2" t="s">
        <v>31</v>
      </c>
      <c r="M1455" s="4">
        <v>45409</v>
      </c>
      <c r="N1455" s="2" t="s">
        <v>32</v>
      </c>
      <c r="O1455" s="2">
        <f t="shared" si="91"/>
        <v>1</v>
      </c>
      <c r="P1455" s="2" t="s">
        <v>23</v>
      </c>
      <c r="Q1455" s="2" t="s">
        <v>23</v>
      </c>
      <c r="R1455" s="2" t="s">
        <v>23</v>
      </c>
      <c r="S1455" s="2" t="s">
        <v>23</v>
      </c>
      <c r="T1455" s="2" t="s">
        <v>23</v>
      </c>
      <c r="U1455" s="25">
        <f t="shared" si="89"/>
        <v>11883.001455</v>
      </c>
    </row>
    <row r="1456" spans="1:21">
      <c r="A1456" s="2" t="s">
        <v>2250</v>
      </c>
      <c r="B1456" s="2" t="s">
        <v>460</v>
      </c>
      <c r="C1456" s="2" t="s">
        <v>35</v>
      </c>
      <c r="D1456" s="2">
        <v>36</v>
      </c>
      <c r="E1456" s="2" t="str">
        <f t="shared" si="90"/>
        <v>36-45</v>
      </c>
      <c r="F1456" s="2" t="s">
        <v>30</v>
      </c>
      <c r="G1456" s="2" t="s">
        <v>21</v>
      </c>
      <c r="H1456" s="2">
        <v>5</v>
      </c>
      <c r="I1456" s="2" t="str">
        <f t="shared" si="88"/>
        <v>0-6 months</v>
      </c>
      <c r="J1456" s="3">
        <v>799</v>
      </c>
      <c r="K1456" s="3">
        <v>3995</v>
      </c>
      <c r="L1456" s="2" t="s">
        <v>31</v>
      </c>
      <c r="M1456" s="4">
        <v>45767</v>
      </c>
      <c r="N1456" s="2" t="s">
        <v>23</v>
      </c>
      <c r="O1456" s="2">
        <f t="shared" si="91"/>
        <v>0</v>
      </c>
      <c r="P1456" s="2" t="s">
        <v>23</v>
      </c>
      <c r="Q1456" s="2" t="s">
        <v>23</v>
      </c>
      <c r="R1456" s="2" t="s">
        <v>23</v>
      </c>
      <c r="S1456" s="2" t="s">
        <v>23</v>
      </c>
      <c r="T1456" s="2" t="s">
        <v>23</v>
      </c>
      <c r="U1456" s="25">
        <f t="shared" si="89"/>
        <v>3995.001456</v>
      </c>
    </row>
    <row r="1457" spans="1:21">
      <c r="A1457" s="2" t="s">
        <v>2251</v>
      </c>
      <c r="B1457" s="2" t="s">
        <v>838</v>
      </c>
      <c r="C1457" s="2" t="s">
        <v>19</v>
      </c>
      <c r="D1457" s="2">
        <v>67</v>
      </c>
      <c r="E1457" s="2" t="str">
        <f t="shared" si="90"/>
        <v>60+</v>
      </c>
      <c r="F1457" s="2" t="s">
        <v>30</v>
      </c>
      <c r="G1457" s="2" t="s">
        <v>21</v>
      </c>
      <c r="H1457" s="2">
        <v>19</v>
      </c>
      <c r="I1457" s="2" t="str">
        <f t="shared" si="88"/>
        <v>13-24 months</v>
      </c>
      <c r="J1457" s="3">
        <v>649</v>
      </c>
      <c r="K1457" s="3">
        <v>12331</v>
      </c>
      <c r="L1457" s="2" t="s">
        <v>31</v>
      </c>
      <c r="M1457" s="4">
        <v>45350</v>
      </c>
      <c r="N1457" s="2" t="s">
        <v>32</v>
      </c>
      <c r="O1457" s="2">
        <f t="shared" si="91"/>
        <v>1</v>
      </c>
      <c r="P1457" s="2" t="s">
        <v>23</v>
      </c>
      <c r="Q1457" s="2" t="s">
        <v>23</v>
      </c>
      <c r="R1457" s="2" t="s">
        <v>23</v>
      </c>
      <c r="S1457" s="2" t="s">
        <v>23</v>
      </c>
      <c r="T1457" s="2" t="s">
        <v>23</v>
      </c>
      <c r="U1457" s="25">
        <f t="shared" si="89"/>
        <v>12331.001457</v>
      </c>
    </row>
    <row r="1458" spans="1:21">
      <c r="A1458" s="2" t="s">
        <v>2252</v>
      </c>
      <c r="B1458" s="2" t="s">
        <v>963</v>
      </c>
      <c r="C1458" s="2" t="s">
        <v>35</v>
      </c>
      <c r="D1458" s="2">
        <v>47</v>
      </c>
      <c r="E1458" s="2" t="str">
        <f t="shared" si="90"/>
        <v>46-60</v>
      </c>
      <c r="F1458" s="2" t="s">
        <v>41</v>
      </c>
      <c r="G1458" s="2" t="s">
        <v>47</v>
      </c>
      <c r="H1458" s="2">
        <v>70</v>
      </c>
      <c r="I1458" s="2" t="str">
        <f t="shared" si="88"/>
        <v>49+ months</v>
      </c>
      <c r="J1458" s="3">
        <v>1149</v>
      </c>
      <c r="K1458" s="3">
        <v>80430</v>
      </c>
      <c r="L1458" s="2" t="s">
        <v>22</v>
      </c>
      <c r="M1458" s="4">
        <v>43816</v>
      </c>
      <c r="N1458" s="2" t="s">
        <v>32</v>
      </c>
      <c r="O1458" s="2">
        <f t="shared" si="91"/>
        <v>1</v>
      </c>
      <c r="P1458" s="2" t="s">
        <v>32</v>
      </c>
      <c r="Q1458" s="2" t="s">
        <v>23</v>
      </c>
      <c r="R1458" s="2" t="s">
        <v>23</v>
      </c>
      <c r="S1458" s="2" t="s">
        <v>23</v>
      </c>
      <c r="T1458" s="2" t="s">
        <v>23</v>
      </c>
      <c r="U1458" s="25">
        <f t="shared" si="89"/>
        <v>80430.001457999999</v>
      </c>
    </row>
    <row r="1459" spans="1:21">
      <c r="A1459" s="2" t="s">
        <v>2253</v>
      </c>
      <c r="B1459" s="2" t="s">
        <v>59</v>
      </c>
      <c r="C1459" s="2" t="s">
        <v>19</v>
      </c>
      <c r="D1459" s="2">
        <v>23</v>
      </c>
      <c r="E1459" s="2" t="str">
        <f t="shared" si="90"/>
        <v>18-25</v>
      </c>
      <c r="F1459" s="2" t="s">
        <v>71</v>
      </c>
      <c r="G1459" s="2" t="s">
        <v>21</v>
      </c>
      <c r="H1459" s="2">
        <v>5</v>
      </c>
      <c r="I1459" s="2" t="str">
        <f t="shared" si="88"/>
        <v>0-6 months</v>
      </c>
      <c r="J1459" s="3">
        <v>899</v>
      </c>
      <c r="K1459" s="3">
        <v>4495</v>
      </c>
      <c r="L1459" s="2" t="s">
        <v>22</v>
      </c>
      <c r="M1459" s="4">
        <v>45750</v>
      </c>
      <c r="N1459" s="2" t="s">
        <v>32</v>
      </c>
      <c r="O1459" s="2">
        <f t="shared" si="91"/>
        <v>1</v>
      </c>
      <c r="P1459" s="2" t="s">
        <v>23</v>
      </c>
      <c r="Q1459" s="2" t="s">
        <v>23</v>
      </c>
      <c r="R1459" s="2" t="s">
        <v>23</v>
      </c>
      <c r="S1459" s="2" t="s">
        <v>23</v>
      </c>
      <c r="T1459" s="2" t="s">
        <v>23</v>
      </c>
      <c r="U1459" s="25">
        <f t="shared" si="89"/>
        <v>4495.0014590000001</v>
      </c>
    </row>
    <row r="1460" spans="1:21">
      <c r="A1460" s="2" t="s">
        <v>2254</v>
      </c>
      <c r="B1460" s="2" t="s">
        <v>595</v>
      </c>
      <c r="C1460" s="2" t="s">
        <v>35</v>
      </c>
      <c r="D1460" s="2">
        <v>69</v>
      </c>
      <c r="E1460" s="2" t="str">
        <f t="shared" si="90"/>
        <v>60+</v>
      </c>
      <c r="F1460" s="2" t="s">
        <v>30</v>
      </c>
      <c r="G1460" s="2" t="s">
        <v>21</v>
      </c>
      <c r="H1460" s="2">
        <v>6</v>
      </c>
      <c r="I1460" s="2" t="str">
        <f t="shared" si="88"/>
        <v>0-6 months</v>
      </c>
      <c r="J1460" s="3">
        <v>799</v>
      </c>
      <c r="K1460" s="3">
        <v>4794</v>
      </c>
      <c r="L1460" s="2" t="s">
        <v>31</v>
      </c>
      <c r="M1460" s="4">
        <v>45743</v>
      </c>
      <c r="N1460" s="2" t="s">
        <v>32</v>
      </c>
      <c r="O1460" s="2">
        <f t="shared" si="91"/>
        <v>1</v>
      </c>
      <c r="P1460" s="2" t="s">
        <v>23</v>
      </c>
      <c r="Q1460" s="2" t="s">
        <v>23</v>
      </c>
      <c r="R1460" s="2" t="s">
        <v>23</v>
      </c>
      <c r="S1460" s="2" t="s">
        <v>23</v>
      </c>
      <c r="T1460" s="2" t="s">
        <v>23</v>
      </c>
      <c r="U1460" s="25">
        <f t="shared" si="89"/>
        <v>4794.0014600000004</v>
      </c>
    </row>
    <row r="1461" spans="1:21">
      <c r="A1461" s="2" t="s">
        <v>2255</v>
      </c>
      <c r="B1461" s="2" t="s">
        <v>658</v>
      </c>
      <c r="C1461" s="2" t="s">
        <v>19</v>
      </c>
      <c r="D1461" s="2">
        <v>73</v>
      </c>
      <c r="E1461" s="2" t="str">
        <f t="shared" si="90"/>
        <v>60+</v>
      </c>
      <c r="F1461" s="2" t="s">
        <v>41</v>
      </c>
      <c r="G1461" s="2" t="s">
        <v>27</v>
      </c>
      <c r="H1461" s="2">
        <v>14</v>
      </c>
      <c r="I1461" s="2" t="str">
        <f t="shared" si="88"/>
        <v>13-24 months</v>
      </c>
      <c r="J1461" s="3">
        <v>849</v>
      </c>
      <c r="K1461" s="3">
        <v>11886</v>
      </c>
      <c r="L1461" s="2" t="s">
        <v>31</v>
      </c>
      <c r="M1461" s="4">
        <v>45482</v>
      </c>
      <c r="N1461" s="2" t="s">
        <v>23</v>
      </c>
      <c r="O1461" s="2">
        <f t="shared" si="91"/>
        <v>0</v>
      </c>
      <c r="P1461" s="2" t="s">
        <v>23</v>
      </c>
      <c r="Q1461" s="2" t="s">
        <v>23</v>
      </c>
      <c r="R1461" s="2" t="s">
        <v>23</v>
      </c>
      <c r="S1461" s="2" t="s">
        <v>23</v>
      </c>
      <c r="T1461" s="2" t="s">
        <v>23</v>
      </c>
      <c r="U1461" s="25">
        <f t="shared" si="89"/>
        <v>11886.001461</v>
      </c>
    </row>
    <row r="1462" spans="1:21">
      <c r="A1462" s="2" t="s">
        <v>2256</v>
      </c>
      <c r="B1462" s="2" t="s">
        <v>281</v>
      </c>
      <c r="C1462" s="2" t="s">
        <v>19</v>
      </c>
      <c r="D1462" s="2">
        <v>61</v>
      </c>
      <c r="E1462" s="2" t="str">
        <f t="shared" si="90"/>
        <v>60+</v>
      </c>
      <c r="F1462" s="2" t="s">
        <v>26</v>
      </c>
      <c r="G1462" s="2" t="s">
        <v>47</v>
      </c>
      <c r="H1462" s="2">
        <v>25</v>
      </c>
      <c r="I1462" s="2" t="str">
        <f t="shared" si="88"/>
        <v>25-48 months</v>
      </c>
      <c r="J1462" s="3">
        <v>1149</v>
      </c>
      <c r="K1462" s="3">
        <v>28725</v>
      </c>
      <c r="L1462" s="2" t="s">
        <v>22</v>
      </c>
      <c r="M1462" s="4">
        <v>45172</v>
      </c>
      <c r="N1462" s="2" t="s">
        <v>37</v>
      </c>
      <c r="O1462" s="2" t="str">
        <f t="shared" si="91"/>
        <v/>
      </c>
      <c r="P1462" s="2" t="s">
        <v>23</v>
      </c>
      <c r="Q1462" s="2" t="s">
        <v>23</v>
      </c>
      <c r="R1462" s="2" t="s">
        <v>23</v>
      </c>
      <c r="S1462" s="2" t="s">
        <v>23</v>
      </c>
      <c r="T1462" s="2" t="s">
        <v>38</v>
      </c>
      <c r="U1462" s="25">
        <f t="shared" si="89"/>
        <v>28725.001462</v>
      </c>
    </row>
    <row r="1463" spans="1:21">
      <c r="A1463" s="2" t="s">
        <v>2257</v>
      </c>
      <c r="B1463" s="2" t="s">
        <v>503</v>
      </c>
      <c r="C1463" s="2" t="s">
        <v>35</v>
      </c>
      <c r="D1463" s="2">
        <v>36</v>
      </c>
      <c r="E1463" s="2" t="str">
        <f t="shared" si="90"/>
        <v>36-45</v>
      </c>
      <c r="F1463" s="2" t="s">
        <v>30</v>
      </c>
      <c r="G1463" s="2" t="s">
        <v>21</v>
      </c>
      <c r="H1463" s="2">
        <v>14</v>
      </c>
      <c r="I1463" s="2" t="str">
        <f t="shared" si="88"/>
        <v>13-24 months</v>
      </c>
      <c r="J1463" s="3">
        <v>449</v>
      </c>
      <c r="K1463" s="3">
        <v>6286</v>
      </c>
      <c r="L1463" s="2" t="s">
        <v>66</v>
      </c>
      <c r="M1463" s="4">
        <v>45481</v>
      </c>
      <c r="N1463" s="2" t="s">
        <v>32</v>
      </c>
      <c r="O1463" s="2">
        <f t="shared" si="91"/>
        <v>1</v>
      </c>
      <c r="P1463" s="2" t="s">
        <v>23</v>
      </c>
      <c r="Q1463" s="2" t="s">
        <v>23</v>
      </c>
      <c r="R1463" s="2" t="s">
        <v>23</v>
      </c>
      <c r="S1463" s="2" t="s">
        <v>23</v>
      </c>
      <c r="T1463" s="2" t="s">
        <v>23</v>
      </c>
      <c r="U1463" s="25">
        <f t="shared" si="89"/>
        <v>6286.0014629999996</v>
      </c>
    </row>
    <row r="1464" spans="1:21">
      <c r="A1464" s="2" t="s">
        <v>2258</v>
      </c>
      <c r="B1464" s="2" t="s">
        <v>2259</v>
      </c>
      <c r="C1464" s="2" t="s">
        <v>19</v>
      </c>
      <c r="D1464" s="2">
        <v>59</v>
      </c>
      <c r="E1464" s="2" t="str">
        <f t="shared" si="90"/>
        <v>46-60</v>
      </c>
      <c r="F1464" s="2" t="s">
        <v>91</v>
      </c>
      <c r="G1464" s="2" t="s">
        <v>21</v>
      </c>
      <c r="H1464" s="2">
        <v>13</v>
      </c>
      <c r="I1464" s="2" t="str">
        <f t="shared" si="88"/>
        <v>13-24 months</v>
      </c>
      <c r="J1464" s="3">
        <v>449</v>
      </c>
      <c r="K1464" s="3">
        <v>5837</v>
      </c>
      <c r="L1464" s="2" t="s">
        <v>66</v>
      </c>
      <c r="M1464" s="4">
        <v>45520</v>
      </c>
      <c r="N1464" s="2" t="s">
        <v>23</v>
      </c>
      <c r="O1464" s="2">
        <f t="shared" si="91"/>
        <v>0</v>
      </c>
      <c r="P1464" s="2" t="s">
        <v>23</v>
      </c>
      <c r="Q1464" s="2" t="s">
        <v>23</v>
      </c>
      <c r="R1464" s="2" t="s">
        <v>23</v>
      </c>
      <c r="S1464" s="2" t="s">
        <v>23</v>
      </c>
      <c r="T1464" s="2" t="s">
        <v>23</v>
      </c>
      <c r="U1464" s="25">
        <f t="shared" si="89"/>
        <v>5837.0014639999999</v>
      </c>
    </row>
    <row r="1465" spans="1:21">
      <c r="A1465" s="2" t="s">
        <v>2260</v>
      </c>
      <c r="B1465" s="2" t="s">
        <v>1969</v>
      </c>
      <c r="C1465" s="2" t="s">
        <v>19</v>
      </c>
      <c r="D1465" s="2">
        <v>60</v>
      </c>
      <c r="E1465" s="2" t="str">
        <f t="shared" si="90"/>
        <v>46-60</v>
      </c>
      <c r="F1465" s="2" t="s">
        <v>20</v>
      </c>
      <c r="G1465" s="2" t="s">
        <v>21</v>
      </c>
      <c r="H1465" s="2">
        <v>8</v>
      </c>
      <c r="I1465" s="2" t="str">
        <f t="shared" si="88"/>
        <v>7-12 months</v>
      </c>
      <c r="J1465" s="3">
        <v>849</v>
      </c>
      <c r="K1465" s="3">
        <v>6792</v>
      </c>
      <c r="L1465" s="2" t="s">
        <v>31</v>
      </c>
      <c r="M1465" s="4">
        <v>45684</v>
      </c>
      <c r="N1465" s="2" t="s">
        <v>23</v>
      </c>
      <c r="O1465" s="2">
        <f t="shared" si="91"/>
        <v>0</v>
      </c>
      <c r="P1465" s="2" t="s">
        <v>23</v>
      </c>
      <c r="Q1465" s="2" t="s">
        <v>23</v>
      </c>
      <c r="R1465" s="2" t="s">
        <v>23</v>
      </c>
      <c r="S1465" s="2" t="s">
        <v>32</v>
      </c>
      <c r="T1465" s="2" t="s">
        <v>23</v>
      </c>
      <c r="U1465" s="25">
        <f t="shared" si="89"/>
        <v>6792.0014650000003</v>
      </c>
    </row>
    <row r="1466" spans="1:21">
      <c r="A1466" s="2" t="s">
        <v>2261</v>
      </c>
      <c r="B1466" s="2" t="s">
        <v>1391</v>
      </c>
      <c r="C1466" s="2" t="s">
        <v>19</v>
      </c>
      <c r="D1466" s="2">
        <v>54</v>
      </c>
      <c r="E1466" s="2" t="str">
        <f t="shared" si="90"/>
        <v>46-60</v>
      </c>
      <c r="F1466" s="2" t="s">
        <v>36</v>
      </c>
      <c r="G1466" s="2" t="s">
        <v>27</v>
      </c>
      <c r="H1466" s="2">
        <v>1</v>
      </c>
      <c r="I1466" s="2" t="str">
        <f t="shared" si="88"/>
        <v>0-6 months</v>
      </c>
      <c r="J1466" s="3">
        <v>899</v>
      </c>
      <c r="K1466" s="3">
        <v>899</v>
      </c>
      <c r="L1466" s="2" t="s">
        <v>22</v>
      </c>
      <c r="M1466" s="4">
        <v>45894</v>
      </c>
      <c r="N1466" s="2" t="s">
        <v>32</v>
      </c>
      <c r="O1466" s="2">
        <f t="shared" si="91"/>
        <v>1</v>
      </c>
      <c r="P1466" s="2" t="s">
        <v>23</v>
      </c>
      <c r="Q1466" s="2" t="s">
        <v>23</v>
      </c>
      <c r="R1466" s="2" t="s">
        <v>32</v>
      </c>
      <c r="S1466" s="2" t="s">
        <v>23</v>
      </c>
      <c r="T1466" s="2" t="s">
        <v>23</v>
      </c>
      <c r="U1466" s="25">
        <f t="shared" si="89"/>
        <v>899.00146600000005</v>
      </c>
    </row>
    <row r="1467" spans="1:21">
      <c r="A1467" s="2" t="s">
        <v>2262</v>
      </c>
      <c r="B1467" s="2" t="s">
        <v>2263</v>
      </c>
      <c r="C1467" s="2" t="s">
        <v>19</v>
      </c>
      <c r="D1467" s="2">
        <v>38</v>
      </c>
      <c r="E1467" s="2" t="str">
        <f t="shared" si="90"/>
        <v>36-45</v>
      </c>
      <c r="F1467" s="2" t="s">
        <v>105</v>
      </c>
      <c r="G1467" s="2" t="s">
        <v>21</v>
      </c>
      <c r="H1467" s="2">
        <v>9</v>
      </c>
      <c r="I1467" s="2" t="str">
        <f t="shared" si="88"/>
        <v>7-12 months</v>
      </c>
      <c r="J1467" s="3">
        <v>1199</v>
      </c>
      <c r="K1467" s="3">
        <v>10791</v>
      </c>
      <c r="L1467" s="2" t="s">
        <v>22</v>
      </c>
      <c r="M1467" s="4">
        <v>45654</v>
      </c>
      <c r="N1467" s="2" t="s">
        <v>23</v>
      </c>
      <c r="O1467" s="2">
        <f t="shared" si="91"/>
        <v>0</v>
      </c>
      <c r="P1467" s="2" t="s">
        <v>23</v>
      </c>
      <c r="Q1467" s="2" t="s">
        <v>23</v>
      </c>
      <c r="R1467" s="2" t="s">
        <v>23</v>
      </c>
      <c r="S1467" s="2" t="s">
        <v>23</v>
      </c>
      <c r="T1467" s="2" t="s">
        <v>23</v>
      </c>
      <c r="U1467" s="25">
        <f t="shared" si="89"/>
        <v>10791.001467</v>
      </c>
    </row>
    <row r="1468" spans="1:21">
      <c r="A1468" s="2" t="s">
        <v>2264</v>
      </c>
      <c r="B1468" s="2" t="s">
        <v>1488</v>
      </c>
      <c r="C1468" s="2" t="s">
        <v>19</v>
      </c>
      <c r="D1468" s="2">
        <v>30</v>
      </c>
      <c r="E1468" s="2" t="str">
        <f t="shared" si="90"/>
        <v>26-35</v>
      </c>
      <c r="F1468" s="2" t="s">
        <v>57</v>
      </c>
      <c r="G1468" s="2" t="s">
        <v>27</v>
      </c>
      <c r="H1468" s="2">
        <v>16</v>
      </c>
      <c r="I1468" s="2" t="str">
        <f t="shared" si="88"/>
        <v>13-24 months</v>
      </c>
      <c r="J1468" s="3">
        <v>449</v>
      </c>
      <c r="K1468" s="3">
        <v>7184</v>
      </c>
      <c r="L1468" s="2" t="s">
        <v>66</v>
      </c>
      <c r="M1468" s="4">
        <v>45440</v>
      </c>
      <c r="N1468" s="2" t="s">
        <v>23</v>
      </c>
      <c r="O1468" s="2">
        <f t="shared" si="91"/>
        <v>0</v>
      </c>
      <c r="P1468" s="2" t="s">
        <v>23</v>
      </c>
      <c r="Q1468" s="2" t="s">
        <v>23</v>
      </c>
      <c r="R1468" s="2" t="s">
        <v>23</v>
      </c>
      <c r="S1468" s="2" t="s">
        <v>23</v>
      </c>
      <c r="T1468" s="2" t="s">
        <v>23</v>
      </c>
      <c r="U1468" s="25">
        <f t="shared" si="89"/>
        <v>7184.0014680000004</v>
      </c>
    </row>
    <row r="1469" spans="1:21">
      <c r="A1469" s="2" t="s">
        <v>2265</v>
      </c>
      <c r="B1469" s="2" t="s">
        <v>1126</v>
      </c>
      <c r="C1469" s="2" t="s">
        <v>19</v>
      </c>
      <c r="D1469" s="2">
        <v>28</v>
      </c>
      <c r="E1469" s="2" t="str">
        <f t="shared" si="90"/>
        <v>26-35</v>
      </c>
      <c r="F1469" s="2" t="s">
        <v>36</v>
      </c>
      <c r="G1469" s="2" t="s">
        <v>27</v>
      </c>
      <c r="H1469" s="2">
        <v>30</v>
      </c>
      <c r="I1469" s="2" t="str">
        <f t="shared" si="88"/>
        <v>25-48 months</v>
      </c>
      <c r="J1469" s="3">
        <v>399</v>
      </c>
      <c r="K1469" s="3">
        <v>11970</v>
      </c>
      <c r="L1469" s="2" t="s">
        <v>66</v>
      </c>
      <c r="M1469" s="4">
        <v>45000</v>
      </c>
      <c r="N1469" s="2" t="s">
        <v>23</v>
      </c>
      <c r="O1469" s="2">
        <f t="shared" si="91"/>
        <v>0</v>
      </c>
      <c r="P1469" s="2" t="s">
        <v>23</v>
      </c>
      <c r="Q1469" s="2" t="s">
        <v>23</v>
      </c>
      <c r="R1469" s="2" t="s">
        <v>23</v>
      </c>
      <c r="S1469" s="2" t="s">
        <v>23</v>
      </c>
      <c r="T1469" s="2" t="s">
        <v>23</v>
      </c>
      <c r="U1469" s="25">
        <f t="shared" si="89"/>
        <v>11970.001469000001</v>
      </c>
    </row>
    <row r="1470" spans="1:21">
      <c r="A1470" s="2" t="s">
        <v>2266</v>
      </c>
      <c r="B1470" s="2" t="s">
        <v>1146</v>
      </c>
      <c r="C1470" s="2" t="s">
        <v>35</v>
      </c>
      <c r="D1470" s="2">
        <v>35</v>
      </c>
      <c r="E1470" s="2" t="str">
        <f t="shared" si="90"/>
        <v>26-35</v>
      </c>
      <c r="F1470" s="2" t="s">
        <v>63</v>
      </c>
      <c r="G1470" s="2" t="s">
        <v>21</v>
      </c>
      <c r="H1470" s="2">
        <v>17</v>
      </c>
      <c r="I1470" s="2" t="str">
        <f t="shared" si="88"/>
        <v>13-24 months</v>
      </c>
      <c r="J1470" s="3">
        <v>599</v>
      </c>
      <c r="K1470" s="3">
        <v>10183</v>
      </c>
      <c r="L1470" s="2" t="s">
        <v>31</v>
      </c>
      <c r="M1470" s="4">
        <v>45398</v>
      </c>
      <c r="N1470" s="2" t="s">
        <v>32</v>
      </c>
      <c r="O1470" s="2">
        <f t="shared" si="91"/>
        <v>1</v>
      </c>
      <c r="P1470" s="2" t="s">
        <v>23</v>
      </c>
      <c r="Q1470" s="2" t="s">
        <v>23</v>
      </c>
      <c r="R1470" s="2" t="s">
        <v>23</v>
      </c>
      <c r="S1470" s="2" t="s">
        <v>23</v>
      </c>
      <c r="T1470" s="2" t="s">
        <v>23</v>
      </c>
      <c r="U1470" s="25">
        <f t="shared" si="89"/>
        <v>10183.001469999999</v>
      </c>
    </row>
    <row r="1471" spans="1:21">
      <c r="A1471" s="2" t="s">
        <v>2267</v>
      </c>
      <c r="B1471" s="2" t="s">
        <v>2268</v>
      </c>
      <c r="C1471" s="2" t="s">
        <v>19</v>
      </c>
      <c r="D1471" s="2">
        <v>62</v>
      </c>
      <c r="E1471" s="2" t="str">
        <f t="shared" si="90"/>
        <v>60+</v>
      </c>
      <c r="F1471" s="2" t="s">
        <v>57</v>
      </c>
      <c r="G1471" s="2" t="s">
        <v>21</v>
      </c>
      <c r="H1471" s="2">
        <v>13</v>
      </c>
      <c r="I1471" s="2" t="str">
        <f t="shared" si="88"/>
        <v>13-24 months</v>
      </c>
      <c r="J1471" s="3">
        <v>999</v>
      </c>
      <c r="K1471" s="3">
        <v>12987</v>
      </c>
      <c r="L1471" s="2" t="s">
        <v>22</v>
      </c>
      <c r="M1471" s="4">
        <v>45510</v>
      </c>
      <c r="N1471" s="2" t="s">
        <v>32</v>
      </c>
      <c r="O1471" s="2">
        <f t="shared" si="91"/>
        <v>1</v>
      </c>
      <c r="P1471" s="2" t="s">
        <v>23</v>
      </c>
      <c r="Q1471" s="2" t="s">
        <v>23</v>
      </c>
      <c r="R1471" s="2" t="s">
        <v>23</v>
      </c>
      <c r="S1471" s="2" t="s">
        <v>23</v>
      </c>
      <c r="T1471" s="2" t="s">
        <v>23</v>
      </c>
      <c r="U1471" s="25">
        <f t="shared" si="89"/>
        <v>12987.001471</v>
      </c>
    </row>
    <row r="1472" spans="1:21">
      <c r="A1472" s="2" t="s">
        <v>2269</v>
      </c>
      <c r="B1472" s="2" t="s">
        <v>149</v>
      </c>
      <c r="C1472" s="2" t="s">
        <v>19</v>
      </c>
      <c r="D1472" s="2">
        <v>59</v>
      </c>
      <c r="E1472" s="2" t="str">
        <f t="shared" si="90"/>
        <v>46-60</v>
      </c>
      <c r="F1472" s="2" t="s">
        <v>60</v>
      </c>
      <c r="G1472" s="2" t="s">
        <v>21</v>
      </c>
      <c r="H1472" s="2">
        <v>18</v>
      </c>
      <c r="I1472" s="2" t="str">
        <f t="shared" si="88"/>
        <v>13-24 months</v>
      </c>
      <c r="J1472" s="3">
        <v>399</v>
      </c>
      <c r="K1472" s="3">
        <v>7182</v>
      </c>
      <c r="L1472" s="2" t="s">
        <v>66</v>
      </c>
      <c r="M1472" s="4">
        <v>45365</v>
      </c>
      <c r="N1472" s="2" t="s">
        <v>32</v>
      </c>
      <c r="O1472" s="2">
        <f t="shared" si="91"/>
        <v>1</v>
      </c>
      <c r="P1472" s="2" t="s">
        <v>23</v>
      </c>
      <c r="Q1472" s="2" t="s">
        <v>23</v>
      </c>
      <c r="R1472" s="2" t="s">
        <v>23</v>
      </c>
      <c r="S1472" s="2" t="s">
        <v>23</v>
      </c>
      <c r="T1472" s="2" t="s">
        <v>23</v>
      </c>
      <c r="U1472" s="25">
        <f t="shared" si="89"/>
        <v>7182.0014719999999</v>
      </c>
    </row>
    <row r="1473" spans="1:21">
      <c r="A1473" s="2" t="s">
        <v>2270</v>
      </c>
      <c r="B1473" s="2" t="s">
        <v>56</v>
      </c>
      <c r="C1473" s="2" t="s">
        <v>35</v>
      </c>
      <c r="D1473" s="2">
        <v>62</v>
      </c>
      <c r="E1473" s="2" t="str">
        <f t="shared" si="90"/>
        <v>60+</v>
      </c>
      <c r="F1473" s="2" t="s">
        <v>41</v>
      </c>
      <c r="G1473" s="2" t="s">
        <v>21</v>
      </c>
      <c r="H1473" s="2">
        <v>10</v>
      </c>
      <c r="I1473" s="2" t="str">
        <f t="shared" si="88"/>
        <v>7-12 months</v>
      </c>
      <c r="J1473" s="3">
        <v>1099</v>
      </c>
      <c r="K1473" s="3">
        <v>10990</v>
      </c>
      <c r="L1473" s="2" t="s">
        <v>22</v>
      </c>
      <c r="M1473" s="4">
        <v>45600</v>
      </c>
      <c r="N1473" s="2" t="s">
        <v>32</v>
      </c>
      <c r="O1473" s="2">
        <f t="shared" si="91"/>
        <v>1</v>
      </c>
      <c r="P1473" s="2" t="s">
        <v>23</v>
      </c>
      <c r="Q1473" s="2" t="s">
        <v>23</v>
      </c>
      <c r="R1473" s="2" t="s">
        <v>32</v>
      </c>
      <c r="S1473" s="2" t="s">
        <v>23</v>
      </c>
      <c r="T1473" s="2" t="s">
        <v>23</v>
      </c>
      <c r="U1473" s="25">
        <f t="shared" si="89"/>
        <v>10990.001473</v>
      </c>
    </row>
    <row r="1474" spans="1:21">
      <c r="A1474" s="2" t="s">
        <v>2271</v>
      </c>
      <c r="B1474" s="2" t="s">
        <v>512</v>
      </c>
      <c r="C1474" s="2" t="s">
        <v>19</v>
      </c>
      <c r="D1474" s="2">
        <v>34</v>
      </c>
      <c r="E1474" s="2" t="str">
        <f t="shared" si="90"/>
        <v>26-35</v>
      </c>
      <c r="F1474" s="2" t="s">
        <v>110</v>
      </c>
      <c r="G1474" s="2" t="s">
        <v>21</v>
      </c>
      <c r="H1474" s="2">
        <v>18</v>
      </c>
      <c r="I1474" s="2" t="str">
        <f t="shared" ref="I1474:I1537" si="92">IF(H1474="","Unknown",IF(H1474&lt;=6,"0-6 months",IF(H1474&lt;=12,"7-12 months",IF(H1474&lt;=24,"13-24 months",IF(H1474&lt;=48,"25-48 months","49+ months")))))</f>
        <v>13-24 months</v>
      </c>
      <c r="J1474" s="3">
        <v>549</v>
      </c>
      <c r="K1474" s="3">
        <v>9882</v>
      </c>
      <c r="L1474" s="2" t="s">
        <v>66</v>
      </c>
      <c r="M1474" s="4">
        <v>45372</v>
      </c>
      <c r="N1474" s="2" t="s">
        <v>23</v>
      </c>
      <c r="O1474" s="2">
        <f t="shared" si="91"/>
        <v>0</v>
      </c>
      <c r="P1474" s="2" t="s">
        <v>23</v>
      </c>
      <c r="Q1474" s="2" t="s">
        <v>23</v>
      </c>
      <c r="R1474" s="2" t="s">
        <v>23</v>
      </c>
      <c r="S1474" s="2" t="s">
        <v>23</v>
      </c>
      <c r="T1474" s="2" t="s">
        <v>23</v>
      </c>
      <c r="U1474" s="25">
        <f t="shared" ref="U1474:U1537" si="93">IF(K1474="","",K1474+ROW()/1000000)</f>
        <v>9882.0014740000006</v>
      </c>
    </row>
    <row r="1475" spans="1:21">
      <c r="A1475" s="2" t="s">
        <v>2272</v>
      </c>
      <c r="B1475" s="2" t="s">
        <v>375</v>
      </c>
      <c r="C1475" s="2" t="s">
        <v>19</v>
      </c>
      <c r="D1475" s="2">
        <v>18</v>
      </c>
      <c r="E1475" s="2" t="str">
        <f t="shared" ref="E1475:E1538" si="94">IF(D1475&lt;=25,"18-25",IF(D1475&lt;=35,"26-35",IF(D1475&lt;=45,"36-45",IF(D1475&lt;=60,"46-60","60+"))))</f>
        <v>18-25</v>
      </c>
      <c r="F1475" s="2" t="s">
        <v>63</v>
      </c>
      <c r="G1475" s="2" t="s">
        <v>47</v>
      </c>
      <c r="H1475" s="2">
        <v>71</v>
      </c>
      <c r="I1475" s="2" t="str">
        <f t="shared" si="92"/>
        <v>49+ months</v>
      </c>
      <c r="J1475" s="3">
        <v>749</v>
      </c>
      <c r="K1475" s="3">
        <v>53179</v>
      </c>
      <c r="L1475" s="2" t="s">
        <v>31</v>
      </c>
      <c r="M1475" s="4">
        <v>43792</v>
      </c>
      <c r="N1475" s="2" t="s">
        <v>32</v>
      </c>
      <c r="O1475" s="2">
        <f t="shared" ref="O1475:O1538" si="95">IF(N1475="Yes",1,IF(N1475="No",0,""))</f>
        <v>1</v>
      </c>
      <c r="P1475" s="2" t="s">
        <v>23</v>
      </c>
      <c r="Q1475" s="2" t="s">
        <v>23</v>
      </c>
      <c r="R1475" s="2" t="s">
        <v>23</v>
      </c>
      <c r="S1475" s="2" t="s">
        <v>23</v>
      </c>
      <c r="T1475" s="2" t="s">
        <v>23</v>
      </c>
      <c r="U1475" s="25">
        <f t="shared" si="93"/>
        <v>53179.001474999997</v>
      </c>
    </row>
    <row r="1476" spans="1:21">
      <c r="A1476" s="2" t="s">
        <v>2273</v>
      </c>
      <c r="B1476" s="2" t="s">
        <v>1764</v>
      </c>
      <c r="C1476" s="2" t="s">
        <v>19</v>
      </c>
      <c r="D1476" s="2">
        <v>37</v>
      </c>
      <c r="E1476" s="2" t="str">
        <f t="shared" si="94"/>
        <v>36-45</v>
      </c>
      <c r="F1476" s="2" t="s">
        <v>141</v>
      </c>
      <c r="G1476" s="2" t="s">
        <v>27</v>
      </c>
      <c r="H1476" s="2">
        <v>18</v>
      </c>
      <c r="I1476" s="2" t="str">
        <f t="shared" si="92"/>
        <v>13-24 months</v>
      </c>
      <c r="J1476" s="3">
        <v>799</v>
      </c>
      <c r="K1476" s="3">
        <v>14382</v>
      </c>
      <c r="L1476" s="2" t="s">
        <v>31</v>
      </c>
      <c r="M1476" s="4">
        <v>45369</v>
      </c>
      <c r="N1476" s="2" t="s">
        <v>23</v>
      </c>
      <c r="O1476" s="2">
        <f t="shared" si="95"/>
        <v>0</v>
      </c>
      <c r="P1476" s="2" t="s">
        <v>23</v>
      </c>
      <c r="Q1476" s="2" t="s">
        <v>23</v>
      </c>
      <c r="R1476" s="2" t="s">
        <v>23</v>
      </c>
      <c r="S1476" s="2" t="s">
        <v>23</v>
      </c>
      <c r="T1476" s="2" t="s">
        <v>23</v>
      </c>
      <c r="U1476" s="25">
        <f t="shared" si="93"/>
        <v>14382.001475999999</v>
      </c>
    </row>
    <row r="1477" spans="1:21">
      <c r="A1477" s="2" t="s">
        <v>2274</v>
      </c>
      <c r="B1477" s="2" t="s">
        <v>2275</v>
      </c>
      <c r="C1477" s="2" t="s">
        <v>35</v>
      </c>
      <c r="D1477" s="2">
        <v>48</v>
      </c>
      <c r="E1477" s="2" t="str">
        <f t="shared" si="94"/>
        <v>46-60</v>
      </c>
      <c r="F1477" s="2" t="s">
        <v>91</v>
      </c>
      <c r="G1477" s="2" t="s">
        <v>21</v>
      </c>
      <c r="H1477" s="2">
        <v>2</v>
      </c>
      <c r="I1477" s="2" t="str">
        <f t="shared" si="92"/>
        <v>0-6 months</v>
      </c>
      <c r="J1477" s="3">
        <v>899</v>
      </c>
      <c r="K1477" s="3">
        <v>1798</v>
      </c>
      <c r="L1477" s="2" t="s">
        <v>31</v>
      </c>
      <c r="M1477" s="4">
        <v>45861</v>
      </c>
      <c r="N1477" s="2" t="s">
        <v>32</v>
      </c>
      <c r="O1477" s="2">
        <f t="shared" si="95"/>
        <v>1</v>
      </c>
      <c r="P1477" s="2" t="s">
        <v>23</v>
      </c>
      <c r="Q1477" s="2" t="s">
        <v>23</v>
      </c>
      <c r="R1477" s="2" t="s">
        <v>23</v>
      </c>
      <c r="S1477" s="2" t="s">
        <v>23</v>
      </c>
      <c r="T1477" s="2" t="s">
        <v>23</v>
      </c>
      <c r="U1477" s="25">
        <f t="shared" si="93"/>
        <v>1798.001477</v>
      </c>
    </row>
    <row r="1478" spans="1:21">
      <c r="A1478" s="2" t="s">
        <v>2276</v>
      </c>
      <c r="B1478" s="2" t="s">
        <v>1144</v>
      </c>
      <c r="C1478" s="2" t="s">
        <v>35</v>
      </c>
      <c r="D1478" s="2">
        <v>45</v>
      </c>
      <c r="E1478" s="2" t="str">
        <f t="shared" si="94"/>
        <v>36-45</v>
      </c>
      <c r="F1478" s="2" t="s">
        <v>26</v>
      </c>
      <c r="G1478" s="2" t="s">
        <v>21</v>
      </c>
      <c r="H1478" s="2">
        <v>19</v>
      </c>
      <c r="I1478" s="2" t="str">
        <f t="shared" si="92"/>
        <v>13-24 months</v>
      </c>
      <c r="J1478" s="3">
        <v>649</v>
      </c>
      <c r="K1478" s="3">
        <v>12331</v>
      </c>
      <c r="L1478" s="2" t="s">
        <v>31</v>
      </c>
      <c r="M1478" s="4">
        <v>45352</v>
      </c>
      <c r="N1478" s="2" t="s">
        <v>23</v>
      </c>
      <c r="O1478" s="2">
        <f t="shared" si="95"/>
        <v>0</v>
      </c>
      <c r="P1478" s="2" t="s">
        <v>23</v>
      </c>
      <c r="Q1478" s="2" t="s">
        <v>23</v>
      </c>
      <c r="R1478" s="2" t="s">
        <v>23</v>
      </c>
      <c r="S1478" s="2" t="s">
        <v>23</v>
      </c>
      <c r="T1478" s="2" t="s">
        <v>23</v>
      </c>
      <c r="U1478" s="25">
        <f t="shared" si="93"/>
        <v>12331.001478</v>
      </c>
    </row>
    <row r="1479" spans="1:21">
      <c r="A1479" s="2" t="s">
        <v>2277</v>
      </c>
      <c r="B1479" s="2" t="s">
        <v>140</v>
      </c>
      <c r="C1479" s="2" t="s">
        <v>35</v>
      </c>
      <c r="D1479" s="2">
        <v>65</v>
      </c>
      <c r="E1479" s="2" t="str">
        <f t="shared" si="94"/>
        <v>60+</v>
      </c>
      <c r="F1479" s="2" t="s">
        <v>41</v>
      </c>
      <c r="G1479" s="2" t="s">
        <v>21</v>
      </c>
      <c r="H1479" s="2">
        <v>18</v>
      </c>
      <c r="I1479" s="2" t="str">
        <f t="shared" si="92"/>
        <v>13-24 months</v>
      </c>
      <c r="J1479" s="3">
        <v>399</v>
      </c>
      <c r="K1479" s="3">
        <v>7182</v>
      </c>
      <c r="L1479" s="2" t="s">
        <v>66</v>
      </c>
      <c r="M1479" s="4">
        <v>45382</v>
      </c>
      <c r="N1479" s="2" t="s">
        <v>32</v>
      </c>
      <c r="O1479" s="2">
        <f t="shared" si="95"/>
        <v>1</v>
      </c>
      <c r="P1479" s="2" t="s">
        <v>23</v>
      </c>
      <c r="Q1479" s="2" t="s">
        <v>23</v>
      </c>
      <c r="R1479" s="2" t="s">
        <v>23</v>
      </c>
      <c r="S1479" s="2" t="s">
        <v>23</v>
      </c>
      <c r="T1479" s="2" t="s">
        <v>23</v>
      </c>
      <c r="U1479" s="25">
        <f t="shared" si="93"/>
        <v>7182.0014789999996</v>
      </c>
    </row>
    <row r="1480" spans="1:21">
      <c r="A1480" s="2" t="s">
        <v>2278</v>
      </c>
      <c r="B1480" s="2" t="s">
        <v>242</v>
      </c>
      <c r="C1480" s="2" t="s">
        <v>19</v>
      </c>
      <c r="D1480" s="2">
        <v>20</v>
      </c>
      <c r="E1480" s="2" t="str">
        <f t="shared" si="94"/>
        <v>18-25</v>
      </c>
      <c r="F1480" s="2" t="s">
        <v>46</v>
      </c>
      <c r="G1480" s="2" t="s">
        <v>21</v>
      </c>
      <c r="H1480" s="2">
        <v>4</v>
      </c>
      <c r="I1480" s="2" t="str">
        <f t="shared" si="92"/>
        <v>0-6 months</v>
      </c>
      <c r="J1480" s="3">
        <v>1199</v>
      </c>
      <c r="K1480" s="3">
        <v>4796</v>
      </c>
      <c r="L1480" s="2" t="s">
        <v>22</v>
      </c>
      <c r="M1480" s="4">
        <v>45780</v>
      </c>
      <c r="N1480" s="2" t="s">
        <v>23</v>
      </c>
      <c r="O1480" s="2">
        <f t="shared" si="95"/>
        <v>0</v>
      </c>
      <c r="P1480" s="2" t="s">
        <v>23</v>
      </c>
      <c r="Q1480" s="2" t="s">
        <v>23</v>
      </c>
      <c r="R1480" s="2" t="s">
        <v>23</v>
      </c>
      <c r="S1480" s="2" t="s">
        <v>23</v>
      </c>
      <c r="T1480" s="2" t="s">
        <v>23</v>
      </c>
      <c r="U1480" s="25">
        <f t="shared" si="93"/>
        <v>4796.0014799999999</v>
      </c>
    </row>
    <row r="1481" spans="1:21">
      <c r="A1481" s="2" t="s">
        <v>2279</v>
      </c>
      <c r="B1481" s="2" t="s">
        <v>473</v>
      </c>
      <c r="C1481" s="2" t="s">
        <v>19</v>
      </c>
      <c r="D1481" s="2">
        <v>47</v>
      </c>
      <c r="E1481" s="2" t="str">
        <f t="shared" si="94"/>
        <v>46-60</v>
      </c>
      <c r="F1481" s="2" t="s">
        <v>91</v>
      </c>
      <c r="G1481" s="2" t="s">
        <v>21</v>
      </c>
      <c r="H1481" s="2">
        <v>20</v>
      </c>
      <c r="I1481" s="2" t="str">
        <f t="shared" si="92"/>
        <v>13-24 months</v>
      </c>
      <c r="J1481" s="3">
        <v>399</v>
      </c>
      <c r="K1481" s="3">
        <v>7980</v>
      </c>
      <c r="L1481" s="2" t="s">
        <v>66</v>
      </c>
      <c r="M1481" s="4">
        <v>45306</v>
      </c>
      <c r="N1481" s="2" t="s">
        <v>32</v>
      </c>
      <c r="O1481" s="2">
        <f t="shared" si="95"/>
        <v>1</v>
      </c>
      <c r="P1481" s="2" t="s">
        <v>32</v>
      </c>
      <c r="Q1481" s="2" t="s">
        <v>23</v>
      </c>
      <c r="R1481" s="2" t="s">
        <v>23</v>
      </c>
      <c r="S1481" s="2" t="s">
        <v>23</v>
      </c>
      <c r="T1481" s="2" t="s">
        <v>23</v>
      </c>
      <c r="U1481" s="25">
        <f t="shared" si="93"/>
        <v>7980.0014810000002</v>
      </c>
    </row>
    <row r="1482" spans="1:21">
      <c r="A1482" s="2" t="s">
        <v>2280</v>
      </c>
      <c r="B1482" s="2" t="s">
        <v>965</v>
      </c>
      <c r="C1482" s="2" t="s">
        <v>35</v>
      </c>
      <c r="D1482" s="2">
        <v>60</v>
      </c>
      <c r="E1482" s="2" t="str">
        <f t="shared" si="94"/>
        <v>46-60</v>
      </c>
      <c r="F1482" s="2" t="s">
        <v>110</v>
      </c>
      <c r="G1482" s="2" t="s">
        <v>27</v>
      </c>
      <c r="H1482" s="2">
        <v>32</v>
      </c>
      <c r="I1482" s="2" t="str">
        <f t="shared" si="92"/>
        <v>25-48 months</v>
      </c>
      <c r="J1482" s="3">
        <v>899</v>
      </c>
      <c r="K1482" s="3">
        <v>28768</v>
      </c>
      <c r="L1482" s="2" t="s">
        <v>31</v>
      </c>
      <c r="M1482" s="4">
        <v>44965</v>
      </c>
      <c r="N1482" s="2" t="s">
        <v>23</v>
      </c>
      <c r="O1482" s="2">
        <f t="shared" si="95"/>
        <v>0</v>
      </c>
      <c r="P1482" s="2" t="s">
        <v>23</v>
      </c>
      <c r="Q1482" s="2" t="s">
        <v>23</v>
      </c>
      <c r="R1482" s="2" t="s">
        <v>23</v>
      </c>
      <c r="S1482" s="2" t="s">
        <v>23</v>
      </c>
      <c r="T1482" s="2" t="s">
        <v>23</v>
      </c>
      <c r="U1482" s="25">
        <f t="shared" si="93"/>
        <v>28768.001482</v>
      </c>
    </row>
    <row r="1483" spans="1:21">
      <c r="A1483" s="2" t="s">
        <v>2281</v>
      </c>
      <c r="B1483" s="2" t="s">
        <v>212</v>
      </c>
      <c r="C1483" s="2" t="s">
        <v>19</v>
      </c>
      <c r="D1483" s="2">
        <v>32</v>
      </c>
      <c r="E1483" s="2" t="str">
        <f t="shared" si="94"/>
        <v>26-35</v>
      </c>
      <c r="F1483" s="2" t="s">
        <v>91</v>
      </c>
      <c r="G1483" s="2" t="s">
        <v>21</v>
      </c>
      <c r="H1483" s="2">
        <v>12</v>
      </c>
      <c r="I1483" s="2" t="str">
        <f t="shared" si="92"/>
        <v>7-12 months</v>
      </c>
      <c r="J1483" s="3">
        <v>1299</v>
      </c>
      <c r="K1483" s="3">
        <v>15588</v>
      </c>
      <c r="L1483" s="2" t="s">
        <v>22</v>
      </c>
      <c r="M1483" s="4">
        <v>45563</v>
      </c>
      <c r="N1483" s="2" t="s">
        <v>23</v>
      </c>
      <c r="O1483" s="2">
        <f t="shared" si="95"/>
        <v>0</v>
      </c>
      <c r="P1483" s="2" t="s">
        <v>23</v>
      </c>
      <c r="Q1483" s="2" t="s">
        <v>23</v>
      </c>
      <c r="R1483" s="2" t="s">
        <v>23</v>
      </c>
      <c r="S1483" s="2" t="s">
        <v>23</v>
      </c>
      <c r="T1483" s="2" t="s">
        <v>23</v>
      </c>
      <c r="U1483" s="25">
        <f t="shared" si="93"/>
        <v>15588.001483</v>
      </c>
    </row>
    <row r="1484" spans="1:21">
      <c r="A1484" s="2" t="s">
        <v>2282</v>
      </c>
      <c r="B1484" s="2" t="s">
        <v>258</v>
      </c>
      <c r="C1484" s="2" t="s">
        <v>37</v>
      </c>
      <c r="D1484" s="2">
        <v>54</v>
      </c>
      <c r="E1484" s="2" t="str">
        <f t="shared" si="94"/>
        <v>46-60</v>
      </c>
      <c r="F1484" s="2" t="s">
        <v>36</v>
      </c>
      <c r="G1484" s="2" t="s">
        <v>27</v>
      </c>
      <c r="H1484" s="2">
        <v>11</v>
      </c>
      <c r="I1484" s="2" t="str">
        <f t="shared" si="92"/>
        <v>7-12 months</v>
      </c>
      <c r="J1484" s="3">
        <v>649</v>
      </c>
      <c r="K1484" s="3">
        <v>7139</v>
      </c>
      <c r="L1484" s="2" t="s">
        <v>31</v>
      </c>
      <c r="M1484" s="4">
        <v>45592</v>
      </c>
      <c r="N1484" s="2" t="s">
        <v>23</v>
      </c>
      <c r="O1484" s="2">
        <f t="shared" si="95"/>
        <v>0</v>
      </c>
      <c r="P1484" s="2" t="s">
        <v>23</v>
      </c>
      <c r="Q1484" s="2" t="s">
        <v>23</v>
      </c>
      <c r="R1484" s="2" t="s">
        <v>23</v>
      </c>
      <c r="S1484" s="2" t="s">
        <v>23</v>
      </c>
      <c r="T1484" s="2" t="s">
        <v>23</v>
      </c>
      <c r="U1484" s="25">
        <f t="shared" si="93"/>
        <v>7139.0014840000003</v>
      </c>
    </row>
    <row r="1485" spans="1:21">
      <c r="A1485" s="2" t="s">
        <v>2283</v>
      </c>
      <c r="B1485" s="2" t="s">
        <v>1129</v>
      </c>
      <c r="C1485" s="2" t="s">
        <v>19</v>
      </c>
      <c r="D1485" s="2">
        <v>36</v>
      </c>
      <c r="E1485" s="2" t="str">
        <f t="shared" si="94"/>
        <v>36-45</v>
      </c>
      <c r="F1485" s="2" t="s">
        <v>60</v>
      </c>
      <c r="G1485" s="2" t="s">
        <v>21</v>
      </c>
      <c r="H1485" s="2">
        <v>20</v>
      </c>
      <c r="I1485" s="2" t="str">
        <f t="shared" si="92"/>
        <v>13-24 months</v>
      </c>
      <c r="J1485" s="3">
        <v>899</v>
      </c>
      <c r="K1485" s="3">
        <v>17980</v>
      </c>
      <c r="L1485" s="2" t="s">
        <v>22</v>
      </c>
      <c r="M1485" s="4">
        <v>45305</v>
      </c>
      <c r="N1485" s="2" t="s">
        <v>23</v>
      </c>
      <c r="O1485" s="2">
        <f t="shared" si="95"/>
        <v>0</v>
      </c>
      <c r="P1485" s="2" t="s">
        <v>23</v>
      </c>
      <c r="Q1485" s="2" t="s">
        <v>23</v>
      </c>
      <c r="R1485" s="2" t="s">
        <v>23</v>
      </c>
      <c r="S1485" s="2" t="s">
        <v>23</v>
      </c>
      <c r="T1485" s="2" t="s">
        <v>23</v>
      </c>
      <c r="U1485" s="25">
        <f t="shared" si="93"/>
        <v>17980.001485000001</v>
      </c>
    </row>
    <row r="1486" spans="1:21">
      <c r="A1486" s="2" t="s">
        <v>2284</v>
      </c>
      <c r="B1486" s="2" t="s">
        <v>1080</v>
      </c>
      <c r="C1486" s="2" t="s">
        <v>19</v>
      </c>
      <c r="D1486" s="2">
        <v>66</v>
      </c>
      <c r="E1486" s="2" t="str">
        <f t="shared" si="94"/>
        <v>60+</v>
      </c>
      <c r="F1486" s="2" t="s">
        <v>110</v>
      </c>
      <c r="G1486" s="2" t="s">
        <v>37</v>
      </c>
      <c r="H1486" s="2">
        <v>5</v>
      </c>
      <c r="I1486" s="2" t="str">
        <f t="shared" si="92"/>
        <v>0-6 months</v>
      </c>
      <c r="J1486" s="3">
        <v>899</v>
      </c>
      <c r="K1486" s="3">
        <v>4495</v>
      </c>
      <c r="L1486" s="2" t="s">
        <v>22</v>
      </c>
      <c r="M1486" s="4">
        <v>45778</v>
      </c>
      <c r="N1486" s="2" t="s">
        <v>32</v>
      </c>
      <c r="O1486" s="2">
        <f t="shared" si="95"/>
        <v>1</v>
      </c>
      <c r="P1486" s="2" t="s">
        <v>23</v>
      </c>
      <c r="Q1486" s="2" t="s">
        <v>23</v>
      </c>
      <c r="R1486" s="2" t="s">
        <v>23</v>
      </c>
      <c r="S1486" s="2" t="s">
        <v>23</v>
      </c>
      <c r="T1486" s="2" t="s">
        <v>23</v>
      </c>
      <c r="U1486" s="25">
        <f t="shared" si="93"/>
        <v>4495.0014860000001</v>
      </c>
    </row>
    <row r="1487" spans="1:21">
      <c r="A1487" s="2" t="s">
        <v>2285</v>
      </c>
      <c r="B1487" s="2" t="s">
        <v>2286</v>
      </c>
      <c r="C1487" s="2" t="s">
        <v>19</v>
      </c>
      <c r="D1487" s="2">
        <v>52</v>
      </c>
      <c r="E1487" s="2" t="str">
        <f t="shared" si="94"/>
        <v>46-60</v>
      </c>
      <c r="F1487" s="2" t="s">
        <v>63</v>
      </c>
      <c r="G1487" s="2" t="s">
        <v>27</v>
      </c>
      <c r="H1487" s="2">
        <v>7</v>
      </c>
      <c r="I1487" s="2" t="str">
        <f t="shared" si="92"/>
        <v>7-12 months</v>
      </c>
      <c r="J1487" s="3">
        <v>399</v>
      </c>
      <c r="K1487" s="3">
        <v>2793</v>
      </c>
      <c r="L1487" s="2" t="s">
        <v>66</v>
      </c>
      <c r="M1487" s="4">
        <v>45714</v>
      </c>
      <c r="N1487" s="2" t="s">
        <v>37</v>
      </c>
      <c r="O1487" s="2" t="str">
        <f t="shared" si="95"/>
        <v/>
      </c>
      <c r="P1487" s="2" t="s">
        <v>23</v>
      </c>
      <c r="Q1487" s="2" t="s">
        <v>23</v>
      </c>
      <c r="R1487" s="2" t="s">
        <v>23</v>
      </c>
      <c r="S1487" s="2" t="s">
        <v>23</v>
      </c>
      <c r="T1487" s="2" t="s">
        <v>38</v>
      </c>
      <c r="U1487" s="25">
        <f t="shared" si="93"/>
        <v>2793.001487</v>
      </c>
    </row>
    <row r="1488" spans="1:21">
      <c r="A1488" s="2" t="s">
        <v>2287</v>
      </c>
      <c r="B1488" s="2" t="s">
        <v>1623</v>
      </c>
      <c r="C1488" s="2" t="s">
        <v>35</v>
      </c>
      <c r="D1488" s="2">
        <v>32</v>
      </c>
      <c r="E1488" s="2" t="str">
        <f t="shared" si="94"/>
        <v>26-35</v>
      </c>
      <c r="F1488" s="2" t="s">
        <v>141</v>
      </c>
      <c r="G1488" s="2" t="s">
        <v>47</v>
      </c>
      <c r="H1488" s="2">
        <v>67</v>
      </c>
      <c r="I1488" s="2" t="str">
        <f t="shared" si="92"/>
        <v>49+ months</v>
      </c>
      <c r="J1488" s="3">
        <v>849</v>
      </c>
      <c r="K1488" s="3">
        <v>56883</v>
      </c>
      <c r="L1488" s="2" t="s">
        <v>31</v>
      </c>
      <c r="M1488" s="4">
        <v>43889</v>
      </c>
      <c r="N1488" s="2" t="s">
        <v>23</v>
      </c>
      <c r="O1488" s="2">
        <f t="shared" si="95"/>
        <v>0</v>
      </c>
      <c r="P1488" s="2" t="s">
        <v>23</v>
      </c>
      <c r="Q1488" s="2" t="s">
        <v>23</v>
      </c>
      <c r="R1488" s="2" t="s">
        <v>23</v>
      </c>
      <c r="S1488" s="2" t="s">
        <v>23</v>
      </c>
      <c r="T1488" s="2" t="s">
        <v>23</v>
      </c>
      <c r="U1488" s="25">
        <f t="shared" si="93"/>
        <v>56883.001488000002</v>
      </c>
    </row>
    <row r="1489" spans="1:21">
      <c r="A1489" s="2" t="s">
        <v>2288</v>
      </c>
      <c r="B1489" s="2" t="s">
        <v>1491</v>
      </c>
      <c r="C1489" s="2" t="s">
        <v>35</v>
      </c>
      <c r="D1489" s="2">
        <v>71</v>
      </c>
      <c r="E1489" s="2" t="str">
        <f t="shared" si="94"/>
        <v>60+</v>
      </c>
      <c r="F1489" s="2" t="s">
        <v>91</v>
      </c>
      <c r="G1489" s="2" t="s">
        <v>21</v>
      </c>
      <c r="H1489" s="2">
        <v>15</v>
      </c>
      <c r="I1489" s="2" t="str">
        <f t="shared" si="92"/>
        <v>13-24 months</v>
      </c>
      <c r="J1489" s="3">
        <v>999</v>
      </c>
      <c r="K1489" s="3">
        <v>14985</v>
      </c>
      <c r="L1489" s="2" t="s">
        <v>22</v>
      </c>
      <c r="M1489" s="4">
        <v>45464</v>
      </c>
      <c r="N1489" s="2" t="s">
        <v>23</v>
      </c>
      <c r="O1489" s="2">
        <f t="shared" si="95"/>
        <v>0</v>
      </c>
      <c r="P1489" s="2" t="s">
        <v>23</v>
      </c>
      <c r="Q1489" s="2" t="s">
        <v>23</v>
      </c>
      <c r="R1489" s="2" t="s">
        <v>23</v>
      </c>
      <c r="S1489" s="2" t="s">
        <v>23</v>
      </c>
      <c r="T1489" s="2" t="s">
        <v>23</v>
      </c>
      <c r="U1489" s="25">
        <f t="shared" si="93"/>
        <v>14985.001489</v>
      </c>
    </row>
    <row r="1490" spans="1:21">
      <c r="A1490" s="2" t="s">
        <v>2289</v>
      </c>
      <c r="B1490" s="2" t="s">
        <v>568</v>
      </c>
      <c r="C1490" s="2" t="s">
        <v>35</v>
      </c>
      <c r="D1490" s="2">
        <v>56</v>
      </c>
      <c r="E1490" s="2" t="str">
        <f t="shared" si="94"/>
        <v>46-60</v>
      </c>
      <c r="F1490" s="2" t="s">
        <v>20</v>
      </c>
      <c r="G1490" s="2" t="s">
        <v>47</v>
      </c>
      <c r="H1490" s="2">
        <v>3</v>
      </c>
      <c r="I1490" s="2" t="str">
        <f t="shared" si="92"/>
        <v>0-6 months</v>
      </c>
      <c r="J1490" s="3">
        <v>1099</v>
      </c>
      <c r="K1490" s="3">
        <v>3297</v>
      </c>
      <c r="L1490" s="2" t="s">
        <v>22</v>
      </c>
      <c r="M1490" s="4">
        <v>45821</v>
      </c>
      <c r="N1490" s="2" t="s">
        <v>23</v>
      </c>
      <c r="O1490" s="2">
        <f t="shared" si="95"/>
        <v>0</v>
      </c>
      <c r="P1490" s="2" t="s">
        <v>23</v>
      </c>
      <c r="Q1490" s="2" t="s">
        <v>23</v>
      </c>
      <c r="R1490" s="2" t="s">
        <v>23</v>
      </c>
      <c r="S1490" s="2" t="s">
        <v>23</v>
      </c>
      <c r="T1490" s="2" t="s">
        <v>23</v>
      </c>
      <c r="U1490" s="25">
        <f t="shared" si="93"/>
        <v>3297.0014900000001</v>
      </c>
    </row>
    <row r="1491" spans="1:21">
      <c r="A1491" s="2" t="s">
        <v>2290</v>
      </c>
      <c r="B1491" s="2" t="s">
        <v>2291</v>
      </c>
      <c r="C1491" s="2" t="s">
        <v>35</v>
      </c>
      <c r="D1491" s="2">
        <v>25</v>
      </c>
      <c r="E1491" s="2" t="str">
        <f t="shared" si="94"/>
        <v>18-25</v>
      </c>
      <c r="F1491" s="2" t="s">
        <v>110</v>
      </c>
      <c r="G1491" s="2" t="s">
        <v>27</v>
      </c>
      <c r="H1491" s="2">
        <v>15</v>
      </c>
      <c r="I1491" s="2" t="str">
        <f t="shared" si="92"/>
        <v>13-24 months</v>
      </c>
      <c r="J1491" s="3">
        <v>549</v>
      </c>
      <c r="K1491" s="3">
        <v>8235</v>
      </c>
      <c r="L1491" s="2" t="s">
        <v>66</v>
      </c>
      <c r="M1491" s="4">
        <v>45475</v>
      </c>
      <c r="N1491" s="2" t="s">
        <v>23</v>
      </c>
      <c r="O1491" s="2">
        <f t="shared" si="95"/>
        <v>0</v>
      </c>
      <c r="P1491" s="2" t="s">
        <v>23</v>
      </c>
      <c r="Q1491" s="2" t="s">
        <v>23</v>
      </c>
      <c r="R1491" s="2" t="s">
        <v>23</v>
      </c>
      <c r="S1491" s="2" t="s">
        <v>23</v>
      </c>
      <c r="T1491" s="2" t="s">
        <v>23</v>
      </c>
      <c r="U1491" s="25">
        <f t="shared" si="93"/>
        <v>8235.0014910000009</v>
      </c>
    </row>
    <row r="1492" spans="1:21">
      <c r="A1492" s="2" t="s">
        <v>2292</v>
      </c>
      <c r="B1492" s="2" t="s">
        <v>1468</v>
      </c>
      <c r="C1492" s="2" t="s">
        <v>35</v>
      </c>
      <c r="D1492" s="2">
        <v>55</v>
      </c>
      <c r="E1492" s="2" t="str">
        <f t="shared" si="94"/>
        <v>46-60</v>
      </c>
      <c r="F1492" s="2" t="s">
        <v>141</v>
      </c>
      <c r="G1492" s="2" t="s">
        <v>27</v>
      </c>
      <c r="H1492" s="2">
        <v>34</v>
      </c>
      <c r="I1492" s="2" t="str">
        <f t="shared" si="92"/>
        <v>25-48 months</v>
      </c>
      <c r="J1492" s="3">
        <v>649</v>
      </c>
      <c r="K1492" s="3">
        <v>22066</v>
      </c>
      <c r="L1492" s="2" t="s">
        <v>31</v>
      </c>
      <c r="M1492" s="4">
        <v>44901</v>
      </c>
      <c r="N1492" s="2" t="s">
        <v>23</v>
      </c>
      <c r="O1492" s="2">
        <f t="shared" si="95"/>
        <v>0</v>
      </c>
      <c r="P1492" s="2" t="s">
        <v>23</v>
      </c>
      <c r="Q1492" s="2" t="s">
        <v>23</v>
      </c>
      <c r="R1492" s="2" t="s">
        <v>23</v>
      </c>
      <c r="S1492" s="2" t="s">
        <v>23</v>
      </c>
      <c r="T1492" s="2" t="s">
        <v>23</v>
      </c>
      <c r="U1492" s="25">
        <f t="shared" si="93"/>
        <v>22066.001491999999</v>
      </c>
    </row>
    <row r="1493" spans="1:21">
      <c r="A1493" s="2" t="s">
        <v>2293</v>
      </c>
      <c r="B1493" s="2" t="s">
        <v>1689</v>
      </c>
      <c r="C1493" s="2" t="s">
        <v>19</v>
      </c>
      <c r="D1493" s="2">
        <v>52</v>
      </c>
      <c r="E1493" s="2" t="str">
        <f t="shared" si="94"/>
        <v>46-60</v>
      </c>
      <c r="F1493" s="2" t="s">
        <v>41</v>
      </c>
      <c r="G1493" s="2" t="s">
        <v>21</v>
      </c>
      <c r="H1493" s="2">
        <v>11</v>
      </c>
      <c r="I1493" s="2" t="str">
        <f t="shared" si="92"/>
        <v>7-12 months</v>
      </c>
      <c r="J1493" s="3">
        <v>1149</v>
      </c>
      <c r="K1493" s="3">
        <v>12639</v>
      </c>
      <c r="L1493" s="2" t="s">
        <v>22</v>
      </c>
      <c r="M1493" s="4">
        <v>45588</v>
      </c>
      <c r="N1493" s="2" t="s">
        <v>32</v>
      </c>
      <c r="O1493" s="2">
        <f t="shared" si="95"/>
        <v>1</v>
      </c>
      <c r="P1493" s="2" t="s">
        <v>23</v>
      </c>
      <c r="Q1493" s="2" t="s">
        <v>23</v>
      </c>
      <c r="R1493" s="2" t="s">
        <v>23</v>
      </c>
      <c r="S1493" s="2" t="s">
        <v>23</v>
      </c>
      <c r="T1493" s="2" t="s">
        <v>23</v>
      </c>
      <c r="U1493" s="25">
        <f t="shared" si="93"/>
        <v>12639.001493</v>
      </c>
    </row>
    <row r="1494" spans="1:21">
      <c r="A1494" s="2" t="s">
        <v>2294</v>
      </c>
      <c r="B1494" s="2" t="s">
        <v>2295</v>
      </c>
      <c r="C1494" s="2" t="s">
        <v>19</v>
      </c>
      <c r="D1494" s="2">
        <v>45</v>
      </c>
      <c r="E1494" s="2" t="str">
        <f t="shared" si="94"/>
        <v>36-45</v>
      </c>
      <c r="F1494" s="2" t="s">
        <v>60</v>
      </c>
      <c r="G1494" s="2" t="s">
        <v>47</v>
      </c>
      <c r="H1494" s="2">
        <v>29</v>
      </c>
      <c r="I1494" s="2" t="str">
        <f t="shared" si="92"/>
        <v>25-48 months</v>
      </c>
      <c r="J1494" s="3">
        <v>849</v>
      </c>
      <c r="K1494" s="3">
        <v>24621</v>
      </c>
      <c r="L1494" s="2" t="s">
        <v>31</v>
      </c>
      <c r="M1494" s="4">
        <v>45039</v>
      </c>
      <c r="N1494" s="2" t="s">
        <v>23</v>
      </c>
      <c r="O1494" s="2">
        <f t="shared" si="95"/>
        <v>0</v>
      </c>
      <c r="P1494" s="2" t="s">
        <v>23</v>
      </c>
      <c r="Q1494" s="2" t="s">
        <v>23</v>
      </c>
      <c r="R1494" s="2" t="s">
        <v>23</v>
      </c>
      <c r="S1494" s="2" t="s">
        <v>23</v>
      </c>
      <c r="T1494" s="2" t="s">
        <v>23</v>
      </c>
      <c r="U1494" s="25">
        <f t="shared" si="93"/>
        <v>24621.001494</v>
      </c>
    </row>
    <row r="1495" spans="1:21">
      <c r="A1495" s="2" t="s">
        <v>2296</v>
      </c>
      <c r="B1495" s="2" t="s">
        <v>848</v>
      </c>
      <c r="C1495" s="2" t="s">
        <v>35</v>
      </c>
      <c r="D1495" s="2">
        <v>64</v>
      </c>
      <c r="E1495" s="2" t="str">
        <f t="shared" si="94"/>
        <v>60+</v>
      </c>
      <c r="F1495" s="2" t="s">
        <v>71</v>
      </c>
      <c r="G1495" s="2" t="s">
        <v>21</v>
      </c>
      <c r="H1495" s="2">
        <v>11</v>
      </c>
      <c r="I1495" s="2" t="str">
        <f t="shared" si="92"/>
        <v>7-12 months</v>
      </c>
      <c r="J1495" s="3">
        <v>999</v>
      </c>
      <c r="K1495" s="3">
        <v>10989</v>
      </c>
      <c r="L1495" s="2" t="s">
        <v>22</v>
      </c>
      <c r="M1495" s="4">
        <v>45588</v>
      </c>
      <c r="N1495" s="2" t="s">
        <v>23</v>
      </c>
      <c r="O1495" s="2">
        <f t="shared" si="95"/>
        <v>0</v>
      </c>
      <c r="P1495" s="2" t="s">
        <v>23</v>
      </c>
      <c r="Q1495" s="2" t="s">
        <v>23</v>
      </c>
      <c r="R1495" s="2" t="s">
        <v>23</v>
      </c>
      <c r="S1495" s="2" t="s">
        <v>23</v>
      </c>
      <c r="T1495" s="2" t="s">
        <v>23</v>
      </c>
      <c r="U1495" s="25">
        <f t="shared" si="93"/>
        <v>10989.001495</v>
      </c>
    </row>
    <row r="1496" spans="1:21">
      <c r="A1496" s="2" t="s">
        <v>2297</v>
      </c>
      <c r="B1496" s="2" t="s">
        <v>2298</v>
      </c>
      <c r="C1496" s="2" t="s">
        <v>19</v>
      </c>
      <c r="D1496" s="2">
        <v>67</v>
      </c>
      <c r="E1496" s="2" t="str">
        <f t="shared" si="94"/>
        <v>60+</v>
      </c>
      <c r="F1496" s="2" t="s">
        <v>36</v>
      </c>
      <c r="G1496" s="2" t="s">
        <v>27</v>
      </c>
      <c r="H1496" s="2">
        <v>2</v>
      </c>
      <c r="I1496" s="2" t="str">
        <f t="shared" si="92"/>
        <v>0-6 months</v>
      </c>
      <c r="J1496" s="3">
        <v>1049</v>
      </c>
      <c r="K1496" s="3">
        <v>2098</v>
      </c>
      <c r="L1496" s="2" t="s">
        <v>22</v>
      </c>
      <c r="M1496" s="4">
        <v>45843</v>
      </c>
      <c r="N1496" s="2" t="s">
        <v>23</v>
      </c>
      <c r="O1496" s="2">
        <f t="shared" si="95"/>
        <v>0</v>
      </c>
      <c r="P1496" s="2" t="s">
        <v>23</v>
      </c>
      <c r="Q1496" s="2" t="s">
        <v>23</v>
      </c>
      <c r="R1496" s="2" t="s">
        <v>23</v>
      </c>
      <c r="S1496" s="2" t="s">
        <v>23</v>
      </c>
      <c r="T1496" s="2" t="s">
        <v>23</v>
      </c>
      <c r="U1496" s="25">
        <f t="shared" si="93"/>
        <v>2098.0014959999999</v>
      </c>
    </row>
    <row r="1497" spans="1:21">
      <c r="A1497" s="2" t="s">
        <v>2299</v>
      </c>
      <c r="B1497" s="2" t="s">
        <v>1657</v>
      </c>
      <c r="C1497" s="2" t="s">
        <v>19</v>
      </c>
      <c r="D1497" s="2">
        <v>30</v>
      </c>
      <c r="E1497" s="2" t="str">
        <f t="shared" si="94"/>
        <v>26-35</v>
      </c>
      <c r="F1497" s="2" t="s">
        <v>60</v>
      </c>
      <c r="G1497" s="2" t="s">
        <v>47</v>
      </c>
      <c r="H1497" s="2">
        <v>69</v>
      </c>
      <c r="I1497" s="2" t="str">
        <f t="shared" si="92"/>
        <v>49+ months</v>
      </c>
      <c r="J1497" s="3">
        <v>849</v>
      </c>
      <c r="K1497" s="3">
        <v>58581</v>
      </c>
      <c r="L1497" s="2" t="s">
        <v>31</v>
      </c>
      <c r="M1497" s="4">
        <v>43835</v>
      </c>
      <c r="N1497" s="2" t="s">
        <v>23</v>
      </c>
      <c r="O1497" s="2">
        <f t="shared" si="95"/>
        <v>0</v>
      </c>
      <c r="P1497" s="2" t="s">
        <v>23</v>
      </c>
      <c r="Q1497" s="2" t="s">
        <v>23</v>
      </c>
      <c r="R1497" s="2" t="s">
        <v>23</v>
      </c>
      <c r="S1497" s="2" t="s">
        <v>23</v>
      </c>
      <c r="T1497" s="2" t="s">
        <v>23</v>
      </c>
      <c r="U1497" s="25">
        <f t="shared" si="93"/>
        <v>58581.001496999997</v>
      </c>
    </row>
    <row r="1498" spans="1:21">
      <c r="A1498" s="2" t="s">
        <v>2300</v>
      </c>
      <c r="B1498" s="2" t="s">
        <v>2301</v>
      </c>
      <c r="C1498" s="2" t="s">
        <v>19</v>
      </c>
      <c r="D1498" s="2">
        <v>38</v>
      </c>
      <c r="E1498" s="2" t="str">
        <f t="shared" si="94"/>
        <v>36-45</v>
      </c>
      <c r="F1498" s="2" t="s">
        <v>105</v>
      </c>
      <c r="G1498" s="2" t="s">
        <v>27</v>
      </c>
      <c r="H1498" s="2">
        <v>33</v>
      </c>
      <c r="I1498" s="2" t="str">
        <f t="shared" si="92"/>
        <v>25-48 months</v>
      </c>
      <c r="J1498" s="3">
        <v>1049</v>
      </c>
      <c r="K1498" s="3">
        <v>34617</v>
      </c>
      <c r="L1498" s="2" t="s">
        <v>22</v>
      </c>
      <c r="M1498" s="4">
        <v>44936</v>
      </c>
      <c r="N1498" s="2" t="s">
        <v>23</v>
      </c>
      <c r="O1498" s="2">
        <f t="shared" si="95"/>
        <v>0</v>
      </c>
      <c r="P1498" s="2" t="s">
        <v>23</v>
      </c>
      <c r="Q1498" s="2" t="s">
        <v>23</v>
      </c>
      <c r="R1498" s="2" t="s">
        <v>23</v>
      </c>
      <c r="S1498" s="2" t="s">
        <v>32</v>
      </c>
      <c r="T1498" s="2" t="s">
        <v>23</v>
      </c>
      <c r="U1498" s="25">
        <f t="shared" si="93"/>
        <v>34617.001497999998</v>
      </c>
    </row>
    <row r="1499" spans="1:21">
      <c r="A1499" s="2" t="s">
        <v>2302</v>
      </c>
      <c r="B1499" s="2" t="s">
        <v>780</v>
      </c>
      <c r="C1499" s="2" t="s">
        <v>19</v>
      </c>
      <c r="D1499" s="2">
        <v>54</v>
      </c>
      <c r="E1499" s="2" t="str">
        <f t="shared" si="94"/>
        <v>46-60</v>
      </c>
      <c r="F1499" s="2" t="s">
        <v>26</v>
      </c>
      <c r="G1499" s="2" t="s">
        <v>21</v>
      </c>
      <c r="H1499" s="2">
        <v>3</v>
      </c>
      <c r="I1499" s="2" t="str">
        <f t="shared" si="92"/>
        <v>0-6 months</v>
      </c>
      <c r="J1499" s="3">
        <v>999</v>
      </c>
      <c r="K1499" s="3">
        <v>2997</v>
      </c>
      <c r="L1499" s="2" t="s">
        <v>22</v>
      </c>
      <c r="M1499" s="4">
        <v>45813</v>
      </c>
      <c r="N1499" s="2" t="s">
        <v>32</v>
      </c>
      <c r="O1499" s="2">
        <f t="shared" si="95"/>
        <v>1</v>
      </c>
      <c r="P1499" s="2" t="s">
        <v>23</v>
      </c>
      <c r="Q1499" s="2" t="s">
        <v>23</v>
      </c>
      <c r="R1499" s="2" t="s">
        <v>23</v>
      </c>
      <c r="S1499" s="2" t="s">
        <v>32</v>
      </c>
      <c r="T1499" s="2" t="s">
        <v>23</v>
      </c>
      <c r="U1499" s="25">
        <f t="shared" si="93"/>
        <v>2997.001499</v>
      </c>
    </row>
    <row r="1500" spans="1:21">
      <c r="A1500" s="2" t="s">
        <v>2303</v>
      </c>
      <c r="B1500" s="2" t="s">
        <v>490</v>
      </c>
      <c r="C1500" s="2" t="s">
        <v>37</v>
      </c>
      <c r="D1500" s="2">
        <v>48</v>
      </c>
      <c r="E1500" s="2" t="str">
        <f t="shared" si="94"/>
        <v>46-60</v>
      </c>
      <c r="F1500" s="2" t="s">
        <v>36</v>
      </c>
      <c r="G1500" s="2" t="s">
        <v>21</v>
      </c>
      <c r="H1500" s="2">
        <v>2</v>
      </c>
      <c r="I1500" s="2" t="str">
        <f t="shared" si="92"/>
        <v>0-6 months</v>
      </c>
      <c r="J1500" s="3">
        <v>899</v>
      </c>
      <c r="K1500" s="3">
        <v>1798</v>
      </c>
      <c r="L1500" s="2" t="s">
        <v>37</v>
      </c>
      <c r="M1500" s="4">
        <v>45840</v>
      </c>
      <c r="N1500" s="2" t="s">
        <v>23</v>
      </c>
      <c r="O1500" s="2">
        <f t="shared" si="95"/>
        <v>0</v>
      </c>
      <c r="P1500" s="2" t="s">
        <v>23</v>
      </c>
      <c r="Q1500" s="2" t="s">
        <v>23</v>
      </c>
      <c r="R1500" s="2" t="s">
        <v>23</v>
      </c>
      <c r="S1500" s="2" t="s">
        <v>23</v>
      </c>
      <c r="T1500" s="2" t="s">
        <v>23</v>
      </c>
      <c r="U1500" s="25">
        <f t="shared" si="93"/>
        <v>1798.0015000000001</v>
      </c>
    </row>
    <row r="1501" spans="1:21">
      <c r="A1501" s="2" t="s">
        <v>2304</v>
      </c>
      <c r="B1501" s="2" t="s">
        <v>1488</v>
      </c>
      <c r="C1501" s="2" t="s">
        <v>19</v>
      </c>
      <c r="D1501" s="2">
        <v>58</v>
      </c>
      <c r="E1501" s="2" t="str">
        <f t="shared" si="94"/>
        <v>46-60</v>
      </c>
      <c r="F1501" s="2" t="s">
        <v>30</v>
      </c>
      <c r="G1501" s="2" t="s">
        <v>21</v>
      </c>
      <c r="H1501" s="2">
        <v>9</v>
      </c>
      <c r="I1501" s="2" t="str">
        <f t="shared" si="92"/>
        <v>7-12 months</v>
      </c>
      <c r="J1501" s="3">
        <v>999</v>
      </c>
      <c r="K1501" s="3">
        <v>8991</v>
      </c>
      <c r="L1501" s="2" t="s">
        <v>22</v>
      </c>
      <c r="M1501" s="4">
        <v>45655</v>
      </c>
      <c r="N1501" s="2" t="s">
        <v>32</v>
      </c>
      <c r="O1501" s="2">
        <f t="shared" si="95"/>
        <v>1</v>
      </c>
      <c r="P1501" s="2" t="s">
        <v>23</v>
      </c>
      <c r="Q1501" s="2" t="s">
        <v>23</v>
      </c>
      <c r="R1501" s="2" t="s">
        <v>23</v>
      </c>
      <c r="S1501" s="2" t="s">
        <v>23</v>
      </c>
      <c r="T1501" s="2" t="s">
        <v>23</v>
      </c>
      <c r="U1501" s="25">
        <f t="shared" si="93"/>
        <v>8991.0015010000006</v>
      </c>
    </row>
    <row r="1502" spans="1:21">
      <c r="A1502" s="2" t="s">
        <v>2305</v>
      </c>
      <c r="B1502" s="2" t="s">
        <v>787</v>
      </c>
      <c r="C1502" s="2" t="s">
        <v>19</v>
      </c>
      <c r="D1502" s="2">
        <v>69</v>
      </c>
      <c r="E1502" s="2" t="str">
        <f t="shared" si="94"/>
        <v>60+</v>
      </c>
      <c r="F1502" s="2" t="s">
        <v>46</v>
      </c>
      <c r="G1502" s="2" t="s">
        <v>21</v>
      </c>
      <c r="H1502" s="2">
        <v>12</v>
      </c>
      <c r="I1502" s="2" t="str">
        <f t="shared" si="92"/>
        <v>7-12 months</v>
      </c>
      <c r="J1502" s="3">
        <v>449</v>
      </c>
      <c r="K1502" s="3">
        <v>5388</v>
      </c>
      <c r="L1502" s="2" t="s">
        <v>66</v>
      </c>
      <c r="M1502" s="4">
        <v>45563</v>
      </c>
      <c r="N1502" s="2" t="s">
        <v>32</v>
      </c>
      <c r="O1502" s="2">
        <f t="shared" si="95"/>
        <v>1</v>
      </c>
      <c r="P1502" s="2" t="s">
        <v>23</v>
      </c>
      <c r="Q1502" s="2" t="s">
        <v>23</v>
      </c>
      <c r="R1502" s="2" t="s">
        <v>23</v>
      </c>
      <c r="S1502" s="2" t="s">
        <v>23</v>
      </c>
      <c r="T1502" s="2" t="s">
        <v>23</v>
      </c>
      <c r="U1502" s="25">
        <f t="shared" si="93"/>
        <v>5388.0015020000001</v>
      </c>
    </row>
    <row r="1503" spans="1:21">
      <c r="A1503" s="2" t="s">
        <v>2306</v>
      </c>
      <c r="B1503" s="2" t="s">
        <v>132</v>
      </c>
      <c r="C1503" s="2" t="s">
        <v>35</v>
      </c>
      <c r="D1503" s="2">
        <v>63</v>
      </c>
      <c r="E1503" s="2" t="str">
        <f t="shared" si="94"/>
        <v>60+</v>
      </c>
      <c r="F1503" s="2" t="s">
        <v>36</v>
      </c>
      <c r="G1503" s="2" t="s">
        <v>27</v>
      </c>
      <c r="H1503" s="2">
        <v>14</v>
      </c>
      <c r="I1503" s="2" t="str">
        <f t="shared" si="92"/>
        <v>13-24 months</v>
      </c>
      <c r="J1503" s="3">
        <v>649</v>
      </c>
      <c r="K1503" s="3">
        <v>9086</v>
      </c>
      <c r="L1503" s="2" t="s">
        <v>31</v>
      </c>
      <c r="M1503" s="4">
        <v>45491</v>
      </c>
      <c r="N1503" s="2" t="s">
        <v>23</v>
      </c>
      <c r="O1503" s="2">
        <f t="shared" si="95"/>
        <v>0</v>
      </c>
      <c r="P1503" s="2" t="s">
        <v>23</v>
      </c>
      <c r="Q1503" s="2" t="s">
        <v>32</v>
      </c>
      <c r="R1503" s="2" t="s">
        <v>23</v>
      </c>
      <c r="S1503" s="2" t="s">
        <v>23</v>
      </c>
      <c r="T1503" s="2" t="s">
        <v>23</v>
      </c>
      <c r="U1503" s="25">
        <f t="shared" si="93"/>
        <v>9086.0015029999995</v>
      </c>
    </row>
    <row r="1504" spans="1:21">
      <c r="A1504" s="2" t="s">
        <v>2307</v>
      </c>
      <c r="B1504" s="2" t="s">
        <v>982</v>
      </c>
      <c r="C1504" s="2" t="s">
        <v>35</v>
      </c>
      <c r="D1504" s="2">
        <v>68</v>
      </c>
      <c r="E1504" s="2" t="str">
        <f t="shared" si="94"/>
        <v>60+</v>
      </c>
      <c r="F1504" s="2" t="s">
        <v>36</v>
      </c>
      <c r="G1504" s="2" t="s">
        <v>27</v>
      </c>
      <c r="H1504" s="2">
        <v>34</v>
      </c>
      <c r="I1504" s="2" t="str">
        <f t="shared" si="92"/>
        <v>25-48 months</v>
      </c>
      <c r="J1504" s="3">
        <v>999</v>
      </c>
      <c r="K1504" s="3">
        <v>33966</v>
      </c>
      <c r="L1504" s="2" t="s">
        <v>22</v>
      </c>
      <c r="M1504" s="4">
        <v>44883</v>
      </c>
      <c r="N1504" s="2" t="s">
        <v>32</v>
      </c>
      <c r="O1504" s="2">
        <f t="shared" si="95"/>
        <v>1</v>
      </c>
      <c r="P1504" s="2" t="s">
        <v>23</v>
      </c>
      <c r="Q1504" s="2" t="s">
        <v>23</v>
      </c>
      <c r="R1504" s="2" t="s">
        <v>23</v>
      </c>
      <c r="S1504" s="2" t="s">
        <v>23</v>
      </c>
      <c r="T1504" s="2" t="s">
        <v>23</v>
      </c>
      <c r="U1504" s="25">
        <f t="shared" si="93"/>
        <v>33966.001504</v>
      </c>
    </row>
    <row r="1505" spans="1:21">
      <c r="A1505" s="2" t="s">
        <v>2308</v>
      </c>
      <c r="B1505" s="2" t="s">
        <v>712</v>
      </c>
      <c r="C1505" s="2" t="s">
        <v>19</v>
      </c>
      <c r="D1505" s="2">
        <v>34</v>
      </c>
      <c r="E1505" s="2" t="str">
        <f t="shared" si="94"/>
        <v>26-35</v>
      </c>
      <c r="F1505" s="2" t="s">
        <v>57</v>
      </c>
      <c r="G1505" s="2" t="s">
        <v>21</v>
      </c>
      <c r="H1505" s="2"/>
      <c r="I1505" s="2" t="str">
        <f t="shared" si="92"/>
        <v>Unknown</v>
      </c>
      <c r="J1505" s="3">
        <v>449</v>
      </c>
      <c r="K1505" s="3"/>
      <c r="L1505" s="2" t="s">
        <v>66</v>
      </c>
      <c r="M1505" s="4">
        <v>45410</v>
      </c>
      <c r="N1505" s="2" t="s">
        <v>23</v>
      </c>
      <c r="O1505" s="2">
        <f t="shared" si="95"/>
        <v>0</v>
      </c>
      <c r="P1505" s="2" t="s">
        <v>23</v>
      </c>
      <c r="Q1505" s="2" t="s">
        <v>23</v>
      </c>
      <c r="R1505" s="2" t="s">
        <v>23</v>
      </c>
      <c r="S1505" s="2" t="s">
        <v>23</v>
      </c>
      <c r="T1505" s="2" t="s">
        <v>214</v>
      </c>
      <c r="U1505" s="25" t="str">
        <f t="shared" si="93"/>
        <v/>
      </c>
    </row>
    <row r="1506" spans="1:21">
      <c r="A1506" s="2" t="s">
        <v>2309</v>
      </c>
      <c r="B1506" s="2" t="s">
        <v>1694</v>
      </c>
      <c r="C1506" s="2" t="s">
        <v>19</v>
      </c>
      <c r="D1506" s="2">
        <v>49</v>
      </c>
      <c r="E1506" s="2" t="str">
        <f t="shared" si="94"/>
        <v>46-60</v>
      </c>
      <c r="F1506" s="2" t="s">
        <v>20</v>
      </c>
      <c r="G1506" s="2" t="s">
        <v>21</v>
      </c>
      <c r="H1506" s="2">
        <v>7</v>
      </c>
      <c r="I1506" s="2" t="str">
        <f t="shared" si="92"/>
        <v>7-12 months</v>
      </c>
      <c r="J1506" s="3">
        <v>1199</v>
      </c>
      <c r="K1506" s="3">
        <v>8393</v>
      </c>
      <c r="L1506" s="2" t="s">
        <v>22</v>
      </c>
      <c r="M1506" s="4">
        <v>45711</v>
      </c>
      <c r="N1506" s="2" t="s">
        <v>32</v>
      </c>
      <c r="O1506" s="2">
        <f t="shared" si="95"/>
        <v>1</v>
      </c>
      <c r="P1506" s="2" t="s">
        <v>23</v>
      </c>
      <c r="Q1506" s="2" t="s">
        <v>32</v>
      </c>
      <c r="R1506" s="2" t="s">
        <v>23</v>
      </c>
      <c r="S1506" s="2" t="s">
        <v>23</v>
      </c>
      <c r="T1506" s="2" t="s">
        <v>23</v>
      </c>
      <c r="U1506" s="25">
        <f t="shared" si="93"/>
        <v>8393.0015060000005</v>
      </c>
    </row>
    <row r="1507" spans="1:21">
      <c r="A1507" s="2" t="s">
        <v>2310</v>
      </c>
      <c r="B1507" s="2" t="s">
        <v>1312</v>
      </c>
      <c r="C1507" s="2" t="s">
        <v>19</v>
      </c>
      <c r="D1507" s="2">
        <v>62</v>
      </c>
      <c r="E1507" s="2" t="str">
        <f t="shared" si="94"/>
        <v>60+</v>
      </c>
      <c r="F1507" s="2" t="s">
        <v>37</v>
      </c>
      <c r="G1507" s="2" t="s">
        <v>27</v>
      </c>
      <c r="H1507" s="2">
        <v>11</v>
      </c>
      <c r="I1507" s="2" t="str">
        <f t="shared" si="92"/>
        <v>7-12 months</v>
      </c>
      <c r="J1507" s="3">
        <v>799</v>
      </c>
      <c r="K1507" s="3">
        <v>8789</v>
      </c>
      <c r="L1507" s="2" t="s">
        <v>31</v>
      </c>
      <c r="M1507" s="4">
        <v>45593</v>
      </c>
      <c r="N1507" s="2" t="s">
        <v>23</v>
      </c>
      <c r="O1507" s="2">
        <f t="shared" si="95"/>
        <v>0</v>
      </c>
      <c r="P1507" s="2" t="s">
        <v>23</v>
      </c>
      <c r="Q1507" s="2" t="s">
        <v>23</v>
      </c>
      <c r="R1507" s="2" t="s">
        <v>23</v>
      </c>
      <c r="S1507" s="2" t="s">
        <v>23</v>
      </c>
      <c r="T1507" s="2" t="s">
        <v>23</v>
      </c>
      <c r="U1507" s="25">
        <f t="shared" si="93"/>
        <v>8789.0015070000009</v>
      </c>
    </row>
    <row r="1508" spans="1:21">
      <c r="A1508" s="2" t="s">
        <v>2311</v>
      </c>
      <c r="B1508" s="2" t="s">
        <v>1237</v>
      </c>
      <c r="C1508" s="2" t="s">
        <v>19</v>
      </c>
      <c r="D1508" s="2">
        <v>66</v>
      </c>
      <c r="E1508" s="2" t="str">
        <f t="shared" si="94"/>
        <v>60+</v>
      </c>
      <c r="F1508" s="2" t="s">
        <v>141</v>
      </c>
      <c r="G1508" s="2" t="s">
        <v>21</v>
      </c>
      <c r="H1508" s="2">
        <v>17</v>
      </c>
      <c r="I1508" s="2" t="str">
        <f t="shared" si="92"/>
        <v>13-24 months</v>
      </c>
      <c r="J1508" s="3">
        <v>999</v>
      </c>
      <c r="K1508" s="3">
        <v>16983</v>
      </c>
      <c r="L1508" s="2" t="s">
        <v>22</v>
      </c>
      <c r="M1508" s="4">
        <v>45394</v>
      </c>
      <c r="N1508" s="2" t="s">
        <v>32</v>
      </c>
      <c r="O1508" s="2">
        <f t="shared" si="95"/>
        <v>1</v>
      </c>
      <c r="P1508" s="2" t="s">
        <v>23</v>
      </c>
      <c r="Q1508" s="2" t="s">
        <v>23</v>
      </c>
      <c r="R1508" s="2" t="s">
        <v>23</v>
      </c>
      <c r="S1508" s="2" t="s">
        <v>23</v>
      </c>
      <c r="T1508" s="2" t="s">
        <v>23</v>
      </c>
      <c r="U1508" s="25">
        <f t="shared" si="93"/>
        <v>16983.001508000001</v>
      </c>
    </row>
    <row r="1509" spans="1:21">
      <c r="A1509" s="2" t="s">
        <v>2312</v>
      </c>
      <c r="B1509" s="2" t="s">
        <v>1040</v>
      </c>
      <c r="C1509" s="2" t="s">
        <v>35</v>
      </c>
      <c r="D1509" s="2">
        <v>73</v>
      </c>
      <c r="E1509" s="2" t="str">
        <f t="shared" si="94"/>
        <v>60+</v>
      </c>
      <c r="F1509" s="2" t="s">
        <v>36</v>
      </c>
      <c r="G1509" s="2" t="s">
        <v>47</v>
      </c>
      <c r="H1509" s="2">
        <v>50</v>
      </c>
      <c r="I1509" s="2" t="str">
        <f t="shared" si="92"/>
        <v>49+ months</v>
      </c>
      <c r="J1509" s="3">
        <v>649</v>
      </c>
      <c r="K1509" s="3">
        <v>32450</v>
      </c>
      <c r="L1509" s="2" t="s">
        <v>31</v>
      </c>
      <c r="M1509" s="4">
        <v>44401</v>
      </c>
      <c r="N1509" s="2" t="s">
        <v>23</v>
      </c>
      <c r="O1509" s="2">
        <f t="shared" si="95"/>
        <v>0</v>
      </c>
      <c r="P1509" s="2" t="s">
        <v>23</v>
      </c>
      <c r="Q1509" s="2" t="s">
        <v>23</v>
      </c>
      <c r="R1509" s="2" t="s">
        <v>23</v>
      </c>
      <c r="S1509" s="2" t="s">
        <v>23</v>
      </c>
      <c r="T1509" s="2" t="s">
        <v>23</v>
      </c>
      <c r="U1509" s="25">
        <f t="shared" si="93"/>
        <v>32450.001509000002</v>
      </c>
    </row>
    <row r="1510" spans="1:21">
      <c r="A1510" s="2" t="s">
        <v>2313</v>
      </c>
      <c r="B1510" s="2" t="s">
        <v>796</v>
      </c>
      <c r="C1510" s="2" t="s">
        <v>19</v>
      </c>
      <c r="D1510" s="2">
        <v>68</v>
      </c>
      <c r="E1510" s="2" t="str">
        <f t="shared" si="94"/>
        <v>60+</v>
      </c>
      <c r="F1510" s="2" t="s">
        <v>20</v>
      </c>
      <c r="G1510" s="2" t="s">
        <v>27</v>
      </c>
      <c r="H1510" s="2">
        <v>35</v>
      </c>
      <c r="I1510" s="2" t="str">
        <f t="shared" si="92"/>
        <v>25-48 months</v>
      </c>
      <c r="J1510" s="3">
        <v>999</v>
      </c>
      <c r="K1510" s="3">
        <v>34965</v>
      </c>
      <c r="L1510" s="2" t="s">
        <v>22</v>
      </c>
      <c r="M1510" s="4">
        <v>44851</v>
      </c>
      <c r="N1510" s="2" t="s">
        <v>32</v>
      </c>
      <c r="O1510" s="2">
        <f t="shared" si="95"/>
        <v>1</v>
      </c>
      <c r="P1510" s="2" t="s">
        <v>23</v>
      </c>
      <c r="Q1510" s="2" t="s">
        <v>23</v>
      </c>
      <c r="R1510" s="2" t="s">
        <v>23</v>
      </c>
      <c r="S1510" s="2" t="s">
        <v>23</v>
      </c>
      <c r="T1510" s="2" t="s">
        <v>23</v>
      </c>
      <c r="U1510" s="25">
        <f t="shared" si="93"/>
        <v>34965.001510000002</v>
      </c>
    </row>
    <row r="1511" spans="1:21">
      <c r="A1511" s="2" t="s">
        <v>2314</v>
      </c>
      <c r="B1511" s="2" t="s">
        <v>1066</v>
      </c>
      <c r="C1511" s="2" t="s">
        <v>19</v>
      </c>
      <c r="D1511" s="2">
        <v>42</v>
      </c>
      <c r="E1511" s="2" t="str">
        <f t="shared" si="94"/>
        <v>36-45</v>
      </c>
      <c r="F1511" s="2" t="s">
        <v>46</v>
      </c>
      <c r="G1511" s="2" t="s">
        <v>21</v>
      </c>
      <c r="H1511" s="2">
        <v>10</v>
      </c>
      <c r="I1511" s="2" t="str">
        <f t="shared" si="92"/>
        <v>7-12 months</v>
      </c>
      <c r="J1511" s="3">
        <v>799</v>
      </c>
      <c r="K1511" s="3">
        <v>7990</v>
      </c>
      <c r="L1511" s="2" t="s">
        <v>31</v>
      </c>
      <c r="M1511" s="4">
        <v>45599</v>
      </c>
      <c r="N1511" s="2" t="s">
        <v>23</v>
      </c>
      <c r="O1511" s="2">
        <f t="shared" si="95"/>
        <v>0</v>
      </c>
      <c r="P1511" s="2" t="s">
        <v>23</v>
      </c>
      <c r="Q1511" s="2" t="s">
        <v>23</v>
      </c>
      <c r="R1511" s="2" t="s">
        <v>23</v>
      </c>
      <c r="S1511" s="2" t="s">
        <v>23</v>
      </c>
      <c r="T1511" s="2" t="s">
        <v>23</v>
      </c>
      <c r="U1511" s="25">
        <f t="shared" si="93"/>
        <v>7990.0015110000004</v>
      </c>
    </row>
    <row r="1512" spans="1:21">
      <c r="A1512" s="2" t="s">
        <v>2315</v>
      </c>
      <c r="B1512" s="2" t="s">
        <v>892</v>
      </c>
      <c r="C1512" s="2" t="s">
        <v>19</v>
      </c>
      <c r="D1512" s="2">
        <v>24</v>
      </c>
      <c r="E1512" s="2" t="str">
        <f t="shared" si="94"/>
        <v>18-25</v>
      </c>
      <c r="F1512" s="2" t="s">
        <v>30</v>
      </c>
      <c r="G1512" s="2" t="s">
        <v>21</v>
      </c>
      <c r="H1512" s="2">
        <v>17</v>
      </c>
      <c r="I1512" s="2" t="str">
        <f t="shared" si="92"/>
        <v>13-24 months</v>
      </c>
      <c r="J1512" s="3">
        <v>1299</v>
      </c>
      <c r="K1512" s="3">
        <v>22083</v>
      </c>
      <c r="L1512" s="2" t="s">
        <v>22</v>
      </c>
      <c r="M1512" s="4">
        <v>45414</v>
      </c>
      <c r="N1512" s="2" t="s">
        <v>32</v>
      </c>
      <c r="O1512" s="2">
        <f t="shared" si="95"/>
        <v>1</v>
      </c>
      <c r="P1512" s="2" t="s">
        <v>23</v>
      </c>
      <c r="Q1512" s="2" t="s">
        <v>23</v>
      </c>
      <c r="R1512" s="2" t="s">
        <v>23</v>
      </c>
      <c r="S1512" s="2" t="s">
        <v>23</v>
      </c>
      <c r="T1512" s="2" t="s">
        <v>23</v>
      </c>
      <c r="U1512" s="25">
        <f t="shared" si="93"/>
        <v>22083.001511999999</v>
      </c>
    </row>
    <row r="1513" spans="1:21">
      <c r="A1513" s="2" t="s">
        <v>2316</v>
      </c>
      <c r="B1513" s="2" t="s">
        <v>1247</v>
      </c>
      <c r="C1513" s="2" t="s">
        <v>35</v>
      </c>
      <c r="D1513" s="2">
        <v>21</v>
      </c>
      <c r="E1513" s="2" t="str">
        <f t="shared" si="94"/>
        <v>18-25</v>
      </c>
      <c r="F1513" s="2" t="s">
        <v>71</v>
      </c>
      <c r="G1513" s="2" t="s">
        <v>27</v>
      </c>
      <c r="H1513" s="2">
        <v>4</v>
      </c>
      <c r="I1513" s="2" t="str">
        <f t="shared" si="92"/>
        <v>0-6 months</v>
      </c>
      <c r="J1513" s="3">
        <v>899</v>
      </c>
      <c r="K1513" s="3">
        <v>3596</v>
      </c>
      <c r="L1513" s="2" t="s">
        <v>31</v>
      </c>
      <c r="M1513" s="4">
        <v>45802</v>
      </c>
      <c r="N1513" s="2" t="s">
        <v>32</v>
      </c>
      <c r="O1513" s="2">
        <f t="shared" si="95"/>
        <v>1</v>
      </c>
      <c r="P1513" s="2" t="s">
        <v>23</v>
      </c>
      <c r="Q1513" s="2" t="s">
        <v>23</v>
      </c>
      <c r="R1513" s="2" t="s">
        <v>32</v>
      </c>
      <c r="S1513" s="2" t="s">
        <v>23</v>
      </c>
      <c r="T1513" s="2" t="s">
        <v>23</v>
      </c>
      <c r="U1513" s="25">
        <f t="shared" si="93"/>
        <v>3596.0015130000002</v>
      </c>
    </row>
    <row r="1514" spans="1:21">
      <c r="A1514" s="2" t="s">
        <v>2317</v>
      </c>
      <c r="B1514" s="2" t="s">
        <v>2318</v>
      </c>
      <c r="C1514" s="2" t="s">
        <v>19</v>
      </c>
      <c r="D1514" s="2">
        <v>71</v>
      </c>
      <c r="E1514" s="2" t="str">
        <f t="shared" si="94"/>
        <v>60+</v>
      </c>
      <c r="F1514" s="2" t="s">
        <v>26</v>
      </c>
      <c r="G1514" s="2" t="s">
        <v>21</v>
      </c>
      <c r="H1514" s="2">
        <v>23</v>
      </c>
      <c r="I1514" s="2" t="str">
        <f t="shared" si="92"/>
        <v>13-24 months</v>
      </c>
      <c r="J1514" s="3">
        <v>599</v>
      </c>
      <c r="K1514" s="3">
        <v>13777</v>
      </c>
      <c r="L1514" s="2" t="s">
        <v>31</v>
      </c>
      <c r="M1514" s="4">
        <v>45213</v>
      </c>
      <c r="N1514" s="2" t="s">
        <v>23</v>
      </c>
      <c r="O1514" s="2">
        <f t="shared" si="95"/>
        <v>0</v>
      </c>
      <c r="P1514" s="2" t="s">
        <v>23</v>
      </c>
      <c r="Q1514" s="2" t="s">
        <v>23</v>
      </c>
      <c r="R1514" s="2" t="s">
        <v>23</v>
      </c>
      <c r="S1514" s="2" t="s">
        <v>23</v>
      </c>
      <c r="T1514" s="2" t="s">
        <v>23</v>
      </c>
      <c r="U1514" s="25">
        <f t="shared" si="93"/>
        <v>13777.001514</v>
      </c>
    </row>
    <row r="1515" spans="1:21">
      <c r="A1515" s="2" t="s">
        <v>2319</v>
      </c>
      <c r="B1515" s="2" t="s">
        <v>1438</v>
      </c>
      <c r="C1515" s="2" t="s">
        <v>19</v>
      </c>
      <c r="D1515" s="2">
        <v>63</v>
      </c>
      <c r="E1515" s="2" t="str">
        <f t="shared" si="94"/>
        <v>60+</v>
      </c>
      <c r="F1515" s="2" t="s">
        <v>91</v>
      </c>
      <c r="G1515" s="2" t="s">
        <v>21</v>
      </c>
      <c r="H1515" s="2">
        <v>4</v>
      </c>
      <c r="I1515" s="2" t="str">
        <f t="shared" si="92"/>
        <v>0-6 months</v>
      </c>
      <c r="J1515" s="3">
        <v>899</v>
      </c>
      <c r="K1515" s="3">
        <v>3596</v>
      </c>
      <c r="L1515" s="2" t="s">
        <v>22</v>
      </c>
      <c r="M1515" s="4">
        <v>45801</v>
      </c>
      <c r="N1515" s="2" t="s">
        <v>23</v>
      </c>
      <c r="O1515" s="2">
        <f t="shared" si="95"/>
        <v>0</v>
      </c>
      <c r="P1515" s="2" t="s">
        <v>23</v>
      </c>
      <c r="Q1515" s="2" t="s">
        <v>23</v>
      </c>
      <c r="R1515" s="2" t="s">
        <v>23</v>
      </c>
      <c r="S1515" s="2" t="s">
        <v>23</v>
      </c>
      <c r="T1515" s="2" t="s">
        <v>23</v>
      </c>
      <c r="U1515" s="25">
        <f t="shared" si="93"/>
        <v>3596.0015149999999</v>
      </c>
    </row>
    <row r="1516" spans="1:21">
      <c r="A1516" s="2" t="s">
        <v>2320</v>
      </c>
      <c r="B1516" s="2" t="s">
        <v>1890</v>
      </c>
      <c r="C1516" s="2" t="s">
        <v>19</v>
      </c>
      <c r="D1516" s="2">
        <v>31</v>
      </c>
      <c r="E1516" s="2" t="str">
        <f t="shared" si="94"/>
        <v>26-35</v>
      </c>
      <c r="F1516" s="2" t="s">
        <v>63</v>
      </c>
      <c r="G1516" s="2" t="s">
        <v>21</v>
      </c>
      <c r="H1516" s="2">
        <v>8</v>
      </c>
      <c r="I1516" s="2" t="str">
        <f t="shared" si="92"/>
        <v>7-12 months</v>
      </c>
      <c r="J1516" s="3">
        <v>599</v>
      </c>
      <c r="K1516" s="3">
        <v>4792</v>
      </c>
      <c r="L1516" s="2" t="s">
        <v>31</v>
      </c>
      <c r="M1516" s="4">
        <v>45686</v>
      </c>
      <c r="N1516" s="2" t="s">
        <v>23</v>
      </c>
      <c r="O1516" s="2">
        <f t="shared" si="95"/>
        <v>0</v>
      </c>
      <c r="P1516" s="2" t="s">
        <v>23</v>
      </c>
      <c r="Q1516" s="2" t="s">
        <v>23</v>
      </c>
      <c r="R1516" s="2" t="s">
        <v>23</v>
      </c>
      <c r="S1516" s="2" t="s">
        <v>23</v>
      </c>
      <c r="T1516" s="2" t="s">
        <v>23</v>
      </c>
      <c r="U1516" s="25">
        <f t="shared" si="93"/>
        <v>4792.0015160000003</v>
      </c>
    </row>
    <row r="1517" spans="1:21">
      <c r="A1517" s="2" t="s">
        <v>2321</v>
      </c>
      <c r="B1517" s="2" t="s">
        <v>930</v>
      </c>
      <c r="C1517" s="2" t="s">
        <v>35</v>
      </c>
      <c r="D1517" s="2">
        <v>24</v>
      </c>
      <c r="E1517" s="2" t="str">
        <f t="shared" si="94"/>
        <v>18-25</v>
      </c>
      <c r="F1517" s="2" t="s">
        <v>60</v>
      </c>
      <c r="G1517" s="2" t="s">
        <v>47</v>
      </c>
      <c r="H1517" s="2">
        <v>71</v>
      </c>
      <c r="I1517" s="2" t="str">
        <f t="shared" si="92"/>
        <v>49+ months</v>
      </c>
      <c r="J1517" s="3">
        <v>549</v>
      </c>
      <c r="K1517" s="3">
        <v>38979</v>
      </c>
      <c r="L1517" s="2" t="s">
        <v>66</v>
      </c>
      <c r="M1517" s="4">
        <v>43798</v>
      </c>
      <c r="N1517" s="2" t="s">
        <v>23</v>
      </c>
      <c r="O1517" s="2">
        <f t="shared" si="95"/>
        <v>0</v>
      </c>
      <c r="P1517" s="2" t="s">
        <v>23</v>
      </c>
      <c r="Q1517" s="2" t="s">
        <v>23</v>
      </c>
      <c r="R1517" s="2" t="s">
        <v>23</v>
      </c>
      <c r="S1517" s="2" t="s">
        <v>23</v>
      </c>
      <c r="T1517" s="2" t="s">
        <v>23</v>
      </c>
      <c r="U1517" s="25">
        <f t="shared" si="93"/>
        <v>38979.001516999997</v>
      </c>
    </row>
    <row r="1518" spans="1:21">
      <c r="A1518" s="2" t="s">
        <v>2322</v>
      </c>
      <c r="B1518" s="2" t="s">
        <v>391</v>
      </c>
      <c r="C1518" s="2" t="s">
        <v>19</v>
      </c>
      <c r="D1518" s="2">
        <v>69</v>
      </c>
      <c r="E1518" s="2" t="str">
        <f t="shared" si="94"/>
        <v>60+</v>
      </c>
      <c r="F1518" s="2" t="s">
        <v>36</v>
      </c>
      <c r="G1518" s="2" t="s">
        <v>27</v>
      </c>
      <c r="H1518" s="2">
        <v>27</v>
      </c>
      <c r="I1518" s="2" t="str">
        <f t="shared" si="92"/>
        <v>25-48 months</v>
      </c>
      <c r="J1518" s="3">
        <v>599</v>
      </c>
      <c r="K1518" s="3">
        <v>16173</v>
      </c>
      <c r="L1518" s="2" t="s">
        <v>31</v>
      </c>
      <c r="M1518" s="4">
        <v>45102</v>
      </c>
      <c r="N1518" s="2" t="s">
        <v>23</v>
      </c>
      <c r="O1518" s="2">
        <f t="shared" si="95"/>
        <v>0</v>
      </c>
      <c r="P1518" s="2" t="s">
        <v>23</v>
      </c>
      <c r="Q1518" s="2" t="s">
        <v>23</v>
      </c>
      <c r="R1518" s="2" t="s">
        <v>23</v>
      </c>
      <c r="S1518" s="2" t="s">
        <v>23</v>
      </c>
      <c r="T1518" s="2" t="s">
        <v>23</v>
      </c>
      <c r="U1518" s="25">
        <f t="shared" si="93"/>
        <v>16173.001517999999</v>
      </c>
    </row>
    <row r="1519" spans="1:21">
      <c r="A1519" s="2" t="s">
        <v>2323</v>
      </c>
      <c r="B1519" s="2" t="s">
        <v>612</v>
      </c>
      <c r="C1519" s="2" t="s">
        <v>19</v>
      </c>
      <c r="D1519" s="2">
        <v>42</v>
      </c>
      <c r="E1519" s="2" t="str">
        <f t="shared" si="94"/>
        <v>36-45</v>
      </c>
      <c r="F1519" s="2" t="s">
        <v>30</v>
      </c>
      <c r="G1519" s="2" t="s">
        <v>21</v>
      </c>
      <c r="H1519" s="2">
        <v>9</v>
      </c>
      <c r="I1519" s="2" t="str">
        <f t="shared" si="92"/>
        <v>7-12 months</v>
      </c>
      <c r="J1519" s="3">
        <v>1049</v>
      </c>
      <c r="K1519" s="3">
        <v>9441</v>
      </c>
      <c r="L1519" s="2" t="s">
        <v>22</v>
      </c>
      <c r="M1519" s="4">
        <v>45635</v>
      </c>
      <c r="N1519" s="2" t="s">
        <v>32</v>
      </c>
      <c r="O1519" s="2">
        <f t="shared" si="95"/>
        <v>1</v>
      </c>
      <c r="P1519" s="2" t="s">
        <v>23</v>
      </c>
      <c r="Q1519" s="2" t="s">
        <v>23</v>
      </c>
      <c r="R1519" s="2" t="s">
        <v>23</v>
      </c>
      <c r="S1519" s="2" t="s">
        <v>23</v>
      </c>
      <c r="T1519" s="2" t="s">
        <v>23</v>
      </c>
      <c r="U1519" s="25">
        <f t="shared" si="93"/>
        <v>9441.0015189999995</v>
      </c>
    </row>
    <row r="1520" spans="1:21">
      <c r="A1520" s="2" t="s">
        <v>2324</v>
      </c>
      <c r="B1520" s="2" t="s">
        <v>2050</v>
      </c>
      <c r="C1520" s="2" t="s">
        <v>35</v>
      </c>
      <c r="D1520" s="2">
        <v>61</v>
      </c>
      <c r="E1520" s="2" t="str">
        <f t="shared" si="94"/>
        <v>60+</v>
      </c>
      <c r="F1520" s="2" t="s">
        <v>20</v>
      </c>
      <c r="G1520" s="2" t="s">
        <v>21</v>
      </c>
      <c r="H1520" s="2">
        <v>12</v>
      </c>
      <c r="I1520" s="2" t="str">
        <f t="shared" si="92"/>
        <v>7-12 months</v>
      </c>
      <c r="J1520" s="3">
        <v>899</v>
      </c>
      <c r="K1520" s="3">
        <v>10788</v>
      </c>
      <c r="L1520" s="2" t="s">
        <v>22</v>
      </c>
      <c r="M1520" s="4">
        <v>45566</v>
      </c>
      <c r="N1520" s="2" t="s">
        <v>32</v>
      </c>
      <c r="O1520" s="2">
        <f t="shared" si="95"/>
        <v>1</v>
      </c>
      <c r="P1520" s="2" t="s">
        <v>23</v>
      </c>
      <c r="Q1520" s="2" t="s">
        <v>23</v>
      </c>
      <c r="R1520" s="2" t="s">
        <v>23</v>
      </c>
      <c r="S1520" s="2" t="s">
        <v>23</v>
      </c>
      <c r="T1520" s="2" t="s">
        <v>23</v>
      </c>
      <c r="U1520" s="25">
        <f t="shared" si="93"/>
        <v>10788.00152</v>
      </c>
    </row>
    <row r="1521" spans="1:21">
      <c r="A1521" s="2" t="s">
        <v>2325</v>
      </c>
      <c r="B1521" s="2" t="s">
        <v>2326</v>
      </c>
      <c r="C1521" s="2" t="s">
        <v>19</v>
      </c>
      <c r="D1521" s="2">
        <v>67</v>
      </c>
      <c r="E1521" s="2" t="str">
        <f t="shared" si="94"/>
        <v>60+</v>
      </c>
      <c r="F1521" s="2" t="s">
        <v>91</v>
      </c>
      <c r="G1521" s="2" t="s">
        <v>21</v>
      </c>
      <c r="H1521" s="2">
        <v>8</v>
      </c>
      <c r="I1521" s="2" t="str">
        <f t="shared" si="92"/>
        <v>7-12 months</v>
      </c>
      <c r="J1521" s="3">
        <v>1099</v>
      </c>
      <c r="K1521" s="3">
        <v>8792</v>
      </c>
      <c r="L1521" s="2" t="s">
        <v>22</v>
      </c>
      <c r="M1521" s="4">
        <v>45662</v>
      </c>
      <c r="N1521" s="2" t="s">
        <v>23</v>
      </c>
      <c r="O1521" s="2">
        <f t="shared" si="95"/>
        <v>0</v>
      </c>
      <c r="P1521" s="2" t="s">
        <v>23</v>
      </c>
      <c r="Q1521" s="2" t="s">
        <v>23</v>
      </c>
      <c r="R1521" s="2" t="s">
        <v>23</v>
      </c>
      <c r="S1521" s="2" t="s">
        <v>23</v>
      </c>
      <c r="T1521" s="2" t="s">
        <v>23</v>
      </c>
      <c r="U1521" s="25">
        <f t="shared" si="93"/>
        <v>8792.0015210000001</v>
      </c>
    </row>
    <row r="1522" spans="1:21">
      <c r="A1522" s="2" t="s">
        <v>2327</v>
      </c>
      <c r="B1522" s="2" t="s">
        <v>2119</v>
      </c>
      <c r="C1522" s="2" t="s">
        <v>19</v>
      </c>
      <c r="D1522" s="2">
        <v>66</v>
      </c>
      <c r="E1522" s="2" t="str">
        <f t="shared" si="94"/>
        <v>60+</v>
      </c>
      <c r="F1522" s="2" t="s">
        <v>105</v>
      </c>
      <c r="G1522" s="2" t="s">
        <v>21</v>
      </c>
      <c r="H1522" s="2">
        <v>6</v>
      </c>
      <c r="I1522" s="2" t="str">
        <f t="shared" si="92"/>
        <v>0-6 months</v>
      </c>
      <c r="J1522" s="3">
        <v>549</v>
      </c>
      <c r="K1522" s="3">
        <v>3294</v>
      </c>
      <c r="L1522" s="2" t="s">
        <v>66</v>
      </c>
      <c r="M1522" s="4">
        <v>45746</v>
      </c>
      <c r="N1522" s="2" t="s">
        <v>23</v>
      </c>
      <c r="O1522" s="2">
        <f t="shared" si="95"/>
        <v>0</v>
      </c>
      <c r="P1522" s="2" t="s">
        <v>23</v>
      </c>
      <c r="Q1522" s="2" t="s">
        <v>23</v>
      </c>
      <c r="R1522" s="2" t="s">
        <v>23</v>
      </c>
      <c r="S1522" s="2" t="s">
        <v>23</v>
      </c>
      <c r="T1522" s="2" t="s">
        <v>23</v>
      </c>
      <c r="U1522" s="25">
        <f t="shared" si="93"/>
        <v>3294.001522</v>
      </c>
    </row>
    <row r="1523" spans="1:21">
      <c r="A1523" s="2" t="s">
        <v>2328</v>
      </c>
      <c r="B1523" s="2" t="s">
        <v>1100</v>
      </c>
      <c r="C1523" s="2" t="s">
        <v>19</v>
      </c>
      <c r="D1523" s="2">
        <v>39</v>
      </c>
      <c r="E1523" s="2" t="str">
        <f t="shared" si="94"/>
        <v>36-45</v>
      </c>
      <c r="F1523" s="2" t="s">
        <v>30</v>
      </c>
      <c r="G1523" s="2" t="s">
        <v>21</v>
      </c>
      <c r="H1523" s="2">
        <v>2</v>
      </c>
      <c r="I1523" s="2" t="str">
        <f t="shared" si="92"/>
        <v>0-6 months</v>
      </c>
      <c r="J1523" s="3">
        <v>849</v>
      </c>
      <c r="K1523" s="3">
        <v>1698</v>
      </c>
      <c r="L1523" s="2" t="s">
        <v>31</v>
      </c>
      <c r="M1523" s="4">
        <v>45851</v>
      </c>
      <c r="N1523" s="2" t="s">
        <v>32</v>
      </c>
      <c r="O1523" s="2">
        <f t="shared" si="95"/>
        <v>1</v>
      </c>
      <c r="P1523" s="2" t="s">
        <v>23</v>
      </c>
      <c r="Q1523" s="2" t="s">
        <v>23</v>
      </c>
      <c r="R1523" s="2" t="s">
        <v>23</v>
      </c>
      <c r="S1523" s="2" t="s">
        <v>23</v>
      </c>
      <c r="T1523" s="2" t="s">
        <v>23</v>
      </c>
      <c r="U1523" s="25">
        <f t="shared" si="93"/>
        <v>1698.0015229999999</v>
      </c>
    </row>
    <row r="1524" spans="1:21">
      <c r="A1524" s="2" t="s">
        <v>2329</v>
      </c>
      <c r="B1524" s="2" t="s">
        <v>1415</v>
      </c>
      <c r="C1524" s="2" t="s">
        <v>35</v>
      </c>
      <c r="D1524" s="2">
        <v>58</v>
      </c>
      <c r="E1524" s="2" t="str">
        <f t="shared" si="94"/>
        <v>46-60</v>
      </c>
      <c r="F1524" s="2" t="s">
        <v>36</v>
      </c>
      <c r="G1524" s="2" t="s">
        <v>27</v>
      </c>
      <c r="H1524" s="2">
        <v>32</v>
      </c>
      <c r="I1524" s="2" t="str">
        <f t="shared" si="92"/>
        <v>25-48 months</v>
      </c>
      <c r="J1524" s="3">
        <v>749</v>
      </c>
      <c r="K1524" s="3">
        <v>23968</v>
      </c>
      <c r="L1524" s="2" t="s">
        <v>31</v>
      </c>
      <c r="M1524" s="4">
        <v>44945</v>
      </c>
      <c r="N1524" s="2" t="s">
        <v>23</v>
      </c>
      <c r="O1524" s="2">
        <f t="shared" si="95"/>
        <v>0</v>
      </c>
      <c r="P1524" s="2" t="s">
        <v>23</v>
      </c>
      <c r="Q1524" s="2" t="s">
        <v>23</v>
      </c>
      <c r="R1524" s="2" t="s">
        <v>23</v>
      </c>
      <c r="S1524" s="2" t="s">
        <v>23</v>
      </c>
      <c r="T1524" s="2" t="s">
        <v>23</v>
      </c>
      <c r="U1524" s="25">
        <f t="shared" si="93"/>
        <v>23968.001523999999</v>
      </c>
    </row>
    <row r="1525" spans="1:21">
      <c r="A1525" s="2" t="s">
        <v>2330</v>
      </c>
      <c r="B1525" s="2" t="s">
        <v>2331</v>
      </c>
      <c r="C1525" s="2" t="s">
        <v>19</v>
      </c>
      <c r="D1525" s="2">
        <v>24</v>
      </c>
      <c r="E1525" s="2" t="str">
        <f t="shared" si="94"/>
        <v>18-25</v>
      </c>
      <c r="F1525" s="2" t="s">
        <v>41</v>
      </c>
      <c r="G1525" s="2" t="s">
        <v>27</v>
      </c>
      <c r="H1525" s="2">
        <v>2</v>
      </c>
      <c r="I1525" s="2" t="str">
        <f t="shared" si="92"/>
        <v>0-6 months</v>
      </c>
      <c r="J1525" s="3">
        <v>999</v>
      </c>
      <c r="K1525" s="3">
        <v>1998</v>
      </c>
      <c r="L1525" s="2" t="s">
        <v>22</v>
      </c>
      <c r="M1525" s="4"/>
      <c r="N1525" s="2" t="s">
        <v>23</v>
      </c>
      <c r="O1525" s="2">
        <f t="shared" si="95"/>
        <v>0</v>
      </c>
      <c r="P1525" s="2" t="s">
        <v>23</v>
      </c>
      <c r="Q1525" s="2" t="s">
        <v>23</v>
      </c>
      <c r="R1525" s="2" t="s">
        <v>23</v>
      </c>
      <c r="S1525" s="2" t="s">
        <v>23</v>
      </c>
      <c r="T1525" s="2" t="s">
        <v>54</v>
      </c>
      <c r="U1525" s="25">
        <f t="shared" si="93"/>
        <v>1998.0015249999999</v>
      </c>
    </row>
    <row r="1526" spans="1:21">
      <c r="A1526" s="2" t="s">
        <v>2332</v>
      </c>
      <c r="B1526" s="2" t="s">
        <v>747</v>
      </c>
      <c r="C1526" s="2" t="s">
        <v>35</v>
      </c>
      <c r="D1526" s="2">
        <v>74</v>
      </c>
      <c r="E1526" s="2" t="str">
        <f t="shared" si="94"/>
        <v>60+</v>
      </c>
      <c r="F1526" s="2" t="s">
        <v>91</v>
      </c>
      <c r="G1526" s="2" t="s">
        <v>21</v>
      </c>
      <c r="H1526" s="2">
        <v>1</v>
      </c>
      <c r="I1526" s="2" t="str">
        <f t="shared" si="92"/>
        <v>0-6 months</v>
      </c>
      <c r="J1526" s="3">
        <v>499</v>
      </c>
      <c r="K1526" s="3">
        <v>499</v>
      </c>
      <c r="L1526" s="2" t="s">
        <v>66</v>
      </c>
      <c r="M1526" s="4"/>
      <c r="N1526" s="2" t="s">
        <v>32</v>
      </c>
      <c r="O1526" s="2">
        <f t="shared" si="95"/>
        <v>1</v>
      </c>
      <c r="P1526" s="2" t="s">
        <v>23</v>
      </c>
      <c r="Q1526" s="2" t="s">
        <v>23</v>
      </c>
      <c r="R1526" s="2" t="s">
        <v>23</v>
      </c>
      <c r="S1526" s="2" t="s">
        <v>23</v>
      </c>
      <c r="T1526" s="2" t="s">
        <v>54</v>
      </c>
      <c r="U1526" s="25">
        <f t="shared" si="93"/>
        <v>499.00152600000001</v>
      </c>
    </row>
    <row r="1527" spans="1:21">
      <c r="A1527" s="2" t="s">
        <v>2333</v>
      </c>
      <c r="B1527" s="2" t="s">
        <v>1239</v>
      </c>
      <c r="C1527" s="2" t="s">
        <v>37</v>
      </c>
      <c r="D1527" s="2">
        <v>67</v>
      </c>
      <c r="E1527" s="2" t="str">
        <f t="shared" si="94"/>
        <v>60+</v>
      </c>
      <c r="F1527" s="2" t="s">
        <v>20</v>
      </c>
      <c r="G1527" s="2" t="s">
        <v>21</v>
      </c>
      <c r="H1527" s="2">
        <v>2</v>
      </c>
      <c r="I1527" s="2" t="str">
        <f t="shared" si="92"/>
        <v>0-6 months</v>
      </c>
      <c r="J1527" s="3">
        <v>899</v>
      </c>
      <c r="K1527" s="3">
        <v>1798</v>
      </c>
      <c r="L1527" s="2" t="s">
        <v>31</v>
      </c>
      <c r="M1527" s="4">
        <v>45855</v>
      </c>
      <c r="N1527" s="2" t="s">
        <v>32</v>
      </c>
      <c r="O1527" s="2">
        <f t="shared" si="95"/>
        <v>1</v>
      </c>
      <c r="P1527" s="2" t="s">
        <v>23</v>
      </c>
      <c r="Q1527" s="2" t="s">
        <v>23</v>
      </c>
      <c r="R1527" s="2" t="s">
        <v>23</v>
      </c>
      <c r="S1527" s="2" t="s">
        <v>23</v>
      </c>
      <c r="T1527" s="2" t="s">
        <v>23</v>
      </c>
      <c r="U1527" s="25">
        <f t="shared" si="93"/>
        <v>1798.0015269999999</v>
      </c>
    </row>
    <row r="1528" spans="1:21">
      <c r="A1528" s="2" t="s">
        <v>2334</v>
      </c>
      <c r="B1528" s="2" t="s">
        <v>514</v>
      </c>
      <c r="C1528" s="2" t="s">
        <v>19</v>
      </c>
      <c r="D1528" s="2">
        <v>72</v>
      </c>
      <c r="E1528" s="2" t="str">
        <f t="shared" si="94"/>
        <v>60+</v>
      </c>
      <c r="F1528" s="2" t="s">
        <v>60</v>
      </c>
      <c r="G1528" s="2" t="s">
        <v>21</v>
      </c>
      <c r="H1528" s="2">
        <v>5</v>
      </c>
      <c r="I1528" s="2" t="str">
        <f t="shared" si="92"/>
        <v>0-6 months</v>
      </c>
      <c r="J1528" s="3">
        <v>999</v>
      </c>
      <c r="K1528" s="3">
        <v>4995</v>
      </c>
      <c r="L1528" s="2" t="s">
        <v>22</v>
      </c>
      <c r="M1528" s="4">
        <v>45769</v>
      </c>
      <c r="N1528" s="2" t="s">
        <v>23</v>
      </c>
      <c r="O1528" s="2">
        <f t="shared" si="95"/>
        <v>0</v>
      </c>
      <c r="P1528" s="2" t="s">
        <v>23</v>
      </c>
      <c r="Q1528" s="2" t="s">
        <v>23</v>
      </c>
      <c r="R1528" s="2" t="s">
        <v>32</v>
      </c>
      <c r="S1528" s="2" t="s">
        <v>23</v>
      </c>
      <c r="T1528" s="2" t="s">
        <v>23</v>
      </c>
      <c r="U1528" s="25">
        <f t="shared" si="93"/>
        <v>4995.0015279999998</v>
      </c>
    </row>
    <row r="1529" spans="1:21">
      <c r="A1529" s="2" t="s">
        <v>2335</v>
      </c>
      <c r="B1529" s="2" t="s">
        <v>2336</v>
      </c>
      <c r="C1529" s="2" t="s">
        <v>19</v>
      </c>
      <c r="D1529" s="2">
        <v>37</v>
      </c>
      <c r="E1529" s="2" t="str">
        <f t="shared" si="94"/>
        <v>36-45</v>
      </c>
      <c r="F1529" s="2" t="s">
        <v>26</v>
      </c>
      <c r="G1529" s="2" t="s">
        <v>21</v>
      </c>
      <c r="H1529" s="2">
        <v>15</v>
      </c>
      <c r="I1529" s="2" t="str">
        <f t="shared" si="92"/>
        <v>13-24 months</v>
      </c>
      <c r="J1529" s="3">
        <v>999</v>
      </c>
      <c r="K1529" s="3">
        <v>14985</v>
      </c>
      <c r="L1529" s="2" t="s">
        <v>22</v>
      </c>
      <c r="M1529" s="4">
        <v>45463</v>
      </c>
      <c r="N1529" s="2" t="s">
        <v>32</v>
      </c>
      <c r="O1529" s="2">
        <f t="shared" si="95"/>
        <v>1</v>
      </c>
      <c r="P1529" s="2" t="s">
        <v>23</v>
      </c>
      <c r="Q1529" s="2" t="s">
        <v>23</v>
      </c>
      <c r="R1529" s="2" t="s">
        <v>23</v>
      </c>
      <c r="S1529" s="2" t="s">
        <v>23</v>
      </c>
      <c r="T1529" s="2" t="s">
        <v>23</v>
      </c>
      <c r="U1529" s="25">
        <f t="shared" si="93"/>
        <v>14985.001528999999</v>
      </c>
    </row>
    <row r="1530" spans="1:21">
      <c r="A1530" s="2" t="s">
        <v>2337</v>
      </c>
      <c r="B1530" s="2" t="s">
        <v>1938</v>
      </c>
      <c r="C1530" s="2" t="s">
        <v>19</v>
      </c>
      <c r="D1530" s="2">
        <v>31</v>
      </c>
      <c r="E1530" s="2" t="str">
        <f t="shared" si="94"/>
        <v>26-35</v>
      </c>
      <c r="F1530" s="2" t="s">
        <v>20</v>
      </c>
      <c r="G1530" s="2" t="s">
        <v>27</v>
      </c>
      <c r="H1530" s="2">
        <v>8</v>
      </c>
      <c r="I1530" s="2" t="str">
        <f t="shared" si="92"/>
        <v>7-12 months</v>
      </c>
      <c r="J1530" s="3">
        <v>899</v>
      </c>
      <c r="K1530" s="3">
        <v>7192</v>
      </c>
      <c r="L1530" s="2" t="s">
        <v>22</v>
      </c>
      <c r="M1530" s="4">
        <v>45666</v>
      </c>
      <c r="N1530" s="2" t="s">
        <v>23</v>
      </c>
      <c r="O1530" s="2">
        <f t="shared" si="95"/>
        <v>0</v>
      </c>
      <c r="P1530" s="2" t="s">
        <v>23</v>
      </c>
      <c r="Q1530" s="2" t="s">
        <v>23</v>
      </c>
      <c r="R1530" s="2" t="s">
        <v>23</v>
      </c>
      <c r="S1530" s="2" t="s">
        <v>23</v>
      </c>
      <c r="T1530" s="2" t="s">
        <v>23</v>
      </c>
      <c r="U1530" s="25">
        <f t="shared" si="93"/>
        <v>7192.0015299999995</v>
      </c>
    </row>
    <row r="1531" spans="1:21">
      <c r="A1531" s="2" t="s">
        <v>2338</v>
      </c>
      <c r="B1531" s="2" t="s">
        <v>953</v>
      </c>
      <c r="C1531" s="2" t="s">
        <v>19</v>
      </c>
      <c r="D1531" s="2">
        <v>50</v>
      </c>
      <c r="E1531" s="2" t="str">
        <f t="shared" si="94"/>
        <v>46-60</v>
      </c>
      <c r="F1531" s="2" t="s">
        <v>30</v>
      </c>
      <c r="G1531" s="2" t="s">
        <v>47</v>
      </c>
      <c r="H1531" s="2">
        <v>9</v>
      </c>
      <c r="I1531" s="2" t="str">
        <f t="shared" si="92"/>
        <v>7-12 months</v>
      </c>
      <c r="J1531" s="3">
        <v>1049</v>
      </c>
      <c r="K1531" s="3">
        <v>9441</v>
      </c>
      <c r="L1531" s="2" t="s">
        <v>22</v>
      </c>
      <c r="M1531" s="4">
        <v>45629</v>
      </c>
      <c r="N1531" s="2" t="s">
        <v>23</v>
      </c>
      <c r="O1531" s="2">
        <f t="shared" si="95"/>
        <v>0</v>
      </c>
      <c r="P1531" s="2" t="s">
        <v>23</v>
      </c>
      <c r="Q1531" s="2" t="s">
        <v>23</v>
      </c>
      <c r="R1531" s="2" t="s">
        <v>23</v>
      </c>
      <c r="S1531" s="2" t="s">
        <v>32</v>
      </c>
      <c r="T1531" s="2" t="s">
        <v>23</v>
      </c>
      <c r="U1531" s="25">
        <f t="shared" si="93"/>
        <v>9441.0015309999999</v>
      </c>
    </row>
    <row r="1532" spans="1:21">
      <c r="A1532" s="2" t="s">
        <v>2339</v>
      </c>
      <c r="B1532" s="2" t="s">
        <v>1100</v>
      </c>
      <c r="C1532" s="2" t="s">
        <v>19</v>
      </c>
      <c r="D1532" s="2">
        <v>55</v>
      </c>
      <c r="E1532" s="2" t="str">
        <f t="shared" si="94"/>
        <v>46-60</v>
      </c>
      <c r="F1532" s="2" t="s">
        <v>110</v>
      </c>
      <c r="G1532" s="2" t="s">
        <v>21</v>
      </c>
      <c r="H1532" s="2">
        <v>23</v>
      </c>
      <c r="I1532" s="2" t="str">
        <f t="shared" si="92"/>
        <v>13-24 months</v>
      </c>
      <c r="J1532" s="3">
        <v>1149</v>
      </c>
      <c r="K1532" s="3">
        <v>26427</v>
      </c>
      <c r="L1532" s="2" t="s">
        <v>22</v>
      </c>
      <c r="M1532" s="4">
        <v>45220</v>
      </c>
      <c r="N1532" s="2" t="s">
        <v>23</v>
      </c>
      <c r="O1532" s="2">
        <f t="shared" si="95"/>
        <v>0</v>
      </c>
      <c r="P1532" s="2" t="s">
        <v>23</v>
      </c>
      <c r="Q1532" s="2" t="s">
        <v>23</v>
      </c>
      <c r="R1532" s="2" t="s">
        <v>23</v>
      </c>
      <c r="S1532" s="2" t="s">
        <v>23</v>
      </c>
      <c r="T1532" s="2" t="s">
        <v>23</v>
      </c>
      <c r="U1532" s="25">
        <f t="shared" si="93"/>
        <v>26427.001531999998</v>
      </c>
    </row>
    <row r="1533" spans="1:21">
      <c r="A1533" s="2" t="s">
        <v>2340</v>
      </c>
      <c r="B1533" s="2" t="s">
        <v>2341</v>
      </c>
      <c r="C1533" s="2" t="s">
        <v>35</v>
      </c>
      <c r="D1533" s="2">
        <v>59</v>
      </c>
      <c r="E1533" s="2" t="str">
        <f t="shared" si="94"/>
        <v>46-60</v>
      </c>
      <c r="F1533" s="2" t="s">
        <v>91</v>
      </c>
      <c r="G1533" s="2" t="s">
        <v>27</v>
      </c>
      <c r="H1533" s="2"/>
      <c r="I1533" s="2" t="str">
        <f t="shared" si="92"/>
        <v>Unknown</v>
      </c>
      <c r="J1533" s="3"/>
      <c r="K1533" s="3">
        <v>34470</v>
      </c>
      <c r="L1533" s="2" t="s">
        <v>37</v>
      </c>
      <c r="M1533" s="4">
        <v>45003</v>
      </c>
      <c r="N1533" s="2" t="s">
        <v>32</v>
      </c>
      <c r="O1533" s="2">
        <f t="shared" si="95"/>
        <v>1</v>
      </c>
      <c r="P1533" s="2" t="s">
        <v>23</v>
      </c>
      <c r="Q1533" s="2" t="s">
        <v>23</v>
      </c>
      <c r="R1533" s="2" t="s">
        <v>23</v>
      </c>
      <c r="S1533" s="2" t="s">
        <v>23</v>
      </c>
      <c r="T1533" s="2" t="s">
        <v>72</v>
      </c>
      <c r="U1533" s="25">
        <f t="shared" si="93"/>
        <v>34470.001533000002</v>
      </c>
    </row>
    <row r="1534" spans="1:21">
      <c r="A1534" s="2" t="s">
        <v>2342</v>
      </c>
      <c r="B1534" s="2" t="s">
        <v>1241</v>
      </c>
      <c r="C1534" s="2" t="s">
        <v>35</v>
      </c>
      <c r="D1534" s="2">
        <v>58</v>
      </c>
      <c r="E1534" s="2" t="str">
        <f t="shared" si="94"/>
        <v>46-60</v>
      </c>
      <c r="F1534" s="2" t="s">
        <v>91</v>
      </c>
      <c r="G1534" s="2" t="s">
        <v>21</v>
      </c>
      <c r="H1534" s="2">
        <v>4</v>
      </c>
      <c r="I1534" s="2" t="str">
        <f t="shared" si="92"/>
        <v>0-6 months</v>
      </c>
      <c r="J1534" s="3">
        <v>699</v>
      </c>
      <c r="K1534" s="3">
        <v>2796</v>
      </c>
      <c r="L1534" s="2" t="s">
        <v>31</v>
      </c>
      <c r="M1534" s="4">
        <v>45790</v>
      </c>
      <c r="N1534" s="2" t="s">
        <v>23</v>
      </c>
      <c r="O1534" s="2">
        <f t="shared" si="95"/>
        <v>0</v>
      </c>
      <c r="P1534" s="2" t="s">
        <v>23</v>
      </c>
      <c r="Q1534" s="2" t="s">
        <v>23</v>
      </c>
      <c r="R1534" s="2" t="s">
        <v>23</v>
      </c>
      <c r="S1534" s="2" t="s">
        <v>23</v>
      </c>
      <c r="T1534" s="2" t="s">
        <v>23</v>
      </c>
      <c r="U1534" s="25">
        <f t="shared" si="93"/>
        <v>2796.001534</v>
      </c>
    </row>
    <row r="1535" spans="1:21">
      <c r="A1535" s="2" t="s">
        <v>2343</v>
      </c>
      <c r="B1535" s="2" t="s">
        <v>910</v>
      </c>
      <c r="C1535" s="2" t="s">
        <v>19</v>
      </c>
      <c r="D1535" s="2">
        <v>24</v>
      </c>
      <c r="E1535" s="2" t="str">
        <f t="shared" si="94"/>
        <v>18-25</v>
      </c>
      <c r="F1535" s="2" t="s">
        <v>63</v>
      </c>
      <c r="G1535" s="2" t="s">
        <v>47</v>
      </c>
      <c r="H1535" s="2">
        <v>29</v>
      </c>
      <c r="I1535" s="2" t="str">
        <f t="shared" si="92"/>
        <v>25-48 months</v>
      </c>
      <c r="J1535" s="3">
        <v>399</v>
      </c>
      <c r="K1535" s="3">
        <v>11571</v>
      </c>
      <c r="L1535" s="2" t="s">
        <v>66</v>
      </c>
      <c r="M1535" s="4">
        <v>45045</v>
      </c>
      <c r="N1535" s="2" t="s">
        <v>23</v>
      </c>
      <c r="O1535" s="2">
        <f t="shared" si="95"/>
        <v>0</v>
      </c>
      <c r="P1535" s="2" t="s">
        <v>23</v>
      </c>
      <c r="Q1535" s="2" t="s">
        <v>23</v>
      </c>
      <c r="R1535" s="2" t="s">
        <v>23</v>
      </c>
      <c r="S1535" s="2" t="s">
        <v>23</v>
      </c>
      <c r="T1535" s="2" t="s">
        <v>23</v>
      </c>
      <c r="U1535" s="25">
        <f t="shared" si="93"/>
        <v>11571.001534999999</v>
      </c>
    </row>
    <row r="1536" spans="1:21">
      <c r="A1536" s="2" t="s">
        <v>2344</v>
      </c>
      <c r="B1536" s="2" t="s">
        <v>104</v>
      </c>
      <c r="C1536" s="2" t="s">
        <v>35</v>
      </c>
      <c r="D1536" s="2">
        <v>21</v>
      </c>
      <c r="E1536" s="2" t="str">
        <f t="shared" si="94"/>
        <v>18-25</v>
      </c>
      <c r="F1536" s="2" t="s">
        <v>105</v>
      </c>
      <c r="G1536" s="2" t="s">
        <v>27</v>
      </c>
      <c r="H1536" s="2">
        <v>36</v>
      </c>
      <c r="I1536" s="2" t="str">
        <f t="shared" si="92"/>
        <v>25-48 months</v>
      </c>
      <c r="J1536" s="3">
        <v>749</v>
      </c>
      <c r="K1536" s="3">
        <v>26964</v>
      </c>
      <c r="L1536" s="2" t="s">
        <v>37</v>
      </c>
      <c r="M1536" s="4">
        <v>44834</v>
      </c>
      <c r="N1536" s="2" t="s">
        <v>23</v>
      </c>
      <c r="O1536" s="2">
        <f t="shared" si="95"/>
        <v>0</v>
      </c>
      <c r="P1536" s="2" t="s">
        <v>23</v>
      </c>
      <c r="Q1536" s="2" t="s">
        <v>23</v>
      </c>
      <c r="R1536" s="2" t="s">
        <v>23</v>
      </c>
      <c r="S1536" s="2" t="s">
        <v>23</v>
      </c>
      <c r="T1536" s="2" t="s">
        <v>23</v>
      </c>
      <c r="U1536" s="25">
        <f t="shared" si="93"/>
        <v>26964.001536</v>
      </c>
    </row>
    <row r="1537" spans="1:21">
      <c r="A1537" s="2" t="s">
        <v>2345</v>
      </c>
      <c r="B1537" s="2" t="s">
        <v>2346</v>
      </c>
      <c r="C1537" s="2" t="s">
        <v>35</v>
      </c>
      <c r="D1537" s="2">
        <v>46</v>
      </c>
      <c r="E1537" s="2" t="str">
        <f t="shared" si="94"/>
        <v>46-60</v>
      </c>
      <c r="F1537" s="2" t="s">
        <v>63</v>
      </c>
      <c r="G1537" s="2" t="s">
        <v>27</v>
      </c>
      <c r="H1537" s="2">
        <v>15</v>
      </c>
      <c r="I1537" s="2" t="str">
        <f t="shared" si="92"/>
        <v>13-24 months</v>
      </c>
      <c r="J1537" s="3">
        <v>799</v>
      </c>
      <c r="K1537" s="3">
        <v>11985</v>
      </c>
      <c r="L1537" s="2" t="s">
        <v>31</v>
      </c>
      <c r="M1537" s="4">
        <v>45457</v>
      </c>
      <c r="N1537" s="2" t="s">
        <v>23</v>
      </c>
      <c r="O1537" s="2">
        <f t="shared" si="95"/>
        <v>0</v>
      </c>
      <c r="P1537" s="2" t="s">
        <v>23</v>
      </c>
      <c r="Q1537" s="2" t="s">
        <v>23</v>
      </c>
      <c r="R1537" s="2" t="s">
        <v>23</v>
      </c>
      <c r="S1537" s="2" t="s">
        <v>23</v>
      </c>
      <c r="T1537" s="2" t="s">
        <v>23</v>
      </c>
      <c r="U1537" s="25">
        <f t="shared" si="93"/>
        <v>11985.001537</v>
      </c>
    </row>
    <row r="1538" spans="1:21">
      <c r="A1538" s="2" t="s">
        <v>2347</v>
      </c>
      <c r="B1538" s="2" t="s">
        <v>499</v>
      </c>
      <c r="C1538" s="2" t="s">
        <v>35</v>
      </c>
      <c r="D1538" s="2">
        <v>26</v>
      </c>
      <c r="E1538" s="2" t="str">
        <f t="shared" si="94"/>
        <v>26-35</v>
      </c>
      <c r="F1538" s="2" t="s">
        <v>71</v>
      </c>
      <c r="G1538" s="2" t="s">
        <v>47</v>
      </c>
      <c r="H1538" s="2">
        <v>37</v>
      </c>
      <c r="I1538" s="2" t="str">
        <f t="shared" ref="I1538:I1601" si="96">IF(H1538="","Unknown",IF(H1538&lt;=6,"0-6 months",IF(H1538&lt;=12,"7-12 months",IF(H1538&lt;=24,"13-24 months",IF(H1538&lt;=48,"25-48 months","49+ months")))))</f>
        <v>25-48 months</v>
      </c>
      <c r="J1538" s="3">
        <v>899</v>
      </c>
      <c r="K1538" s="3">
        <v>33263</v>
      </c>
      <c r="L1538" s="2" t="s">
        <v>22</v>
      </c>
      <c r="M1538" s="4">
        <v>44790</v>
      </c>
      <c r="N1538" s="2" t="s">
        <v>23</v>
      </c>
      <c r="O1538" s="2">
        <f t="shared" si="95"/>
        <v>0</v>
      </c>
      <c r="P1538" s="2" t="s">
        <v>23</v>
      </c>
      <c r="Q1538" s="2" t="s">
        <v>23</v>
      </c>
      <c r="R1538" s="2" t="s">
        <v>23</v>
      </c>
      <c r="S1538" s="2" t="s">
        <v>23</v>
      </c>
      <c r="T1538" s="2" t="s">
        <v>23</v>
      </c>
      <c r="U1538" s="25">
        <f t="shared" ref="U1538:U1601" si="97">IF(K1538="","",K1538+ROW()/1000000)</f>
        <v>33263.001537999997</v>
      </c>
    </row>
    <row r="1539" spans="1:21">
      <c r="A1539" s="2" t="s">
        <v>2348</v>
      </c>
      <c r="B1539" s="2" t="s">
        <v>1933</v>
      </c>
      <c r="C1539" s="2" t="s">
        <v>19</v>
      </c>
      <c r="D1539" s="2">
        <v>54</v>
      </c>
      <c r="E1539" s="2" t="str">
        <f t="shared" ref="E1539:E1602" si="98">IF(D1539&lt;=25,"18-25",IF(D1539&lt;=35,"26-35",IF(D1539&lt;=45,"36-45",IF(D1539&lt;=60,"46-60","60+"))))</f>
        <v>46-60</v>
      </c>
      <c r="F1539" s="2" t="s">
        <v>91</v>
      </c>
      <c r="G1539" s="2" t="s">
        <v>21</v>
      </c>
      <c r="H1539" s="2">
        <v>5</v>
      </c>
      <c r="I1539" s="2" t="str">
        <f t="shared" si="96"/>
        <v>0-6 months</v>
      </c>
      <c r="J1539" s="3">
        <v>749</v>
      </c>
      <c r="K1539" s="3">
        <v>3745</v>
      </c>
      <c r="L1539" s="2" t="s">
        <v>31</v>
      </c>
      <c r="M1539" s="4">
        <v>45774</v>
      </c>
      <c r="N1539" s="2" t="s">
        <v>32</v>
      </c>
      <c r="O1539" s="2">
        <f t="shared" ref="O1539:O1602" si="99">IF(N1539="Yes",1,IF(N1539="No",0,""))</f>
        <v>1</v>
      </c>
      <c r="P1539" s="2" t="s">
        <v>23</v>
      </c>
      <c r="Q1539" s="2" t="s">
        <v>23</v>
      </c>
      <c r="R1539" s="2" t="s">
        <v>23</v>
      </c>
      <c r="S1539" s="2" t="s">
        <v>23</v>
      </c>
      <c r="T1539" s="2" t="s">
        <v>23</v>
      </c>
      <c r="U1539" s="25">
        <f t="shared" si="97"/>
        <v>3745.0015389999999</v>
      </c>
    </row>
    <row r="1540" spans="1:21">
      <c r="A1540" s="2" t="s">
        <v>2349</v>
      </c>
      <c r="B1540" s="2" t="s">
        <v>2350</v>
      </c>
      <c r="C1540" s="2" t="s">
        <v>35</v>
      </c>
      <c r="D1540" s="2">
        <v>68</v>
      </c>
      <c r="E1540" s="2" t="str">
        <f t="shared" si="98"/>
        <v>60+</v>
      </c>
      <c r="F1540" s="2" t="s">
        <v>26</v>
      </c>
      <c r="G1540" s="2" t="s">
        <v>21</v>
      </c>
      <c r="H1540" s="2">
        <v>14</v>
      </c>
      <c r="I1540" s="2" t="str">
        <f t="shared" si="96"/>
        <v>13-24 months</v>
      </c>
      <c r="J1540" s="3">
        <v>899</v>
      </c>
      <c r="K1540" s="3">
        <v>12586</v>
      </c>
      <c r="L1540" s="2" t="s">
        <v>22</v>
      </c>
      <c r="M1540" s="4">
        <v>45493</v>
      </c>
      <c r="N1540" s="2" t="s">
        <v>32</v>
      </c>
      <c r="O1540" s="2">
        <f t="shared" si="99"/>
        <v>1</v>
      </c>
      <c r="P1540" s="2" t="s">
        <v>23</v>
      </c>
      <c r="Q1540" s="2" t="s">
        <v>23</v>
      </c>
      <c r="R1540" s="2" t="s">
        <v>23</v>
      </c>
      <c r="S1540" s="2" t="s">
        <v>32</v>
      </c>
      <c r="T1540" s="2" t="s">
        <v>23</v>
      </c>
      <c r="U1540" s="25">
        <f t="shared" si="97"/>
        <v>12586.001539999999</v>
      </c>
    </row>
    <row r="1541" spans="1:21">
      <c r="A1541" s="2" t="s">
        <v>2351</v>
      </c>
      <c r="B1541" s="2" t="s">
        <v>1315</v>
      </c>
      <c r="C1541" s="2" t="s">
        <v>35</v>
      </c>
      <c r="D1541" s="2">
        <v>71</v>
      </c>
      <c r="E1541" s="2" t="str">
        <f t="shared" si="98"/>
        <v>60+</v>
      </c>
      <c r="F1541" s="2" t="s">
        <v>71</v>
      </c>
      <c r="G1541" s="2" t="s">
        <v>47</v>
      </c>
      <c r="H1541" s="2">
        <v>68</v>
      </c>
      <c r="I1541" s="2" t="str">
        <f t="shared" si="96"/>
        <v>49+ months</v>
      </c>
      <c r="J1541" s="3">
        <v>1149</v>
      </c>
      <c r="K1541" s="3">
        <v>78132</v>
      </c>
      <c r="L1541" s="2" t="s">
        <v>22</v>
      </c>
      <c r="M1541" s="4">
        <v>43864</v>
      </c>
      <c r="N1541" s="2" t="s">
        <v>23</v>
      </c>
      <c r="O1541" s="2">
        <f t="shared" si="99"/>
        <v>0</v>
      </c>
      <c r="P1541" s="2" t="s">
        <v>23</v>
      </c>
      <c r="Q1541" s="2" t="s">
        <v>23</v>
      </c>
      <c r="R1541" s="2" t="s">
        <v>23</v>
      </c>
      <c r="S1541" s="2" t="s">
        <v>23</v>
      </c>
      <c r="T1541" s="2" t="s">
        <v>23</v>
      </c>
      <c r="U1541" s="25">
        <f t="shared" si="97"/>
        <v>78132.001541000005</v>
      </c>
    </row>
    <row r="1542" spans="1:21">
      <c r="A1542" s="2" t="s">
        <v>2352</v>
      </c>
      <c r="B1542" s="2" t="s">
        <v>2112</v>
      </c>
      <c r="C1542" s="2" t="s">
        <v>19</v>
      </c>
      <c r="D1542" s="2">
        <v>67</v>
      </c>
      <c r="E1542" s="2" t="str">
        <f t="shared" si="98"/>
        <v>60+</v>
      </c>
      <c r="F1542" s="2" t="s">
        <v>46</v>
      </c>
      <c r="G1542" s="2" t="s">
        <v>21</v>
      </c>
      <c r="H1542" s="2">
        <v>19</v>
      </c>
      <c r="I1542" s="2" t="str">
        <f t="shared" si="96"/>
        <v>13-24 months</v>
      </c>
      <c r="J1542" s="3">
        <v>899</v>
      </c>
      <c r="K1542" s="3">
        <v>17081</v>
      </c>
      <c r="L1542" s="2" t="s">
        <v>31</v>
      </c>
      <c r="M1542" s="4">
        <v>45350</v>
      </c>
      <c r="N1542" s="2" t="s">
        <v>23</v>
      </c>
      <c r="O1542" s="2">
        <f t="shared" si="99"/>
        <v>0</v>
      </c>
      <c r="P1542" s="2" t="s">
        <v>23</v>
      </c>
      <c r="Q1542" s="2" t="s">
        <v>23</v>
      </c>
      <c r="R1542" s="2" t="s">
        <v>23</v>
      </c>
      <c r="S1542" s="2" t="s">
        <v>23</v>
      </c>
      <c r="T1542" s="2" t="s">
        <v>23</v>
      </c>
      <c r="U1542" s="25">
        <f t="shared" si="97"/>
        <v>17081.001542000002</v>
      </c>
    </row>
    <row r="1543" spans="1:21">
      <c r="A1543" s="2" t="s">
        <v>2353</v>
      </c>
      <c r="B1543" s="2" t="s">
        <v>1054</v>
      </c>
      <c r="C1543" s="2" t="s">
        <v>19</v>
      </c>
      <c r="D1543" s="2">
        <v>48</v>
      </c>
      <c r="E1543" s="2" t="str">
        <f t="shared" si="98"/>
        <v>46-60</v>
      </c>
      <c r="F1543" s="2" t="s">
        <v>110</v>
      </c>
      <c r="G1543" s="2" t="s">
        <v>21</v>
      </c>
      <c r="H1543" s="2">
        <v>17</v>
      </c>
      <c r="I1543" s="2" t="str">
        <f t="shared" si="96"/>
        <v>13-24 months</v>
      </c>
      <c r="J1543" s="3">
        <v>749</v>
      </c>
      <c r="K1543" s="3">
        <v>12733</v>
      </c>
      <c r="L1543" s="2" t="s">
        <v>31</v>
      </c>
      <c r="M1543" s="4">
        <v>45406</v>
      </c>
      <c r="N1543" s="2" t="s">
        <v>23</v>
      </c>
      <c r="O1543" s="2">
        <f t="shared" si="99"/>
        <v>0</v>
      </c>
      <c r="P1543" s="2" t="s">
        <v>23</v>
      </c>
      <c r="Q1543" s="2" t="s">
        <v>23</v>
      </c>
      <c r="R1543" s="2" t="s">
        <v>23</v>
      </c>
      <c r="S1543" s="2" t="s">
        <v>23</v>
      </c>
      <c r="T1543" s="2" t="s">
        <v>23</v>
      </c>
      <c r="U1543" s="25">
        <f t="shared" si="97"/>
        <v>12733.001543</v>
      </c>
    </row>
    <row r="1544" spans="1:21">
      <c r="A1544" s="2" t="s">
        <v>2354</v>
      </c>
      <c r="B1544" s="2" t="s">
        <v>948</v>
      </c>
      <c r="C1544" s="2" t="s">
        <v>19</v>
      </c>
      <c r="D1544" s="2">
        <v>71</v>
      </c>
      <c r="E1544" s="2" t="str">
        <f t="shared" si="98"/>
        <v>60+</v>
      </c>
      <c r="F1544" s="2" t="s">
        <v>110</v>
      </c>
      <c r="G1544" s="2" t="s">
        <v>21</v>
      </c>
      <c r="H1544" s="2">
        <v>3</v>
      </c>
      <c r="I1544" s="2" t="str">
        <f t="shared" si="96"/>
        <v>0-6 months</v>
      </c>
      <c r="J1544" s="3">
        <v>849</v>
      </c>
      <c r="K1544" s="3">
        <v>2547</v>
      </c>
      <c r="L1544" s="2" t="s">
        <v>31</v>
      </c>
      <c r="M1544" s="4">
        <v>45812</v>
      </c>
      <c r="N1544" s="2" t="s">
        <v>32</v>
      </c>
      <c r="O1544" s="2">
        <f t="shared" si="99"/>
        <v>1</v>
      </c>
      <c r="P1544" s="2" t="s">
        <v>23</v>
      </c>
      <c r="Q1544" s="2" t="s">
        <v>23</v>
      </c>
      <c r="R1544" s="2" t="s">
        <v>23</v>
      </c>
      <c r="S1544" s="2" t="s">
        <v>23</v>
      </c>
      <c r="T1544" s="2" t="s">
        <v>23</v>
      </c>
      <c r="U1544" s="25">
        <f t="shared" si="97"/>
        <v>2547.0015440000002</v>
      </c>
    </row>
    <row r="1545" spans="1:21">
      <c r="A1545" s="2" t="s">
        <v>2355</v>
      </c>
      <c r="B1545" s="2" t="s">
        <v>2065</v>
      </c>
      <c r="C1545" s="2" t="s">
        <v>19</v>
      </c>
      <c r="D1545" s="2">
        <v>42</v>
      </c>
      <c r="E1545" s="2" t="str">
        <f t="shared" si="98"/>
        <v>36-45</v>
      </c>
      <c r="F1545" s="2" t="s">
        <v>26</v>
      </c>
      <c r="G1545" s="2" t="s">
        <v>21</v>
      </c>
      <c r="H1545" s="2">
        <v>3</v>
      </c>
      <c r="I1545" s="2" t="str">
        <f t="shared" si="96"/>
        <v>0-6 months</v>
      </c>
      <c r="J1545" s="3">
        <v>1199</v>
      </c>
      <c r="K1545" s="3">
        <v>3597</v>
      </c>
      <c r="L1545" s="2" t="s">
        <v>22</v>
      </c>
      <c r="M1545" s="4">
        <v>45815</v>
      </c>
      <c r="N1545" s="2" t="s">
        <v>32</v>
      </c>
      <c r="O1545" s="2">
        <f t="shared" si="99"/>
        <v>1</v>
      </c>
      <c r="P1545" s="2" t="s">
        <v>23</v>
      </c>
      <c r="Q1545" s="2" t="s">
        <v>23</v>
      </c>
      <c r="R1545" s="2" t="s">
        <v>23</v>
      </c>
      <c r="S1545" s="2" t="s">
        <v>23</v>
      </c>
      <c r="T1545" s="2" t="s">
        <v>23</v>
      </c>
      <c r="U1545" s="25">
        <f t="shared" si="97"/>
        <v>3597.0015450000001</v>
      </c>
    </row>
    <row r="1546" spans="1:21">
      <c r="A1546" s="2" t="s">
        <v>2356</v>
      </c>
      <c r="B1546" s="2" t="s">
        <v>1838</v>
      </c>
      <c r="C1546" s="2" t="s">
        <v>35</v>
      </c>
      <c r="D1546" s="2">
        <v>44</v>
      </c>
      <c r="E1546" s="2" t="str">
        <f t="shared" si="98"/>
        <v>36-45</v>
      </c>
      <c r="F1546" s="2" t="s">
        <v>110</v>
      </c>
      <c r="G1546" s="2" t="s">
        <v>21</v>
      </c>
      <c r="H1546" s="2">
        <v>7</v>
      </c>
      <c r="I1546" s="2" t="str">
        <f t="shared" si="96"/>
        <v>7-12 months</v>
      </c>
      <c r="J1546" s="3">
        <v>1149</v>
      </c>
      <c r="K1546" s="3">
        <v>8043</v>
      </c>
      <c r="L1546" s="2" t="s">
        <v>22</v>
      </c>
      <c r="M1546" s="4">
        <v>45698</v>
      </c>
      <c r="N1546" s="2" t="s">
        <v>23</v>
      </c>
      <c r="O1546" s="2">
        <f t="shared" si="99"/>
        <v>0</v>
      </c>
      <c r="P1546" s="2" t="s">
        <v>23</v>
      </c>
      <c r="Q1546" s="2" t="s">
        <v>23</v>
      </c>
      <c r="R1546" s="2" t="s">
        <v>23</v>
      </c>
      <c r="S1546" s="2" t="s">
        <v>23</v>
      </c>
      <c r="T1546" s="2" t="s">
        <v>23</v>
      </c>
      <c r="U1546" s="25">
        <f t="shared" si="97"/>
        <v>8043.0015460000004</v>
      </c>
    </row>
    <row r="1547" spans="1:21">
      <c r="A1547" s="2" t="s">
        <v>2357</v>
      </c>
      <c r="B1547" s="2" t="s">
        <v>638</v>
      </c>
      <c r="C1547" s="2" t="s">
        <v>19</v>
      </c>
      <c r="D1547" s="2">
        <v>41</v>
      </c>
      <c r="E1547" s="2" t="str">
        <f t="shared" si="98"/>
        <v>36-45</v>
      </c>
      <c r="F1547" s="2" t="s">
        <v>20</v>
      </c>
      <c r="G1547" s="2" t="s">
        <v>27</v>
      </c>
      <c r="H1547" s="2">
        <v>32</v>
      </c>
      <c r="I1547" s="2" t="str">
        <f t="shared" si="96"/>
        <v>25-48 months</v>
      </c>
      <c r="J1547" s="3">
        <v>749</v>
      </c>
      <c r="K1547" s="3">
        <v>23968</v>
      </c>
      <c r="L1547" s="2" t="s">
        <v>31</v>
      </c>
      <c r="M1547" s="4">
        <v>44963</v>
      </c>
      <c r="N1547" s="2" t="s">
        <v>23</v>
      </c>
      <c r="O1547" s="2">
        <f t="shared" si="99"/>
        <v>0</v>
      </c>
      <c r="P1547" s="2" t="s">
        <v>23</v>
      </c>
      <c r="Q1547" s="2" t="s">
        <v>23</v>
      </c>
      <c r="R1547" s="2" t="s">
        <v>23</v>
      </c>
      <c r="S1547" s="2" t="s">
        <v>32</v>
      </c>
      <c r="T1547" s="2" t="s">
        <v>23</v>
      </c>
      <c r="U1547" s="25">
        <f t="shared" si="97"/>
        <v>23968.001547</v>
      </c>
    </row>
    <row r="1548" spans="1:21">
      <c r="A1548" s="2" t="s">
        <v>2358</v>
      </c>
      <c r="B1548" s="2" t="s">
        <v>2359</v>
      </c>
      <c r="C1548" s="2" t="s">
        <v>37</v>
      </c>
      <c r="D1548" s="2">
        <v>64</v>
      </c>
      <c r="E1548" s="2" t="str">
        <f t="shared" si="98"/>
        <v>60+</v>
      </c>
      <c r="F1548" s="2" t="s">
        <v>105</v>
      </c>
      <c r="G1548" s="2" t="s">
        <v>27</v>
      </c>
      <c r="H1548" s="2">
        <v>9</v>
      </c>
      <c r="I1548" s="2" t="str">
        <f t="shared" si="96"/>
        <v>7-12 months</v>
      </c>
      <c r="J1548" s="3">
        <v>999</v>
      </c>
      <c r="K1548" s="3">
        <v>8991</v>
      </c>
      <c r="L1548" s="2" t="s">
        <v>22</v>
      </c>
      <c r="M1548" s="4">
        <v>45633</v>
      </c>
      <c r="N1548" s="2" t="s">
        <v>32</v>
      </c>
      <c r="O1548" s="2">
        <f t="shared" si="99"/>
        <v>1</v>
      </c>
      <c r="P1548" s="2" t="s">
        <v>23</v>
      </c>
      <c r="Q1548" s="2" t="s">
        <v>23</v>
      </c>
      <c r="R1548" s="2" t="s">
        <v>32</v>
      </c>
      <c r="S1548" s="2" t="s">
        <v>23</v>
      </c>
      <c r="T1548" s="2" t="s">
        <v>23</v>
      </c>
      <c r="U1548" s="25">
        <f t="shared" si="97"/>
        <v>8991.0015480000002</v>
      </c>
    </row>
    <row r="1549" spans="1:21">
      <c r="A1549" s="2" t="s">
        <v>2360</v>
      </c>
      <c r="B1549" s="2" t="s">
        <v>1074</v>
      </c>
      <c r="C1549" s="2" t="s">
        <v>19</v>
      </c>
      <c r="D1549" s="2">
        <v>58</v>
      </c>
      <c r="E1549" s="2" t="str">
        <f t="shared" si="98"/>
        <v>46-60</v>
      </c>
      <c r="F1549" s="2" t="s">
        <v>57</v>
      </c>
      <c r="G1549" s="2" t="s">
        <v>21</v>
      </c>
      <c r="H1549" s="2">
        <v>2</v>
      </c>
      <c r="I1549" s="2" t="str">
        <f t="shared" si="96"/>
        <v>0-6 months</v>
      </c>
      <c r="J1549" s="3">
        <v>1149</v>
      </c>
      <c r="K1549" s="3">
        <v>2298</v>
      </c>
      <c r="L1549" s="2" t="s">
        <v>22</v>
      </c>
      <c r="M1549" s="4">
        <v>45844</v>
      </c>
      <c r="N1549" s="2" t="s">
        <v>37</v>
      </c>
      <c r="O1549" s="2" t="str">
        <f t="shared" si="99"/>
        <v/>
      </c>
      <c r="P1549" s="2" t="s">
        <v>23</v>
      </c>
      <c r="Q1549" s="2" t="s">
        <v>23</v>
      </c>
      <c r="R1549" s="2" t="s">
        <v>23</v>
      </c>
      <c r="S1549" s="2" t="s">
        <v>32</v>
      </c>
      <c r="T1549" s="2" t="s">
        <v>38</v>
      </c>
      <c r="U1549" s="25">
        <f t="shared" si="97"/>
        <v>2298.0015490000001</v>
      </c>
    </row>
    <row r="1550" spans="1:21">
      <c r="A1550" s="2" t="s">
        <v>2361</v>
      </c>
      <c r="B1550" s="2" t="s">
        <v>1408</v>
      </c>
      <c r="C1550" s="2" t="s">
        <v>35</v>
      </c>
      <c r="D1550" s="2">
        <v>51</v>
      </c>
      <c r="E1550" s="2" t="str">
        <f t="shared" si="98"/>
        <v>46-60</v>
      </c>
      <c r="F1550" s="2" t="s">
        <v>71</v>
      </c>
      <c r="G1550" s="2" t="s">
        <v>21</v>
      </c>
      <c r="H1550" s="2">
        <v>7</v>
      </c>
      <c r="I1550" s="2" t="str">
        <f t="shared" si="96"/>
        <v>7-12 months</v>
      </c>
      <c r="J1550" s="3">
        <v>649</v>
      </c>
      <c r="K1550" s="3">
        <v>4543</v>
      </c>
      <c r="L1550" s="2" t="s">
        <v>31</v>
      </c>
      <c r="M1550" s="4">
        <v>45689</v>
      </c>
      <c r="N1550" s="2" t="s">
        <v>32</v>
      </c>
      <c r="O1550" s="2">
        <f t="shared" si="99"/>
        <v>1</v>
      </c>
      <c r="P1550" s="2" t="s">
        <v>23</v>
      </c>
      <c r="Q1550" s="2" t="s">
        <v>23</v>
      </c>
      <c r="R1550" s="2" t="s">
        <v>23</v>
      </c>
      <c r="S1550" s="2" t="s">
        <v>23</v>
      </c>
      <c r="T1550" s="2" t="s">
        <v>23</v>
      </c>
      <c r="U1550" s="25">
        <f t="shared" si="97"/>
        <v>4543.00155</v>
      </c>
    </row>
    <row r="1551" spans="1:21">
      <c r="A1551" s="2" t="s">
        <v>2362</v>
      </c>
      <c r="B1551" s="2" t="s">
        <v>685</v>
      </c>
      <c r="C1551" s="2" t="s">
        <v>19</v>
      </c>
      <c r="D1551" s="2">
        <v>63</v>
      </c>
      <c r="E1551" s="2" t="str">
        <f t="shared" si="98"/>
        <v>60+</v>
      </c>
      <c r="F1551" s="2" t="s">
        <v>63</v>
      </c>
      <c r="G1551" s="2" t="s">
        <v>21</v>
      </c>
      <c r="H1551" s="2">
        <v>13</v>
      </c>
      <c r="I1551" s="2" t="str">
        <f t="shared" si="96"/>
        <v>13-24 months</v>
      </c>
      <c r="J1551" s="3">
        <v>549</v>
      </c>
      <c r="K1551" s="3">
        <v>7137</v>
      </c>
      <c r="L1551" s="2" t="s">
        <v>66</v>
      </c>
      <c r="M1551" s="4">
        <v>45524</v>
      </c>
      <c r="N1551" s="2" t="s">
        <v>23</v>
      </c>
      <c r="O1551" s="2">
        <f t="shared" si="99"/>
        <v>0</v>
      </c>
      <c r="P1551" s="2" t="s">
        <v>23</v>
      </c>
      <c r="Q1551" s="2" t="s">
        <v>23</v>
      </c>
      <c r="R1551" s="2" t="s">
        <v>23</v>
      </c>
      <c r="S1551" s="2" t="s">
        <v>23</v>
      </c>
      <c r="T1551" s="2" t="s">
        <v>23</v>
      </c>
      <c r="U1551" s="25">
        <f t="shared" si="97"/>
        <v>7137.0015510000003</v>
      </c>
    </row>
    <row r="1552" spans="1:21">
      <c r="A1552" s="2" t="s">
        <v>2363</v>
      </c>
      <c r="B1552" s="2" t="s">
        <v>620</v>
      </c>
      <c r="C1552" s="2" t="s">
        <v>19</v>
      </c>
      <c r="D1552" s="2">
        <v>61</v>
      </c>
      <c r="E1552" s="2" t="str">
        <f t="shared" si="98"/>
        <v>60+</v>
      </c>
      <c r="F1552" s="2" t="s">
        <v>41</v>
      </c>
      <c r="G1552" s="2" t="s">
        <v>21</v>
      </c>
      <c r="H1552" s="2">
        <v>13</v>
      </c>
      <c r="I1552" s="2" t="str">
        <f t="shared" si="96"/>
        <v>13-24 months</v>
      </c>
      <c r="J1552" s="3">
        <v>599</v>
      </c>
      <c r="K1552" s="3">
        <v>7787</v>
      </c>
      <c r="L1552" s="2" t="s">
        <v>31</v>
      </c>
      <c r="M1552" s="4">
        <v>45522</v>
      </c>
      <c r="N1552" s="2" t="s">
        <v>32</v>
      </c>
      <c r="O1552" s="2">
        <f t="shared" si="99"/>
        <v>1</v>
      </c>
      <c r="P1552" s="2" t="s">
        <v>23</v>
      </c>
      <c r="Q1552" s="2" t="s">
        <v>23</v>
      </c>
      <c r="R1552" s="2" t="s">
        <v>23</v>
      </c>
      <c r="S1552" s="2" t="s">
        <v>23</v>
      </c>
      <c r="T1552" s="2" t="s">
        <v>23</v>
      </c>
      <c r="U1552" s="25">
        <f t="shared" si="97"/>
        <v>7787.0015519999997</v>
      </c>
    </row>
    <row r="1553" spans="1:21">
      <c r="A1553" s="2" t="s">
        <v>2364</v>
      </c>
      <c r="B1553" s="2" t="s">
        <v>291</v>
      </c>
      <c r="C1553" s="2" t="s">
        <v>35</v>
      </c>
      <c r="D1553" s="2">
        <v>49</v>
      </c>
      <c r="E1553" s="2" t="str">
        <f t="shared" si="98"/>
        <v>46-60</v>
      </c>
      <c r="F1553" s="2" t="s">
        <v>26</v>
      </c>
      <c r="G1553" s="2" t="s">
        <v>27</v>
      </c>
      <c r="H1553" s="2">
        <v>8</v>
      </c>
      <c r="I1553" s="2" t="str">
        <f t="shared" si="96"/>
        <v>7-12 months</v>
      </c>
      <c r="J1553" s="3">
        <v>649</v>
      </c>
      <c r="K1553" s="3">
        <v>5192</v>
      </c>
      <c r="L1553" s="2" t="s">
        <v>31</v>
      </c>
      <c r="M1553" s="4">
        <v>45667</v>
      </c>
      <c r="N1553" s="2" t="s">
        <v>32</v>
      </c>
      <c r="O1553" s="2">
        <f t="shared" si="99"/>
        <v>1</v>
      </c>
      <c r="P1553" s="2" t="s">
        <v>23</v>
      </c>
      <c r="Q1553" s="2" t="s">
        <v>23</v>
      </c>
      <c r="R1553" s="2" t="s">
        <v>23</v>
      </c>
      <c r="S1553" s="2" t="s">
        <v>23</v>
      </c>
      <c r="T1553" s="2" t="s">
        <v>23</v>
      </c>
      <c r="U1553" s="25">
        <f t="shared" si="97"/>
        <v>5192.0015530000001</v>
      </c>
    </row>
    <row r="1554" spans="1:21">
      <c r="A1554" s="2" t="s">
        <v>2365</v>
      </c>
      <c r="B1554" s="2" t="s">
        <v>448</v>
      </c>
      <c r="C1554" s="2" t="s">
        <v>35</v>
      </c>
      <c r="D1554" s="2">
        <v>55</v>
      </c>
      <c r="E1554" s="2" t="str">
        <f t="shared" si="98"/>
        <v>46-60</v>
      </c>
      <c r="F1554" s="2" t="s">
        <v>36</v>
      </c>
      <c r="G1554" s="2" t="s">
        <v>27</v>
      </c>
      <c r="H1554" s="2">
        <v>38</v>
      </c>
      <c r="I1554" s="2" t="str">
        <f t="shared" si="96"/>
        <v>25-48 months</v>
      </c>
      <c r="J1554" s="3">
        <v>699</v>
      </c>
      <c r="K1554" s="3">
        <v>26562</v>
      </c>
      <c r="L1554" s="2" t="s">
        <v>31</v>
      </c>
      <c r="M1554" s="4">
        <v>44779</v>
      </c>
      <c r="N1554" s="2" t="s">
        <v>23</v>
      </c>
      <c r="O1554" s="2">
        <f t="shared" si="99"/>
        <v>0</v>
      </c>
      <c r="P1554" s="2" t="s">
        <v>23</v>
      </c>
      <c r="Q1554" s="2" t="s">
        <v>23</v>
      </c>
      <c r="R1554" s="2" t="s">
        <v>23</v>
      </c>
      <c r="S1554" s="2" t="s">
        <v>23</v>
      </c>
      <c r="T1554" s="2" t="s">
        <v>23</v>
      </c>
      <c r="U1554" s="25">
        <f t="shared" si="97"/>
        <v>26562.001553999999</v>
      </c>
    </row>
    <row r="1555" spans="1:21">
      <c r="A1555" s="2" t="s">
        <v>2366</v>
      </c>
      <c r="B1555" s="2" t="s">
        <v>2367</v>
      </c>
      <c r="C1555" s="2" t="s">
        <v>19</v>
      </c>
      <c r="D1555" s="2">
        <v>35</v>
      </c>
      <c r="E1555" s="2" t="str">
        <f t="shared" si="98"/>
        <v>26-35</v>
      </c>
      <c r="F1555" s="2" t="s">
        <v>46</v>
      </c>
      <c r="G1555" s="2" t="s">
        <v>47</v>
      </c>
      <c r="H1555" s="2">
        <v>27</v>
      </c>
      <c r="I1555" s="2" t="str">
        <f t="shared" si="96"/>
        <v>25-48 months</v>
      </c>
      <c r="J1555" s="3">
        <v>849</v>
      </c>
      <c r="K1555" s="3">
        <v>22923</v>
      </c>
      <c r="L1555" s="2" t="s">
        <v>31</v>
      </c>
      <c r="M1555" s="4">
        <v>45101</v>
      </c>
      <c r="N1555" s="2" t="s">
        <v>23</v>
      </c>
      <c r="O1555" s="2">
        <f t="shared" si="99"/>
        <v>0</v>
      </c>
      <c r="P1555" s="2" t="s">
        <v>23</v>
      </c>
      <c r="Q1555" s="2" t="s">
        <v>23</v>
      </c>
      <c r="R1555" s="2" t="s">
        <v>23</v>
      </c>
      <c r="S1555" s="2" t="s">
        <v>23</v>
      </c>
      <c r="T1555" s="2" t="s">
        <v>23</v>
      </c>
      <c r="U1555" s="25">
        <f t="shared" si="97"/>
        <v>22923.001554999999</v>
      </c>
    </row>
    <row r="1556" spans="1:21">
      <c r="A1556" s="2" t="s">
        <v>2368</v>
      </c>
      <c r="B1556" s="2" t="s">
        <v>2369</v>
      </c>
      <c r="C1556" s="2" t="s">
        <v>19</v>
      </c>
      <c r="D1556" s="2">
        <v>65</v>
      </c>
      <c r="E1556" s="2" t="str">
        <f t="shared" si="98"/>
        <v>60+</v>
      </c>
      <c r="F1556" s="2" t="s">
        <v>110</v>
      </c>
      <c r="G1556" s="2" t="s">
        <v>21</v>
      </c>
      <c r="H1556" s="2">
        <v>6</v>
      </c>
      <c r="I1556" s="2" t="str">
        <f t="shared" si="96"/>
        <v>0-6 months</v>
      </c>
      <c r="J1556" s="3">
        <v>899</v>
      </c>
      <c r="K1556" s="3">
        <v>5394</v>
      </c>
      <c r="L1556" s="2" t="s">
        <v>22</v>
      </c>
      <c r="M1556" s="4"/>
      <c r="N1556" s="2" t="s">
        <v>23</v>
      </c>
      <c r="O1556" s="2">
        <f t="shared" si="99"/>
        <v>0</v>
      </c>
      <c r="P1556" s="2" t="s">
        <v>23</v>
      </c>
      <c r="Q1556" s="2" t="s">
        <v>23</v>
      </c>
      <c r="R1556" s="2" t="s">
        <v>23</v>
      </c>
      <c r="S1556" s="2" t="s">
        <v>23</v>
      </c>
      <c r="T1556" s="2" t="s">
        <v>54</v>
      </c>
      <c r="U1556" s="25">
        <f t="shared" si="97"/>
        <v>5394.0015560000002</v>
      </c>
    </row>
    <row r="1557" spans="1:21">
      <c r="A1557" s="2" t="s">
        <v>2370</v>
      </c>
      <c r="B1557" s="2" t="s">
        <v>104</v>
      </c>
      <c r="C1557" s="2" t="s">
        <v>35</v>
      </c>
      <c r="D1557" s="2">
        <v>70</v>
      </c>
      <c r="E1557" s="2" t="str">
        <f t="shared" si="98"/>
        <v>60+</v>
      </c>
      <c r="F1557" s="2" t="s">
        <v>37</v>
      </c>
      <c r="G1557" s="2" t="s">
        <v>21</v>
      </c>
      <c r="H1557" s="2">
        <v>17</v>
      </c>
      <c r="I1557" s="2" t="str">
        <f t="shared" si="96"/>
        <v>13-24 months</v>
      </c>
      <c r="J1557" s="3">
        <v>749</v>
      </c>
      <c r="K1557" s="3">
        <v>12733</v>
      </c>
      <c r="L1557" s="2" t="s">
        <v>31</v>
      </c>
      <c r="M1557" s="4">
        <v>45395</v>
      </c>
      <c r="N1557" s="2" t="s">
        <v>23</v>
      </c>
      <c r="O1557" s="2">
        <f t="shared" si="99"/>
        <v>0</v>
      </c>
      <c r="P1557" s="2" t="s">
        <v>23</v>
      </c>
      <c r="Q1557" s="2" t="s">
        <v>23</v>
      </c>
      <c r="R1557" s="2" t="s">
        <v>23</v>
      </c>
      <c r="S1557" s="2" t="s">
        <v>23</v>
      </c>
      <c r="T1557" s="2" t="s">
        <v>23</v>
      </c>
      <c r="U1557" s="25">
        <f t="shared" si="97"/>
        <v>12733.001557</v>
      </c>
    </row>
    <row r="1558" spans="1:21">
      <c r="A1558" s="2" t="s">
        <v>2371</v>
      </c>
      <c r="B1558" s="2" t="s">
        <v>2372</v>
      </c>
      <c r="C1558" s="2" t="s">
        <v>35</v>
      </c>
      <c r="D1558" s="2">
        <v>32</v>
      </c>
      <c r="E1558" s="2" t="str">
        <f t="shared" si="98"/>
        <v>26-35</v>
      </c>
      <c r="F1558" s="2" t="s">
        <v>110</v>
      </c>
      <c r="G1558" s="2" t="s">
        <v>21</v>
      </c>
      <c r="H1558" s="2">
        <v>18</v>
      </c>
      <c r="I1558" s="2" t="str">
        <f t="shared" si="96"/>
        <v>13-24 months</v>
      </c>
      <c r="J1558" s="3">
        <v>549</v>
      </c>
      <c r="K1558" s="3">
        <v>9882</v>
      </c>
      <c r="L1558" s="2" t="s">
        <v>66</v>
      </c>
      <c r="M1558" s="4">
        <v>45367</v>
      </c>
      <c r="N1558" s="2" t="s">
        <v>32</v>
      </c>
      <c r="O1558" s="2">
        <f t="shared" si="99"/>
        <v>1</v>
      </c>
      <c r="P1558" s="2" t="s">
        <v>23</v>
      </c>
      <c r="Q1558" s="2" t="s">
        <v>23</v>
      </c>
      <c r="R1558" s="2" t="s">
        <v>23</v>
      </c>
      <c r="S1558" s="2" t="s">
        <v>32</v>
      </c>
      <c r="T1558" s="2" t="s">
        <v>23</v>
      </c>
      <c r="U1558" s="25">
        <f t="shared" si="97"/>
        <v>9882.0015579999999</v>
      </c>
    </row>
    <row r="1559" spans="1:21">
      <c r="A1559" s="2" t="s">
        <v>2373</v>
      </c>
      <c r="B1559" s="2" t="s">
        <v>2070</v>
      </c>
      <c r="C1559" s="2" t="s">
        <v>35</v>
      </c>
      <c r="D1559" s="2">
        <v>39</v>
      </c>
      <c r="E1559" s="2" t="str">
        <f t="shared" si="98"/>
        <v>36-45</v>
      </c>
      <c r="F1559" s="2" t="s">
        <v>20</v>
      </c>
      <c r="G1559" s="2" t="s">
        <v>27</v>
      </c>
      <c r="H1559" s="2">
        <v>2</v>
      </c>
      <c r="I1559" s="2" t="str">
        <f t="shared" si="96"/>
        <v>0-6 months</v>
      </c>
      <c r="J1559" s="3">
        <v>1299</v>
      </c>
      <c r="K1559" s="3">
        <v>2598</v>
      </c>
      <c r="L1559" s="2" t="s">
        <v>22</v>
      </c>
      <c r="M1559" s="4">
        <v>45848</v>
      </c>
      <c r="N1559" s="2" t="s">
        <v>23</v>
      </c>
      <c r="O1559" s="2">
        <f t="shared" si="99"/>
        <v>0</v>
      </c>
      <c r="P1559" s="2" t="s">
        <v>23</v>
      </c>
      <c r="Q1559" s="2" t="s">
        <v>23</v>
      </c>
      <c r="R1559" s="2" t="s">
        <v>23</v>
      </c>
      <c r="S1559" s="2" t="s">
        <v>23</v>
      </c>
      <c r="T1559" s="2" t="s">
        <v>23</v>
      </c>
      <c r="U1559" s="25">
        <f t="shared" si="97"/>
        <v>2598.0015589999998</v>
      </c>
    </row>
    <row r="1560" spans="1:21">
      <c r="A1560" s="2" t="s">
        <v>2374</v>
      </c>
      <c r="B1560" s="2" t="s">
        <v>1022</v>
      </c>
      <c r="C1560" s="2" t="s">
        <v>35</v>
      </c>
      <c r="D1560" s="2">
        <v>25</v>
      </c>
      <c r="E1560" s="2" t="str">
        <f t="shared" si="98"/>
        <v>18-25</v>
      </c>
      <c r="F1560" s="2" t="s">
        <v>60</v>
      </c>
      <c r="G1560" s="2" t="s">
        <v>21</v>
      </c>
      <c r="H1560" s="2">
        <v>16</v>
      </c>
      <c r="I1560" s="2" t="str">
        <f t="shared" si="96"/>
        <v>13-24 months</v>
      </c>
      <c r="J1560" s="3">
        <v>649</v>
      </c>
      <c r="K1560" s="3">
        <v>10384</v>
      </c>
      <c r="L1560" s="2" t="s">
        <v>31</v>
      </c>
      <c r="M1560" s="4">
        <v>45444</v>
      </c>
      <c r="N1560" s="2" t="s">
        <v>23</v>
      </c>
      <c r="O1560" s="2">
        <f t="shared" si="99"/>
        <v>0</v>
      </c>
      <c r="P1560" s="2" t="s">
        <v>23</v>
      </c>
      <c r="Q1560" s="2" t="s">
        <v>23</v>
      </c>
      <c r="R1560" s="2" t="s">
        <v>23</v>
      </c>
      <c r="S1560" s="2" t="s">
        <v>23</v>
      </c>
      <c r="T1560" s="2" t="s">
        <v>23</v>
      </c>
      <c r="U1560" s="25">
        <f t="shared" si="97"/>
        <v>10384.001560000001</v>
      </c>
    </row>
    <row r="1561" spans="1:21">
      <c r="A1561" s="2" t="s">
        <v>2375</v>
      </c>
      <c r="B1561" s="2" t="s">
        <v>501</v>
      </c>
      <c r="C1561" s="2" t="s">
        <v>19</v>
      </c>
      <c r="D1561" s="2">
        <v>42</v>
      </c>
      <c r="E1561" s="2" t="str">
        <f t="shared" si="98"/>
        <v>36-45</v>
      </c>
      <c r="F1561" s="2" t="s">
        <v>26</v>
      </c>
      <c r="G1561" s="2" t="s">
        <v>21</v>
      </c>
      <c r="H1561" s="2">
        <v>6</v>
      </c>
      <c r="I1561" s="2" t="str">
        <f t="shared" si="96"/>
        <v>0-6 months</v>
      </c>
      <c r="J1561" s="3">
        <v>999</v>
      </c>
      <c r="K1561" s="3">
        <v>5994</v>
      </c>
      <c r="L1561" s="2" t="s">
        <v>22</v>
      </c>
      <c r="M1561" s="4">
        <v>45743</v>
      </c>
      <c r="N1561" s="2" t="s">
        <v>32</v>
      </c>
      <c r="O1561" s="2">
        <f t="shared" si="99"/>
        <v>1</v>
      </c>
      <c r="P1561" s="2" t="s">
        <v>23</v>
      </c>
      <c r="Q1561" s="2" t="s">
        <v>23</v>
      </c>
      <c r="R1561" s="2" t="s">
        <v>23</v>
      </c>
      <c r="S1561" s="2" t="s">
        <v>23</v>
      </c>
      <c r="T1561" s="2" t="s">
        <v>23</v>
      </c>
      <c r="U1561" s="25">
        <f t="shared" si="97"/>
        <v>5994.001561</v>
      </c>
    </row>
    <row r="1562" spans="1:21">
      <c r="A1562" s="2" t="s">
        <v>2376</v>
      </c>
      <c r="B1562" s="2" t="s">
        <v>2377</v>
      </c>
      <c r="C1562" s="2" t="s">
        <v>19</v>
      </c>
      <c r="D1562" s="2">
        <v>73</v>
      </c>
      <c r="E1562" s="2" t="str">
        <f t="shared" si="98"/>
        <v>60+</v>
      </c>
      <c r="F1562" s="2" t="s">
        <v>71</v>
      </c>
      <c r="G1562" s="2" t="s">
        <v>21</v>
      </c>
      <c r="H1562" s="2">
        <v>18</v>
      </c>
      <c r="I1562" s="2" t="str">
        <f t="shared" si="96"/>
        <v>13-24 months</v>
      </c>
      <c r="J1562" s="3">
        <v>899</v>
      </c>
      <c r="K1562" s="3">
        <v>16182</v>
      </c>
      <c r="L1562" s="2" t="s">
        <v>22</v>
      </c>
      <c r="M1562" s="4">
        <v>45384</v>
      </c>
      <c r="N1562" s="2" t="s">
        <v>32</v>
      </c>
      <c r="O1562" s="2">
        <f t="shared" si="99"/>
        <v>1</v>
      </c>
      <c r="P1562" s="2" t="s">
        <v>23</v>
      </c>
      <c r="Q1562" s="2" t="s">
        <v>23</v>
      </c>
      <c r="R1562" s="2" t="s">
        <v>23</v>
      </c>
      <c r="S1562" s="2" t="s">
        <v>23</v>
      </c>
      <c r="T1562" s="2" t="s">
        <v>23</v>
      </c>
      <c r="U1562" s="25">
        <f t="shared" si="97"/>
        <v>16182.001561999999</v>
      </c>
    </row>
    <row r="1563" spans="1:21">
      <c r="A1563" s="2" t="s">
        <v>2378</v>
      </c>
      <c r="B1563" s="2" t="s">
        <v>37</v>
      </c>
      <c r="C1563" s="2" t="s">
        <v>19</v>
      </c>
      <c r="D1563" s="2">
        <v>47</v>
      </c>
      <c r="E1563" s="2" t="str">
        <f t="shared" si="98"/>
        <v>46-60</v>
      </c>
      <c r="F1563" s="2" t="s">
        <v>63</v>
      </c>
      <c r="G1563" s="2" t="s">
        <v>21</v>
      </c>
      <c r="H1563" s="2">
        <v>11</v>
      </c>
      <c r="I1563" s="2" t="str">
        <f t="shared" si="96"/>
        <v>7-12 months</v>
      </c>
      <c r="J1563" s="3">
        <v>1099</v>
      </c>
      <c r="K1563" s="3">
        <v>12089</v>
      </c>
      <c r="L1563" s="2" t="s">
        <v>22</v>
      </c>
      <c r="M1563" s="4">
        <v>45597</v>
      </c>
      <c r="N1563" s="2" t="s">
        <v>23</v>
      </c>
      <c r="O1563" s="2">
        <f t="shared" si="99"/>
        <v>0</v>
      </c>
      <c r="P1563" s="2" t="s">
        <v>32</v>
      </c>
      <c r="Q1563" s="2" t="s">
        <v>23</v>
      </c>
      <c r="R1563" s="2" t="s">
        <v>23</v>
      </c>
      <c r="S1563" s="2" t="s">
        <v>32</v>
      </c>
      <c r="T1563" s="2" t="s">
        <v>23</v>
      </c>
      <c r="U1563" s="25">
        <f t="shared" si="97"/>
        <v>12089.001563</v>
      </c>
    </row>
    <row r="1564" spans="1:21">
      <c r="A1564" s="2" t="s">
        <v>2379</v>
      </c>
      <c r="B1564" s="2" t="s">
        <v>1552</v>
      </c>
      <c r="C1564" s="2" t="s">
        <v>35</v>
      </c>
      <c r="D1564" s="2">
        <v>57</v>
      </c>
      <c r="E1564" s="2" t="str">
        <f t="shared" si="98"/>
        <v>46-60</v>
      </c>
      <c r="F1564" s="2" t="s">
        <v>91</v>
      </c>
      <c r="G1564" s="2" t="s">
        <v>21</v>
      </c>
      <c r="H1564" s="2">
        <v>1</v>
      </c>
      <c r="I1564" s="2" t="str">
        <f t="shared" si="96"/>
        <v>0-6 months</v>
      </c>
      <c r="J1564" s="3">
        <v>999</v>
      </c>
      <c r="K1564" s="3">
        <v>999</v>
      </c>
      <c r="L1564" s="2" t="s">
        <v>22</v>
      </c>
      <c r="M1564" s="4">
        <v>45873</v>
      </c>
      <c r="N1564" s="2" t="s">
        <v>23</v>
      </c>
      <c r="O1564" s="2">
        <f t="shared" si="99"/>
        <v>0</v>
      </c>
      <c r="P1564" s="2" t="s">
        <v>23</v>
      </c>
      <c r="Q1564" s="2" t="s">
        <v>23</v>
      </c>
      <c r="R1564" s="2" t="s">
        <v>23</v>
      </c>
      <c r="S1564" s="2" t="s">
        <v>32</v>
      </c>
      <c r="T1564" s="2" t="s">
        <v>23</v>
      </c>
      <c r="U1564" s="25">
        <f t="shared" si="97"/>
        <v>999.00156400000003</v>
      </c>
    </row>
    <row r="1565" spans="1:21">
      <c r="A1565" s="2" t="s">
        <v>2380</v>
      </c>
      <c r="B1565" s="2" t="s">
        <v>875</v>
      </c>
      <c r="C1565" s="2" t="s">
        <v>19</v>
      </c>
      <c r="D1565" s="2">
        <v>64</v>
      </c>
      <c r="E1565" s="2" t="str">
        <f t="shared" si="98"/>
        <v>60+</v>
      </c>
      <c r="F1565" s="2" t="s">
        <v>20</v>
      </c>
      <c r="G1565" s="2" t="s">
        <v>27</v>
      </c>
      <c r="H1565" s="2">
        <v>39</v>
      </c>
      <c r="I1565" s="2" t="str">
        <f t="shared" si="96"/>
        <v>25-48 months</v>
      </c>
      <c r="J1565" s="3">
        <v>1199</v>
      </c>
      <c r="K1565" s="3">
        <v>46761</v>
      </c>
      <c r="L1565" s="2" t="s">
        <v>22</v>
      </c>
      <c r="M1565" s="4">
        <v>44749</v>
      </c>
      <c r="N1565" s="2" t="s">
        <v>23</v>
      </c>
      <c r="O1565" s="2">
        <f t="shared" si="99"/>
        <v>0</v>
      </c>
      <c r="P1565" s="2" t="s">
        <v>23</v>
      </c>
      <c r="Q1565" s="2" t="s">
        <v>23</v>
      </c>
      <c r="R1565" s="2" t="s">
        <v>23</v>
      </c>
      <c r="S1565" s="2" t="s">
        <v>23</v>
      </c>
      <c r="T1565" s="2" t="s">
        <v>23</v>
      </c>
      <c r="U1565" s="25">
        <f t="shared" si="97"/>
        <v>46761.001564999999</v>
      </c>
    </row>
    <row r="1566" spans="1:21">
      <c r="A1566" s="2" t="s">
        <v>2381</v>
      </c>
      <c r="B1566" s="2" t="s">
        <v>2382</v>
      </c>
      <c r="C1566" s="2" t="s">
        <v>19</v>
      </c>
      <c r="D1566" s="2">
        <v>39</v>
      </c>
      <c r="E1566" s="2" t="str">
        <f t="shared" si="98"/>
        <v>36-45</v>
      </c>
      <c r="F1566" s="2" t="s">
        <v>57</v>
      </c>
      <c r="G1566" s="2" t="s">
        <v>27</v>
      </c>
      <c r="H1566" s="2">
        <v>5</v>
      </c>
      <c r="I1566" s="2" t="str">
        <f t="shared" si="96"/>
        <v>0-6 months</v>
      </c>
      <c r="J1566" s="3">
        <v>899</v>
      </c>
      <c r="K1566" s="3">
        <v>4495</v>
      </c>
      <c r="L1566" s="2" t="s">
        <v>22</v>
      </c>
      <c r="M1566" s="4">
        <v>45758</v>
      </c>
      <c r="N1566" s="2" t="s">
        <v>32</v>
      </c>
      <c r="O1566" s="2">
        <f t="shared" si="99"/>
        <v>1</v>
      </c>
      <c r="P1566" s="2" t="s">
        <v>23</v>
      </c>
      <c r="Q1566" s="2" t="s">
        <v>23</v>
      </c>
      <c r="R1566" s="2" t="s">
        <v>23</v>
      </c>
      <c r="S1566" s="2" t="s">
        <v>23</v>
      </c>
      <c r="T1566" s="2" t="s">
        <v>23</v>
      </c>
      <c r="U1566" s="25">
        <f t="shared" si="97"/>
        <v>4495.0015659999999</v>
      </c>
    </row>
    <row r="1567" spans="1:21">
      <c r="A1567" s="2" t="s">
        <v>2383</v>
      </c>
      <c r="B1567" s="2" t="s">
        <v>118</v>
      </c>
      <c r="C1567" s="2" t="s">
        <v>35</v>
      </c>
      <c r="D1567" s="2">
        <v>59</v>
      </c>
      <c r="E1567" s="2" t="str">
        <f t="shared" si="98"/>
        <v>46-60</v>
      </c>
      <c r="F1567" s="2" t="s">
        <v>60</v>
      </c>
      <c r="G1567" s="2" t="s">
        <v>21</v>
      </c>
      <c r="H1567" s="2">
        <v>8</v>
      </c>
      <c r="I1567" s="2" t="str">
        <f t="shared" si="96"/>
        <v>7-12 months</v>
      </c>
      <c r="J1567" s="3">
        <v>499</v>
      </c>
      <c r="K1567" s="3">
        <v>3992</v>
      </c>
      <c r="L1567" s="2" t="s">
        <v>66</v>
      </c>
      <c r="M1567" s="4">
        <v>45682</v>
      </c>
      <c r="N1567" s="2" t="s">
        <v>32</v>
      </c>
      <c r="O1567" s="2">
        <f t="shared" si="99"/>
        <v>1</v>
      </c>
      <c r="P1567" s="2" t="s">
        <v>23</v>
      </c>
      <c r="Q1567" s="2" t="s">
        <v>23</v>
      </c>
      <c r="R1567" s="2" t="s">
        <v>23</v>
      </c>
      <c r="S1567" s="2" t="s">
        <v>23</v>
      </c>
      <c r="T1567" s="2" t="s">
        <v>23</v>
      </c>
      <c r="U1567" s="25">
        <f t="shared" si="97"/>
        <v>3992.0015669999998</v>
      </c>
    </row>
    <row r="1568" spans="1:21">
      <c r="A1568" s="2" t="s">
        <v>2384</v>
      </c>
      <c r="B1568" s="2" t="s">
        <v>1431</v>
      </c>
      <c r="C1568" s="2" t="s">
        <v>19</v>
      </c>
      <c r="D1568" s="2">
        <v>46</v>
      </c>
      <c r="E1568" s="2" t="str">
        <f t="shared" si="98"/>
        <v>46-60</v>
      </c>
      <c r="F1568" s="2" t="s">
        <v>37</v>
      </c>
      <c r="G1568" s="2" t="s">
        <v>21</v>
      </c>
      <c r="H1568" s="2">
        <v>20</v>
      </c>
      <c r="I1568" s="2" t="str">
        <f t="shared" si="96"/>
        <v>13-24 months</v>
      </c>
      <c r="J1568" s="3">
        <v>599</v>
      </c>
      <c r="K1568" s="3">
        <v>11980</v>
      </c>
      <c r="L1568" s="2" t="s">
        <v>31</v>
      </c>
      <c r="M1568" s="4">
        <v>45311</v>
      </c>
      <c r="N1568" s="2" t="s">
        <v>23</v>
      </c>
      <c r="O1568" s="2">
        <f t="shared" si="99"/>
        <v>0</v>
      </c>
      <c r="P1568" s="2" t="s">
        <v>23</v>
      </c>
      <c r="Q1568" s="2" t="s">
        <v>32</v>
      </c>
      <c r="R1568" s="2" t="s">
        <v>23</v>
      </c>
      <c r="S1568" s="2" t="s">
        <v>23</v>
      </c>
      <c r="T1568" s="2" t="s">
        <v>23</v>
      </c>
      <c r="U1568" s="25">
        <f t="shared" si="97"/>
        <v>11980.001568</v>
      </c>
    </row>
    <row r="1569" spans="1:21">
      <c r="A1569" s="2" t="s">
        <v>2385</v>
      </c>
      <c r="B1569" s="2" t="s">
        <v>2386</v>
      </c>
      <c r="C1569" s="2" t="s">
        <v>35</v>
      </c>
      <c r="D1569" s="2">
        <v>27</v>
      </c>
      <c r="E1569" s="2" t="str">
        <f t="shared" si="98"/>
        <v>26-35</v>
      </c>
      <c r="F1569" s="2" t="s">
        <v>57</v>
      </c>
      <c r="G1569" s="2" t="s">
        <v>27</v>
      </c>
      <c r="H1569" s="2">
        <v>33</v>
      </c>
      <c r="I1569" s="2" t="str">
        <f t="shared" si="96"/>
        <v>25-48 months</v>
      </c>
      <c r="J1569" s="3">
        <v>399</v>
      </c>
      <c r="K1569" s="3">
        <v>13167</v>
      </c>
      <c r="L1569" s="2" t="s">
        <v>66</v>
      </c>
      <c r="M1569" s="4">
        <v>44934</v>
      </c>
      <c r="N1569" s="2" t="s">
        <v>23</v>
      </c>
      <c r="O1569" s="2">
        <f t="shared" si="99"/>
        <v>0</v>
      </c>
      <c r="P1569" s="2" t="s">
        <v>23</v>
      </c>
      <c r="Q1569" s="2" t="s">
        <v>23</v>
      </c>
      <c r="R1569" s="2" t="s">
        <v>23</v>
      </c>
      <c r="S1569" s="2" t="s">
        <v>23</v>
      </c>
      <c r="T1569" s="2" t="s">
        <v>23</v>
      </c>
      <c r="U1569" s="25">
        <f t="shared" si="97"/>
        <v>13167.001569</v>
      </c>
    </row>
    <row r="1570" spans="1:21">
      <c r="A1570" s="2" t="s">
        <v>2387</v>
      </c>
      <c r="B1570" s="2" t="s">
        <v>1271</v>
      </c>
      <c r="C1570" s="2" t="s">
        <v>35</v>
      </c>
      <c r="D1570" s="2">
        <v>30</v>
      </c>
      <c r="E1570" s="2" t="str">
        <f t="shared" si="98"/>
        <v>26-35</v>
      </c>
      <c r="F1570" s="2" t="s">
        <v>60</v>
      </c>
      <c r="G1570" s="2" t="s">
        <v>47</v>
      </c>
      <c r="H1570" s="2">
        <v>69</v>
      </c>
      <c r="I1570" s="2" t="str">
        <f t="shared" si="96"/>
        <v>49+ months</v>
      </c>
      <c r="J1570" s="3">
        <v>699</v>
      </c>
      <c r="K1570" s="3">
        <v>48231</v>
      </c>
      <c r="L1570" s="2" t="s">
        <v>31</v>
      </c>
      <c r="M1570" s="4">
        <v>43838</v>
      </c>
      <c r="N1570" s="2" t="s">
        <v>32</v>
      </c>
      <c r="O1570" s="2">
        <f t="shared" si="99"/>
        <v>1</v>
      </c>
      <c r="P1570" s="2" t="s">
        <v>23</v>
      </c>
      <c r="Q1570" s="2" t="s">
        <v>23</v>
      </c>
      <c r="R1570" s="2" t="s">
        <v>23</v>
      </c>
      <c r="S1570" s="2" t="s">
        <v>23</v>
      </c>
      <c r="T1570" s="2" t="s">
        <v>23</v>
      </c>
      <c r="U1570" s="25">
        <f t="shared" si="97"/>
        <v>48231.00157</v>
      </c>
    </row>
    <row r="1571" spans="1:21">
      <c r="A1571" s="2" t="s">
        <v>2388</v>
      </c>
      <c r="B1571" s="2" t="s">
        <v>2389</v>
      </c>
      <c r="C1571" s="2" t="s">
        <v>19</v>
      </c>
      <c r="D1571" s="2">
        <v>21</v>
      </c>
      <c r="E1571" s="2" t="str">
        <f t="shared" si="98"/>
        <v>18-25</v>
      </c>
      <c r="F1571" s="2" t="s">
        <v>141</v>
      </c>
      <c r="G1571" s="2" t="s">
        <v>21</v>
      </c>
      <c r="H1571" s="2">
        <v>12</v>
      </c>
      <c r="I1571" s="2" t="str">
        <f t="shared" si="96"/>
        <v>7-12 months</v>
      </c>
      <c r="J1571" s="3">
        <v>899</v>
      </c>
      <c r="K1571" s="3">
        <v>10788</v>
      </c>
      <c r="L1571" s="2" t="s">
        <v>31</v>
      </c>
      <c r="M1571" s="4">
        <v>45558</v>
      </c>
      <c r="N1571" s="2" t="s">
        <v>23</v>
      </c>
      <c r="O1571" s="2">
        <f t="shared" si="99"/>
        <v>0</v>
      </c>
      <c r="P1571" s="2" t="s">
        <v>23</v>
      </c>
      <c r="Q1571" s="2" t="s">
        <v>23</v>
      </c>
      <c r="R1571" s="2" t="s">
        <v>23</v>
      </c>
      <c r="S1571" s="2" t="s">
        <v>23</v>
      </c>
      <c r="T1571" s="2" t="s">
        <v>23</v>
      </c>
      <c r="U1571" s="25">
        <f t="shared" si="97"/>
        <v>10788.001571000001</v>
      </c>
    </row>
    <row r="1572" spans="1:21">
      <c r="A1572" s="2" t="s">
        <v>2390</v>
      </c>
      <c r="B1572" s="2" t="s">
        <v>366</v>
      </c>
      <c r="C1572" s="2" t="s">
        <v>35</v>
      </c>
      <c r="D1572" s="2">
        <v>19</v>
      </c>
      <c r="E1572" s="2" t="str">
        <f t="shared" si="98"/>
        <v>18-25</v>
      </c>
      <c r="F1572" s="2" t="s">
        <v>71</v>
      </c>
      <c r="G1572" s="2" t="s">
        <v>21</v>
      </c>
      <c r="H1572" s="2">
        <v>18</v>
      </c>
      <c r="I1572" s="2" t="str">
        <f t="shared" si="96"/>
        <v>13-24 months</v>
      </c>
      <c r="J1572" s="3">
        <v>649</v>
      </c>
      <c r="K1572" s="3">
        <v>11682</v>
      </c>
      <c r="L1572" s="2" t="s">
        <v>31</v>
      </c>
      <c r="M1572" s="4">
        <v>45380</v>
      </c>
      <c r="N1572" s="2" t="s">
        <v>23</v>
      </c>
      <c r="O1572" s="2">
        <f t="shared" si="99"/>
        <v>0</v>
      </c>
      <c r="P1572" s="2" t="s">
        <v>23</v>
      </c>
      <c r="Q1572" s="2" t="s">
        <v>23</v>
      </c>
      <c r="R1572" s="2" t="s">
        <v>23</v>
      </c>
      <c r="S1572" s="2" t="s">
        <v>23</v>
      </c>
      <c r="T1572" s="2" t="s">
        <v>23</v>
      </c>
      <c r="U1572" s="25">
        <f t="shared" si="97"/>
        <v>11682.001571999999</v>
      </c>
    </row>
    <row r="1573" spans="1:21">
      <c r="A1573" s="2" t="s">
        <v>2391</v>
      </c>
      <c r="B1573" s="2" t="s">
        <v>1206</v>
      </c>
      <c r="C1573" s="2" t="s">
        <v>35</v>
      </c>
      <c r="D1573" s="2">
        <v>43</v>
      </c>
      <c r="E1573" s="2" t="str">
        <f t="shared" si="98"/>
        <v>36-45</v>
      </c>
      <c r="F1573" s="2" t="s">
        <v>60</v>
      </c>
      <c r="G1573" s="2" t="s">
        <v>27</v>
      </c>
      <c r="H1573" s="2">
        <v>23</v>
      </c>
      <c r="I1573" s="2" t="str">
        <f t="shared" si="96"/>
        <v>13-24 months</v>
      </c>
      <c r="J1573" s="3">
        <v>899</v>
      </c>
      <c r="K1573" s="3">
        <v>20677</v>
      </c>
      <c r="L1573" s="2" t="s">
        <v>31</v>
      </c>
      <c r="M1573" s="4">
        <v>45218</v>
      </c>
      <c r="N1573" s="2" t="s">
        <v>23</v>
      </c>
      <c r="O1573" s="2">
        <f t="shared" si="99"/>
        <v>0</v>
      </c>
      <c r="P1573" s="2" t="s">
        <v>23</v>
      </c>
      <c r="Q1573" s="2" t="s">
        <v>23</v>
      </c>
      <c r="R1573" s="2" t="s">
        <v>23</v>
      </c>
      <c r="S1573" s="2" t="s">
        <v>23</v>
      </c>
      <c r="T1573" s="2" t="s">
        <v>23</v>
      </c>
      <c r="U1573" s="25">
        <f t="shared" si="97"/>
        <v>20677.001573000001</v>
      </c>
    </row>
    <row r="1574" spans="1:21">
      <c r="A1574" s="2" t="s">
        <v>2392</v>
      </c>
      <c r="B1574" s="2" t="s">
        <v>68</v>
      </c>
      <c r="C1574" s="2" t="s">
        <v>19</v>
      </c>
      <c r="D1574" s="2">
        <v>52</v>
      </c>
      <c r="E1574" s="2" t="str">
        <f t="shared" si="98"/>
        <v>46-60</v>
      </c>
      <c r="F1574" s="2" t="s">
        <v>141</v>
      </c>
      <c r="G1574" s="2" t="s">
        <v>27</v>
      </c>
      <c r="H1574" s="2">
        <v>26</v>
      </c>
      <c r="I1574" s="2" t="str">
        <f t="shared" si="96"/>
        <v>25-48 months</v>
      </c>
      <c r="J1574" s="3">
        <v>899</v>
      </c>
      <c r="K1574" s="3">
        <v>23374</v>
      </c>
      <c r="L1574" s="2" t="s">
        <v>31</v>
      </c>
      <c r="M1574" s="4"/>
      <c r="N1574" s="2" t="s">
        <v>23</v>
      </c>
      <c r="O1574" s="2">
        <f t="shared" si="99"/>
        <v>0</v>
      </c>
      <c r="P1574" s="2" t="s">
        <v>23</v>
      </c>
      <c r="Q1574" s="2" t="s">
        <v>23</v>
      </c>
      <c r="R1574" s="2" t="s">
        <v>23</v>
      </c>
      <c r="S1574" s="2" t="s">
        <v>23</v>
      </c>
      <c r="T1574" s="2" t="s">
        <v>54</v>
      </c>
      <c r="U1574" s="25">
        <f t="shared" si="97"/>
        <v>23374.001574000002</v>
      </c>
    </row>
    <row r="1575" spans="1:21">
      <c r="A1575" s="2" t="s">
        <v>2393</v>
      </c>
      <c r="B1575" s="2" t="s">
        <v>490</v>
      </c>
      <c r="C1575" s="2" t="s">
        <v>19</v>
      </c>
      <c r="D1575" s="2">
        <v>28</v>
      </c>
      <c r="E1575" s="2" t="str">
        <f t="shared" si="98"/>
        <v>26-35</v>
      </c>
      <c r="F1575" s="2" t="s">
        <v>46</v>
      </c>
      <c r="G1575" s="2" t="s">
        <v>21</v>
      </c>
      <c r="H1575" s="2">
        <v>11</v>
      </c>
      <c r="I1575" s="2" t="str">
        <f t="shared" si="96"/>
        <v>7-12 months</v>
      </c>
      <c r="J1575" s="3">
        <v>1149</v>
      </c>
      <c r="K1575" s="3">
        <v>12639</v>
      </c>
      <c r="L1575" s="2" t="s">
        <v>22</v>
      </c>
      <c r="M1575" s="4">
        <v>45569</v>
      </c>
      <c r="N1575" s="2" t="s">
        <v>23</v>
      </c>
      <c r="O1575" s="2">
        <f t="shared" si="99"/>
        <v>0</v>
      </c>
      <c r="P1575" s="2" t="s">
        <v>23</v>
      </c>
      <c r="Q1575" s="2" t="s">
        <v>23</v>
      </c>
      <c r="R1575" s="2" t="s">
        <v>32</v>
      </c>
      <c r="S1575" s="2" t="s">
        <v>23</v>
      </c>
      <c r="T1575" s="2" t="s">
        <v>23</v>
      </c>
      <c r="U1575" s="25">
        <f t="shared" si="97"/>
        <v>12639.001575</v>
      </c>
    </row>
    <row r="1576" spans="1:21">
      <c r="A1576" s="2" t="s">
        <v>2394</v>
      </c>
      <c r="B1576" s="2" t="s">
        <v>602</v>
      </c>
      <c r="C1576" s="2" t="s">
        <v>35</v>
      </c>
      <c r="D1576" s="2">
        <v>42</v>
      </c>
      <c r="E1576" s="2" t="str">
        <f t="shared" si="98"/>
        <v>36-45</v>
      </c>
      <c r="F1576" s="2" t="s">
        <v>63</v>
      </c>
      <c r="G1576" s="2" t="s">
        <v>47</v>
      </c>
      <c r="H1576" s="2">
        <v>29</v>
      </c>
      <c r="I1576" s="2" t="str">
        <f t="shared" si="96"/>
        <v>25-48 months</v>
      </c>
      <c r="J1576" s="3">
        <v>899</v>
      </c>
      <c r="K1576" s="3">
        <v>26071</v>
      </c>
      <c r="L1576" s="2" t="s">
        <v>31</v>
      </c>
      <c r="M1576" s="4">
        <v>45039</v>
      </c>
      <c r="N1576" s="2" t="s">
        <v>23</v>
      </c>
      <c r="O1576" s="2">
        <f t="shared" si="99"/>
        <v>0</v>
      </c>
      <c r="P1576" s="2" t="s">
        <v>23</v>
      </c>
      <c r="Q1576" s="2" t="s">
        <v>23</v>
      </c>
      <c r="R1576" s="2" t="s">
        <v>23</v>
      </c>
      <c r="S1576" s="2" t="s">
        <v>23</v>
      </c>
      <c r="T1576" s="2" t="s">
        <v>23</v>
      </c>
      <c r="U1576" s="25">
        <f t="shared" si="97"/>
        <v>26071.001575999999</v>
      </c>
    </row>
    <row r="1577" spans="1:21">
      <c r="A1577" s="2" t="s">
        <v>2395</v>
      </c>
      <c r="B1577" s="2" t="s">
        <v>80</v>
      </c>
      <c r="C1577" s="2" t="s">
        <v>35</v>
      </c>
      <c r="D1577" s="2">
        <v>47</v>
      </c>
      <c r="E1577" s="2" t="str">
        <f t="shared" si="98"/>
        <v>46-60</v>
      </c>
      <c r="F1577" s="2" t="s">
        <v>26</v>
      </c>
      <c r="G1577" s="2" t="s">
        <v>21</v>
      </c>
      <c r="H1577" s="2">
        <v>12</v>
      </c>
      <c r="I1577" s="2" t="str">
        <f t="shared" si="96"/>
        <v>7-12 months</v>
      </c>
      <c r="J1577" s="3">
        <v>899</v>
      </c>
      <c r="K1577" s="3">
        <v>10788</v>
      </c>
      <c r="L1577" s="2" t="s">
        <v>22</v>
      </c>
      <c r="M1577" s="4">
        <v>45556</v>
      </c>
      <c r="N1577" s="2" t="s">
        <v>23</v>
      </c>
      <c r="O1577" s="2">
        <f t="shared" si="99"/>
        <v>0</v>
      </c>
      <c r="P1577" s="2" t="s">
        <v>32</v>
      </c>
      <c r="Q1577" s="2" t="s">
        <v>23</v>
      </c>
      <c r="R1577" s="2" t="s">
        <v>23</v>
      </c>
      <c r="S1577" s="2" t="s">
        <v>23</v>
      </c>
      <c r="T1577" s="2" t="s">
        <v>23</v>
      </c>
      <c r="U1577" s="25">
        <f t="shared" si="97"/>
        <v>10788.001577000001</v>
      </c>
    </row>
    <row r="1578" spans="1:21">
      <c r="A1578" s="2" t="s">
        <v>2396</v>
      </c>
      <c r="B1578" s="2" t="s">
        <v>2050</v>
      </c>
      <c r="C1578" s="2" t="s">
        <v>35</v>
      </c>
      <c r="D1578" s="2">
        <v>38</v>
      </c>
      <c r="E1578" s="2" t="str">
        <f t="shared" si="98"/>
        <v>36-45</v>
      </c>
      <c r="F1578" s="2" t="s">
        <v>110</v>
      </c>
      <c r="G1578" s="2" t="s">
        <v>21</v>
      </c>
      <c r="H1578" s="2">
        <v>9</v>
      </c>
      <c r="I1578" s="2" t="str">
        <f t="shared" si="96"/>
        <v>7-12 months</v>
      </c>
      <c r="J1578" s="3">
        <v>899</v>
      </c>
      <c r="K1578" s="3">
        <v>8091</v>
      </c>
      <c r="L1578" s="2" t="s">
        <v>22</v>
      </c>
      <c r="M1578" s="4">
        <v>45639</v>
      </c>
      <c r="N1578" s="2" t="s">
        <v>32</v>
      </c>
      <c r="O1578" s="2">
        <f t="shared" si="99"/>
        <v>1</v>
      </c>
      <c r="P1578" s="2" t="s">
        <v>23</v>
      </c>
      <c r="Q1578" s="2" t="s">
        <v>23</v>
      </c>
      <c r="R1578" s="2" t="s">
        <v>23</v>
      </c>
      <c r="S1578" s="2" t="s">
        <v>32</v>
      </c>
      <c r="T1578" s="2" t="s">
        <v>23</v>
      </c>
      <c r="U1578" s="25">
        <f t="shared" si="97"/>
        <v>8091.0015780000003</v>
      </c>
    </row>
    <row r="1579" spans="1:21">
      <c r="A1579" s="2" t="s">
        <v>2397</v>
      </c>
      <c r="B1579" s="2" t="s">
        <v>212</v>
      </c>
      <c r="C1579" s="2" t="s">
        <v>19</v>
      </c>
      <c r="D1579" s="2">
        <v>47</v>
      </c>
      <c r="E1579" s="2" t="str">
        <f t="shared" si="98"/>
        <v>46-60</v>
      </c>
      <c r="F1579" s="2" t="s">
        <v>57</v>
      </c>
      <c r="G1579" s="2" t="s">
        <v>21</v>
      </c>
      <c r="H1579" s="2">
        <v>16</v>
      </c>
      <c r="I1579" s="2" t="str">
        <f t="shared" si="96"/>
        <v>13-24 months</v>
      </c>
      <c r="J1579" s="3">
        <v>899</v>
      </c>
      <c r="K1579" s="3">
        <v>14384</v>
      </c>
      <c r="L1579" s="2" t="s">
        <v>22</v>
      </c>
      <c r="M1579" s="4">
        <v>45426</v>
      </c>
      <c r="N1579" s="2" t="s">
        <v>23</v>
      </c>
      <c r="O1579" s="2">
        <f t="shared" si="99"/>
        <v>0</v>
      </c>
      <c r="P1579" s="2" t="s">
        <v>32</v>
      </c>
      <c r="Q1579" s="2" t="s">
        <v>23</v>
      </c>
      <c r="R1579" s="2" t="s">
        <v>23</v>
      </c>
      <c r="S1579" s="2" t="s">
        <v>23</v>
      </c>
      <c r="T1579" s="2" t="s">
        <v>23</v>
      </c>
      <c r="U1579" s="25">
        <f t="shared" si="97"/>
        <v>14384.001579</v>
      </c>
    </row>
    <row r="1580" spans="1:21">
      <c r="A1580" s="2" t="s">
        <v>2398</v>
      </c>
      <c r="B1580" s="2" t="s">
        <v>2221</v>
      </c>
      <c r="C1580" s="2" t="s">
        <v>35</v>
      </c>
      <c r="D1580" s="2">
        <v>35</v>
      </c>
      <c r="E1580" s="2" t="str">
        <f t="shared" si="98"/>
        <v>26-35</v>
      </c>
      <c r="F1580" s="2" t="s">
        <v>110</v>
      </c>
      <c r="G1580" s="2" t="s">
        <v>21</v>
      </c>
      <c r="H1580" s="2">
        <v>7</v>
      </c>
      <c r="I1580" s="2" t="str">
        <f t="shared" si="96"/>
        <v>7-12 months</v>
      </c>
      <c r="J1580" s="3">
        <v>349</v>
      </c>
      <c r="K1580" s="3">
        <v>2443</v>
      </c>
      <c r="L1580" s="2" t="s">
        <v>66</v>
      </c>
      <c r="M1580" s="4"/>
      <c r="N1580" s="2" t="s">
        <v>32</v>
      </c>
      <c r="O1580" s="2">
        <f t="shared" si="99"/>
        <v>1</v>
      </c>
      <c r="P1580" s="2" t="s">
        <v>23</v>
      </c>
      <c r="Q1580" s="2" t="s">
        <v>23</v>
      </c>
      <c r="R1580" s="2" t="s">
        <v>23</v>
      </c>
      <c r="S1580" s="2" t="s">
        <v>23</v>
      </c>
      <c r="T1580" s="2" t="s">
        <v>54</v>
      </c>
      <c r="U1580" s="25">
        <f t="shared" si="97"/>
        <v>2443.0015800000001</v>
      </c>
    </row>
    <row r="1581" spans="1:21">
      <c r="A1581" s="2" t="s">
        <v>2399</v>
      </c>
      <c r="B1581" s="2" t="s">
        <v>736</v>
      </c>
      <c r="C1581" s="2" t="s">
        <v>37</v>
      </c>
      <c r="D1581" s="2">
        <v>30</v>
      </c>
      <c r="E1581" s="2" t="str">
        <f t="shared" si="98"/>
        <v>26-35</v>
      </c>
      <c r="F1581" s="2" t="s">
        <v>41</v>
      </c>
      <c r="G1581" s="2" t="s">
        <v>21</v>
      </c>
      <c r="H1581" s="2">
        <v>20</v>
      </c>
      <c r="I1581" s="2" t="str">
        <f t="shared" si="96"/>
        <v>13-24 months</v>
      </c>
      <c r="J1581" s="3">
        <v>649</v>
      </c>
      <c r="K1581" s="3">
        <v>12980</v>
      </c>
      <c r="L1581" s="2" t="s">
        <v>31</v>
      </c>
      <c r="M1581" s="4">
        <v>45301</v>
      </c>
      <c r="N1581" s="2" t="s">
        <v>23</v>
      </c>
      <c r="O1581" s="2">
        <f t="shared" si="99"/>
        <v>0</v>
      </c>
      <c r="P1581" s="2" t="s">
        <v>23</v>
      </c>
      <c r="Q1581" s="2" t="s">
        <v>23</v>
      </c>
      <c r="R1581" s="2" t="s">
        <v>23</v>
      </c>
      <c r="S1581" s="2" t="s">
        <v>23</v>
      </c>
      <c r="T1581" s="2" t="s">
        <v>23</v>
      </c>
      <c r="U1581" s="25">
        <f t="shared" si="97"/>
        <v>12980.001581</v>
      </c>
    </row>
    <row r="1582" spans="1:21">
      <c r="A1582" s="2" t="s">
        <v>2400</v>
      </c>
      <c r="B1582" s="2" t="s">
        <v>1237</v>
      </c>
      <c r="C1582" s="2" t="s">
        <v>37</v>
      </c>
      <c r="D1582" s="2">
        <v>46</v>
      </c>
      <c r="E1582" s="2" t="str">
        <f t="shared" si="98"/>
        <v>46-60</v>
      </c>
      <c r="F1582" s="2" t="s">
        <v>57</v>
      </c>
      <c r="G1582" s="2" t="s">
        <v>21</v>
      </c>
      <c r="H1582" s="2">
        <v>20</v>
      </c>
      <c r="I1582" s="2" t="str">
        <f t="shared" si="96"/>
        <v>13-24 months</v>
      </c>
      <c r="J1582" s="3">
        <v>699</v>
      </c>
      <c r="K1582" s="3">
        <v>13980</v>
      </c>
      <c r="L1582" s="2" t="s">
        <v>31</v>
      </c>
      <c r="M1582" s="4">
        <v>45308</v>
      </c>
      <c r="N1582" s="2" t="s">
        <v>23</v>
      </c>
      <c r="O1582" s="2">
        <f t="shared" si="99"/>
        <v>0</v>
      </c>
      <c r="P1582" s="2" t="s">
        <v>23</v>
      </c>
      <c r="Q1582" s="2" t="s">
        <v>23</v>
      </c>
      <c r="R1582" s="2" t="s">
        <v>23</v>
      </c>
      <c r="S1582" s="2" t="s">
        <v>23</v>
      </c>
      <c r="T1582" s="2" t="s">
        <v>23</v>
      </c>
      <c r="U1582" s="25">
        <f t="shared" si="97"/>
        <v>13980.001582000001</v>
      </c>
    </row>
    <row r="1583" spans="1:21">
      <c r="A1583" s="2" t="s">
        <v>2401</v>
      </c>
      <c r="B1583" s="2" t="s">
        <v>778</v>
      </c>
      <c r="C1583" s="2" t="s">
        <v>19</v>
      </c>
      <c r="D1583" s="2">
        <v>20</v>
      </c>
      <c r="E1583" s="2" t="str">
        <f t="shared" si="98"/>
        <v>18-25</v>
      </c>
      <c r="F1583" s="2" t="s">
        <v>37</v>
      </c>
      <c r="G1583" s="2" t="s">
        <v>21</v>
      </c>
      <c r="H1583" s="2">
        <v>20</v>
      </c>
      <c r="I1583" s="2" t="str">
        <f t="shared" si="96"/>
        <v>13-24 months</v>
      </c>
      <c r="J1583" s="3">
        <v>899</v>
      </c>
      <c r="K1583" s="3">
        <v>17980</v>
      </c>
      <c r="L1583" s="2" t="s">
        <v>22</v>
      </c>
      <c r="M1583" s="4">
        <v>45311</v>
      </c>
      <c r="N1583" s="2" t="s">
        <v>23</v>
      </c>
      <c r="O1583" s="2">
        <f t="shared" si="99"/>
        <v>0</v>
      </c>
      <c r="P1583" s="2" t="s">
        <v>23</v>
      </c>
      <c r="Q1583" s="2" t="s">
        <v>23</v>
      </c>
      <c r="R1583" s="2" t="s">
        <v>23</v>
      </c>
      <c r="S1583" s="2" t="s">
        <v>32</v>
      </c>
      <c r="T1583" s="2" t="s">
        <v>23</v>
      </c>
      <c r="U1583" s="25">
        <f t="shared" si="97"/>
        <v>17980.001583000001</v>
      </c>
    </row>
    <row r="1584" spans="1:21">
      <c r="A1584" s="2" t="s">
        <v>2402</v>
      </c>
      <c r="B1584" s="2" t="s">
        <v>180</v>
      </c>
      <c r="C1584" s="2" t="s">
        <v>19</v>
      </c>
      <c r="D1584" s="2">
        <v>71</v>
      </c>
      <c r="E1584" s="2" t="str">
        <f t="shared" si="98"/>
        <v>60+</v>
      </c>
      <c r="F1584" s="2" t="s">
        <v>63</v>
      </c>
      <c r="G1584" s="2" t="s">
        <v>27</v>
      </c>
      <c r="H1584" s="2">
        <v>24</v>
      </c>
      <c r="I1584" s="2" t="str">
        <f t="shared" si="96"/>
        <v>13-24 months</v>
      </c>
      <c r="J1584" s="3">
        <v>649</v>
      </c>
      <c r="K1584" s="3">
        <v>15576</v>
      </c>
      <c r="L1584" s="2" t="s">
        <v>31</v>
      </c>
      <c r="M1584" s="4">
        <v>45181</v>
      </c>
      <c r="N1584" s="2" t="s">
        <v>23</v>
      </c>
      <c r="O1584" s="2">
        <f t="shared" si="99"/>
        <v>0</v>
      </c>
      <c r="P1584" s="2" t="s">
        <v>23</v>
      </c>
      <c r="Q1584" s="2" t="s">
        <v>23</v>
      </c>
      <c r="R1584" s="2" t="s">
        <v>23</v>
      </c>
      <c r="S1584" s="2" t="s">
        <v>23</v>
      </c>
      <c r="T1584" s="2" t="s">
        <v>23</v>
      </c>
      <c r="U1584" s="25">
        <f t="shared" si="97"/>
        <v>15576.001584</v>
      </c>
    </row>
    <row r="1585" spans="1:21">
      <c r="A1585" s="2" t="s">
        <v>2403</v>
      </c>
      <c r="B1585" s="2" t="s">
        <v>1368</v>
      </c>
      <c r="C1585" s="2" t="s">
        <v>35</v>
      </c>
      <c r="D1585" s="2">
        <v>74</v>
      </c>
      <c r="E1585" s="2" t="str">
        <f t="shared" si="98"/>
        <v>60+</v>
      </c>
      <c r="F1585" s="2" t="s">
        <v>63</v>
      </c>
      <c r="G1585" s="2" t="s">
        <v>47</v>
      </c>
      <c r="H1585" s="2">
        <v>55</v>
      </c>
      <c r="I1585" s="2" t="str">
        <f t="shared" si="96"/>
        <v>49+ months</v>
      </c>
      <c r="J1585" s="3">
        <v>899</v>
      </c>
      <c r="K1585" s="3">
        <v>49445</v>
      </c>
      <c r="L1585" s="2" t="s">
        <v>22</v>
      </c>
      <c r="M1585" s="4">
        <v>44260</v>
      </c>
      <c r="N1585" s="2" t="s">
        <v>23</v>
      </c>
      <c r="O1585" s="2">
        <f t="shared" si="99"/>
        <v>0</v>
      </c>
      <c r="P1585" s="2" t="s">
        <v>23</v>
      </c>
      <c r="Q1585" s="2" t="s">
        <v>23</v>
      </c>
      <c r="R1585" s="2" t="s">
        <v>23</v>
      </c>
      <c r="S1585" s="2" t="s">
        <v>32</v>
      </c>
      <c r="T1585" s="2" t="s">
        <v>23</v>
      </c>
      <c r="U1585" s="25">
        <f t="shared" si="97"/>
        <v>49445.001584999998</v>
      </c>
    </row>
    <row r="1586" spans="1:21">
      <c r="A1586" s="2" t="s">
        <v>2404</v>
      </c>
      <c r="B1586" s="2" t="s">
        <v>2405</v>
      </c>
      <c r="C1586" s="2" t="s">
        <v>37</v>
      </c>
      <c r="D1586" s="2">
        <v>46</v>
      </c>
      <c r="E1586" s="2" t="str">
        <f t="shared" si="98"/>
        <v>46-60</v>
      </c>
      <c r="F1586" s="2" t="s">
        <v>46</v>
      </c>
      <c r="G1586" s="2" t="s">
        <v>21</v>
      </c>
      <c r="H1586" s="2">
        <v>16</v>
      </c>
      <c r="I1586" s="2" t="str">
        <f t="shared" si="96"/>
        <v>13-24 months</v>
      </c>
      <c r="J1586" s="3">
        <v>849</v>
      </c>
      <c r="K1586" s="3">
        <v>13584</v>
      </c>
      <c r="L1586" s="2" t="s">
        <v>31</v>
      </c>
      <c r="M1586" s="4">
        <v>45425</v>
      </c>
      <c r="N1586" s="2" t="s">
        <v>32</v>
      </c>
      <c r="O1586" s="2">
        <f t="shared" si="99"/>
        <v>1</v>
      </c>
      <c r="P1586" s="2" t="s">
        <v>23</v>
      </c>
      <c r="Q1586" s="2" t="s">
        <v>23</v>
      </c>
      <c r="R1586" s="2" t="s">
        <v>23</v>
      </c>
      <c r="S1586" s="2" t="s">
        <v>23</v>
      </c>
      <c r="T1586" s="2" t="s">
        <v>23</v>
      </c>
      <c r="U1586" s="25">
        <f t="shared" si="97"/>
        <v>13584.001586</v>
      </c>
    </row>
    <row r="1587" spans="1:21">
      <c r="A1587" s="2" t="s">
        <v>2406</v>
      </c>
      <c r="B1587" s="2" t="s">
        <v>2407</v>
      </c>
      <c r="C1587" s="2" t="s">
        <v>35</v>
      </c>
      <c r="D1587" s="2">
        <v>39</v>
      </c>
      <c r="E1587" s="2" t="str">
        <f t="shared" si="98"/>
        <v>36-45</v>
      </c>
      <c r="F1587" s="2" t="s">
        <v>141</v>
      </c>
      <c r="G1587" s="2" t="s">
        <v>27</v>
      </c>
      <c r="H1587" s="2">
        <v>21</v>
      </c>
      <c r="I1587" s="2" t="str">
        <f t="shared" si="96"/>
        <v>13-24 months</v>
      </c>
      <c r="J1587" s="3">
        <v>549</v>
      </c>
      <c r="K1587" s="3">
        <v>11529</v>
      </c>
      <c r="L1587" s="2" t="s">
        <v>66</v>
      </c>
      <c r="M1587" s="4"/>
      <c r="N1587" s="2" t="s">
        <v>23</v>
      </c>
      <c r="O1587" s="2">
        <f t="shared" si="99"/>
        <v>0</v>
      </c>
      <c r="P1587" s="2" t="s">
        <v>23</v>
      </c>
      <c r="Q1587" s="2" t="s">
        <v>23</v>
      </c>
      <c r="R1587" s="2" t="s">
        <v>23</v>
      </c>
      <c r="S1587" s="2" t="s">
        <v>23</v>
      </c>
      <c r="T1587" s="2" t="s">
        <v>54</v>
      </c>
      <c r="U1587" s="25">
        <f t="shared" si="97"/>
        <v>11529.001587000001</v>
      </c>
    </row>
    <row r="1588" spans="1:21">
      <c r="A1588" s="2" t="s">
        <v>2408</v>
      </c>
      <c r="B1588" s="2" t="s">
        <v>2382</v>
      </c>
      <c r="C1588" s="2" t="s">
        <v>19</v>
      </c>
      <c r="D1588" s="2">
        <v>25</v>
      </c>
      <c r="E1588" s="2" t="str">
        <f t="shared" si="98"/>
        <v>18-25</v>
      </c>
      <c r="F1588" s="2" t="s">
        <v>41</v>
      </c>
      <c r="G1588" s="2" t="s">
        <v>47</v>
      </c>
      <c r="H1588" s="2">
        <v>43</v>
      </c>
      <c r="I1588" s="2" t="str">
        <f t="shared" si="96"/>
        <v>25-48 months</v>
      </c>
      <c r="J1588" s="3">
        <v>999</v>
      </c>
      <c r="K1588" s="3">
        <v>42957</v>
      </c>
      <c r="L1588" s="2" t="s">
        <v>22</v>
      </c>
      <c r="M1588" s="4">
        <v>44637</v>
      </c>
      <c r="N1588" s="2" t="s">
        <v>23</v>
      </c>
      <c r="O1588" s="2">
        <f t="shared" si="99"/>
        <v>0</v>
      </c>
      <c r="P1588" s="2" t="s">
        <v>23</v>
      </c>
      <c r="Q1588" s="2" t="s">
        <v>23</v>
      </c>
      <c r="R1588" s="2" t="s">
        <v>23</v>
      </c>
      <c r="S1588" s="2" t="s">
        <v>23</v>
      </c>
      <c r="T1588" s="2" t="s">
        <v>23</v>
      </c>
      <c r="U1588" s="25">
        <f t="shared" si="97"/>
        <v>42957.001587999999</v>
      </c>
    </row>
    <row r="1589" spans="1:21">
      <c r="A1589" s="2" t="s">
        <v>2409</v>
      </c>
      <c r="B1589" s="2" t="s">
        <v>220</v>
      </c>
      <c r="C1589" s="2" t="s">
        <v>19</v>
      </c>
      <c r="D1589" s="2">
        <v>58</v>
      </c>
      <c r="E1589" s="2" t="str">
        <f t="shared" si="98"/>
        <v>46-60</v>
      </c>
      <c r="F1589" s="2" t="s">
        <v>20</v>
      </c>
      <c r="G1589" s="2" t="s">
        <v>27</v>
      </c>
      <c r="H1589" s="2">
        <v>5</v>
      </c>
      <c r="I1589" s="2" t="str">
        <f t="shared" si="96"/>
        <v>0-6 months</v>
      </c>
      <c r="J1589" s="3">
        <v>349</v>
      </c>
      <c r="K1589" s="3">
        <v>1745</v>
      </c>
      <c r="L1589" s="2" t="s">
        <v>66</v>
      </c>
      <c r="M1589" s="4">
        <v>45751</v>
      </c>
      <c r="N1589" s="2" t="s">
        <v>23</v>
      </c>
      <c r="O1589" s="2">
        <f t="shared" si="99"/>
        <v>0</v>
      </c>
      <c r="P1589" s="2" t="s">
        <v>23</v>
      </c>
      <c r="Q1589" s="2" t="s">
        <v>23</v>
      </c>
      <c r="R1589" s="2" t="s">
        <v>23</v>
      </c>
      <c r="S1589" s="2" t="s">
        <v>23</v>
      </c>
      <c r="T1589" s="2" t="s">
        <v>23</v>
      </c>
      <c r="U1589" s="25">
        <f t="shared" si="97"/>
        <v>1745.001589</v>
      </c>
    </row>
    <row r="1590" spans="1:21">
      <c r="A1590" s="2" t="s">
        <v>2410</v>
      </c>
      <c r="B1590" s="2" t="s">
        <v>836</v>
      </c>
      <c r="C1590" s="2" t="s">
        <v>35</v>
      </c>
      <c r="D1590" s="2">
        <v>18</v>
      </c>
      <c r="E1590" s="2" t="str">
        <f t="shared" si="98"/>
        <v>18-25</v>
      </c>
      <c r="F1590" s="2" t="s">
        <v>30</v>
      </c>
      <c r="G1590" s="2" t="s">
        <v>21</v>
      </c>
      <c r="H1590" s="2">
        <v>7</v>
      </c>
      <c r="I1590" s="2" t="str">
        <f t="shared" si="96"/>
        <v>7-12 months</v>
      </c>
      <c r="J1590" s="3">
        <v>849</v>
      </c>
      <c r="K1590" s="3">
        <v>5943</v>
      </c>
      <c r="L1590" s="2" t="s">
        <v>31</v>
      </c>
      <c r="M1590" s="4">
        <v>45713</v>
      </c>
      <c r="N1590" s="2" t="s">
        <v>23</v>
      </c>
      <c r="O1590" s="2">
        <f t="shared" si="99"/>
        <v>0</v>
      </c>
      <c r="P1590" s="2" t="s">
        <v>23</v>
      </c>
      <c r="Q1590" s="2" t="s">
        <v>23</v>
      </c>
      <c r="R1590" s="2" t="s">
        <v>23</v>
      </c>
      <c r="S1590" s="2" t="s">
        <v>23</v>
      </c>
      <c r="T1590" s="2" t="s">
        <v>23</v>
      </c>
      <c r="U1590" s="25">
        <f t="shared" si="97"/>
        <v>5943.0015899999999</v>
      </c>
    </row>
    <row r="1591" spans="1:21">
      <c r="A1591" s="2" t="s">
        <v>2411</v>
      </c>
      <c r="B1591" s="2" t="s">
        <v>124</v>
      </c>
      <c r="C1591" s="2" t="s">
        <v>19</v>
      </c>
      <c r="D1591" s="2">
        <v>36</v>
      </c>
      <c r="E1591" s="2" t="str">
        <f t="shared" si="98"/>
        <v>36-45</v>
      </c>
      <c r="F1591" s="2" t="s">
        <v>57</v>
      </c>
      <c r="G1591" s="2" t="s">
        <v>21</v>
      </c>
      <c r="H1591" s="2">
        <v>13</v>
      </c>
      <c r="I1591" s="2" t="str">
        <f t="shared" si="96"/>
        <v>13-24 months</v>
      </c>
      <c r="J1591" s="3">
        <v>1149</v>
      </c>
      <c r="K1591" s="3">
        <v>14937</v>
      </c>
      <c r="L1591" s="2" t="s">
        <v>22</v>
      </c>
      <c r="M1591" s="4">
        <v>45511</v>
      </c>
      <c r="N1591" s="2" t="s">
        <v>32</v>
      </c>
      <c r="O1591" s="2">
        <f t="shared" si="99"/>
        <v>1</v>
      </c>
      <c r="P1591" s="2" t="s">
        <v>23</v>
      </c>
      <c r="Q1591" s="2" t="s">
        <v>23</v>
      </c>
      <c r="R1591" s="2" t="s">
        <v>23</v>
      </c>
      <c r="S1591" s="2" t="s">
        <v>23</v>
      </c>
      <c r="T1591" s="2" t="s">
        <v>23</v>
      </c>
      <c r="U1591" s="25">
        <f t="shared" si="97"/>
        <v>14937.001591</v>
      </c>
    </row>
    <row r="1592" spans="1:21">
      <c r="A1592" s="2" t="s">
        <v>2412</v>
      </c>
      <c r="B1592" s="2" t="s">
        <v>1126</v>
      </c>
      <c r="C1592" s="2" t="s">
        <v>37</v>
      </c>
      <c r="D1592" s="2">
        <v>75</v>
      </c>
      <c r="E1592" s="2" t="str">
        <f t="shared" si="98"/>
        <v>60+</v>
      </c>
      <c r="F1592" s="2" t="s">
        <v>71</v>
      </c>
      <c r="G1592" s="2" t="s">
        <v>27</v>
      </c>
      <c r="H1592" s="2">
        <v>19</v>
      </c>
      <c r="I1592" s="2" t="str">
        <f t="shared" si="96"/>
        <v>13-24 months</v>
      </c>
      <c r="J1592" s="3">
        <v>1099</v>
      </c>
      <c r="K1592" s="3">
        <v>20881</v>
      </c>
      <c r="L1592" s="2" t="s">
        <v>22</v>
      </c>
      <c r="M1592" s="4">
        <v>45354</v>
      </c>
      <c r="N1592" s="2" t="s">
        <v>23</v>
      </c>
      <c r="O1592" s="2">
        <f t="shared" si="99"/>
        <v>0</v>
      </c>
      <c r="P1592" s="2" t="s">
        <v>23</v>
      </c>
      <c r="Q1592" s="2" t="s">
        <v>23</v>
      </c>
      <c r="R1592" s="2" t="s">
        <v>23</v>
      </c>
      <c r="S1592" s="2" t="s">
        <v>23</v>
      </c>
      <c r="T1592" s="2" t="s">
        <v>23</v>
      </c>
      <c r="U1592" s="25">
        <f t="shared" si="97"/>
        <v>20881.001592000001</v>
      </c>
    </row>
    <row r="1593" spans="1:21">
      <c r="A1593" s="2" t="s">
        <v>2413</v>
      </c>
      <c r="B1593" s="2" t="s">
        <v>1771</v>
      </c>
      <c r="C1593" s="2" t="s">
        <v>37</v>
      </c>
      <c r="D1593" s="2">
        <v>63</v>
      </c>
      <c r="E1593" s="2" t="str">
        <f t="shared" si="98"/>
        <v>60+</v>
      </c>
      <c r="F1593" s="2" t="s">
        <v>63</v>
      </c>
      <c r="G1593" s="2" t="s">
        <v>47</v>
      </c>
      <c r="H1593" s="2">
        <v>9</v>
      </c>
      <c r="I1593" s="2" t="str">
        <f t="shared" si="96"/>
        <v>7-12 months</v>
      </c>
      <c r="J1593" s="3">
        <v>799</v>
      </c>
      <c r="K1593" s="3">
        <v>7191</v>
      </c>
      <c r="L1593" s="2" t="s">
        <v>31</v>
      </c>
      <c r="M1593" s="4">
        <v>45633</v>
      </c>
      <c r="N1593" s="2" t="s">
        <v>23</v>
      </c>
      <c r="O1593" s="2">
        <f t="shared" si="99"/>
        <v>0</v>
      </c>
      <c r="P1593" s="2" t="s">
        <v>23</v>
      </c>
      <c r="Q1593" s="2" t="s">
        <v>23</v>
      </c>
      <c r="R1593" s="2" t="s">
        <v>23</v>
      </c>
      <c r="S1593" s="2" t="s">
        <v>23</v>
      </c>
      <c r="T1593" s="2" t="s">
        <v>23</v>
      </c>
      <c r="U1593" s="25">
        <f t="shared" si="97"/>
        <v>7191.001593</v>
      </c>
    </row>
    <row r="1594" spans="1:21">
      <c r="A1594" s="2" t="s">
        <v>2414</v>
      </c>
      <c r="B1594" s="2" t="s">
        <v>584</v>
      </c>
      <c r="C1594" s="2" t="s">
        <v>19</v>
      </c>
      <c r="D1594" s="2">
        <v>71</v>
      </c>
      <c r="E1594" s="2" t="str">
        <f t="shared" si="98"/>
        <v>60+</v>
      </c>
      <c r="F1594" s="2" t="s">
        <v>41</v>
      </c>
      <c r="G1594" s="2" t="s">
        <v>21</v>
      </c>
      <c r="H1594" s="2">
        <v>21</v>
      </c>
      <c r="I1594" s="2" t="str">
        <f t="shared" si="96"/>
        <v>13-24 months</v>
      </c>
      <c r="J1594" s="3">
        <v>1199</v>
      </c>
      <c r="K1594" s="3">
        <v>25179</v>
      </c>
      <c r="L1594" s="2" t="s">
        <v>22</v>
      </c>
      <c r="M1594" s="4">
        <v>45297</v>
      </c>
      <c r="N1594" s="2" t="s">
        <v>23</v>
      </c>
      <c r="O1594" s="2">
        <f t="shared" si="99"/>
        <v>0</v>
      </c>
      <c r="P1594" s="2" t="s">
        <v>23</v>
      </c>
      <c r="Q1594" s="2" t="s">
        <v>23</v>
      </c>
      <c r="R1594" s="2" t="s">
        <v>23</v>
      </c>
      <c r="S1594" s="2" t="s">
        <v>23</v>
      </c>
      <c r="T1594" s="2" t="s">
        <v>23</v>
      </c>
      <c r="U1594" s="25">
        <f t="shared" si="97"/>
        <v>25179.001594000001</v>
      </c>
    </row>
    <row r="1595" spans="1:21">
      <c r="A1595" s="2" t="s">
        <v>2415</v>
      </c>
      <c r="B1595" s="2" t="s">
        <v>1378</v>
      </c>
      <c r="C1595" s="2" t="s">
        <v>35</v>
      </c>
      <c r="D1595" s="2">
        <v>51</v>
      </c>
      <c r="E1595" s="2" t="str">
        <f t="shared" si="98"/>
        <v>46-60</v>
      </c>
      <c r="F1595" s="2" t="s">
        <v>20</v>
      </c>
      <c r="G1595" s="2" t="s">
        <v>21</v>
      </c>
      <c r="H1595" s="2">
        <v>7</v>
      </c>
      <c r="I1595" s="2" t="str">
        <f t="shared" si="96"/>
        <v>7-12 months</v>
      </c>
      <c r="J1595" s="3">
        <v>1149</v>
      </c>
      <c r="K1595" s="3">
        <v>8043</v>
      </c>
      <c r="L1595" s="2" t="s">
        <v>22</v>
      </c>
      <c r="M1595" s="4">
        <v>45701</v>
      </c>
      <c r="N1595" s="2" t="s">
        <v>32</v>
      </c>
      <c r="O1595" s="2">
        <f t="shared" si="99"/>
        <v>1</v>
      </c>
      <c r="P1595" s="2" t="s">
        <v>23</v>
      </c>
      <c r="Q1595" s="2" t="s">
        <v>23</v>
      </c>
      <c r="R1595" s="2" t="s">
        <v>23</v>
      </c>
      <c r="S1595" s="2" t="s">
        <v>23</v>
      </c>
      <c r="T1595" s="2" t="s">
        <v>23</v>
      </c>
      <c r="U1595" s="25">
        <f t="shared" si="97"/>
        <v>8043.0015949999997</v>
      </c>
    </row>
    <row r="1596" spans="1:21">
      <c r="A1596" s="2" t="s">
        <v>2416</v>
      </c>
      <c r="B1596" s="2" t="s">
        <v>254</v>
      </c>
      <c r="C1596" s="2" t="s">
        <v>19</v>
      </c>
      <c r="D1596" s="2">
        <v>51</v>
      </c>
      <c r="E1596" s="2" t="str">
        <f t="shared" si="98"/>
        <v>46-60</v>
      </c>
      <c r="F1596" s="2" t="s">
        <v>141</v>
      </c>
      <c r="G1596" s="2" t="s">
        <v>21</v>
      </c>
      <c r="H1596" s="2">
        <v>6</v>
      </c>
      <c r="I1596" s="2" t="str">
        <f t="shared" si="96"/>
        <v>0-6 months</v>
      </c>
      <c r="J1596" s="3">
        <v>1099</v>
      </c>
      <c r="K1596" s="3">
        <v>6594</v>
      </c>
      <c r="L1596" s="2" t="s">
        <v>22</v>
      </c>
      <c r="M1596" s="4">
        <v>45725</v>
      </c>
      <c r="N1596" s="2" t="s">
        <v>32</v>
      </c>
      <c r="O1596" s="2">
        <f t="shared" si="99"/>
        <v>1</v>
      </c>
      <c r="P1596" s="2" t="s">
        <v>23</v>
      </c>
      <c r="Q1596" s="2" t="s">
        <v>23</v>
      </c>
      <c r="R1596" s="2" t="s">
        <v>23</v>
      </c>
      <c r="S1596" s="2" t="s">
        <v>23</v>
      </c>
      <c r="T1596" s="2" t="s">
        <v>23</v>
      </c>
      <c r="U1596" s="25">
        <f t="shared" si="97"/>
        <v>6594.0015960000001</v>
      </c>
    </row>
    <row r="1597" spans="1:21">
      <c r="A1597" s="2" t="s">
        <v>2417</v>
      </c>
      <c r="B1597" s="2" t="s">
        <v>2407</v>
      </c>
      <c r="C1597" s="2" t="s">
        <v>35</v>
      </c>
      <c r="D1597" s="2">
        <v>35</v>
      </c>
      <c r="E1597" s="2" t="str">
        <f t="shared" si="98"/>
        <v>26-35</v>
      </c>
      <c r="F1597" s="2" t="s">
        <v>60</v>
      </c>
      <c r="G1597" s="2" t="s">
        <v>21</v>
      </c>
      <c r="H1597" s="2">
        <v>19</v>
      </c>
      <c r="I1597" s="2" t="str">
        <f t="shared" si="96"/>
        <v>13-24 months</v>
      </c>
      <c r="J1597" s="3">
        <v>599</v>
      </c>
      <c r="K1597" s="3">
        <v>11381</v>
      </c>
      <c r="L1597" s="2" t="s">
        <v>31</v>
      </c>
      <c r="M1597" s="4">
        <v>45342</v>
      </c>
      <c r="N1597" s="2" t="s">
        <v>23</v>
      </c>
      <c r="O1597" s="2">
        <f t="shared" si="99"/>
        <v>0</v>
      </c>
      <c r="P1597" s="2" t="s">
        <v>23</v>
      </c>
      <c r="Q1597" s="2" t="s">
        <v>23</v>
      </c>
      <c r="R1597" s="2" t="s">
        <v>23</v>
      </c>
      <c r="S1597" s="2" t="s">
        <v>23</v>
      </c>
      <c r="T1597" s="2" t="s">
        <v>23</v>
      </c>
      <c r="U1597" s="25">
        <f t="shared" si="97"/>
        <v>11381.001597</v>
      </c>
    </row>
    <row r="1598" spans="1:21">
      <c r="A1598" s="2" t="s">
        <v>2418</v>
      </c>
      <c r="B1598" s="2" t="s">
        <v>1022</v>
      </c>
      <c r="C1598" s="2" t="s">
        <v>35</v>
      </c>
      <c r="D1598" s="2">
        <v>53</v>
      </c>
      <c r="E1598" s="2" t="str">
        <f t="shared" si="98"/>
        <v>46-60</v>
      </c>
      <c r="F1598" s="2" t="s">
        <v>20</v>
      </c>
      <c r="G1598" s="2" t="s">
        <v>27</v>
      </c>
      <c r="H1598" s="2">
        <v>36</v>
      </c>
      <c r="I1598" s="2" t="str">
        <f t="shared" si="96"/>
        <v>25-48 months</v>
      </c>
      <c r="J1598" s="3">
        <v>999</v>
      </c>
      <c r="K1598" s="3">
        <v>35964</v>
      </c>
      <c r="L1598" s="2" t="s">
        <v>22</v>
      </c>
      <c r="M1598" s="4">
        <v>44828</v>
      </c>
      <c r="N1598" s="2" t="s">
        <v>23</v>
      </c>
      <c r="O1598" s="2">
        <f t="shared" si="99"/>
        <v>0</v>
      </c>
      <c r="P1598" s="2" t="s">
        <v>23</v>
      </c>
      <c r="Q1598" s="2" t="s">
        <v>23</v>
      </c>
      <c r="R1598" s="2" t="s">
        <v>23</v>
      </c>
      <c r="S1598" s="2" t="s">
        <v>23</v>
      </c>
      <c r="T1598" s="2" t="s">
        <v>23</v>
      </c>
      <c r="U1598" s="25">
        <f t="shared" si="97"/>
        <v>35964.001598000003</v>
      </c>
    </row>
    <row r="1599" spans="1:21">
      <c r="A1599" s="2" t="s">
        <v>2419</v>
      </c>
      <c r="B1599" s="2" t="s">
        <v>1382</v>
      </c>
      <c r="C1599" s="2" t="s">
        <v>35</v>
      </c>
      <c r="D1599" s="2">
        <v>47</v>
      </c>
      <c r="E1599" s="2" t="str">
        <f t="shared" si="98"/>
        <v>46-60</v>
      </c>
      <c r="F1599" s="2" t="s">
        <v>71</v>
      </c>
      <c r="G1599" s="2" t="s">
        <v>21</v>
      </c>
      <c r="H1599" s="2">
        <v>23</v>
      </c>
      <c r="I1599" s="2" t="str">
        <f t="shared" si="96"/>
        <v>13-24 months</v>
      </c>
      <c r="J1599" s="3">
        <v>999</v>
      </c>
      <c r="K1599" s="3">
        <v>22977</v>
      </c>
      <c r="L1599" s="2" t="s">
        <v>22</v>
      </c>
      <c r="M1599" s="4">
        <v>45233</v>
      </c>
      <c r="N1599" s="2" t="s">
        <v>23</v>
      </c>
      <c r="O1599" s="2">
        <f t="shared" si="99"/>
        <v>0</v>
      </c>
      <c r="P1599" s="2" t="s">
        <v>23</v>
      </c>
      <c r="Q1599" s="2" t="s">
        <v>23</v>
      </c>
      <c r="R1599" s="2" t="s">
        <v>23</v>
      </c>
      <c r="S1599" s="2" t="s">
        <v>23</v>
      </c>
      <c r="T1599" s="2" t="s">
        <v>23</v>
      </c>
      <c r="U1599" s="25">
        <f t="shared" si="97"/>
        <v>22977.001598999999</v>
      </c>
    </row>
    <row r="1600" spans="1:21">
      <c r="A1600" s="2" t="s">
        <v>2420</v>
      </c>
      <c r="B1600" s="2" t="s">
        <v>283</v>
      </c>
      <c r="C1600" s="2" t="s">
        <v>19</v>
      </c>
      <c r="D1600" s="2">
        <v>29</v>
      </c>
      <c r="E1600" s="2" t="str">
        <f t="shared" si="98"/>
        <v>26-35</v>
      </c>
      <c r="F1600" s="2" t="s">
        <v>63</v>
      </c>
      <c r="G1600" s="2" t="s">
        <v>27</v>
      </c>
      <c r="H1600" s="2">
        <v>40</v>
      </c>
      <c r="I1600" s="2" t="str">
        <f t="shared" si="96"/>
        <v>25-48 months</v>
      </c>
      <c r="J1600" s="3">
        <v>1199</v>
      </c>
      <c r="K1600" s="3">
        <v>47960</v>
      </c>
      <c r="L1600" s="2" t="s">
        <v>22</v>
      </c>
      <c r="M1600" s="4">
        <v>44725</v>
      </c>
      <c r="N1600" s="2" t="s">
        <v>23</v>
      </c>
      <c r="O1600" s="2">
        <f t="shared" si="99"/>
        <v>0</v>
      </c>
      <c r="P1600" s="2" t="s">
        <v>23</v>
      </c>
      <c r="Q1600" s="2" t="s">
        <v>23</v>
      </c>
      <c r="R1600" s="2" t="s">
        <v>23</v>
      </c>
      <c r="S1600" s="2" t="s">
        <v>23</v>
      </c>
      <c r="T1600" s="2" t="s">
        <v>23</v>
      </c>
      <c r="U1600" s="25">
        <f t="shared" si="97"/>
        <v>47960.001600000003</v>
      </c>
    </row>
    <row r="1601" spans="1:21">
      <c r="A1601" s="2" t="s">
        <v>2421</v>
      </c>
      <c r="B1601" s="2" t="s">
        <v>143</v>
      </c>
      <c r="C1601" s="2" t="s">
        <v>35</v>
      </c>
      <c r="D1601" s="2">
        <v>72</v>
      </c>
      <c r="E1601" s="2" t="str">
        <f t="shared" si="98"/>
        <v>60+</v>
      </c>
      <c r="F1601" s="2" t="s">
        <v>91</v>
      </c>
      <c r="G1601" s="2" t="s">
        <v>37</v>
      </c>
      <c r="H1601" s="2">
        <v>18</v>
      </c>
      <c r="I1601" s="2" t="str">
        <f t="shared" si="96"/>
        <v>13-24 months</v>
      </c>
      <c r="J1601" s="3">
        <v>799</v>
      </c>
      <c r="K1601" s="3">
        <v>14382</v>
      </c>
      <c r="L1601" s="2" t="s">
        <v>31</v>
      </c>
      <c r="M1601" s="4">
        <v>45378</v>
      </c>
      <c r="N1601" s="2" t="s">
        <v>23</v>
      </c>
      <c r="O1601" s="2">
        <f t="shared" si="99"/>
        <v>0</v>
      </c>
      <c r="P1601" s="2" t="s">
        <v>23</v>
      </c>
      <c r="Q1601" s="2" t="s">
        <v>23</v>
      </c>
      <c r="R1601" s="2" t="s">
        <v>23</v>
      </c>
      <c r="S1601" s="2" t="s">
        <v>23</v>
      </c>
      <c r="T1601" s="2" t="s">
        <v>23</v>
      </c>
      <c r="U1601" s="25">
        <f t="shared" si="97"/>
        <v>14382.001601</v>
      </c>
    </row>
    <row r="1602" spans="1:21">
      <c r="A1602" s="2" t="s">
        <v>2422</v>
      </c>
      <c r="B1602" s="2" t="s">
        <v>2423</v>
      </c>
      <c r="C1602" s="2" t="s">
        <v>35</v>
      </c>
      <c r="D1602" s="2">
        <v>72</v>
      </c>
      <c r="E1602" s="2" t="str">
        <f t="shared" si="98"/>
        <v>60+</v>
      </c>
      <c r="F1602" s="2" t="s">
        <v>26</v>
      </c>
      <c r="G1602" s="2" t="s">
        <v>21</v>
      </c>
      <c r="H1602" s="2">
        <v>10</v>
      </c>
      <c r="I1602" s="2" t="str">
        <f t="shared" ref="I1602:I1665" si="100">IF(H1602="","Unknown",IF(H1602&lt;=6,"0-6 months",IF(H1602&lt;=12,"7-12 months",IF(H1602&lt;=24,"13-24 months",IF(H1602&lt;=48,"25-48 months","49+ months")))))</f>
        <v>7-12 months</v>
      </c>
      <c r="J1602" s="3">
        <v>1099</v>
      </c>
      <c r="K1602" s="3">
        <v>10990</v>
      </c>
      <c r="L1602" s="2" t="s">
        <v>22</v>
      </c>
      <c r="M1602" s="4">
        <v>45608</v>
      </c>
      <c r="N1602" s="2" t="s">
        <v>23</v>
      </c>
      <c r="O1602" s="2">
        <f t="shared" si="99"/>
        <v>0</v>
      </c>
      <c r="P1602" s="2" t="s">
        <v>23</v>
      </c>
      <c r="Q1602" s="2" t="s">
        <v>23</v>
      </c>
      <c r="R1602" s="2" t="s">
        <v>23</v>
      </c>
      <c r="S1602" s="2" t="s">
        <v>23</v>
      </c>
      <c r="T1602" s="2" t="s">
        <v>23</v>
      </c>
      <c r="U1602" s="25">
        <f t="shared" ref="U1602:U1665" si="101">IF(K1602="","",K1602+ROW()/1000000)</f>
        <v>10990.001602</v>
      </c>
    </row>
    <row r="1603" spans="1:21">
      <c r="A1603" s="2" t="s">
        <v>2424</v>
      </c>
      <c r="B1603" s="2" t="s">
        <v>1144</v>
      </c>
      <c r="C1603" s="2" t="s">
        <v>35</v>
      </c>
      <c r="D1603" s="2">
        <v>28</v>
      </c>
      <c r="E1603" s="2" t="str">
        <f t="shared" ref="E1603:E1666" si="102">IF(D1603&lt;=25,"18-25",IF(D1603&lt;=35,"26-35",IF(D1603&lt;=45,"36-45",IF(D1603&lt;=60,"46-60","60+"))))</f>
        <v>26-35</v>
      </c>
      <c r="F1603" s="2" t="s">
        <v>37</v>
      </c>
      <c r="G1603" s="2" t="s">
        <v>21</v>
      </c>
      <c r="H1603" s="2">
        <v>1</v>
      </c>
      <c r="I1603" s="2" t="str">
        <f t="shared" si="100"/>
        <v>0-6 months</v>
      </c>
      <c r="J1603" s="3">
        <v>799</v>
      </c>
      <c r="K1603" s="3">
        <v>799</v>
      </c>
      <c r="L1603" s="2" t="s">
        <v>31</v>
      </c>
      <c r="M1603" s="4">
        <v>45880</v>
      </c>
      <c r="N1603" s="2" t="s">
        <v>23</v>
      </c>
      <c r="O1603" s="2">
        <f t="shared" ref="O1603:O1666" si="103">IF(N1603="Yes",1,IF(N1603="No",0,""))</f>
        <v>0</v>
      </c>
      <c r="P1603" s="2" t="s">
        <v>23</v>
      </c>
      <c r="Q1603" s="2" t="s">
        <v>23</v>
      </c>
      <c r="R1603" s="2" t="s">
        <v>23</v>
      </c>
      <c r="S1603" s="2" t="s">
        <v>23</v>
      </c>
      <c r="T1603" s="2" t="s">
        <v>23</v>
      </c>
      <c r="U1603" s="25">
        <f t="shared" si="101"/>
        <v>799.00160300000005</v>
      </c>
    </row>
    <row r="1604" spans="1:21">
      <c r="A1604" s="2" t="s">
        <v>2425</v>
      </c>
      <c r="B1604" s="2" t="s">
        <v>1247</v>
      </c>
      <c r="C1604" s="2" t="s">
        <v>35</v>
      </c>
      <c r="D1604" s="2">
        <v>64</v>
      </c>
      <c r="E1604" s="2" t="str">
        <f t="shared" si="102"/>
        <v>60+</v>
      </c>
      <c r="F1604" s="2" t="s">
        <v>41</v>
      </c>
      <c r="G1604" s="2" t="s">
        <v>21</v>
      </c>
      <c r="H1604" s="2">
        <v>19</v>
      </c>
      <c r="I1604" s="2" t="str">
        <f t="shared" si="100"/>
        <v>13-24 months</v>
      </c>
      <c r="J1604" s="3">
        <v>899</v>
      </c>
      <c r="K1604" s="3">
        <v>17081</v>
      </c>
      <c r="L1604" s="2" t="s">
        <v>22</v>
      </c>
      <c r="M1604" s="4">
        <v>45344</v>
      </c>
      <c r="N1604" s="2" t="s">
        <v>23</v>
      </c>
      <c r="O1604" s="2">
        <f t="shared" si="103"/>
        <v>0</v>
      </c>
      <c r="P1604" s="2" t="s">
        <v>23</v>
      </c>
      <c r="Q1604" s="2" t="s">
        <v>23</v>
      </c>
      <c r="R1604" s="2" t="s">
        <v>23</v>
      </c>
      <c r="S1604" s="2" t="s">
        <v>23</v>
      </c>
      <c r="T1604" s="2" t="s">
        <v>23</v>
      </c>
      <c r="U1604" s="25">
        <f t="shared" si="101"/>
        <v>17081.001604000001</v>
      </c>
    </row>
    <row r="1605" spans="1:21">
      <c r="A1605" s="2" t="s">
        <v>2426</v>
      </c>
      <c r="B1605" s="2" t="s">
        <v>2295</v>
      </c>
      <c r="C1605" s="2" t="s">
        <v>19</v>
      </c>
      <c r="D1605" s="2">
        <v>39</v>
      </c>
      <c r="E1605" s="2" t="str">
        <f t="shared" si="102"/>
        <v>36-45</v>
      </c>
      <c r="F1605" s="2" t="s">
        <v>20</v>
      </c>
      <c r="G1605" s="2" t="s">
        <v>27</v>
      </c>
      <c r="H1605" s="2">
        <v>34</v>
      </c>
      <c r="I1605" s="2" t="str">
        <f t="shared" si="100"/>
        <v>25-48 months</v>
      </c>
      <c r="J1605" s="3">
        <v>1199</v>
      </c>
      <c r="K1605" s="3">
        <v>40766</v>
      </c>
      <c r="L1605" s="2" t="s">
        <v>22</v>
      </c>
      <c r="M1605" s="4">
        <v>44886</v>
      </c>
      <c r="N1605" s="2" t="s">
        <v>23</v>
      </c>
      <c r="O1605" s="2">
        <f t="shared" si="103"/>
        <v>0</v>
      </c>
      <c r="P1605" s="2" t="s">
        <v>23</v>
      </c>
      <c r="Q1605" s="2" t="s">
        <v>23</v>
      </c>
      <c r="R1605" s="2" t="s">
        <v>23</v>
      </c>
      <c r="S1605" s="2" t="s">
        <v>23</v>
      </c>
      <c r="T1605" s="2" t="s">
        <v>23</v>
      </c>
      <c r="U1605" s="25">
        <f t="shared" si="101"/>
        <v>40766.001604999998</v>
      </c>
    </row>
    <row r="1606" spans="1:21">
      <c r="A1606" s="2" t="s">
        <v>2427</v>
      </c>
      <c r="B1606" s="2" t="s">
        <v>1809</v>
      </c>
      <c r="C1606" s="2" t="s">
        <v>35</v>
      </c>
      <c r="D1606" s="2">
        <v>53</v>
      </c>
      <c r="E1606" s="2" t="str">
        <f t="shared" si="102"/>
        <v>46-60</v>
      </c>
      <c r="F1606" s="2" t="s">
        <v>26</v>
      </c>
      <c r="G1606" s="2" t="s">
        <v>21</v>
      </c>
      <c r="H1606" s="2">
        <v>22</v>
      </c>
      <c r="I1606" s="2" t="str">
        <f t="shared" si="100"/>
        <v>13-24 months</v>
      </c>
      <c r="J1606" s="3">
        <v>899</v>
      </c>
      <c r="K1606" s="3">
        <v>19778</v>
      </c>
      <c r="L1606" s="2" t="s">
        <v>31</v>
      </c>
      <c r="M1606" s="4">
        <v>45256</v>
      </c>
      <c r="N1606" s="2" t="s">
        <v>23</v>
      </c>
      <c r="O1606" s="2">
        <f t="shared" si="103"/>
        <v>0</v>
      </c>
      <c r="P1606" s="2" t="s">
        <v>23</v>
      </c>
      <c r="Q1606" s="2" t="s">
        <v>23</v>
      </c>
      <c r="R1606" s="2" t="s">
        <v>23</v>
      </c>
      <c r="S1606" s="2" t="s">
        <v>23</v>
      </c>
      <c r="T1606" s="2" t="s">
        <v>23</v>
      </c>
      <c r="U1606" s="25">
        <f t="shared" si="101"/>
        <v>19778.001606000002</v>
      </c>
    </row>
    <row r="1607" spans="1:21">
      <c r="A1607" s="2" t="s">
        <v>2428</v>
      </c>
      <c r="B1607" s="2" t="s">
        <v>761</v>
      </c>
      <c r="C1607" s="2" t="s">
        <v>37</v>
      </c>
      <c r="D1607" s="2">
        <v>29</v>
      </c>
      <c r="E1607" s="2" t="str">
        <f t="shared" si="102"/>
        <v>26-35</v>
      </c>
      <c r="F1607" s="2" t="s">
        <v>36</v>
      </c>
      <c r="G1607" s="2" t="s">
        <v>47</v>
      </c>
      <c r="H1607" s="2">
        <v>71</v>
      </c>
      <c r="I1607" s="2" t="str">
        <f t="shared" si="100"/>
        <v>49+ months</v>
      </c>
      <c r="J1607" s="3">
        <v>749</v>
      </c>
      <c r="K1607" s="3">
        <v>53179</v>
      </c>
      <c r="L1607" s="2" t="s">
        <v>31</v>
      </c>
      <c r="M1607" s="4">
        <v>43782</v>
      </c>
      <c r="N1607" s="2" t="s">
        <v>23</v>
      </c>
      <c r="O1607" s="2">
        <f t="shared" si="103"/>
        <v>0</v>
      </c>
      <c r="P1607" s="2" t="s">
        <v>23</v>
      </c>
      <c r="Q1607" s="2" t="s">
        <v>23</v>
      </c>
      <c r="R1607" s="2" t="s">
        <v>23</v>
      </c>
      <c r="S1607" s="2" t="s">
        <v>23</v>
      </c>
      <c r="T1607" s="2" t="s">
        <v>23</v>
      </c>
      <c r="U1607" s="25">
        <f t="shared" si="101"/>
        <v>53179.001606999998</v>
      </c>
    </row>
    <row r="1608" spans="1:21">
      <c r="A1608" s="2" t="s">
        <v>2429</v>
      </c>
      <c r="B1608" s="2" t="s">
        <v>310</v>
      </c>
      <c r="C1608" s="2" t="s">
        <v>35</v>
      </c>
      <c r="D1608" s="2">
        <v>31</v>
      </c>
      <c r="E1608" s="2" t="str">
        <f t="shared" si="102"/>
        <v>26-35</v>
      </c>
      <c r="F1608" s="2" t="s">
        <v>141</v>
      </c>
      <c r="G1608" s="2" t="s">
        <v>27</v>
      </c>
      <c r="H1608" s="2">
        <v>24</v>
      </c>
      <c r="I1608" s="2" t="str">
        <f t="shared" si="100"/>
        <v>13-24 months</v>
      </c>
      <c r="J1608" s="3">
        <v>1149</v>
      </c>
      <c r="K1608" s="3">
        <v>27576</v>
      </c>
      <c r="L1608" s="2" t="s">
        <v>22</v>
      </c>
      <c r="M1608" s="4">
        <v>45188</v>
      </c>
      <c r="N1608" s="2" t="s">
        <v>32</v>
      </c>
      <c r="O1608" s="2">
        <f t="shared" si="103"/>
        <v>1</v>
      </c>
      <c r="P1608" s="2" t="s">
        <v>23</v>
      </c>
      <c r="Q1608" s="2" t="s">
        <v>23</v>
      </c>
      <c r="R1608" s="2" t="s">
        <v>23</v>
      </c>
      <c r="S1608" s="2" t="s">
        <v>23</v>
      </c>
      <c r="T1608" s="2" t="s">
        <v>23</v>
      </c>
      <c r="U1608" s="25">
        <f t="shared" si="101"/>
        <v>27576.001607999999</v>
      </c>
    </row>
    <row r="1609" spans="1:21">
      <c r="A1609" s="2" t="s">
        <v>2430</v>
      </c>
      <c r="B1609" s="2" t="s">
        <v>377</v>
      </c>
      <c r="C1609" s="2" t="s">
        <v>35</v>
      </c>
      <c r="D1609" s="2">
        <v>30</v>
      </c>
      <c r="E1609" s="2" t="str">
        <f t="shared" si="102"/>
        <v>26-35</v>
      </c>
      <c r="F1609" s="2" t="s">
        <v>36</v>
      </c>
      <c r="G1609" s="2" t="s">
        <v>21</v>
      </c>
      <c r="H1609" s="2">
        <v>13</v>
      </c>
      <c r="I1609" s="2" t="str">
        <f t="shared" si="100"/>
        <v>13-24 months</v>
      </c>
      <c r="J1609" s="3">
        <v>849</v>
      </c>
      <c r="K1609" s="3">
        <v>11037</v>
      </c>
      <c r="L1609" s="2" t="s">
        <v>31</v>
      </c>
      <c r="M1609" s="4">
        <v>45520</v>
      </c>
      <c r="N1609" s="2" t="s">
        <v>23</v>
      </c>
      <c r="O1609" s="2">
        <f t="shared" si="103"/>
        <v>0</v>
      </c>
      <c r="P1609" s="2" t="s">
        <v>23</v>
      </c>
      <c r="Q1609" s="2" t="s">
        <v>23</v>
      </c>
      <c r="R1609" s="2" t="s">
        <v>23</v>
      </c>
      <c r="S1609" s="2" t="s">
        <v>23</v>
      </c>
      <c r="T1609" s="2" t="s">
        <v>23</v>
      </c>
      <c r="U1609" s="25">
        <f t="shared" si="101"/>
        <v>11037.001609000001</v>
      </c>
    </row>
    <row r="1610" spans="1:21">
      <c r="A1610" s="2" t="s">
        <v>2431</v>
      </c>
      <c r="B1610" s="2" t="s">
        <v>984</v>
      </c>
      <c r="C1610" s="2" t="s">
        <v>35</v>
      </c>
      <c r="D1610" s="2">
        <v>22</v>
      </c>
      <c r="E1610" s="2" t="str">
        <f t="shared" si="102"/>
        <v>18-25</v>
      </c>
      <c r="F1610" s="2" t="s">
        <v>30</v>
      </c>
      <c r="G1610" s="2" t="s">
        <v>47</v>
      </c>
      <c r="H1610" s="2">
        <v>27</v>
      </c>
      <c r="I1610" s="2" t="str">
        <f t="shared" si="100"/>
        <v>25-48 months</v>
      </c>
      <c r="J1610" s="3">
        <v>899</v>
      </c>
      <c r="K1610" s="3">
        <v>24273</v>
      </c>
      <c r="L1610" s="2" t="s">
        <v>31</v>
      </c>
      <c r="M1610" s="4">
        <v>45091</v>
      </c>
      <c r="N1610" s="2" t="s">
        <v>23</v>
      </c>
      <c r="O1610" s="2">
        <f t="shared" si="103"/>
        <v>0</v>
      </c>
      <c r="P1610" s="2" t="s">
        <v>23</v>
      </c>
      <c r="Q1610" s="2" t="s">
        <v>23</v>
      </c>
      <c r="R1610" s="2" t="s">
        <v>23</v>
      </c>
      <c r="S1610" s="2" t="s">
        <v>32</v>
      </c>
      <c r="T1610" s="2" t="s">
        <v>23</v>
      </c>
      <c r="U1610" s="25">
        <f t="shared" si="101"/>
        <v>24273.001609999999</v>
      </c>
    </row>
    <row r="1611" spans="1:21">
      <c r="A1611" s="2" t="s">
        <v>2432</v>
      </c>
      <c r="B1611" s="2" t="s">
        <v>1626</v>
      </c>
      <c r="C1611" s="2" t="s">
        <v>19</v>
      </c>
      <c r="D1611" s="2">
        <v>59</v>
      </c>
      <c r="E1611" s="2" t="str">
        <f t="shared" si="102"/>
        <v>46-60</v>
      </c>
      <c r="F1611" s="2" t="s">
        <v>91</v>
      </c>
      <c r="G1611" s="2" t="s">
        <v>21</v>
      </c>
      <c r="H1611" s="2">
        <v>19</v>
      </c>
      <c r="I1611" s="2" t="str">
        <f t="shared" si="100"/>
        <v>13-24 months</v>
      </c>
      <c r="J1611" s="3">
        <v>349</v>
      </c>
      <c r="K1611" s="3">
        <v>6631</v>
      </c>
      <c r="L1611" s="2" t="s">
        <v>66</v>
      </c>
      <c r="M1611" s="4">
        <v>45352</v>
      </c>
      <c r="N1611" s="2" t="s">
        <v>32</v>
      </c>
      <c r="O1611" s="2">
        <f t="shared" si="103"/>
        <v>1</v>
      </c>
      <c r="P1611" s="2" t="s">
        <v>23</v>
      </c>
      <c r="Q1611" s="2" t="s">
        <v>23</v>
      </c>
      <c r="R1611" s="2" t="s">
        <v>23</v>
      </c>
      <c r="S1611" s="2" t="s">
        <v>23</v>
      </c>
      <c r="T1611" s="2" t="s">
        <v>23</v>
      </c>
      <c r="U1611" s="25">
        <f t="shared" si="101"/>
        <v>6631.0016109999997</v>
      </c>
    </row>
    <row r="1612" spans="1:21">
      <c r="A1612" s="2" t="s">
        <v>2433</v>
      </c>
      <c r="B1612" s="2" t="s">
        <v>1284</v>
      </c>
      <c r="C1612" s="2" t="s">
        <v>37</v>
      </c>
      <c r="D1612" s="2">
        <v>73</v>
      </c>
      <c r="E1612" s="2" t="str">
        <f t="shared" si="102"/>
        <v>60+</v>
      </c>
      <c r="F1612" s="2" t="s">
        <v>141</v>
      </c>
      <c r="G1612" s="2" t="s">
        <v>21</v>
      </c>
      <c r="H1612" s="2">
        <v>7</v>
      </c>
      <c r="I1612" s="2" t="str">
        <f t="shared" si="100"/>
        <v>7-12 months</v>
      </c>
      <c r="J1612" s="3">
        <v>599</v>
      </c>
      <c r="K1612" s="3">
        <v>4193</v>
      </c>
      <c r="L1612" s="2" t="s">
        <v>31</v>
      </c>
      <c r="M1612" s="4">
        <v>45716</v>
      </c>
      <c r="N1612" s="2" t="s">
        <v>23</v>
      </c>
      <c r="O1612" s="2">
        <f t="shared" si="103"/>
        <v>0</v>
      </c>
      <c r="P1612" s="2" t="s">
        <v>23</v>
      </c>
      <c r="Q1612" s="2" t="s">
        <v>23</v>
      </c>
      <c r="R1612" s="2" t="s">
        <v>23</v>
      </c>
      <c r="S1612" s="2" t="s">
        <v>23</v>
      </c>
      <c r="T1612" s="2" t="s">
        <v>23</v>
      </c>
      <c r="U1612" s="25">
        <f t="shared" si="101"/>
        <v>4193.001612</v>
      </c>
    </row>
    <row r="1613" spans="1:21">
      <c r="A1613" s="2" t="s">
        <v>2434</v>
      </c>
      <c r="B1613" s="2" t="s">
        <v>2435</v>
      </c>
      <c r="C1613" s="2" t="s">
        <v>19</v>
      </c>
      <c r="D1613" s="2">
        <v>23</v>
      </c>
      <c r="E1613" s="2" t="str">
        <f t="shared" si="102"/>
        <v>18-25</v>
      </c>
      <c r="F1613" s="2" t="s">
        <v>91</v>
      </c>
      <c r="G1613" s="2" t="s">
        <v>47</v>
      </c>
      <c r="H1613" s="2">
        <v>7</v>
      </c>
      <c r="I1613" s="2" t="str">
        <f t="shared" si="100"/>
        <v>7-12 months</v>
      </c>
      <c r="J1613" s="3">
        <v>849</v>
      </c>
      <c r="K1613" s="3">
        <v>5943</v>
      </c>
      <c r="L1613" s="2" t="s">
        <v>31</v>
      </c>
      <c r="M1613" s="4">
        <v>45713</v>
      </c>
      <c r="N1613" s="2" t="s">
        <v>23</v>
      </c>
      <c r="O1613" s="2">
        <f t="shared" si="103"/>
        <v>0</v>
      </c>
      <c r="P1613" s="2" t="s">
        <v>23</v>
      </c>
      <c r="Q1613" s="2" t="s">
        <v>23</v>
      </c>
      <c r="R1613" s="2" t="s">
        <v>23</v>
      </c>
      <c r="S1613" s="2" t="s">
        <v>23</v>
      </c>
      <c r="T1613" s="2" t="s">
        <v>23</v>
      </c>
      <c r="U1613" s="25">
        <f t="shared" si="101"/>
        <v>5943.0016130000004</v>
      </c>
    </row>
    <row r="1614" spans="1:21">
      <c r="A1614" s="2" t="s">
        <v>2436</v>
      </c>
      <c r="B1614" s="2" t="s">
        <v>2437</v>
      </c>
      <c r="C1614" s="2" t="s">
        <v>19</v>
      </c>
      <c r="D1614" s="2">
        <v>47</v>
      </c>
      <c r="E1614" s="2" t="str">
        <f t="shared" si="102"/>
        <v>46-60</v>
      </c>
      <c r="F1614" s="2" t="s">
        <v>110</v>
      </c>
      <c r="G1614" s="2" t="s">
        <v>27</v>
      </c>
      <c r="H1614" s="2">
        <v>39</v>
      </c>
      <c r="I1614" s="2" t="str">
        <f t="shared" si="100"/>
        <v>25-48 months</v>
      </c>
      <c r="J1614" s="3">
        <v>899</v>
      </c>
      <c r="K1614" s="3">
        <v>35061</v>
      </c>
      <c r="L1614" s="2" t="s">
        <v>31</v>
      </c>
      <c r="M1614" s="4">
        <v>44746</v>
      </c>
      <c r="N1614" s="2" t="s">
        <v>32</v>
      </c>
      <c r="O1614" s="2">
        <f t="shared" si="103"/>
        <v>1</v>
      </c>
      <c r="P1614" s="2" t="s">
        <v>23</v>
      </c>
      <c r="Q1614" s="2" t="s">
        <v>23</v>
      </c>
      <c r="R1614" s="2" t="s">
        <v>23</v>
      </c>
      <c r="S1614" s="2" t="s">
        <v>23</v>
      </c>
      <c r="T1614" s="2" t="s">
        <v>23</v>
      </c>
      <c r="U1614" s="25">
        <f t="shared" si="101"/>
        <v>35061.001614000001</v>
      </c>
    </row>
    <row r="1615" spans="1:21">
      <c r="A1615" s="2" t="s">
        <v>2438</v>
      </c>
      <c r="B1615" s="2" t="s">
        <v>98</v>
      </c>
      <c r="C1615" s="2" t="s">
        <v>35</v>
      </c>
      <c r="D1615" s="2">
        <v>29</v>
      </c>
      <c r="E1615" s="2" t="str">
        <f t="shared" si="102"/>
        <v>26-35</v>
      </c>
      <c r="F1615" s="2" t="s">
        <v>36</v>
      </c>
      <c r="G1615" s="2" t="s">
        <v>21</v>
      </c>
      <c r="H1615" s="2">
        <v>15</v>
      </c>
      <c r="I1615" s="2" t="str">
        <f t="shared" si="100"/>
        <v>13-24 months</v>
      </c>
      <c r="J1615" s="3">
        <v>1199</v>
      </c>
      <c r="K1615" s="3">
        <v>17985</v>
      </c>
      <c r="L1615" s="2" t="s">
        <v>22</v>
      </c>
      <c r="M1615" s="4">
        <v>45449</v>
      </c>
      <c r="N1615" s="2" t="s">
        <v>23</v>
      </c>
      <c r="O1615" s="2">
        <f t="shared" si="103"/>
        <v>0</v>
      </c>
      <c r="P1615" s="2" t="s">
        <v>23</v>
      </c>
      <c r="Q1615" s="2" t="s">
        <v>23</v>
      </c>
      <c r="R1615" s="2" t="s">
        <v>23</v>
      </c>
      <c r="S1615" s="2" t="s">
        <v>23</v>
      </c>
      <c r="T1615" s="2" t="s">
        <v>23</v>
      </c>
      <c r="U1615" s="25">
        <f t="shared" si="101"/>
        <v>17985.001615000001</v>
      </c>
    </row>
    <row r="1616" spans="1:21">
      <c r="A1616" s="2" t="s">
        <v>2439</v>
      </c>
      <c r="B1616" s="2" t="s">
        <v>1546</v>
      </c>
      <c r="C1616" s="2" t="s">
        <v>37</v>
      </c>
      <c r="D1616" s="2">
        <v>57</v>
      </c>
      <c r="E1616" s="2" t="str">
        <f t="shared" si="102"/>
        <v>46-60</v>
      </c>
      <c r="F1616" s="2" t="s">
        <v>141</v>
      </c>
      <c r="G1616" s="2" t="s">
        <v>27</v>
      </c>
      <c r="H1616" s="2">
        <v>37</v>
      </c>
      <c r="I1616" s="2" t="str">
        <f t="shared" si="100"/>
        <v>25-48 months</v>
      </c>
      <c r="J1616" s="3">
        <v>649</v>
      </c>
      <c r="K1616" s="3">
        <v>24013</v>
      </c>
      <c r="L1616" s="2" t="s">
        <v>31</v>
      </c>
      <c r="M1616" s="4">
        <v>44801</v>
      </c>
      <c r="N1616" s="2" t="s">
        <v>23</v>
      </c>
      <c r="O1616" s="2">
        <f t="shared" si="103"/>
        <v>0</v>
      </c>
      <c r="P1616" s="2" t="s">
        <v>23</v>
      </c>
      <c r="Q1616" s="2" t="s">
        <v>23</v>
      </c>
      <c r="R1616" s="2" t="s">
        <v>32</v>
      </c>
      <c r="S1616" s="2" t="s">
        <v>23</v>
      </c>
      <c r="T1616" s="2" t="s">
        <v>23</v>
      </c>
      <c r="U1616" s="25">
        <f t="shared" si="101"/>
        <v>24013.001616000001</v>
      </c>
    </row>
    <row r="1617" spans="1:21">
      <c r="A1617" s="2" t="s">
        <v>2440</v>
      </c>
      <c r="B1617" s="2" t="s">
        <v>45</v>
      </c>
      <c r="C1617" s="2" t="s">
        <v>19</v>
      </c>
      <c r="D1617" s="2">
        <v>59</v>
      </c>
      <c r="E1617" s="2" t="str">
        <f t="shared" si="102"/>
        <v>46-60</v>
      </c>
      <c r="F1617" s="2" t="s">
        <v>71</v>
      </c>
      <c r="G1617" s="2" t="s">
        <v>47</v>
      </c>
      <c r="H1617" s="2">
        <v>14</v>
      </c>
      <c r="I1617" s="2" t="str">
        <f t="shared" si="100"/>
        <v>13-24 months</v>
      </c>
      <c r="J1617" s="3">
        <v>1299</v>
      </c>
      <c r="K1617" s="3">
        <v>18186</v>
      </c>
      <c r="L1617" s="2" t="s">
        <v>22</v>
      </c>
      <c r="M1617" s="4">
        <v>45506</v>
      </c>
      <c r="N1617" s="2" t="s">
        <v>23</v>
      </c>
      <c r="O1617" s="2">
        <f t="shared" si="103"/>
        <v>0</v>
      </c>
      <c r="P1617" s="2" t="s">
        <v>23</v>
      </c>
      <c r="Q1617" s="2" t="s">
        <v>23</v>
      </c>
      <c r="R1617" s="2" t="s">
        <v>23</v>
      </c>
      <c r="S1617" s="2" t="s">
        <v>23</v>
      </c>
      <c r="T1617" s="2" t="s">
        <v>23</v>
      </c>
      <c r="U1617" s="25">
        <f t="shared" si="101"/>
        <v>18186.001617000002</v>
      </c>
    </row>
    <row r="1618" spans="1:21">
      <c r="A1618" s="2" t="s">
        <v>2441</v>
      </c>
      <c r="B1618" s="2" t="s">
        <v>914</v>
      </c>
      <c r="C1618" s="2" t="s">
        <v>35</v>
      </c>
      <c r="D1618" s="2">
        <v>61</v>
      </c>
      <c r="E1618" s="2" t="str">
        <f t="shared" si="102"/>
        <v>60+</v>
      </c>
      <c r="F1618" s="2" t="s">
        <v>105</v>
      </c>
      <c r="G1618" s="2" t="s">
        <v>27</v>
      </c>
      <c r="H1618" s="2">
        <v>22</v>
      </c>
      <c r="I1618" s="2" t="str">
        <f t="shared" si="100"/>
        <v>13-24 months</v>
      </c>
      <c r="J1618" s="3">
        <v>899</v>
      </c>
      <c r="K1618" s="3">
        <v>19778</v>
      </c>
      <c r="L1618" s="2" t="s">
        <v>31</v>
      </c>
      <c r="M1618" s="4">
        <v>45264</v>
      </c>
      <c r="N1618" s="2" t="s">
        <v>23</v>
      </c>
      <c r="O1618" s="2">
        <f t="shared" si="103"/>
        <v>0</v>
      </c>
      <c r="P1618" s="2" t="s">
        <v>23</v>
      </c>
      <c r="Q1618" s="2" t="s">
        <v>23</v>
      </c>
      <c r="R1618" s="2" t="s">
        <v>23</v>
      </c>
      <c r="S1618" s="2" t="s">
        <v>23</v>
      </c>
      <c r="T1618" s="2" t="s">
        <v>23</v>
      </c>
      <c r="U1618" s="25">
        <f t="shared" si="101"/>
        <v>19778.001617999998</v>
      </c>
    </row>
    <row r="1619" spans="1:21">
      <c r="A1619" s="2" t="s">
        <v>2442</v>
      </c>
      <c r="B1619" s="2" t="s">
        <v>2098</v>
      </c>
      <c r="C1619" s="2" t="s">
        <v>19</v>
      </c>
      <c r="D1619" s="2">
        <v>42</v>
      </c>
      <c r="E1619" s="2" t="str">
        <f t="shared" si="102"/>
        <v>36-45</v>
      </c>
      <c r="F1619" s="2" t="s">
        <v>63</v>
      </c>
      <c r="G1619" s="2" t="s">
        <v>21</v>
      </c>
      <c r="H1619" s="2">
        <v>7</v>
      </c>
      <c r="I1619" s="2" t="str">
        <f t="shared" si="100"/>
        <v>7-12 months</v>
      </c>
      <c r="J1619" s="3">
        <v>449</v>
      </c>
      <c r="K1619" s="3">
        <v>3143</v>
      </c>
      <c r="L1619" s="2" t="s">
        <v>66</v>
      </c>
      <c r="M1619" s="4">
        <v>45707</v>
      </c>
      <c r="N1619" s="2" t="s">
        <v>23</v>
      </c>
      <c r="O1619" s="2">
        <f t="shared" si="103"/>
        <v>0</v>
      </c>
      <c r="P1619" s="2" t="s">
        <v>23</v>
      </c>
      <c r="Q1619" s="2" t="s">
        <v>23</v>
      </c>
      <c r="R1619" s="2" t="s">
        <v>23</v>
      </c>
      <c r="S1619" s="2" t="s">
        <v>23</v>
      </c>
      <c r="T1619" s="2" t="s">
        <v>23</v>
      </c>
      <c r="U1619" s="25">
        <f t="shared" si="101"/>
        <v>3143.0016190000001</v>
      </c>
    </row>
    <row r="1620" spans="1:21">
      <c r="A1620" s="2" t="s">
        <v>2443</v>
      </c>
      <c r="B1620" s="2" t="s">
        <v>340</v>
      </c>
      <c r="C1620" s="2" t="s">
        <v>35</v>
      </c>
      <c r="D1620" s="2">
        <v>65</v>
      </c>
      <c r="E1620" s="2" t="str">
        <f t="shared" si="102"/>
        <v>60+</v>
      </c>
      <c r="F1620" s="2" t="s">
        <v>71</v>
      </c>
      <c r="G1620" s="2" t="s">
        <v>21</v>
      </c>
      <c r="H1620" s="2">
        <v>23</v>
      </c>
      <c r="I1620" s="2" t="str">
        <f t="shared" si="100"/>
        <v>13-24 months</v>
      </c>
      <c r="J1620" s="3">
        <v>549</v>
      </c>
      <c r="K1620" s="3">
        <v>12627</v>
      </c>
      <c r="L1620" s="2" t="s">
        <v>66</v>
      </c>
      <c r="M1620" s="4">
        <v>45214</v>
      </c>
      <c r="N1620" s="2" t="s">
        <v>32</v>
      </c>
      <c r="O1620" s="2">
        <f t="shared" si="103"/>
        <v>1</v>
      </c>
      <c r="P1620" s="2" t="s">
        <v>23</v>
      </c>
      <c r="Q1620" s="2" t="s">
        <v>23</v>
      </c>
      <c r="R1620" s="2" t="s">
        <v>23</v>
      </c>
      <c r="S1620" s="2" t="s">
        <v>23</v>
      </c>
      <c r="T1620" s="2" t="s">
        <v>23</v>
      </c>
      <c r="U1620" s="25">
        <f t="shared" si="101"/>
        <v>12627.001619999999</v>
      </c>
    </row>
    <row r="1621" spans="1:21">
      <c r="A1621" s="2" t="s">
        <v>2444</v>
      </c>
      <c r="B1621" s="2" t="s">
        <v>2228</v>
      </c>
      <c r="C1621" s="2" t="s">
        <v>35</v>
      </c>
      <c r="D1621" s="2">
        <v>32</v>
      </c>
      <c r="E1621" s="2" t="str">
        <f t="shared" si="102"/>
        <v>26-35</v>
      </c>
      <c r="F1621" s="2" t="s">
        <v>60</v>
      </c>
      <c r="G1621" s="2" t="s">
        <v>21</v>
      </c>
      <c r="H1621" s="2">
        <v>14</v>
      </c>
      <c r="I1621" s="2" t="str">
        <f t="shared" si="100"/>
        <v>13-24 months</v>
      </c>
      <c r="J1621" s="3">
        <v>699</v>
      </c>
      <c r="K1621" s="3">
        <v>9786</v>
      </c>
      <c r="L1621" s="2" t="s">
        <v>31</v>
      </c>
      <c r="M1621" s="4">
        <v>45496</v>
      </c>
      <c r="N1621" s="2" t="s">
        <v>23</v>
      </c>
      <c r="O1621" s="2">
        <f t="shared" si="103"/>
        <v>0</v>
      </c>
      <c r="P1621" s="2" t="s">
        <v>23</v>
      </c>
      <c r="Q1621" s="2" t="s">
        <v>23</v>
      </c>
      <c r="R1621" s="2" t="s">
        <v>32</v>
      </c>
      <c r="S1621" s="2" t="s">
        <v>23</v>
      </c>
      <c r="T1621" s="2" t="s">
        <v>23</v>
      </c>
      <c r="U1621" s="25">
        <f t="shared" si="101"/>
        <v>9786.0016209999994</v>
      </c>
    </row>
    <row r="1622" spans="1:21">
      <c r="A1622" s="2" t="s">
        <v>2445</v>
      </c>
      <c r="B1622" s="2" t="s">
        <v>86</v>
      </c>
      <c r="C1622" s="2" t="s">
        <v>35</v>
      </c>
      <c r="D1622" s="2">
        <v>72</v>
      </c>
      <c r="E1622" s="2" t="str">
        <f t="shared" si="102"/>
        <v>60+</v>
      </c>
      <c r="F1622" s="2" t="s">
        <v>36</v>
      </c>
      <c r="G1622" s="2" t="s">
        <v>21</v>
      </c>
      <c r="H1622" s="2">
        <v>24</v>
      </c>
      <c r="I1622" s="2" t="str">
        <f t="shared" si="100"/>
        <v>13-24 months</v>
      </c>
      <c r="J1622" s="3">
        <v>899</v>
      </c>
      <c r="K1622" s="3">
        <v>21576</v>
      </c>
      <c r="L1622" s="2" t="s">
        <v>31</v>
      </c>
      <c r="M1622" s="4">
        <v>45193</v>
      </c>
      <c r="N1622" s="2" t="s">
        <v>32</v>
      </c>
      <c r="O1622" s="2">
        <f t="shared" si="103"/>
        <v>1</v>
      </c>
      <c r="P1622" s="2" t="s">
        <v>23</v>
      </c>
      <c r="Q1622" s="2" t="s">
        <v>23</v>
      </c>
      <c r="R1622" s="2" t="s">
        <v>23</v>
      </c>
      <c r="S1622" s="2" t="s">
        <v>23</v>
      </c>
      <c r="T1622" s="2" t="s">
        <v>23</v>
      </c>
      <c r="U1622" s="25">
        <f t="shared" si="101"/>
        <v>21576.001622</v>
      </c>
    </row>
    <row r="1623" spans="1:21">
      <c r="A1623" s="2" t="s">
        <v>2446</v>
      </c>
      <c r="B1623" s="2" t="s">
        <v>218</v>
      </c>
      <c r="C1623" s="2" t="s">
        <v>19</v>
      </c>
      <c r="D1623" s="2">
        <v>41</v>
      </c>
      <c r="E1623" s="2" t="str">
        <f t="shared" si="102"/>
        <v>36-45</v>
      </c>
      <c r="F1623" s="2" t="s">
        <v>91</v>
      </c>
      <c r="G1623" s="2" t="s">
        <v>21</v>
      </c>
      <c r="H1623" s="2">
        <v>16</v>
      </c>
      <c r="I1623" s="2" t="str">
        <f t="shared" si="100"/>
        <v>13-24 months</v>
      </c>
      <c r="J1623" s="3">
        <v>699</v>
      </c>
      <c r="K1623" s="3">
        <v>11184</v>
      </c>
      <c r="L1623" s="2" t="s">
        <v>31</v>
      </c>
      <c r="M1623" s="4">
        <v>45447</v>
      </c>
      <c r="N1623" s="2" t="s">
        <v>23</v>
      </c>
      <c r="O1623" s="2">
        <f t="shared" si="103"/>
        <v>0</v>
      </c>
      <c r="P1623" s="2" t="s">
        <v>23</v>
      </c>
      <c r="Q1623" s="2" t="s">
        <v>23</v>
      </c>
      <c r="R1623" s="2" t="s">
        <v>32</v>
      </c>
      <c r="S1623" s="2" t="s">
        <v>23</v>
      </c>
      <c r="T1623" s="2" t="s">
        <v>23</v>
      </c>
      <c r="U1623" s="25">
        <f t="shared" si="101"/>
        <v>11184.001623</v>
      </c>
    </row>
    <row r="1624" spans="1:21">
      <c r="A1624" s="2" t="s">
        <v>2447</v>
      </c>
      <c r="B1624" s="2" t="s">
        <v>848</v>
      </c>
      <c r="C1624" s="2" t="s">
        <v>35</v>
      </c>
      <c r="D1624" s="2">
        <v>47</v>
      </c>
      <c r="E1624" s="2" t="str">
        <f t="shared" si="102"/>
        <v>46-60</v>
      </c>
      <c r="F1624" s="2" t="s">
        <v>57</v>
      </c>
      <c r="G1624" s="2" t="s">
        <v>27</v>
      </c>
      <c r="H1624" s="2">
        <v>9</v>
      </c>
      <c r="I1624" s="2" t="str">
        <f t="shared" si="100"/>
        <v>7-12 months</v>
      </c>
      <c r="J1624" s="3">
        <v>1299</v>
      </c>
      <c r="K1624" s="3">
        <v>11691</v>
      </c>
      <c r="L1624" s="2" t="s">
        <v>22</v>
      </c>
      <c r="M1624" s="4">
        <v>45630</v>
      </c>
      <c r="N1624" s="2" t="s">
        <v>23</v>
      </c>
      <c r="O1624" s="2">
        <f t="shared" si="103"/>
        <v>0</v>
      </c>
      <c r="P1624" s="2" t="s">
        <v>32</v>
      </c>
      <c r="Q1624" s="2" t="s">
        <v>23</v>
      </c>
      <c r="R1624" s="2" t="s">
        <v>23</v>
      </c>
      <c r="S1624" s="2" t="s">
        <v>23</v>
      </c>
      <c r="T1624" s="2" t="s">
        <v>23</v>
      </c>
      <c r="U1624" s="25">
        <f t="shared" si="101"/>
        <v>11691.001624</v>
      </c>
    </row>
    <row r="1625" spans="1:21">
      <c r="A1625" s="2" t="s">
        <v>2448</v>
      </c>
      <c r="B1625" s="2" t="s">
        <v>736</v>
      </c>
      <c r="C1625" s="2" t="s">
        <v>19</v>
      </c>
      <c r="D1625" s="2">
        <v>34</v>
      </c>
      <c r="E1625" s="2" t="str">
        <f t="shared" si="102"/>
        <v>26-35</v>
      </c>
      <c r="F1625" s="2" t="s">
        <v>57</v>
      </c>
      <c r="G1625" s="2" t="s">
        <v>21</v>
      </c>
      <c r="H1625" s="2">
        <v>21</v>
      </c>
      <c r="I1625" s="2" t="str">
        <f t="shared" si="100"/>
        <v>13-24 months</v>
      </c>
      <c r="J1625" s="3">
        <v>399</v>
      </c>
      <c r="K1625" s="3">
        <v>8379</v>
      </c>
      <c r="L1625" s="2" t="s">
        <v>37</v>
      </c>
      <c r="M1625" s="4">
        <v>45271</v>
      </c>
      <c r="N1625" s="2" t="s">
        <v>23</v>
      </c>
      <c r="O1625" s="2">
        <f t="shared" si="103"/>
        <v>0</v>
      </c>
      <c r="P1625" s="2" t="s">
        <v>23</v>
      </c>
      <c r="Q1625" s="2" t="s">
        <v>23</v>
      </c>
      <c r="R1625" s="2" t="s">
        <v>23</v>
      </c>
      <c r="S1625" s="2" t="s">
        <v>23</v>
      </c>
      <c r="T1625" s="2" t="s">
        <v>23</v>
      </c>
      <c r="U1625" s="25">
        <f t="shared" si="101"/>
        <v>8379.0016250000008</v>
      </c>
    </row>
    <row r="1626" spans="1:21">
      <c r="A1626" s="2" t="s">
        <v>2449</v>
      </c>
      <c r="B1626" s="2" t="s">
        <v>2450</v>
      </c>
      <c r="C1626" s="2" t="s">
        <v>35</v>
      </c>
      <c r="D1626" s="2">
        <v>21</v>
      </c>
      <c r="E1626" s="2" t="str">
        <f t="shared" si="102"/>
        <v>18-25</v>
      </c>
      <c r="F1626" s="2" t="s">
        <v>41</v>
      </c>
      <c r="G1626" s="2" t="s">
        <v>21</v>
      </c>
      <c r="H1626" s="2">
        <v>13</v>
      </c>
      <c r="I1626" s="2" t="str">
        <f t="shared" si="100"/>
        <v>13-24 months</v>
      </c>
      <c r="J1626" s="3">
        <v>1149</v>
      </c>
      <c r="K1626" s="3">
        <v>14937</v>
      </c>
      <c r="L1626" s="2" t="s">
        <v>22</v>
      </c>
      <c r="M1626" s="4">
        <v>45510</v>
      </c>
      <c r="N1626" s="2" t="s">
        <v>32</v>
      </c>
      <c r="O1626" s="2">
        <f t="shared" si="103"/>
        <v>1</v>
      </c>
      <c r="P1626" s="2" t="s">
        <v>23</v>
      </c>
      <c r="Q1626" s="2" t="s">
        <v>23</v>
      </c>
      <c r="R1626" s="2" t="s">
        <v>23</v>
      </c>
      <c r="S1626" s="2" t="s">
        <v>23</v>
      </c>
      <c r="T1626" s="2" t="s">
        <v>23</v>
      </c>
      <c r="U1626" s="25">
        <f t="shared" si="101"/>
        <v>14937.001625999999</v>
      </c>
    </row>
    <row r="1627" spans="1:21">
      <c r="A1627" s="2" t="s">
        <v>2451</v>
      </c>
      <c r="B1627" s="2" t="s">
        <v>2452</v>
      </c>
      <c r="C1627" s="2" t="s">
        <v>35</v>
      </c>
      <c r="D1627" s="2">
        <v>41</v>
      </c>
      <c r="E1627" s="2" t="str">
        <f t="shared" si="102"/>
        <v>36-45</v>
      </c>
      <c r="F1627" s="2" t="s">
        <v>60</v>
      </c>
      <c r="G1627" s="2" t="s">
        <v>27</v>
      </c>
      <c r="H1627" s="2">
        <v>23</v>
      </c>
      <c r="I1627" s="2" t="str">
        <f t="shared" si="100"/>
        <v>13-24 months</v>
      </c>
      <c r="J1627" s="3">
        <v>1049</v>
      </c>
      <c r="K1627" s="3">
        <v>24127</v>
      </c>
      <c r="L1627" s="2" t="s">
        <v>22</v>
      </c>
      <c r="M1627" s="4">
        <v>45231</v>
      </c>
      <c r="N1627" s="2" t="s">
        <v>23</v>
      </c>
      <c r="O1627" s="2">
        <f t="shared" si="103"/>
        <v>0</v>
      </c>
      <c r="P1627" s="2" t="s">
        <v>23</v>
      </c>
      <c r="Q1627" s="2" t="s">
        <v>23</v>
      </c>
      <c r="R1627" s="2" t="s">
        <v>32</v>
      </c>
      <c r="S1627" s="2" t="s">
        <v>23</v>
      </c>
      <c r="T1627" s="2" t="s">
        <v>23</v>
      </c>
      <c r="U1627" s="25">
        <f t="shared" si="101"/>
        <v>24127.001627000001</v>
      </c>
    </row>
    <row r="1628" spans="1:21">
      <c r="A1628" s="2" t="s">
        <v>2453</v>
      </c>
      <c r="B1628" s="2" t="s">
        <v>200</v>
      </c>
      <c r="C1628" s="2" t="s">
        <v>35</v>
      </c>
      <c r="D1628" s="2">
        <v>26</v>
      </c>
      <c r="E1628" s="2" t="str">
        <f t="shared" si="102"/>
        <v>26-35</v>
      </c>
      <c r="F1628" s="2" t="s">
        <v>57</v>
      </c>
      <c r="G1628" s="2" t="s">
        <v>47</v>
      </c>
      <c r="H1628" s="2">
        <v>1</v>
      </c>
      <c r="I1628" s="2" t="str">
        <f t="shared" si="100"/>
        <v>0-6 months</v>
      </c>
      <c r="J1628" s="3">
        <v>899</v>
      </c>
      <c r="K1628" s="3">
        <v>899</v>
      </c>
      <c r="L1628" s="2" t="s">
        <v>22</v>
      </c>
      <c r="M1628" s="4">
        <v>45895</v>
      </c>
      <c r="N1628" s="2" t="s">
        <v>32</v>
      </c>
      <c r="O1628" s="2">
        <f t="shared" si="103"/>
        <v>1</v>
      </c>
      <c r="P1628" s="2" t="s">
        <v>23</v>
      </c>
      <c r="Q1628" s="2" t="s">
        <v>23</v>
      </c>
      <c r="R1628" s="2" t="s">
        <v>23</v>
      </c>
      <c r="S1628" s="2" t="s">
        <v>23</v>
      </c>
      <c r="T1628" s="2" t="s">
        <v>23</v>
      </c>
      <c r="U1628" s="25">
        <f t="shared" si="101"/>
        <v>899.00162799999998</v>
      </c>
    </row>
    <row r="1629" spans="1:21">
      <c r="A1629" s="2" t="s">
        <v>2454</v>
      </c>
      <c r="B1629" s="2" t="s">
        <v>1292</v>
      </c>
      <c r="C1629" s="2" t="s">
        <v>37</v>
      </c>
      <c r="D1629" s="2">
        <v>47</v>
      </c>
      <c r="E1629" s="2" t="str">
        <f t="shared" si="102"/>
        <v>46-60</v>
      </c>
      <c r="F1629" s="2" t="s">
        <v>110</v>
      </c>
      <c r="G1629" s="2" t="s">
        <v>47</v>
      </c>
      <c r="H1629" s="2">
        <v>71</v>
      </c>
      <c r="I1629" s="2" t="str">
        <f t="shared" si="100"/>
        <v>49+ months</v>
      </c>
      <c r="J1629" s="3">
        <v>899</v>
      </c>
      <c r="K1629" s="3">
        <v>63829</v>
      </c>
      <c r="L1629" s="2" t="s">
        <v>22</v>
      </c>
      <c r="M1629" s="4">
        <v>43774</v>
      </c>
      <c r="N1629" s="2" t="s">
        <v>23</v>
      </c>
      <c r="O1629" s="2">
        <f t="shared" si="103"/>
        <v>0</v>
      </c>
      <c r="P1629" s="2" t="s">
        <v>32</v>
      </c>
      <c r="Q1629" s="2" t="s">
        <v>23</v>
      </c>
      <c r="R1629" s="2" t="s">
        <v>23</v>
      </c>
      <c r="S1629" s="2" t="s">
        <v>23</v>
      </c>
      <c r="T1629" s="2" t="s">
        <v>23</v>
      </c>
      <c r="U1629" s="25">
        <f t="shared" si="101"/>
        <v>63829.001628999999</v>
      </c>
    </row>
    <row r="1630" spans="1:21">
      <c r="A1630" s="2" t="s">
        <v>2455</v>
      </c>
      <c r="B1630" s="2" t="s">
        <v>2456</v>
      </c>
      <c r="C1630" s="2" t="s">
        <v>19</v>
      </c>
      <c r="D1630" s="2">
        <v>45</v>
      </c>
      <c r="E1630" s="2" t="str">
        <f t="shared" si="102"/>
        <v>36-45</v>
      </c>
      <c r="F1630" s="2" t="s">
        <v>26</v>
      </c>
      <c r="G1630" s="2" t="s">
        <v>21</v>
      </c>
      <c r="H1630" s="2"/>
      <c r="I1630" s="2" t="str">
        <f t="shared" si="100"/>
        <v>Unknown</v>
      </c>
      <c r="J1630" s="3"/>
      <c r="K1630" s="3">
        <v>3596</v>
      </c>
      <c r="L1630" s="2" t="s">
        <v>37</v>
      </c>
      <c r="M1630" s="4">
        <v>45804</v>
      </c>
      <c r="N1630" s="2" t="s">
        <v>32</v>
      </c>
      <c r="O1630" s="2">
        <f t="shared" si="103"/>
        <v>1</v>
      </c>
      <c r="P1630" s="2" t="s">
        <v>23</v>
      </c>
      <c r="Q1630" s="2" t="s">
        <v>23</v>
      </c>
      <c r="R1630" s="2" t="s">
        <v>23</v>
      </c>
      <c r="S1630" s="2" t="s">
        <v>23</v>
      </c>
      <c r="T1630" s="2" t="s">
        <v>72</v>
      </c>
      <c r="U1630" s="25">
        <f t="shared" si="101"/>
        <v>3596.0016300000002</v>
      </c>
    </row>
    <row r="1631" spans="1:21">
      <c r="A1631" s="2" t="s">
        <v>2457</v>
      </c>
      <c r="B1631" s="2" t="s">
        <v>2458</v>
      </c>
      <c r="C1631" s="2" t="s">
        <v>19</v>
      </c>
      <c r="D1631" s="2">
        <v>63</v>
      </c>
      <c r="E1631" s="2" t="str">
        <f t="shared" si="102"/>
        <v>60+</v>
      </c>
      <c r="F1631" s="2" t="s">
        <v>36</v>
      </c>
      <c r="G1631" s="2" t="s">
        <v>21</v>
      </c>
      <c r="H1631" s="2">
        <v>2</v>
      </c>
      <c r="I1631" s="2" t="str">
        <f t="shared" si="100"/>
        <v>0-6 months</v>
      </c>
      <c r="J1631" s="3">
        <v>749</v>
      </c>
      <c r="K1631" s="3">
        <v>1498</v>
      </c>
      <c r="L1631" s="2" t="s">
        <v>31</v>
      </c>
      <c r="M1631" s="4">
        <v>45854</v>
      </c>
      <c r="N1631" s="2" t="s">
        <v>32</v>
      </c>
      <c r="O1631" s="2">
        <f t="shared" si="103"/>
        <v>1</v>
      </c>
      <c r="P1631" s="2" t="s">
        <v>23</v>
      </c>
      <c r="Q1631" s="2" t="s">
        <v>23</v>
      </c>
      <c r="R1631" s="2" t="s">
        <v>23</v>
      </c>
      <c r="S1631" s="2" t="s">
        <v>32</v>
      </c>
      <c r="T1631" s="2" t="s">
        <v>23</v>
      </c>
      <c r="U1631" s="25">
        <f t="shared" si="101"/>
        <v>1498.0016310000001</v>
      </c>
    </row>
    <row r="1632" spans="1:21">
      <c r="A1632" s="2" t="s">
        <v>2459</v>
      </c>
      <c r="B1632" s="2" t="s">
        <v>856</v>
      </c>
      <c r="C1632" s="2" t="s">
        <v>19</v>
      </c>
      <c r="D1632" s="2">
        <v>21</v>
      </c>
      <c r="E1632" s="2" t="str">
        <f t="shared" si="102"/>
        <v>18-25</v>
      </c>
      <c r="F1632" s="2" t="s">
        <v>57</v>
      </c>
      <c r="G1632" s="2" t="s">
        <v>47</v>
      </c>
      <c r="H1632" s="2">
        <v>68</v>
      </c>
      <c r="I1632" s="2" t="str">
        <f t="shared" si="100"/>
        <v>49+ months</v>
      </c>
      <c r="J1632" s="3">
        <v>1099</v>
      </c>
      <c r="K1632" s="3">
        <v>74732</v>
      </c>
      <c r="L1632" s="2" t="s">
        <v>22</v>
      </c>
      <c r="M1632" s="4">
        <v>43876</v>
      </c>
      <c r="N1632" s="2" t="s">
        <v>23</v>
      </c>
      <c r="O1632" s="2">
        <f t="shared" si="103"/>
        <v>0</v>
      </c>
      <c r="P1632" s="2" t="s">
        <v>23</v>
      </c>
      <c r="Q1632" s="2" t="s">
        <v>23</v>
      </c>
      <c r="R1632" s="2" t="s">
        <v>32</v>
      </c>
      <c r="S1632" s="2" t="s">
        <v>23</v>
      </c>
      <c r="T1632" s="2" t="s">
        <v>23</v>
      </c>
      <c r="U1632" s="25">
        <f t="shared" si="101"/>
        <v>74732.001632</v>
      </c>
    </row>
    <row r="1633" spans="1:21">
      <c r="A1633" s="2" t="s">
        <v>2460</v>
      </c>
      <c r="B1633" s="2" t="s">
        <v>938</v>
      </c>
      <c r="C1633" s="2" t="s">
        <v>19</v>
      </c>
      <c r="D1633" s="2">
        <v>30</v>
      </c>
      <c r="E1633" s="2" t="str">
        <f t="shared" si="102"/>
        <v>26-35</v>
      </c>
      <c r="F1633" s="2" t="s">
        <v>36</v>
      </c>
      <c r="G1633" s="2" t="s">
        <v>21</v>
      </c>
      <c r="H1633" s="2">
        <v>12</v>
      </c>
      <c r="I1633" s="2" t="str">
        <f t="shared" si="100"/>
        <v>7-12 months</v>
      </c>
      <c r="J1633" s="3">
        <v>1299</v>
      </c>
      <c r="K1633" s="3">
        <v>15588</v>
      </c>
      <c r="L1633" s="2" t="s">
        <v>22</v>
      </c>
      <c r="M1633" s="4">
        <v>45554</v>
      </c>
      <c r="N1633" s="2" t="s">
        <v>23</v>
      </c>
      <c r="O1633" s="2">
        <f t="shared" si="103"/>
        <v>0</v>
      </c>
      <c r="P1633" s="2" t="s">
        <v>23</v>
      </c>
      <c r="Q1633" s="2" t="s">
        <v>23</v>
      </c>
      <c r="R1633" s="2" t="s">
        <v>23</v>
      </c>
      <c r="S1633" s="2" t="s">
        <v>23</v>
      </c>
      <c r="T1633" s="2" t="s">
        <v>23</v>
      </c>
      <c r="U1633" s="25">
        <f t="shared" si="101"/>
        <v>15588.001633</v>
      </c>
    </row>
    <row r="1634" spans="1:21">
      <c r="A1634" s="2" t="s">
        <v>2461</v>
      </c>
      <c r="B1634" s="2" t="s">
        <v>955</v>
      </c>
      <c r="C1634" s="2" t="s">
        <v>35</v>
      </c>
      <c r="D1634" s="2">
        <v>34</v>
      </c>
      <c r="E1634" s="2" t="str">
        <f t="shared" si="102"/>
        <v>26-35</v>
      </c>
      <c r="F1634" s="2" t="s">
        <v>60</v>
      </c>
      <c r="G1634" s="2" t="s">
        <v>21</v>
      </c>
      <c r="H1634" s="2">
        <v>1</v>
      </c>
      <c r="I1634" s="2" t="str">
        <f t="shared" si="100"/>
        <v>0-6 months</v>
      </c>
      <c r="J1634" s="3">
        <v>699</v>
      </c>
      <c r="K1634" s="3">
        <v>699</v>
      </c>
      <c r="L1634" s="2" t="s">
        <v>31</v>
      </c>
      <c r="M1634" s="4">
        <v>45893</v>
      </c>
      <c r="N1634" s="2" t="s">
        <v>23</v>
      </c>
      <c r="O1634" s="2">
        <f t="shared" si="103"/>
        <v>0</v>
      </c>
      <c r="P1634" s="2" t="s">
        <v>23</v>
      </c>
      <c r="Q1634" s="2" t="s">
        <v>23</v>
      </c>
      <c r="R1634" s="2" t="s">
        <v>23</v>
      </c>
      <c r="S1634" s="2" t="s">
        <v>23</v>
      </c>
      <c r="T1634" s="2" t="s">
        <v>23</v>
      </c>
      <c r="U1634" s="25">
        <f t="shared" si="101"/>
        <v>699.00163399999997</v>
      </c>
    </row>
    <row r="1635" spans="1:21">
      <c r="A1635" s="2" t="s">
        <v>2462</v>
      </c>
      <c r="B1635" s="2" t="s">
        <v>147</v>
      </c>
      <c r="C1635" s="2" t="s">
        <v>35</v>
      </c>
      <c r="D1635" s="2">
        <v>74</v>
      </c>
      <c r="E1635" s="2" t="str">
        <f t="shared" si="102"/>
        <v>60+</v>
      </c>
      <c r="F1635" s="2" t="s">
        <v>105</v>
      </c>
      <c r="G1635" s="2" t="s">
        <v>21</v>
      </c>
      <c r="H1635" s="2">
        <v>12</v>
      </c>
      <c r="I1635" s="2" t="str">
        <f t="shared" si="100"/>
        <v>7-12 months</v>
      </c>
      <c r="J1635" s="3">
        <v>799</v>
      </c>
      <c r="K1635" s="3">
        <v>9588</v>
      </c>
      <c r="L1635" s="2" t="s">
        <v>31</v>
      </c>
      <c r="M1635" s="4">
        <v>45564</v>
      </c>
      <c r="N1635" s="2" t="s">
        <v>32</v>
      </c>
      <c r="O1635" s="2">
        <f t="shared" si="103"/>
        <v>1</v>
      </c>
      <c r="P1635" s="2" t="s">
        <v>23</v>
      </c>
      <c r="Q1635" s="2" t="s">
        <v>23</v>
      </c>
      <c r="R1635" s="2" t="s">
        <v>23</v>
      </c>
      <c r="S1635" s="2" t="s">
        <v>23</v>
      </c>
      <c r="T1635" s="2" t="s">
        <v>23</v>
      </c>
      <c r="U1635" s="25">
        <f t="shared" si="101"/>
        <v>9588.0016350000005</v>
      </c>
    </row>
    <row r="1636" spans="1:21">
      <c r="A1636" s="2" t="s">
        <v>2463</v>
      </c>
      <c r="B1636" s="2" t="s">
        <v>2464</v>
      </c>
      <c r="C1636" s="2" t="s">
        <v>35</v>
      </c>
      <c r="D1636" s="2">
        <v>21</v>
      </c>
      <c r="E1636" s="2" t="str">
        <f t="shared" si="102"/>
        <v>18-25</v>
      </c>
      <c r="F1636" s="2" t="s">
        <v>46</v>
      </c>
      <c r="G1636" s="2" t="s">
        <v>21</v>
      </c>
      <c r="H1636" s="2">
        <v>10</v>
      </c>
      <c r="I1636" s="2" t="str">
        <f t="shared" si="100"/>
        <v>7-12 months</v>
      </c>
      <c r="J1636" s="3">
        <v>1199</v>
      </c>
      <c r="K1636" s="3">
        <v>11990</v>
      </c>
      <c r="L1636" s="2" t="s">
        <v>22</v>
      </c>
      <c r="M1636" s="4">
        <v>45626</v>
      </c>
      <c r="N1636" s="2" t="s">
        <v>32</v>
      </c>
      <c r="O1636" s="2">
        <f t="shared" si="103"/>
        <v>1</v>
      </c>
      <c r="P1636" s="2" t="s">
        <v>23</v>
      </c>
      <c r="Q1636" s="2" t="s">
        <v>23</v>
      </c>
      <c r="R1636" s="2" t="s">
        <v>23</v>
      </c>
      <c r="S1636" s="2" t="s">
        <v>23</v>
      </c>
      <c r="T1636" s="2" t="s">
        <v>23</v>
      </c>
      <c r="U1636" s="25">
        <f t="shared" si="101"/>
        <v>11990.001636000001</v>
      </c>
    </row>
    <row r="1637" spans="1:21">
      <c r="A1637" s="2" t="s">
        <v>2465</v>
      </c>
      <c r="B1637" s="2" t="s">
        <v>1886</v>
      </c>
      <c r="C1637" s="2" t="s">
        <v>19</v>
      </c>
      <c r="D1637" s="2">
        <v>55</v>
      </c>
      <c r="E1637" s="2" t="str">
        <f t="shared" si="102"/>
        <v>46-60</v>
      </c>
      <c r="F1637" s="2" t="s">
        <v>60</v>
      </c>
      <c r="G1637" s="2" t="s">
        <v>27</v>
      </c>
      <c r="H1637" s="2">
        <v>17</v>
      </c>
      <c r="I1637" s="2" t="str">
        <f t="shared" si="100"/>
        <v>13-24 months</v>
      </c>
      <c r="J1637" s="3">
        <v>599</v>
      </c>
      <c r="K1637" s="3">
        <v>10183</v>
      </c>
      <c r="L1637" s="2" t="s">
        <v>31</v>
      </c>
      <c r="M1637" s="4">
        <v>45401</v>
      </c>
      <c r="N1637" s="2" t="s">
        <v>23</v>
      </c>
      <c r="O1637" s="2">
        <f t="shared" si="103"/>
        <v>0</v>
      </c>
      <c r="P1637" s="2" t="s">
        <v>23</v>
      </c>
      <c r="Q1637" s="2" t="s">
        <v>23</v>
      </c>
      <c r="R1637" s="2" t="s">
        <v>23</v>
      </c>
      <c r="S1637" s="2" t="s">
        <v>23</v>
      </c>
      <c r="T1637" s="2" t="s">
        <v>23</v>
      </c>
      <c r="U1637" s="25">
        <f t="shared" si="101"/>
        <v>10183.001636999999</v>
      </c>
    </row>
    <row r="1638" spans="1:21">
      <c r="A1638" s="2" t="s">
        <v>2466</v>
      </c>
      <c r="B1638" s="2" t="s">
        <v>658</v>
      </c>
      <c r="C1638" s="2" t="s">
        <v>19</v>
      </c>
      <c r="D1638" s="2">
        <v>72</v>
      </c>
      <c r="E1638" s="2" t="str">
        <f t="shared" si="102"/>
        <v>60+</v>
      </c>
      <c r="F1638" s="2" t="s">
        <v>141</v>
      </c>
      <c r="G1638" s="2" t="s">
        <v>27</v>
      </c>
      <c r="H1638" s="2">
        <v>1</v>
      </c>
      <c r="I1638" s="2" t="str">
        <f t="shared" si="100"/>
        <v>0-6 months</v>
      </c>
      <c r="J1638" s="3">
        <v>699</v>
      </c>
      <c r="K1638" s="3">
        <v>699</v>
      </c>
      <c r="L1638" s="2" t="s">
        <v>31</v>
      </c>
      <c r="M1638" s="4">
        <v>45893</v>
      </c>
      <c r="N1638" s="2" t="s">
        <v>23</v>
      </c>
      <c r="O1638" s="2">
        <f t="shared" si="103"/>
        <v>0</v>
      </c>
      <c r="P1638" s="2" t="s">
        <v>23</v>
      </c>
      <c r="Q1638" s="2" t="s">
        <v>23</v>
      </c>
      <c r="R1638" s="2" t="s">
        <v>23</v>
      </c>
      <c r="S1638" s="2" t="s">
        <v>23</v>
      </c>
      <c r="T1638" s="2" t="s">
        <v>23</v>
      </c>
      <c r="U1638" s="25">
        <f t="shared" si="101"/>
        <v>699.00163799999996</v>
      </c>
    </row>
    <row r="1639" spans="1:21">
      <c r="A1639" s="2" t="s">
        <v>2467</v>
      </c>
      <c r="B1639" s="2" t="s">
        <v>256</v>
      </c>
      <c r="C1639" s="2" t="s">
        <v>19</v>
      </c>
      <c r="D1639" s="2">
        <v>56</v>
      </c>
      <c r="E1639" s="2" t="str">
        <f t="shared" si="102"/>
        <v>46-60</v>
      </c>
      <c r="F1639" s="2" t="s">
        <v>26</v>
      </c>
      <c r="G1639" s="2" t="s">
        <v>21</v>
      </c>
      <c r="H1639" s="2">
        <v>21</v>
      </c>
      <c r="I1639" s="2" t="str">
        <f t="shared" si="100"/>
        <v>13-24 months</v>
      </c>
      <c r="J1639" s="3">
        <v>1149</v>
      </c>
      <c r="K1639" s="3">
        <v>24129</v>
      </c>
      <c r="L1639" s="2" t="s">
        <v>37</v>
      </c>
      <c r="M1639" s="4">
        <v>45286</v>
      </c>
      <c r="N1639" s="2" t="s">
        <v>23</v>
      </c>
      <c r="O1639" s="2">
        <f t="shared" si="103"/>
        <v>0</v>
      </c>
      <c r="P1639" s="2" t="s">
        <v>23</v>
      </c>
      <c r="Q1639" s="2" t="s">
        <v>23</v>
      </c>
      <c r="R1639" s="2" t="s">
        <v>23</v>
      </c>
      <c r="S1639" s="2" t="s">
        <v>32</v>
      </c>
      <c r="T1639" s="2" t="s">
        <v>23</v>
      </c>
      <c r="U1639" s="25">
        <f t="shared" si="101"/>
        <v>24129.001638999998</v>
      </c>
    </row>
    <row r="1640" spans="1:21">
      <c r="A1640" s="2" t="s">
        <v>2468</v>
      </c>
      <c r="B1640" s="2" t="s">
        <v>738</v>
      </c>
      <c r="C1640" s="2" t="s">
        <v>35</v>
      </c>
      <c r="D1640" s="2">
        <v>22</v>
      </c>
      <c r="E1640" s="2" t="str">
        <f t="shared" si="102"/>
        <v>18-25</v>
      </c>
      <c r="F1640" s="2" t="s">
        <v>20</v>
      </c>
      <c r="G1640" s="2" t="s">
        <v>21</v>
      </c>
      <c r="H1640" s="2">
        <v>4</v>
      </c>
      <c r="I1640" s="2" t="str">
        <f t="shared" si="100"/>
        <v>0-6 months</v>
      </c>
      <c r="J1640" s="3">
        <v>1099</v>
      </c>
      <c r="K1640" s="3">
        <v>4396</v>
      </c>
      <c r="L1640" s="2" t="s">
        <v>22</v>
      </c>
      <c r="M1640" s="4">
        <v>45785</v>
      </c>
      <c r="N1640" s="2" t="s">
        <v>32</v>
      </c>
      <c r="O1640" s="2">
        <f t="shared" si="103"/>
        <v>1</v>
      </c>
      <c r="P1640" s="2" t="s">
        <v>23</v>
      </c>
      <c r="Q1640" s="2" t="s">
        <v>23</v>
      </c>
      <c r="R1640" s="2" t="s">
        <v>23</v>
      </c>
      <c r="S1640" s="2" t="s">
        <v>23</v>
      </c>
      <c r="T1640" s="2" t="s">
        <v>23</v>
      </c>
      <c r="U1640" s="25">
        <f t="shared" si="101"/>
        <v>4396.0016400000004</v>
      </c>
    </row>
    <row r="1641" spans="1:21">
      <c r="A1641" s="2" t="s">
        <v>2469</v>
      </c>
      <c r="B1641" s="2" t="s">
        <v>1623</v>
      </c>
      <c r="C1641" s="2" t="s">
        <v>35</v>
      </c>
      <c r="D1641" s="2">
        <v>42</v>
      </c>
      <c r="E1641" s="2" t="str">
        <f t="shared" si="102"/>
        <v>36-45</v>
      </c>
      <c r="F1641" s="2" t="s">
        <v>41</v>
      </c>
      <c r="G1641" s="2" t="s">
        <v>21</v>
      </c>
      <c r="H1641" s="2">
        <v>2</v>
      </c>
      <c r="I1641" s="2" t="str">
        <f t="shared" si="100"/>
        <v>0-6 months</v>
      </c>
      <c r="J1641" s="3">
        <v>1099</v>
      </c>
      <c r="K1641" s="3">
        <v>2198</v>
      </c>
      <c r="L1641" s="2" t="s">
        <v>22</v>
      </c>
      <c r="M1641" s="4">
        <v>45861</v>
      </c>
      <c r="N1641" s="2" t="s">
        <v>32</v>
      </c>
      <c r="O1641" s="2">
        <f t="shared" si="103"/>
        <v>1</v>
      </c>
      <c r="P1641" s="2" t="s">
        <v>23</v>
      </c>
      <c r="Q1641" s="2" t="s">
        <v>23</v>
      </c>
      <c r="R1641" s="2" t="s">
        <v>23</v>
      </c>
      <c r="S1641" s="2" t="s">
        <v>32</v>
      </c>
      <c r="T1641" s="2" t="s">
        <v>23</v>
      </c>
      <c r="U1641" s="25">
        <f t="shared" si="101"/>
        <v>2198.0016409999998</v>
      </c>
    </row>
    <row r="1642" spans="1:21">
      <c r="A1642" s="2" t="s">
        <v>2470</v>
      </c>
      <c r="B1642" s="2" t="s">
        <v>1904</v>
      </c>
      <c r="C1642" s="2" t="s">
        <v>19</v>
      </c>
      <c r="D1642" s="2">
        <v>29</v>
      </c>
      <c r="E1642" s="2" t="str">
        <f t="shared" si="102"/>
        <v>26-35</v>
      </c>
      <c r="F1642" s="2" t="s">
        <v>37</v>
      </c>
      <c r="G1642" s="2" t="s">
        <v>27</v>
      </c>
      <c r="H1642" s="2">
        <v>38</v>
      </c>
      <c r="I1642" s="2" t="str">
        <f t="shared" si="100"/>
        <v>25-48 months</v>
      </c>
      <c r="J1642" s="3">
        <v>549</v>
      </c>
      <c r="K1642" s="3">
        <v>20862</v>
      </c>
      <c r="L1642" s="2" t="s">
        <v>66</v>
      </c>
      <c r="M1642" s="4">
        <v>44785</v>
      </c>
      <c r="N1642" s="2" t="s">
        <v>23</v>
      </c>
      <c r="O1642" s="2">
        <f t="shared" si="103"/>
        <v>0</v>
      </c>
      <c r="P1642" s="2" t="s">
        <v>23</v>
      </c>
      <c r="Q1642" s="2" t="s">
        <v>23</v>
      </c>
      <c r="R1642" s="2" t="s">
        <v>23</v>
      </c>
      <c r="S1642" s="2" t="s">
        <v>23</v>
      </c>
      <c r="T1642" s="2" t="s">
        <v>23</v>
      </c>
      <c r="U1642" s="25">
        <f t="shared" si="101"/>
        <v>20862.001641999999</v>
      </c>
    </row>
    <row r="1643" spans="1:21">
      <c r="A1643" s="2" t="s">
        <v>2471</v>
      </c>
      <c r="B1643" s="2" t="s">
        <v>1378</v>
      </c>
      <c r="C1643" s="2" t="s">
        <v>35</v>
      </c>
      <c r="D1643" s="2">
        <v>63</v>
      </c>
      <c r="E1643" s="2" t="str">
        <f t="shared" si="102"/>
        <v>60+</v>
      </c>
      <c r="F1643" s="2" t="s">
        <v>57</v>
      </c>
      <c r="G1643" s="2" t="s">
        <v>47</v>
      </c>
      <c r="H1643" s="2">
        <v>56</v>
      </c>
      <c r="I1643" s="2" t="str">
        <f t="shared" si="100"/>
        <v>49+ months</v>
      </c>
      <c r="J1643" s="3">
        <v>899</v>
      </c>
      <c r="K1643" s="3">
        <v>50344</v>
      </c>
      <c r="L1643" s="2" t="s">
        <v>31</v>
      </c>
      <c r="M1643" s="4">
        <v>44234</v>
      </c>
      <c r="N1643" s="2" t="s">
        <v>32</v>
      </c>
      <c r="O1643" s="2">
        <f t="shared" si="103"/>
        <v>1</v>
      </c>
      <c r="P1643" s="2" t="s">
        <v>23</v>
      </c>
      <c r="Q1643" s="2" t="s">
        <v>23</v>
      </c>
      <c r="R1643" s="2" t="s">
        <v>23</v>
      </c>
      <c r="S1643" s="2" t="s">
        <v>23</v>
      </c>
      <c r="T1643" s="2" t="s">
        <v>23</v>
      </c>
      <c r="U1643" s="25">
        <f t="shared" si="101"/>
        <v>50344.001643000003</v>
      </c>
    </row>
    <row r="1644" spans="1:21">
      <c r="A1644" s="2" t="s">
        <v>2472</v>
      </c>
      <c r="B1644" s="2" t="s">
        <v>1513</v>
      </c>
      <c r="C1644" s="2" t="s">
        <v>19</v>
      </c>
      <c r="D1644" s="2">
        <v>70</v>
      </c>
      <c r="E1644" s="2" t="str">
        <f t="shared" si="102"/>
        <v>60+</v>
      </c>
      <c r="F1644" s="2" t="s">
        <v>26</v>
      </c>
      <c r="G1644" s="2" t="s">
        <v>47</v>
      </c>
      <c r="H1644" s="2">
        <v>53</v>
      </c>
      <c r="I1644" s="2" t="str">
        <f t="shared" si="100"/>
        <v>49+ months</v>
      </c>
      <c r="J1644" s="3">
        <v>599</v>
      </c>
      <c r="K1644" s="3">
        <v>31747</v>
      </c>
      <c r="L1644" s="2" t="s">
        <v>31</v>
      </c>
      <c r="M1644" s="4">
        <v>44317</v>
      </c>
      <c r="N1644" s="2" t="s">
        <v>23</v>
      </c>
      <c r="O1644" s="2">
        <f t="shared" si="103"/>
        <v>0</v>
      </c>
      <c r="P1644" s="2" t="s">
        <v>23</v>
      </c>
      <c r="Q1644" s="2" t="s">
        <v>23</v>
      </c>
      <c r="R1644" s="2" t="s">
        <v>23</v>
      </c>
      <c r="S1644" s="2" t="s">
        <v>23</v>
      </c>
      <c r="T1644" s="2" t="s">
        <v>23</v>
      </c>
      <c r="U1644" s="25">
        <f t="shared" si="101"/>
        <v>31747.001644</v>
      </c>
    </row>
    <row r="1645" spans="1:21">
      <c r="A1645" s="2" t="s">
        <v>2473</v>
      </c>
      <c r="B1645" s="2" t="s">
        <v>1391</v>
      </c>
      <c r="C1645" s="2" t="s">
        <v>19</v>
      </c>
      <c r="D1645" s="2">
        <v>72</v>
      </c>
      <c r="E1645" s="2" t="str">
        <f t="shared" si="102"/>
        <v>60+</v>
      </c>
      <c r="F1645" s="2" t="s">
        <v>26</v>
      </c>
      <c r="G1645" s="2" t="s">
        <v>47</v>
      </c>
      <c r="H1645" s="2">
        <v>31</v>
      </c>
      <c r="I1645" s="2" t="str">
        <f t="shared" si="100"/>
        <v>25-48 months</v>
      </c>
      <c r="J1645" s="3">
        <v>1199</v>
      </c>
      <c r="K1645" s="3">
        <v>37169</v>
      </c>
      <c r="L1645" s="2" t="s">
        <v>22</v>
      </c>
      <c r="M1645" s="4">
        <v>44979</v>
      </c>
      <c r="N1645" s="2" t="s">
        <v>23</v>
      </c>
      <c r="O1645" s="2">
        <f t="shared" si="103"/>
        <v>0</v>
      </c>
      <c r="P1645" s="2" t="s">
        <v>23</v>
      </c>
      <c r="Q1645" s="2" t="s">
        <v>23</v>
      </c>
      <c r="R1645" s="2" t="s">
        <v>23</v>
      </c>
      <c r="S1645" s="2" t="s">
        <v>23</v>
      </c>
      <c r="T1645" s="2" t="s">
        <v>23</v>
      </c>
      <c r="U1645" s="25">
        <f t="shared" si="101"/>
        <v>37169.001644999997</v>
      </c>
    </row>
    <row r="1646" spans="1:21">
      <c r="A1646" s="2" t="s">
        <v>2474</v>
      </c>
      <c r="B1646" s="2" t="s">
        <v>1258</v>
      </c>
      <c r="C1646" s="2" t="s">
        <v>35</v>
      </c>
      <c r="D1646" s="2">
        <v>23</v>
      </c>
      <c r="E1646" s="2" t="str">
        <f t="shared" si="102"/>
        <v>18-25</v>
      </c>
      <c r="F1646" s="2" t="s">
        <v>60</v>
      </c>
      <c r="G1646" s="2" t="s">
        <v>47</v>
      </c>
      <c r="H1646" s="2">
        <v>69</v>
      </c>
      <c r="I1646" s="2" t="str">
        <f t="shared" si="100"/>
        <v>49+ months</v>
      </c>
      <c r="J1646" s="3">
        <v>1199</v>
      </c>
      <c r="K1646" s="3">
        <v>82731</v>
      </c>
      <c r="L1646" s="2" t="s">
        <v>22</v>
      </c>
      <c r="M1646" s="4">
        <v>43829</v>
      </c>
      <c r="N1646" s="2" t="s">
        <v>23</v>
      </c>
      <c r="O1646" s="2">
        <f t="shared" si="103"/>
        <v>0</v>
      </c>
      <c r="P1646" s="2" t="s">
        <v>23</v>
      </c>
      <c r="Q1646" s="2" t="s">
        <v>23</v>
      </c>
      <c r="R1646" s="2" t="s">
        <v>23</v>
      </c>
      <c r="S1646" s="2" t="s">
        <v>23</v>
      </c>
      <c r="T1646" s="2" t="s">
        <v>23</v>
      </c>
      <c r="U1646" s="25">
        <f t="shared" si="101"/>
        <v>82731.001646000004</v>
      </c>
    </row>
    <row r="1647" spans="1:21">
      <c r="A1647" s="2" t="s">
        <v>2475</v>
      </c>
      <c r="B1647" s="2" t="s">
        <v>246</v>
      </c>
      <c r="C1647" s="2" t="s">
        <v>19</v>
      </c>
      <c r="D1647" s="2">
        <v>43</v>
      </c>
      <c r="E1647" s="2" t="str">
        <f t="shared" si="102"/>
        <v>36-45</v>
      </c>
      <c r="F1647" s="2" t="s">
        <v>46</v>
      </c>
      <c r="G1647" s="2" t="s">
        <v>21</v>
      </c>
      <c r="H1647" s="2">
        <v>4</v>
      </c>
      <c r="I1647" s="2" t="str">
        <f t="shared" si="100"/>
        <v>0-6 months</v>
      </c>
      <c r="J1647" s="3">
        <v>749</v>
      </c>
      <c r="K1647" s="3">
        <v>2996</v>
      </c>
      <c r="L1647" s="2" t="s">
        <v>31</v>
      </c>
      <c r="M1647" s="4">
        <v>45779</v>
      </c>
      <c r="N1647" s="2" t="s">
        <v>32</v>
      </c>
      <c r="O1647" s="2">
        <f t="shared" si="103"/>
        <v>1</v>
      </c>
      <c r="P1647" s="2" t="s">
        <v>23</v>
      </c>
      <c r="Q1647" s="2" t="s">
        <v>23</v>
      </c>
      <c r="R1647" s="2" t="s">
        <v>23</v>
      </c>
      <c r="S1647" s="2" t="s">
        <v>23</v>
      </c>
      <c r="T1647" s="2" t="s">
        <v>23</v>
      </c>
      <c r="U1647" s="25">
        <f t="shared" si="101"/>
        <v>2996.001647</v>
      </c>
    </row>
    <row r="1648" spans="1:21">
      <c r="A1648" s="2" t="s">
        <v>2476</v>
      </c>
      <c r="B1648" s="2" t="s">
        <v>2477</v>
      </c>
      <c r="C1648" s="2" t="s">
        <v>19</v>
      </c>
      <c r="D1648" s="2">
        <v>50</v>
      </c>
      <c r="E1648" s="2" t="str">
        <f t="shared" si="102"/>
        <v>46-60</v>
      </c>
      <c r="F1648" s="2" t="s">
        <v>30</v>
      </c>
      <c r="G1648" s="2" t="s">
        <v>21</v>
      </c>
      <c r="H1648" s="2">
        <v>6</v>
      </c>
      <c r="I1648" s="2" t="str">
        <f t="shared" si="100"/>
        <v>0-6 months</v>
      </c>
      <c r="J1648" s="3">
        <v>599</v>
      </c>
      <c r="K1648" s="3">
        <v>3594</v>
      </c>
      <c r="L1648" s="2" t="s">
        <v>31</v>
      </c>
      <c r="M1648" s="4">
        <v>45747</v>
      </c>
      <c r="N1648" s="2" t="s">
        <v>32</v>
      </c>
      <c r="O1648" s="2">
        <f t="shared" si="103"/>
        <v>1</v>
      </c>
      <c r="P1648" s="2" t="s">
        <v>23</v>
      </c>
      <c r="Q1648" s="2" t="s">
        <v>23</v>
      </c>
      <c r="R1648" s="2" t="s">
        <v>32</v>
      </c>
      <c r="S1648" s="2" t="s">
        <v>23</v>
      </c>
      <c r="T1648" s="2" t="s">
        <v>23</v>
      </c>
      <c r="U1648" s="25">
        <f t="shared" si="101"/>
        <v>3594.0016479999999</v>
      </c>
    </row>
    <row r="1649" spans="1:21">
      <c r="A1649" s="2" t="s">
        <v>2478</v>
      </c>
      <c r="B1649" s="2" t="s">
        <v>2479</v>
      </c>
      <c r="C1649" s="2" t="s">
        <v>37</v>
      </c>
      <c r="D1649" s="2">
        <v>48</v>
      </c>
      <c r="E1649" s="2" t="str">
        <f t="shared" si="102"/>
        <v>46-60</v>
      </c>
      <c r="F1649" s="2" t="s">
        <v>71</v>
      </c>
      <c r="G1649" s="2" t="s">
        <v>21</v>
      </c>
      <c r="H1649" s="2">
        <v>7</v>
      </c>
      <c r="I1649" s="2" t="str">
        <f t="shared" si="100"/>
        <v>7-12 months</v>
      </c>
      <c r="J1649" s="3">
        <v>349</v>
      </c>
      <c r="K1649" s="3">
        <v>2443</v>
      </c>
      <c r="L1649" s="2" t="s">
        <v>66</v>
      </c>
      <c r="M1649" s="4">
        <v>45706</v>
      </c>
      <c r="N1649" s="2" t="s">
        <v>32</v>
      </c>
      <c r="O1649" s="2">
        <f t="shared" si="103"/>
        <v>1</v>
      </c>
      <c r="P1649" s="2" t="s">
        <v>23</v>
      </c>
      <c r="Q1649" s="2" t="s">
        <v>23</v>
      </c>
      <c r="R1649" s="2" t="s">
        <v>23</v>
      </c>
      <c r="S1649" s="2" t="s">
        <v>23</v>
      </c>
      <c r="T1649" s="2" t="s">
        <v>23</v>
      </c>
      <c r="U1649" s="25">
        <f t="shared" si="101"/>
        <v>2443.0016489999998</v>
      </c>
    </row>
    <row r="1650" spans="1:21">
      <c r="A1650" s="2" t="s">
        <v>2480</v>
      </c>
      <c r="B1650" s="2" t="s">
        <v>1571</v>
      </c>
      <c r="C1650" s="2" t="s">
        <v>19</v>
      </c>
      <c r="D1650" s="2">
        <v>50</v>
      </c>
      <c r="E1650" s="2" t="str">
        <f t="shared" si="102"/>
        <v>46-60</v>
      </c>
      <c r="F1650" s="2" t="s">
        <v>60</v>
      </c>
      <c r="G1650" s="2" t="s">
        <v>27</v>
      </c>
      <c r="H1650" s="2">
        <v>11</v>
      </c>
      <c r="I1650" s="2" t="str">
        <f t="shared" si="100"/>
        <v>7-12 months</v>
      </c>
      <c r="J1650" s="3">
        <v>1199</v>
      </c>
      <c r="K1650" s="3">
        <v>13189</v>
      </c>
      <c r="L1650" s="2" t="s">
        <v>22</v>
      </c>
      <c r="M1650" s="4">
        <v>45582</v>
      </c>
      <c r="N1650" s="2" t="s">
        <v>23</v>
      </c>
      <c r="O1650" s="2">
        <f t="shared" si="103"/>
        <v>0</v>
      </c>
      <c r="P1650" s="2" t="s">
        <v>23</v>
      </c>
      <c r="Q1650" s="2" t="s">
        <v>23</v>
      </c>
      <c r="R1650" s="2" t="s">
        <v>32</v>
      </c>
      <c r="S1650" s="2" t="s">
        <v>23</v>
      </c>
      <c r="T1650" s="2" t="s">
        <v>23</v>
      </c>
      <c r="U1650" s="25">
        <f t="shared" si="101"/>
        <v>13189.00165</v>
      </c>
    </row>
    <row r="1651" spans="1:21">
      <c r="A1651" s="2" t="s">
        <v>2481</v>
      </c>
      <c r="B1651" s="2" t="s">
        <v>950</v>
      </c>
      <c r="C1651" s="2" t="s">
        <v>19</v>
      </c>
      <c r="D1651" s="2">
        <v>66</v>
      </c>
      <c r="E1651" s="2" t="str">
        <f t="shared" si="102"/>
        <v>60+</v>
      </c>
      <c r="F1651" s="2" t="s">
        <v>105</v>
      </c>
      <c r="G1651" s="2" t="s">
        <v>27</v>
      </c>
      <c r="H1651" s="2">
        <v>31</v>
      </c>
      <c r="I1651" s="2" t="str">
        <f t="shared" si="100"/>
        <v>25-48 months</v>
      </c>
      <c r="J1651" s="3">
        <v>349</v>
      </c>
      <c r="K1651" s="3">
        <v>10819</v>
      </c>
      <c r="L1651" s="2" t="s">
        <v>66</v>
      </c>
      <c r="M1651" s="4">
        <v>44980</v>
      </c>
      <c r="N1651" s="2" t="s">
        <v>23</v>
      </c>
      <c r="O1651" s="2">
        <f t="shared" si="103"/>
        <v>0</v>
      </c>
      <c r="P1651" s="2" t="s">
        <v>23</v>
      </c>
      <c r="Q1651" s="2" t="s">
        <v>23</v>
      </c>
      <c r="R1651" s="2" t="s">
        <v>23</v>
      </c>
      <c r="S1651" s="2" t="s">
        <v>23</v>
      </c>
      <c r="T1651" s="2" t="s">
        <v>23</v>
      </c>
      <c r="U1651" s="25">
        <f t="shared" si="101"/>
        <v>10819.001651</v>
      </c>
    </row>
    <row r="1652" spans="1:21">
      <c r="A1652" s="2" t="s">
        <v>2482</v>
      </c>
      <c r="B1652" s="2" t="s">
        <v>2114</v>
      </c>
      <c r="C1652" s="2" t="s">
        <v>35</v>
      </c>
      <c r="D1652" s="2">
        <v>25</v>
      </c>
      <c r="E1652" s="2" t="str">
        <f t="shared" si="102"/>
        <v>18-25</v>
      </c>
      <c r="F1652" s="2" t="s">
        <v>46</v>
      </c>
      <c r="G1652" s="2" t="s">
        <v>47</v>
      </c>
      <c r="H1652" s="2">
        <v>55</v>
      </c>
      <c r="I1652" s="2" t="str">
        <f t="shared" si="100"/>
        <v>49+ months</v>
      </c>
      <c r="J1652" s="3">
        <v>599</v>
      </c>
      <c r="K1652" s="3">
        <v>32945</v>
      </c>
      <c r="L1652" s="2" t="s">
        <v>31</v>
      </c>
      <c r="M1652" s="4">
        <v>44250</v>
      </c>
      <c r="N1652" s="2" t="s">
        <v>32</v>
      </c>
      <c r="O1652" s="2">
        <f t="shared" si="103"/>
        <v>1</v>
      </c>
      <c r="P1652" s="2" t="s">
        <v>23</v>
      </c>
      <c r="Q1652" s="2" t="s">
        <v>23</v>
      </c>
      <c r="R1652" s="2" t="s">
        <v>23</v>
      </c>
      <c r="S1652" s="2" t="s">
        <v>23</v>
      </c>
      <c r="T1652" s="2" t="s">
        <v>23</v>
      </c>
      <c r="U1652" s="25">
        <f t="shared" si="101"/>
        <v>32945.001651999999</v>
      </c>
    </row>
    <row r="1653" spans="1:21">
      <c r="A1653" s="2" t="s">
        <v>2483</v>
      </c>
      <c r="B1653" s="2" t="s">
        <v>350</v>
      </c>
      <c r="C1653" s="2" t="s">
        <v>19</v>
      </c>
      <c r="D1653" s="2">
        <v>47</v>
      </c>
      <c r="E1653" s="2" t="str">
        <f t="shared" si="102"/>
        <v>46-60</v>
      </c>
      <c r="F1653" s="2" t="s">
        <v>71</v>
      </c>
      <c r="G1653" s="2" t="s">
        <v>47</v>
      </c>
      <c r="H1653" s="2">
        <v>72</v>
      </c>
      <c r="I1653" s="2" t="str">
        <f t="shared" si="100"/>
        <v>49+ months</v>
      </c>
      <c r="J1653" s="3">
        <v>1049</v>
      </c>
      <c r="K1653" s="3">
        <v>75528</v>
      </c>
      <c r="L1653" s="2" t="s">
        <v>22</v>
      </c>
      <c r="M1653" s="4">
        <v>43744</v>
      </c>
      <c r="N1653" s="2" t="s">
        <v>23</v>
      </c>
      <c r="O1653" s="2">
        <f t="shared" si="103"/>
        <v>0</v>
      </c>
      <c r="P1653" s="2" t="s">
        <v>32</v>
      </c>
      <c r="Q1653" s="2" t="s">
        <v>23</v>
      </c>
      <c r="R1653" s="2" t="s">
        <v>23</v>
      </c>
      <c r="S1653" s="2" t="s">
        <v>23</v>
      </c>
      <c r="T1653" s="2" t="s">
        <v>23</v>
      </c>
      <c r="U1653" s="25">
        <f t="shared" si="101"/>
        <v>75528.001652999999</v>
      </c>
    </row>
    <row r="1654" spans="1:21">
      <c r="A1654" s="2" t="s">
        <v>2484</v>
      </c>
      <c r="B1654" s="2" t="s">
        <v>1214</v>
      </c>
      <c r="C1654" s="2" t="s">
        <v>35</v>
      </c>
      <c r="D1654" s="2">
        <v>60</v>
      </c>
      <c r="E1654" s="2" t="str">
        <f t="shared" si="102"/>
        <v>46-60</v>
      </c>
      <c r="F1654" s="2" t="s">
        <v>71</v>
      </c>
      <c r="G1654" s="2" t="s">
        <v>21</v>
      </c>
      <c r="H1654" s="2">
        <v>2</v>
      </c>
      <c r="I1654" s="2" t="str">
        <f t="shared" si="100"/>
        <v>0-6 months</v>
      </c>
      <c r="J1654" s="3">
        <v>799</v>
      </c>
      <c r="K1654" s="3">
        <v>1598</v>
      </c>
      <c r="L1654" s="2" t="s">
        <v>31</v>
      </c>
      <c r="M1654" s="4">
        <v>45856</v>
      </c>
      <c r="N1654" s="2" t="s">
        <v>23</v>
      </c>
      <c r="O1654" s="2">
        <f t="shared" si="103"/>
        <v>0</v>
      </c>
      <c r="P1654" s="2" t="s">
        <v>23</v>
      </c>
      <c r="Q1654" s="2" t="s">
        <v>23</v>
      </c>
      <c r="R1654" s="2" t="s">
        <v>23</v>
      </c>
      <c r="S1654" s="2" t="s">
        <v>32</v>
      </c>
      <c r="T1654" s="2" t="s">
        <v>23</v>
      </c>
      <c r="U1654" s="25">
        <f t="shared" si="101"/>
        <v>1598.0016539999999</v>
      </c>
    </row>
    <row r="1655" spans="1:21">
      <c r="A1655" s="2" t="s">
        <v>2485</v>
      </c>
      <c r="B1655" s="2" t="s">
        <v>164</v>
      </c>
      <c r="C1655" s="2" t="s">
        <v>35</v>
      </c>
      <c r="D1655" s="2">
        <v>64</v>
      </c>
      <c r="E1655" s="2" t="str">
        <f t="shared" si="102"/>
        <v>60+</v>
      </c>
      <c r="F1655" s="2" t="s">
        <v>46</v>
      </c>
      <c r="G1655" s="2" t="s">
        <v>47</v>
      </c>
      <c r="H1655" s="2">
        <v>35</v>
      </c>
      <c r="I1655" s="2" t="str">
        <f t="shared" si="100"/>
        <v>25-48 months</v>
      </c>
      <c r="J1655" s="3">
        <v>1149</v>
      </c>
      <c r="K1655" s="3">
        <v>40215</v>
      </c>
      <c r="L1655" s="2" t="s">
        <v>22</v>
      </c>
      <c r="M1655" s="4">
        <v>44864</v>
      </c>
      <c r="N1655" s="2" t="s">
        <v>23</v>
      </c>
      <c r="O1655" s="2">
        <f t="shared" si="103"/>
        <v>0</v>
      </c>
      <c r="P1655" s="2" t="s">
        <v>23</v>
      </c>
      <c r="Q1655" s="2" t="s">
        <v>23</v>
      </c>
      <c r="R1655" s="2" t="s">
        <v>23</v>
      </c>
      <c r="S1655" s="2" t="s">
        <v>23</v>
      </c>
      <c r="T1655" s="2" t="s">
        <v>23</v>
      </c>
      <c r="U1655" s="25">
        <f t="shared" si="101"/>
        <v>40215.001655</v>
      </c>
    </row>
    <row r="1656" spans="1:21">
      <c r="A1656" s="2" t="s">
        <v>2486</v>
      </c>
      <c r="B1656" s="2" t="s">
        <v>248</v>
      </c>
      <c r="C1656" s="2" t="s">
        <v>19</v>
      </c>
      <c r="D1656" s="2">
        <v>39</v>
      </c>
      <c r="E1656" s="2" t="str">
        <f t="shared" si="102"/>
        <v>36-45</v>
      </c>
      <c r="F1656" s="2" t="s">
        <v>41</v>
      </c>
      <c r="G1656" s="2" t="s">
        <v>21</v>
      </c>
      <c r="H1656" s="2">
        <v>12</v>
      </c>
      <c r="I1656" s="2" t="str">
        <f t="shared" si="100"/>
        <v>7-12 months</v>
      </c>
      <c r="J1656" s="3">
        <v>799</v>
      </c>
      <c r="K1656" s="3">
        <v>9588</v>
      </c>
      <c r="L1656" s="2" t="s">
        <v>31</v>
      </c>
      <c r="M1656" s="4">
        <v>45555</v>
      </c>
      <c r="N1656" s="2" t="s">
        <v>23</v>
      </c>
      <c r="O1656" s="2">
        <f t="shared" si="103"/>
        <v>0</v>
      </c>
      <c r="P1656" s="2" t="s">
        <v>23</v>
      </c>
      <c r="Q1656" s="2" t="s">
        <v>23</v>
      </c>
      <c r="R1656" s="2" t="s">
        <v>23</v>
      </c>
      <c r="S1656" s="2" t="s">
        <v>23</v>
      </c>
      <c r="T1656" s="2" t="s">
        <v>23</v>
      </c>
      <c r="U1656" s="25">
        <f t="shared" si="101"/>
        <v>9588.0016560000004</v>
      </c>
    </row>
    <row r="1657" spans="1:21">
      <c r="A1657" s="2" t="s">
        <v>2487</v>
      </c>
      <c r="B1657" s="2" t="s">
        <v>963</v>
      </c>
      <c r="C1657" s="2" t="s">
        <v>35</v>
      </c>
      <c r="D1657" s="2">
        <v>26</v>
      </c>
      <c r="E1657" s="2" t="str">
        <f t="shared" si="102"/>
        <v>26-35</v>
      </c>
      <c r="F1657" s="2" t="s">
        <v>36</v>
      </c>
      <c r="G1657" s="2" t="s">
        <v>21</v>
      </c>
      <c r="H1657" s="2">
        <v>8</v>
      </c>
      <c r="I1657" s="2" t="str">
        <f t="shared" si="100"/>
        <v>7-12 months</v>
      </c>
      <c r="J1657" s="3">
        <v>1149</v>
      </c>
      <c r="K1657" s="3">
        <v>9192</v>
      </c>
      <c r="L1657" s="2" t="s">
        <v>22</v>
      </c>
      <c r="M1657" s="4">
        <v>45672</v>
      </c>
      <c r="N1657" s="2" t="s">
        <v>23</v>
      </c>
      <c r="O1657" s="2">
        <f t="shared" si="103"/>
        <v>0</v>
      </c>
      <c r="P1657" s="2" t="s">
        <v>23</v>
      </c>
      <c r="Q1657" s="2" t="s">
        <v>23</v>
      </c>
      <c r="R1657" s="2" t="s">
        <v>23</v>
      </c>
      <c r="S1657" s="2" t="s">
        <v>23</v>
      </c>
      <c r="T1657" s="2" t="s">
        <v>23</v>
      </c>
      <c r="U1657" s="25">
        <f t="shared" si="101"/>
        <v>9192.0016570000007</v>
      </c>
    </row>
    <row r="1658" spans="1:21">
      <c r="A1658" s="2" t="s">
        <v>2488</v>
      </c>
      <c r="B1658" s="2" t="s">
        <v>953</v>
      </c>
      <c r="C1658" s="2" t="s">
        <v>19</v>
      </c>
      <c r="D1658" s="2">
        <v>74</v>
      </c>
      <c r="E1658" s="2" t="str">
        <f t="shared" si="102"/>
        <v>60+</v>
      </c>
      <c r="F1658" s="2" t="s">
        <v>105</v>
      </c>
      <c r="G1658" s="2" t="s">
        <v>21</v>
      </c>
      <c r="H1658" s="2">
        <v>16</v>
      </c>
      <c r="I1658" s="2" t="str">
        <f t="shared" si="100"/>
        <v>13-24 months</v>
      </c>
      <c r="J1658" s="3">
        <v>649</v>
      </c>
      <c r="K1658" s="3">
        <v>10384</v>
      </c>
      <c r="L1658" s="2" t="s">
        <v>31</v>
      </c>
      <c r="M1658" s="4">
        <v>45430</v>
      </c>
      <c r="N1658" s="2" t="s">
        <v>23</v>
      </c>
      <c r="O1658" s="2">
        <f t="shared" si="103"/>
        <v>0</v>
      </c>
      <c r="P1658" s="2" t="s">
        <v>23</v>
      </c>
      <c r="Q1658" s="2" t="s">
        <v>23</v>
      </c>
      <c r="R1658" s="2" t="s">
        <v>23</v>
      </c>
      <c r="S1658" s="2" t="s">
        <v>23</v>
      </c>
      <c r="T1658" s="2" t="s">
        <v>23</v>
      </c>
      <c r="U1658" s="25">
        <f t="shared" si="101"/>
        <v>10384.001657999999</v>
      </c>
    </row>
    <row r="1659" spans="1:21">
      <c r="A1659" s="2" t="s">
        <v>2489</v>
      </c>
      <c r="B1659" s="2" t="s">
        <v>281</v>
      </c>
      <c r="C1659" s="2" t="s">
        <v>19</v>
      </c>
      <c r="D1659" s="2">
        <v>57</v>
      </c>
      <c r="E1659" s="2" t="str">
        <f t="shared" si="102"/>
        <v>46-60</v>
      </c>
      <c r="F1659" s="2" t="s">
        <v>57</v>
      </c>
      <c r="G1659" s="2" t="s">
        <v>21</v>
      </c>
      <c r="H1659" s="2">
        <v>7</v>
      </c>
      <c r="I1659" s="2" t="str">
        <f t="shared" si="100"/>
        <v>7-12 months</v>
      </c>
      <c r="J1659" s="3">
        <v>899</v>
      </c>
      <c r="K1659" s="3">
        <v>6293</v>
      </c>
      <c r="L1659" s="2" t="s">
        <v>31</v>
      </c>
      <c r="M1659" s="4">
        <v>45695</v>
      </c>
      <c r="N1659" s="2" t="s">
        <v>23</v>
      </c>
      <c r="O1659" s="2">
        <f t="shared" si="103"/>
        <v>0</v>
      </c>
      <c r="P1659" s="2" t="s">
        <v>23</v>
      </c>
      <c r="Q1659" s="2" t="s">
        <v>23</v>
      </c>
      <c r="R1659" s="2" t="s">
        <v>23</v>
      </c>
      <c r="S1659" s="2" t="s">
        <v>23</v>
      </c>
      <c r="T1659" s="2" t="s">
        <v>23</v>
      </c>
      <c r="U1659" s="25">
        <f t="shared" si="101"/>
        <v>6293.0016589999996</v>
      </c>
    </row>
    <row r="1660" spans="1:21">
      <c r="A1660" s="2" t="s">
        <v>2490</v>
      </c>
      <c r="B1660" s="2" t="s">
        <v>1884</v>
      </c>
      <c r="C1660" s="2" t="s">
        <v>19</v>
      </c>
      <c r="D1660" s="2">
        <v>66</v>
      </c>
      <c r="E1660" s="2" t="str">
        <f t="shared" si="102"/>
        <v>60+</v>
      </c>
      <c r="F1660" s="2" t="s">
        <v>91</v>
      </c>
      <c r="G1660" s="2" t="s">
        <v>27</v>
      </c>
      <c r="H1660" s="2">
        <v>14</v>
      </c>
      <c r="I1660" s="2" t="str">
        <f t="shared" si="100"/>
        <v>13-24 months</v>
      </c>
      <c r="J1660" s="3">
        <v>849</v>
      </c>
      <c r="K1660" s="3">
        <v>11886</v>
      </c>
      <c r="L1660" s="2" t="s">
        <v>31</v>
      </c>
      <c r="M1660" s="4">
        <v>45493</v>
      </c>
      <c r="N1660" s="2" t="s">
        <v>23</v>
      </c>
      <c r="O1660" s="2">
        <f t="shared" si="103"/>
        <v>0</v>
      </c>
      <c r="P1660" s="2" t="s">
        <v>23</v>
      </c>
      <c r="Q1660" s="2" t="s">
        <v>23</v>
      </c>
      <c r="R1660" s="2" t="s">
        <v>23</v>
      </c>
      <c r="S1660" s="2" t="s">
        <v>23</v>
      </c>
      <c r="T1660" s="2" t="s">
        <v>23</v>
      </c>
      <c r="U1660" s="25">
        <f t="shared" si="101"/>
        <v>11886.00166</v>
      </c>
    </row>
    <row r="1661" spans="1:21">
      <c r="A1661" s="2" t="s">
        <v>2491</v>
      </c>
      <c r="B1661" s="2" t="s">
        <v>1780</v>
      </c>
      <c r="C1661" s="2" t="s">
        <v>35</v>
      </c>
      <c r="D1661" s="2">
        <v>29</v>
      </c>
      <c r="E1661" s="2" t="str">
        <f t="shared" si="102"/>
        <v>26-35</v>
      </c>
      <c r="F1661" s="2" t="s">
        <v>20</v>
      </c>
      <c r="G1661" s="2" t="s">
        <v>21</v>
      </c>
      <c r="H1661" s="2">
        <v>18</v>
      </c>
      <c r="I1661" s="2" t="str">
        <f t="shared" si="100"/>
        <v>13-24 months</v>
      </c>
      <c r="J1661" s="3">
        <v>799</v>
      </c>
      <c r="K1661" s="3">
        <v>14382</v>
      </c>
      <c r="L1661" s="2" t="s">
        <v>37</v>
      </c>
      <c r="M1661" s="4">
        <v>45362</v>
      </c>
      <c r="N1661" s="2" t="s">
        <v>32</v>
      </c>
      <c r="O1661" s="2">
        <f t="shared" si="103"/>
        <v>1</v>
      </c>
      <c r="P1661" s="2" t="s">
        <v>23</v>
      </c>
      <c r="Q1661" s="2" t="s">
        <v>23</v>
      </c>
      <c r="R1661" s="2" t="s">
        <v>23</v>
      </c>
      <c r="S1661" s="2" t="s">
        <v>23</v>
      </c>
      <c r="T1661" s="2" t="s">
        <v>23</v>
      </c>
      <c r="U1661" s="25">
        <f t="shared" si="101"/>
        <v>14382.001661</v>
      </c>
    </row>
    <row r="1662" spans="1:21">
      <c r="A1662" s="2" t="s">
        <v>2492</v>
      </c>
      <c r="B1662" s="2" t="s">
        <v>1723</v>
      </c>
      <c r="C1662" s="2" t="s">
        <v>19</v>
      </c>
      <c r="D1662" s="2">
        <v>35</v>
      </c>
      <c r="E1662" s="2" t="str">
        <f t="shared" si="102"/>
        <v>26-35</v>
      </c>
      <c r="F1662" s="2" t="s">
        <v>110</v>
      </c>
      <c r="G1662" s="2" t="s">
        <v>21</v>
      </c>
      <c r="H1662" s="2">
        <v>4</v>
      </c>
      <c r="I1662" s="2" t="str">
        <f t="shared" si="100"/>
        <v>0-6 months</v>
      </c>
      <c r="J1662" s="3">
        <v>799</v>
      </c>
      <c r="K1662" s="3">
        <v>3196</v>
      </c>
      <c r="L1662" s="2" t="s">
        <v>31</v>
      </c>
      <c r="M1662" s="4">
        <v>45807</v>
      </c>
      <c r="N1662" s="2" t="s">
        <v>32</v>
      </c>
      <c r="O1662" s="2">
        <f t="shared" si="103"/>
        <v>1</v>
      </c>
      <c r="P1662" s="2" t="s">
        <v>23</v>
      </c>
      <c r="Q1662" s="2" t="s">
        <v>23</v>
      </c>
      <c r="R1662" s="2" t="s">
        <v>23</v>
      </c>
      <c r="S1662" s="2" t="s">
        <v>23</v>
      </c>
      <c r="T1662" s="2" t="s">
        <v>23</v>
      </c>
      <c r="U1662" s="25">
        <f t="shared" si="101"/>
        <v>3196.0016620000001</v>
      </c>
    </row>
    <row r="1663" spans="1:21">
      <c r="A1663" s="2" t="s">
        <v>2493</v>
      </c>
      <c r="B1663" s="2" t="s">
        <v>2494</v>
      </c>
      <c r="C1663" s="2" t="s">
        <v>19</v>
      </c>
      <c r="D1663" s="2">
        <v>19</v>
      </c>
      <c r="E1663" s="2" t="str">
        <f t="shared" si="102"/>
        <v>18-25</v>
      </c>
      <c r="F1663" s="2" t="s">
        <v>110</v>
      </c>
      <c r="G1663" s="2" t="s">
        <v>27</v>
      </c>
      <c r="H1663" s="2">
        <v>5</v>
      </c>
      <c r="I1663" s="2" t="str">
        <f t="shared" si="100"/>
        <v>0-6 months</v>
      </c>
      <c r="J1663" s="3">
        <v>1299</v>
      </c>
      <c r="K1663" s="3">
        <v>6495</v>
      </c>
      <c r="L1663" s="2" t="s">
        <v>22</v>
      </c>
      <c r="M1663" s="4">
        <v>45749</v>
      </c>
      <c r="N1663" s="2" t="s">
        <v>23</v>
      </c>
      <c r="O1663" s="2">
        <f t="shared" si="103"/>
        <v>0</v>
      </c>
      <c r="P1663" s="2" t="s">
        <v>23</v>
      </c>
      <c r="Q1663" s="2" t="s">
        <v>23</v>
      </c>
      <c r="R1663" s="2" t="s">
        <v>32</v>
      </c>
      <c r="S1663" s="2" t="s">
        <v>23</v>
      </c>
      <c r="T1663" s="2" t="s">
        <v>23</v>
      </c>
      <c r="U1663" s="25">
        <f t="shared" si="101"/>
        <v>6495.001663</v>
      </c>
    </row>
    <row r="1664" spans="1:21">
      <c r="A1664" s="2" t="s">
        <v>2495</v>
      </c>
      <c r="B1664" s="2" t="s">
        <v>1560</v>
      </c>
      <c r="C1664" s="2" t="s">
        <v>37</v>
      </c>
      <c r="D1664" s="2">
        <v>47</v>
      </c>
      <c r="E1664" s="2" t="str">
        <f t="shared" si="102"/>
        <v>46-60</v>
      </c>
      <c r="F1664" s="2" t="s">
        <v>46</v>
      </c>
      <c r="G1664" s="2" t="s">
        <v>27</v>
      </c>
      <c r="H1664" s="2">
        <v>35</v>
      </c>
      <c r="I1664" s="2" t="str">
        <f t="shared" si="100"/>
        <v>25-48 months</v>
      </c>
      <c r="J1664" s="3">
        <v>899</v>
      </c>
      <c r="K1664" s="3">
        <v>31465</v>
      </c>
      <c r="L1664" s="2" t="s">
        <v>22</v>
      </c>
      <c r="M1664" s="4">
        <v>44849</v>
      </c>
      <c r="N1664" s="2" t="s">
        <v>23</v>
      </c>
      <c r="O1664" s="2">
        <f t="shared" si="103"/>
        <v>0</v>
      </c>
      <c r="P1664" s="2" t="s">
        <v>32</v>
      </c>
      <c r="Q1664" s="2" t="s">
        <v>23</v>
      </c>
      <c r="R1664" s="2" t="s">
        <v>23</v>
      </c>
      <c r="S1664" s="2" t="s">
        <v>23</v>
      </c>
      <c r="T1664" s="2" t="s">
        <v>23</v>
      </c>
      <c r="U1664" s="25">
        <f t="shared" si="101"/>
        <v>31465.001663999999</v>
      </c>
    </row>
    <row r="1665" spans="1:21">
      <c r="A1665" s="2" t="s">
        <v>2496</v>
      </c>
      <c r="B1665" s="2" t="s">
        <v>582</v>
      </c>
      <c r="C1665" s="2" t="s">
        <v>19</v>
      </c>
      <c r="D1665" s="2">
        <v>71</v>
      </c>
      <c r="E1665" s="2" t="str">
        <f t="shared" si="102"/>
        <v>60+</v>
      </c>
      <c r="F1665" s="2" t="s">
        <v>26</v>
      </c>
      <c r="G1665" s="2" t="s">
        <v>21</v>
      </c>
      <c r="H1665" s="2">
        <v>15</v>
      </c>
      <c r="I1665" s="2" t="str">
        <f t="shared" si="100"/>
        <v>13-24 months</v>
      </c>
      <c r="J1665" s="3">
        <v>699</v>
      </c>
      <c r="K1665" s="3">
        <v>10485</v>
      </c>
      <c r="L1665" s="2" t="s">
        <v>31</v>
      </c>
      <c r="M1665" s="4">
        <v>45475</v>
      </c>
      <c r="N1665" s="2" t="s">
        <v>23</v>
      </c>
      <c r="O1665" s="2">
        <f t="shared" si="103"/>
        <v>0</v>
      </c>
      <c r="P1665" s="2" t="s">
        <v>23</v>
      </c>
      <c r="Q1665" s="2" t="s">
        <v>23</v>
      </c>
      <c r="R1665" s="2" t="s">
        <v>23</v>
      </c>
      <c r="S1665" s="2" t="s">
        <v>32</v>
      </c>
      <c r="T1665" s="2" t="s">
        <v>23</v>
      </c>
      <c r="U1665" s="25">
        <f t="shared" si="101"/>
        <v>10485.001665</v>
      </c>
    </row>
    <row r="1666" spans="1:21">
      <c r="A1666" s="2" t="s">
        <v>2497</v>
      </c>
      <c r="B1666" s="2" t="s">
        <v>308</v>
      </c>
      <c r="C1666" s="2" t="s">
        <v>19</v>
      </c>
      <c r="D1666" s="2">
        <v>29</v>
      </c>
      <c r="E1666" s="2" t="str">
        <f t="shared" si="102"/>
        <v>26-35</v>
      </c>
      <c r="F1666" s="2" t="s">
        <v>105</v>
      </c>
      <c r="G1666" s="2" t="s">
        <v>27</v>
      </c>
      <c r="H1666" s="2">
        <v>35</v>
      </c>
      <c r="I1666" s="2" t="str">
        <f t="shared" ref="I1666:I1729" si="104">IF(H1666="","Unknown",IF(H1666&lt;=6,"0-6 months",IF(H1666&lt;=12,"7-12 months",IF(H1666&lt;=24,"13-24 months",IF(H1666&lt;=48,"25-48 months","49+ months")))))</f>
        <v>25-48 months</v>
      </c>
      <c r="J1666" s="3">
        <v>549</v>
      </c>
      <c r="K1666" s="3">
        <v>19215</v>
      </c>
      <c r="L1666" s="2" t="s">
        <v>66</v>
      </c>
      <c r="M1666" s="4">
        <v>44849</v>
      </c>
      <c r="N1666" s="2" t="s">
        <v>23</v>
      </c>
      <c r="O1666" s="2">
        <f t="shared" si="103"/>
        <v>0</v>
      </c>
      <c r="P1666" s="2" t="s">
        <v>23</v>
      </c>
      <c r="Q1666" s="2" t="s">
        <v>23</v>
      </c>
      <c r="R1666" s="2" t="s">
        <v>23</v>
      </c>
      <c r="S1666" s="2" t="s">
        <v>23</v>
      </c>
      <c r="T1666" s="2" t="s">
        <v>23</v>
      </c>
      <c r="U1666" s="25">
        <f t="shared" ref="U1666:U1729" si="105">IF(K1666="","",K1666+ROW()/1000000)</f>
        <v>19215.001666</v>
      </c>
    </row>
    <row r="1667" spans="1:21">
      <c r="A1667" s="2" t="s">
        <v>2498</v>
      </c>
      <c r="B1667" s="2" t="s">
        <v>2499</v>
      </c>
      <c r="C1667" s="2" t="s">
        <v>19</v>
      </c>
      <c r="D1667" s="2">
        <v>62</v>
      </c>
      <c r="E1667" s="2" t="str">
        <f t="shared" ref="E1667:E1730" si="106">IF(D1667&lt;=25,"18-25",IF(D1667&lt;=35,"26-35",IF(D1667&lt;=45,"36-45",IF(D1667&lt;=60,"46-60","60+"))))</f>
        <v>60+</v>
      </c>
      <c r="F1667" s="2" t="s">
        <v>91</v>
      </c>
      <c r="G1667" s="2" t="s">
        <v>21</v>
      </c>
      <c r="H1667" s="2">
        <v>17</v>
      </c>
      <c r="I1667" s="2" t="str">
        <f t="shared" si="104"/>
        <v>13-24 months</v>
      </c>
      <c r="J1667" s="3">
        <v>749</v>
      </c>
      <c r="K1667" s="3">
        <v>12733</v>
      </c>
      <c r="L1667" s="2" t="s">
        <v>31</v>
      </c>
      <c r="M1667" s="4">
        <v>45391</v>
      </c>
      <c r="N1667" s="2" t="s">
        <v>23</v>
      </c>
      <c r="O1667" s="2">
        <f t="shared" ref="O1667:O1730" si="107">IF(N1667="Yes",1,IF(N1667="No",0,""))</f>
        <v>0</v>
      </c>
      <c r="P1667" s="2" t="s">
        <v>23</v>
      </c>
      <c r="Q1667" s="2" t="s">
        <v>23</v>
      </c>
      <c r="R1667" s="2" t="s">
        <v>23</v>
      </c>
      <c r="S1667" s="2" t="s">
        <v>23</v>
      </c>
      <c r="T1667" s="2" t="s">
        <v>23</v>
      </c>
      <c r="U1667" s="25">
        <f t="shared" si="105"/>
        <v>12733.001667</v>
      </c>
    </row>
    <row r="1668" spans="1:21">
      <c r="A1668" s="2" t="s">
        <v>2500</v>
      </c>
      <c r="B1668" s="2" t="s">
        <v>736</v>
      </c>
      <c r="C1668" s="2" t="s">
        <v>37</v>
      </c>
      <c r="D1668" s="2">
        <v>55</v>
      </c>
      <c r="E1668" s="2" t="str">
        <f t="shared" si="106"/>
        <v>46-60</v>
      </c>
      <c r="F1668" s="2" t="s">
        <v>46</v>
      </c>
      <c r="G1668" s="2" t="s">
        <v>47</v>
      </c>
      <c r="H1668" s="2">
        <v>7</v>
      </c>
      <c r="I1668" s="2" t="str">
        <f t="shared" si="104"/>
        <v>7-12 months</v>
      </c>
      <c r="J1668" s="3">
        <v>549</v>
      </c>
      <c r="K1668" s="3">
        <v>3843</v>
      </c>
      <c r="L1668" s="2" t="s">
        <v>66</v>
      </c>
      <c r="M1668" s="4">
        <v>45699</v>
      </c>
      <c r="N1668" s="2" t="s">
        <v>23</v>
      </c>
      <c r="O1668" s="2">
        <f t="shared" si="107"/>
        <v>0</v>
      </c>
      <c r="P1668" s="2" t="s">
        <v>23</v>
      </c>
      <c r="Q1668" s="2" t="s">
        <v>23</v>
      </c>
      <c r="R1668" s="2" t="s">
        <v>32</v>
      </c>
      <c r="S1668" s="2" t="s">
        <v>23</v>
      </c>
      <c r="T1668" s="2" t="s">
        <v>23</v>
      </c>
      <c r="U1668" s="25">
        <f t="shared" si="105"/>
        <v>3843.0016679999999</v>
      </c>
    </row>
    <row r="1669" spans="1:21">
      <c r="A1669" s="2" t="s">
        <v>2501</v>
      </c>
      <c r="B1669" s="2" t="s">
        <v>2502</v>
      </c>
      <c r="C1669" s="2" t="s">
        <v>19</v>
      </c>
      <c r="D1669" s="2">
        <v>67</v>
      </c>
      <c r="E1669" s="2" t="str">
        <f t="shared" si="106"/>
        <v>60+</v>
      </c>
      <c r="F1669" s="2" t="s">
        <v>60</v>
      </c>
      <c r="G1669" s="2" t="s">
        <v>47</v>
      </c>
      <c r="H1669" s="2">
        <v>49</v>
      </c>
      <c r="I1669" s="2" t="str">
        <f t="shared" si="104"/>
        <v>49+ months</v>
      </c>
      <c r="J1669" s="3">
        <v>849</v>
      </c>
      <c r="K1669" s="3">
        <v>41601</v>
      </c>
      <c r="L1669" s="2" t="s">
        <v>31</v>
      </c>
      <c r="M1669" s="4">
        <v>44443</v>
      </c>
      <c r="N1669" s="2" t="s">
        <v>23</v>
      </c>
      <c r="O1669" s="2">
        <f t="shared" si="107"/>
        <v>0</v>
      </c>
      <c r="P1669" s="2" t="s">
        <v>23</v>
      </c>
      <c r="Q1669" s="2" t="s">
        <v>23</v>
      </c>
      <c r="R1669" s="2" t="s">
        <v>23</v>
      </c>
      <c r="S1669" s="2" t="s">
        <v>23</v>
      </c>
      <c r="T1669" s="2" t="s">
        <v>23</v>
      </c>
      <c r="U1669" s="25">
        <f t="shared" si="105"/>
        <v>41601.001668999997</v>
      </c>
    </row>
    <row r="1670" spans="1:21">
      <c r="A1670" s="2" t="s">
        <v>2503</v>
      </c>
      <c r="B1670" s="2" t="s">
        <v>2504</v>
      </c>
      <c r="C1670" s="2" t="s">
        <v>19</v>
      </c>
      <c r="D1670" s="2">
        <v>64</v>
      </c>
      <c r="E1670" s="2" t="str">
        <f t="shared" si="106"/>
        <v>60+</v>
      </c>
      <c r="F1670" s="2" t="s">
        <v>36</v>
      </c>
      <c r="G1670" s="2" t="s">
        <v>21</v>
      </c>
      <c r="H1670" s="2">
        <v>18</v>
      </c>
      <c r="I1670" s="2" t="str">
        <f t="shared" si="104"/>
        <v>13-24 months</v>
      </c>
      <c r="J1670" s="3">
        <v>1099</v>
      </c>
      <c r="K1670" s="3">
        <v>19782</v>
      </c>
      <c r="L1670" s="2" t="s">
        <v>22</v>
      </c>
      <c r="M1670" s="4">
        <v>45381</v>
      </c>
      <c r="N1670" s="2" t="s">
        <v>32</v>
      </c>
      <c r="O1670" s="2">
        <f t="shared" si="107"/>
        <v>1</v>
      </c>
      <c r="P1670" s="2" t="s">
        <v>23</v>
      </c>
      <c r="Q1670" s="2" t="s">
        <v>23</v>
      </c>
      <c r="R1670" s="2" t="s">
        <v>23</v>
      </c>
      <c r="S1670" s="2" t="s">
        <v>23</v>
      </c>
      <c r="T1670" s="2" t="s">
        <v>23</v>
      </c>
      <c r="U1670" s="25">
        <f t="shared" si="105"/>
        <v>19782.001670000001</v>
      </c>
    </row>
    <row r="1671" spans="1:21">
      <c r="A1671" s="2" t="s">
        <v>2505</v>
      </c>
      <c r="B1671" s="2" t="s">
        <v>1258</v>
      </c>
      <c r="C1671" s="2" t="s">
        <v>35</v>
      </c>
      <c r="D1671" s="2">
        <v>50</v>
      </c>
      <c r="E1671" s="2" t="str">
        <f t="shared" si="106"/>
        <v>46-60</v>
      </c>
      <c r="F1671" s="2" t="s">
        <v>91</v>
      </c>
      <c r="G1671" s="2" t="s">
        <v>21</v>
      </c>
      <c r="H1671" s="2">
        <v>2</v>
      </c>
      <c r="I1671" s="2" t="str">
        <f t="shared" si="104"/>
        <v>0-6 months</v>
      </c>
      <c r="J1671" s="3">
        <v>1099</v>
      </c>
      <c r="K1671" s="3">
        <v>2198</v>
      </c>
      <c r="L1671" s="2" t="s">
        <v>22</v>
      </c>
      <c r="M1671" s="4">
        <v>45849</v>
      </c>
      <c r="N1671" s="2" t="s">
        <v>32</v>
      </c>
      <c r="O1671" s="2">
        <f t="shared" si="107"/>
        <v>1</v>
      </c>
      <c r="P1671" s="2" t="s">
        <v>23</v>
      </c>
      <c r="Q1671" s="2" t="s">
        <v>23</v>
      </c>
      <c r="R1671" s="2" t="s">
        <v>23</v>
      </c>
      <c r="S1671" s="2" t="s">
        <v>23</v>
      </c>
      <c r="T1671" s="2" t="s">
        <v>23</v>
      </c>
      <c r="U1671" s="25">
        <f t="shared" si="105"/>
        <v>2198.001671</v>
      </c>
    </row>
    <row r="1672" spans="1:21">
      <c r="A1672" s="2" t="s">
        <v>2506</v>
      </c>
      <c r="B1672" s="2" t="s">
        <v>1146</v>
      </c>
      <c r="C1672" s="2" t="s">
        <v>35</v>
      </c>
      <c r="D1672" s="2">
        <v>51</v>
      </c>
      <c r="E1672" s="2" t="str">
        <f t="shared" si="106"/>
        <v>46-60</v>
      </c>
      <c r="F1672" s="2" t="s">
        <v>91</v>
      </c>
      <c r="G1672" s="2" t="s">
        <v>21</v>
      </c>
      <c r="H1672" s="2">
        <v>13</v>
      </c>
      <c r="I1672" s="2" t="str">
        <f t="shared" si="104"/>
        <v>13-24 months</v>
      </c>
      <c r="J1672" s="3">
        <v>749</v>
      </c>
      <c r="K1672" s="3">
        <v>9737</v>
      </c>
      <c r="L1672" s="2" t="s">
        <v>31</v>
      </c>
      <c r="M1672" s="4">
        <v>45515</v>
      </c>
      <c r="N1672" s="2" t="s">
        <v>23</v>
      </c>
      <c r="O1672" s="2">
        <f t="shared" si="107"/>
        <v>0</v>
      </c>
      <c r="P1672" s="2" t="s">
        <v>23</v>
      </c>
      <c r="Q1672" s="2" t="s">
        <v>23</v>
      </c>
      <c r="R1672" s="2" t="s">
        <v>23</v>
      </c>
      <c r="S1672" s="2" t="s">
        <v>23</v>
      </c>
      <c r="T1672" s="2" t="s">
        <v>23</v>
      </c>
      <c r="U1672" s="25">
        <f t="shared" si="105"/>
        <v>9737.0016720000003</v>
      </c>
    </row>
    <row r="1673" spans="1:21">
      <c r="A1673" s="2" t="s">
        <v>2507</v>
      </c>
      <c r="B1673" s="2" t="s">
        <v>2508</v>
      </c>
      <c r="C1673" s="2" t="s">
        <v>35</v>
      </c>
      <c r="D1673" s="2">
        <v>44</v>
      </c>
      <c r="E1673" s="2" t="str">
        <f t="shared" si="106"/>
        <v>36-45</v>
      </c>
      <c r="F1673" s="2" t="s">
        <v>36</v>
      </c>
      <c r="G1673" s="2" t="s">
        <v>21</v>
      </c>
      <c r="H1673" s="2">
        <v>6</v>
      </c>
      <c r="I1673" s="2" t="str">
        <f t="shared" si="104"/>
        <v>0-6 months</v>
      </c>
      <c r="J1673" s="3">
        <v>1299</v>
      </c>
      <c r="K1673" s="3">
        <v>7794</v>
      </c>
      <c r="L1673" s="2" t="s">
        <v>22</v>
      </c>
      <c r="M1673" s="4">
        <v>45721</v>
      </c>
      <c r="N1673" s="2" t="s">
        <v>32</v>
      </c>
      <c r="O1673" s="2">
        <f t="shared" si="107"/>
        <v>1</v>
      </c>
      <c r="P1673" s="2" t="s">
        <v>23</v>
      </c>
      <c r="Q1673" s="2" t="s">
        <v>23</v>
      </c>
      <c r="R1673" s="2" t="s">
        <v>23</v>
      </c>
      <c r="S1673" s="2" t="s">
        <v>23</v>
      </c>
      <c r="T1673" s="2" t="s">
        <v>23</v>
      </c>
      <c r="U1673" s="25">
        <f t="shared" si="105"/>
        <v>7794.0016729999998</v>
      </c>
    </row>
    <row r="1674" spans="1:21">
      <c r="A1674" s="2" t="s">
        <v>2509</v>
      </c>
      <c r="B1674" s="2" t="s">
        <v>454</v>
      </c>
      <c r="C1674" s="2" t="s">
        <v>35</v>
      </c>
      <c r="D1674" s="2">
        <v>39</v>
      </c>
      <c r="E1674" s="2" t="str">
        <f t="shared" si="106"/>
        <v>36-45</v>
      </c>
      <c r="F1674" s="2" t="s">
        <v>26</v>
      </c>
      <c r="G1674" s="2" t="s">
        <v>47</v>
      </c>
      <c r="H1674" s="2">
        <v>40</v>
      </c>
      <c r="I1674" s="2" t="str">
        <f t="shared" si="104"/>
        <v>25-48 months</v>
      </c>
      <c r="J1674" s="3">
        <v>1049</v>
      </c>
      <c r="K1674" s="3">
        <v>41960</v>
      </c>
      <c r="L1674" s="2" t="s">
        <v>22</v>
      </c>
      <c r="M1674" s="4">
        <v>44712</v>
      </c>
      <c r="N1674" s="2" t="s">
        <v>23</v>
      </c>
      <c r="O1674" s="2">
        <f t="shared" si="107"/>
        <v>0</v>
      </c>
      <c r="P1674" s="2" t="s">
        <v>23</v>
      </c>
      <c r="Q1674" s="2" t="s">
        <v>23</v>
      </c>
      <c r="R1674" s="2" t="s">
        <v>23</v>
      </c>
      <c r="S1674" s="2" t="s">
        <v>23</v>
      </c>
      <c r="T1674" s="2" t="s">
        <v>23</v>
      </c>
      <c r="U1674" s="25">
        <f t="shared" si="105"/>
        <v>41960.001673999999</v>
      </c>
    </row>
    <row r="1675" spans="1:21">
      <c r="A1675" s="2" t="s">
        <v>2510</v>
      </c>
      <c r="B1675" s="2" t="s">
        <v>787</v>
      </c>
      <c r="C1675" s="2" t="s">
        <v>19</v>
      </c>
      <c r="D1675" s="2">
        <v>33</v>
      </c>
      <c r="E1675" s="2" t="str">
        <f t="shared" si="106"/>
        <v>26-35</v>
      </c>
      <c r="F1675" s="2" t="s">
        <v>57</v>
      </c>
      <c r="G1675" s="2" t="s">
        <v>27</v>
      </c>
      <c r="H1675" s="2">
        <v>26</v>
      </c>
      <c r="I1675" s="2" t="str">
        <f t="shared" si="104"/>
        <v>25-48 months</v>
      </c>
      <c r="J1675" s="3">
        <v>749</v>
      </c>
      <c r="K1675" s="3">
        <v>19474</v>
      </c>
      <c r="L1675" s="2" t="s">
        <v>31</v>
      </c>
      <c r="M1675" s="4">
        <v>45143</v>
      </c>
      <c r="N1675" s="2" t="s">
        <v>23</v>
      </c>
      <c r="O1675" s="2">
        <f t="shared" si="107"/>
        <v>0</v>
      </c>
      <c r="P1675" s="2" t="s">
        <v>23</v>
      </c>
      <c r="Q1675" s="2" t="s">
        <v>23</v>
      </c>
      <c r="R1675" s="2" t="s">
        <v>32</v>
      </c>
      <c r="S1675" s="2" t="s">
        <v>23</v>
      </c>
      <c r="T1675" s="2" t="s">
        <v>23</v>
      </c>
      <c r="U1675" s="25">
        <f t="shared" si="105"/>
        <v>19474.001675</v>
      </c>
    </row>
    <row r="1676" spans="1:21">
      <c r="A1676" s="2" t="s">
        <v>2511</v>
      </c>
      <c r="B1676" s="2" t="s">
        <v>1002</v>
      </c>
      <c r="C1676" s="2" t="s">
        <v>35</v>
      </c>
      <c r="D1676" s="2">
        <v>36</v>
      </c>
      <c r="E1676" s="2" t="str">
        <f t="shared" si="106"/>
        <v>36-45</v>
      </c>
      <c r="F1676" s="2" t="s">
        <v>36</v>
      </c>
      <c r="G1676" s="2" t="s">
        <v>21</v>
      </c>
      <c r="H1676" s="2">
        <v>20</v>
      </c>
      <c r="I1676" s="2" t="str">
        <f t="shared" si="104"/>
        <v>13-24 months</v>
      </c>
      <c r="J1676" s="3">
        <v>1049</v>
      </c>
      <c r="K1676" s="3">
        <v>20980</v>
      </c>
      <c r="L1676" s="2" t="s">
        <v>22</v>
      </c>
      <c r="M1676" s="4">
        <v>45328</v>
      </c>
      <c r="N1676" s="2" t="s">
        <v>23</v>
      </c>
      <c r="O1676" s="2">
        <f t="shared" si="107"/>
        <v>0</v>
      </c>
      <c r="P1676" s="2" t="s">
        <v>23</v>
      </c>
      <c r="Q1676" s="2" t="s">
        <v>23</v>
      </c>
      <c r="R1676" s="2" t="s">
        <v>23</v>
      </c>
      <c r="S1676" s="2" t="s">
        <v>23</v>
      </c>
      <c r="T1676" s="2" t="s">
        <v>23</v>
      </c>
      <c r="U1676" s="25">
        <f t="shared" si="105"/>
        <v>20980.001676</v>
      </c>
    </row>
    <row r="1677" spans="1:21">
      <c r="A1677" s="2" t="s">
        <v>2512</v>
      </c>
      <c r="B1677" s="2" t="s">
        <v>629</v>
      </c>
      <c r="C1677" s="2" t="s">
        <v>37</v>
      </c>
      <c r="D1677" s="2">
        <v>25</v>
      </c>
      <c r="E1677" s="2" t="str">
        <f t="shared" si="106"/>
        <v>18-25</v>
      </c>
      <c r="F1677" s="2" t="s">
        <v>63</v>
      </c>
      <c r="G1677" s="2" t="s">
        <v>21</v>
      </c>
      <c r="H1677" s="2">
        <v>15</v>
      </c>
      <c r="I1677" s="2" t="str">
        <f t="shared" si="104"/>
        <v>13-24 months</v>
      </c>
      <c r="J1677" s="3">
        <v>749</v>
      </c>
      <c r="K1677" s="3">
        <v>11235</v>
      </c>
      <c r="L1677" s="2" t="s">
        <v>31</v>
      </c>
      <c r="M1677" s="4">
        <v>45474</v>
      </c>
      <c r="N1677" s="2" t="s">
        <v>32</v>
      </c>
      <c r="O1677" s="2">
        <f t="shared" si="107"/>
        <v>1</v>
      </c>
      <c r="P1677" s="2" t="s">
        <v>23</v>
      </c>
      <c r="Q1677" s="2" t="s">
        <v>23</v>
      </c>
      <c r="R1677" s="2" t="s">
        <v>23</v>
      </c>
      <c r="S1677" s="2" t="s">
        <v>23</v>
      </c>
      <c r="T1677" s="2" t="s">
        <v>23</v>
      </c>
      <c r="U1677" s="25">
        <f t="shared" si="105"/>
        <v>11235.001677</v>
      </c>
    </row>
    <row r="1678" spans="1:21">
      <c r="A1678" s="2" t="s">
        <v>2513</v>
      </c>
      <c r="B1678" s="2" t="s">
        <v>2452</v>
      </c>
      <c r="C1678" s="2" t="s">
        <v>35</v>
      </c>
      <c r="D1678" s="2">
        <v>42</v>
      </c>
      <c r="E1678" s="2" t="str">
        <f t="shared" si="106"/>
        <v>36-45</v>
      </c>
      <c r="F1678" s="2" t="s">
        <v>36</v>
      </c>
      <c r="G1678" s="2" t="s">
        <v>21</v>
      </c>
      <c r="H1678" s="2">
        <v>23</v>
      </c>
      <c r="I1678" s="2" t="str">
        <f t="shared" si="104"/>
        <v>13-24 months</v>
      </c>
      <c r="J1678" s="3">
        <v>599</v>
      </c>
      <c r="K1678" s="3">
        <v>13777</v>
      </c>
      <c r="L1678" s="2" t="s">
        <v>31</v>
      </c>
      <c r="M1678" s="4">
        <v>45211</v>
      </c>
      <c r="N1678" s="2" t="s">
        <v>23</v>
      </c>
      <c r="O1678" s="2">
        <f t="shared" si="107"/>
        <v>0</v>
      </c>
      <c r="P1678" s="2" t="s">
        <v>23</v>
      </c>
      <c r="Q1678" s="2" t="s">
        <v>23</v>
      </c>
      <c r="R1678" s="2" t="s">
        <v>23</v>
      </c>
      <c r="S1678" s="2" t="s">
        <v>23</v>
      </c>
      <c r="T1678" s="2" t="s">
        <v>23</v>
      </c>
      <c r="U1678" s="25">
        <f t="shared" si="105"/>
        <v>13777.001678000001</v>
      </c>
    </row>
    <row r="1679" spans="1:21">
      <c r="A1679" s="2" t="s">
        <v>2514</v>
      </c>
      <c r="B1679" s="2" t="s">
        <v>1703</v>
      </c>
      <c r="C1679" s="2" t="s">
        <v>35</v>
      </c>
      <c r="D1679" s="2">
        <v>58</v>
      </c>
      <c r="E1679" s="2" t="str">
        <f t="shared" si="106"/>
        <v>46-60</v>
      </c>
      <c r="F1679" s="2" t="s">
        <v>105</v>
      </c>
      <c r="G1679" s="2" t="s">
        <v>37</v>
      </c>
      <c r="H1679" s="2">
        <v>69</v>
      </c>
      <c r="I1679" s="2" t="str">
        <f t="shared" si="104"/>
        <v>49+ months</v>
      </c>
      <c r="J1679" s="3">
        <v>599</v>
      </c>
      <c r="K1679" s="3">
        <v>41331</v>
      </c>
      <c r="L1679" s="2" t="s">
        <v>31</v>
      </c>
      <c r="M1679" s="4">
        <v>43846</v>
      </c>
      <c r="N1679" s="2" t="s">
        <v>23</v>
      </c>
      <c r="O1679" s="2">
        <f t="shared" si="107"/>
        <v>0</v>
      </c>
      <c r="P1679" s="2" t="s">
        <v>23</v>
      </c>
      <c r="Q1679" s="2" t="s">
        <v>23</v>
      </c>
      <c r="R1679" s="2" t="s">
        <v>23</v>
      </c>
      <c r="S1679" s="2" t="s">
        <v>23</v>
      </c>
      <c r="T1679" s="2" t="s">
        <v>23</v>
      </c>
      <c r="U1679" s="25">
        <f t="shared" si="105"/>
        <v>41331.001679000001</v>
      </c>
    </row>
    <row r="1680" spans="1:21">
      <c r="A1680" s="2" t="s">
        <v>2515</v>
      </c>
      <c r="B1680" s="2" t="s">
        <v>1151</v>
      </c>
      <c r="C1680" s="2" t="s">
        <v>35</v>
      </c>
      <c r="D1680" s="2">
        <v>26</v>
      </c>
      <c r="E1680" s="2" t="str">
        <f t="shared" si="106"/>
        <v>26-35</v>
      </c>
      <c r="F1680" s="2" t="s">
        <v>20</v>
      </c>
      <c r="G1680" s="2" t="s">
        <v>47</v>
      </c>
      <c r="H1680" s="2">
        <v>46</v>
      </c>
      <c r="I1680" s="2" t="str">
        <f t="shared" si="104"/>
        <v>25-48 months</v>
      </c>
      <c r="J1680" s="3">
        <v>749</v>
      </c>
      <c r="K1680" s="3">
        <v>34454</v>
      </c>
      <c r="L1680" s="2" t="s">
        <v>31</v>
      </c>
      <c r="M1680" s="4">
        <v>44540</v>
      </c>
      <c r="N1680" s="2" t="s">
        <v>23</v>
      </c>
      <c r="O1680" s="2">
        <f t="shared" si="107"/>
        <v>0</v>
      </c>
      <c r="P1680" s="2" t="s">
        <v>23</v>
      </c>
      <c r="Q1680" s="2" t="s">
        <v>23</v>
      </c>
      <c r="R1680" s="2" t="s">
        <v>23</v>
      </c>
      <c r="S1680" s="2" t="s">
        <v>23</v>
      </c>
      <c r="T1680" s="2" t="s">
        <v>23</v>
      </c>
      <c r="U1680" s="25">
        <f t="shared" si="105"/>
        <v>34454.001680000001</v>
      </c>
    </row>
    <row r="1681" spans="1:21">
      <c r="A1681" s="2" t="s">
        <v>2516</v>
      </c>
      <c r="B1681" s="2" t="s">
        <v>706</v>
      </c>
      <c r="C1681" s="2" t="s">
        <v>35</v>
      </c>
      <c r="D1681" s="2">
        <v>44</v>
      </c>
      <c r="E1681" s="2" t="str">
        <f t="shared" si="106"/>
        <v>36-45</v>
      </c>
      <c r="F1681" s="2" t="s">
        <v>110</v>
      </c>
      <c r="G1681" s="2" t="s">
        <v>21</v>
      </c>
      <c r="H1681" s="2">
        <v>14</v>
      </c>
      <c r="I1681" s="2" t="str">
        <f t="shared" si="104"/>
        <v>13-24 months</v>
      </c>
      <c r="J1681" s="3">
        <v>599</v>
      </c>
      <c r="K1681" s="3">
        <v>8386</v>
      </c>
      <c r="L1681" s="2" t="s">
        <v>31</v>
      </c>
      <c r="M1681" s="4">
        <v>45507</v>
      </c>
      <c r="N1681" s="2" t="s">
        <v>23</v>
      </c>
      <c r="O1681" s="2">
        <f t="shared" si="107"/>
        <v>0</v>
      </c>
      <c r="P1681" s="2" t="s">
        <v>23</v>
      </c>
      <c r="Q1681" s="2" t="s">
        <v>23</v>
      </c>
      <c r="R1681" s="2" t="s">
        <v>23</v>
      </c>
      <c r="S1681" s="2" t="s">
        <v>23</v>
      </c>
      <c r="T1681" s="2" t="s">
        <v>23</v>
      </c>
      <c r="U1681" s="25">
        <f t="shared" si="105"/>
        <v>8386.0016809999997</v>
      </c>
    </row>
    <row r="1682" spans="1:21">
      <c r="A1682" s="2" t="s">
        <v>2517</v>
      </c>
      <c r="B1682" s="2" t="s">
        <v>678</v>
      </c>
      <c r="C1682" s="2" t="s">
        <v>19</v>
      </c>
      <c r="D1682" s="2">
        <v>32</v>
      </c>
      <c r="E1682" s="2" t="str">
        <f t="shared" si="106"/>
        <v>26-35</v>
      </c>
      <c r="F1682" s="2" t="s">
        <v>141</v>
      </c>
      <c r="G1682" s="2" t="s">
        <v>27</v>
      </c>
      <c r="H1682" s="2">
        <v>15</v>
      </c>
      <c r="I1682" s="2" t="str">
        <f t="shared" si="104"/>
        <v>13-24 months</v>
      </c>
      <c r="J1682" s="3">
        <v>1049</v>
      </c>
      <c r="K1682" s="3">
        <v>15735</v>
      </c>
      <c r="L1682" s="2" t="s">
        <v>22</v>
      </c>
      <c r="M1682" s="4">
        <v>45451</v>
      </c>
      <c r="N1682" s="2" t="s">
        <v>23</v>
      </c>
      <c r="O1682" s="2">
        <f t="shared" si="107"/>
        <v>0</v>
      </c>
      <c r="P1682" s="2" t="s">
        <v>23</v>
      </c>
      <c r="Q1682" s="2" t="s">
        <v>32</v>
      </c>
      <c r="R1682" s="2" t="s">
        <v>23</v>
      </c>
      <c r="S1682" s="2" t="s">
        <v>23</v>
      </c>
      <c r="T1682" s="2" t="s">
        <v>23</v>
      </c>
      <c r="U1682" s="25">
        <f t="shared" si="105"/>
        <v>15735.001682</v>
      </c>
    </row>
    <row r="1683" spans="1:21">
      <c r="A1683" s="2" t="s">
        <v>2518</v>
      </c>
      <c r="B1683" s="2" t="s">
        <v>2519</v>
      </c>
      <c r="C1683" s="2" t="s">
        <v>19</v>
      </c>
      <c r="D1683" s="2">
        <v>40</v>
      </c>
      <c r="E1683" s="2" t="str">
        <f t="shared" si="106"/>
        <v>36-45</v>
      </c>
      <c r="F1683" s="2" t="s">
        <v>57</v>
      </c>
      <c r="G1683" s="2" t="s">
        <v>27</v>
      </c>
      <c r="H1683" s="2">
        <v>17</v>
      </c>
      <c r="I1683" s="2" t="str">
        <f t="shared" si="104"/>
        <v>13-24 months</v>
      </c>
      <c r="J1683" s="3">
        <v>999</v>
      </c>
      <c r="K1683" s="3">
        <v>16983</v>
      </c>
      <c r="L1683" s="2" t="s">
        <v>22</v>
      </c>
      <c r="M1683" s="4">
        <v>45397</v>
      </c>
      <c r="N1683" s="2" t="s">
        <v>32</v>
      </c>
      <c r="O1683" s="2">
        <f t="shared" si="107"/>
        <v>1</v>
      </c>
      <c r="P1683" s="2" t="s">
        <v>23</v>
      </c>
      <c r="Q1683" s="2" t="s">
        <v>23</v>
      </c>
      <c r="R1683" s="2" t="s">
        <v>23</v>
      </c>
      <c r="S1683" s="2" t="s">
        <v>32</v>
      </c>
      <c r="T1683" s="2" t="s">
        <v>23</v>
      </c>
      <c r="U1683" s="25">
        <f t="shared" si="105"/>
        <v>16983.001682999999</v>
      </c>
    </row>
    <row r="1684" spans="1:21">
      <c r="A1684" s="2" t="s">
        <v>2520</v>
      </c>
      <c r="B1684" s="2" t="s">
        <v>1025</v>
      </c>
      <c r="C1684" s="2" t="s">
        <v>19</v>
      </c>
      <c r="D1684" s="2">
        <v>74</v>
      </c>
      <c r="E1684" s="2" t="str">
        <f t="shared" si="106"/>
        <v>60+</v>
      </c>
      <c r="F1684" s="2" t="s">
        <v>46</v>
      </c>
      <c r="G1684" s="2" t="s">
        <v>21</v>
      </c>
      <c r="H1684" s="2">
        <v>9</v>
      </c>
      <c r="I1684" s="2" t="str">
        <f t="shared" si="104"/>
        <v>7-12 months</v>
      </c>
      <c r="J1684" s="3">
        <v>899</v>
      </c>
      <c r="K1684" s="3">
        <v>8091</v>
      </c>
      <c r="L1684" s="2" t="s">
        <v>22</v>
      </c>
      <c r="M1684" s="4">
        <v>45638</v>
      </c>
      <c r="N1684" s="2" t="s">
        <v>32</v>
      </c>
      <c r="O1684" s="2">
        <f t="shared" si="107"/>
        <v>1</v>
      </c>
      <c r="P1684" s="2" t="s">
        <v>23</v>
      </c>
      <c r="Q1684" s="2" t="s">
        <v>23</v>
      </c>
      <c r="R1684" s="2" t="s">
        <v>23</v>
      </c>
      <c r="S1684" s="2" t="s">
        <v>32</v>
      </c>
      <c r="T1684" s="2" t="s">
        <v>23</v>
      </c>
      <c r="U1684" s="25">
        <f t="shared" si="105"/>
        <v>8091.0016839999998</v>
      </c>
    </row>
    <row r="1685" spans="1:21">
      <c r="A1685" s="2" t="s">
        <v>2521</v>
      </c>
      <c r="B1685" s="2" t="s">
        <v>302</v>
      </c>
      <c r="C1685" s="2" t="s">
        <v>35</v>
      </c>
      <c r="D1685" s="2">
        <v>47</v>
      </c>
      <c r="E1685" s="2" t="str">
        <f t="shared" si="106"/>
        <v>46-60</v>
      </c>
      <c r="F1685" s="2" t="s">
        <v>30</v>
      </c>
      <c r="G1685" s="2" t="s">
        <v>27</v>
      </c>
      <c r="H1685" s="2">
        <v>5</v>
      </c>
      <c r="I1685" s="2" t="str">
        <f t="shared" si="104"/>
        <v>0-6 months</v>
      </c>
      <c r="J1685" s="3">
        <v>399</v>
      </c>
      <c r="K1685" s="3">
        <v>1995</v>
      </c>
      <c r="L1685" s="2" t="s">
        <v>66</v>
      </c>
      <c r="M1685" s="4">
        <v>45756</v>
      </c>
      <c r="N1685" s="2" t="s">
        <v>32</v>
      </c>
      <c r="O1685" s="2">
        <f t="shared" si="107"/>
        <v>1</v>
      </c>
      <c r="P1685" s="2" t="s">
        <v>23</v>
      </c>
      <c r="Q1685" s="2" t="s">
        <v>23</v>
      </c>
      <c r="R1685" s="2" t="s">
        <v>23</v>
      </c>
      <c r="S1685" s="2" t="s">
        <v>32</v>
      </c>
      <c r="T1685" s="2" t="s">
        <v>23</v>
      </c>
      <c r="U1685" s="25">
        <f t="shared" si="105"/>
        <v>1995.001685</v>
      </c>
    </row>
    <row r="1686" spans="1:21">
      <c r="A1686" s="2" t="s">
        <v>2522</v>
      </c>
      <c r="B1686" s="2" t="s">
        <v>2341</v>
      </c>
      <c r="C1686" s="2" t="s">
        <v>35</v>
      </c>
      <c r="D1686" s="2">
        <v>57</v>
      </c>
      <c r="E1686" s="2" t="str">
        <f t="shared" si="106"/>
        <v>46-60</v>
      </c>
      <c r="F1686" s="2" t="s">
        <v>110</v>
      </c>
      <c r="G1686" s="2" t="s">
        <v>27</v>
      </c>
      <c r="H1686" s="2">
        <v>40</v>
      </c>
      <c r="I1686" s="2" t="str">
        <f t="shared" si="104"/>
        <v>25-48 months</v>
      </c>
      <c r="J1686" s="3">
        <v>349</v>
      </c>
      <c r="K1686" s="3">
        <v>13960</v>
      </c>
      <c r="L1686" s="2" t="s">
        <v>66</v>
      </c>
      <c r="M1686" s="4">
        <v>44700</v>
      </c>
      <c r="N1686" s="2" t="s">
        <v>23</v>
      </c>
      <c r="O1686" s="2">
        <f t="shared" si="107"/>
        <v>0</v>
      </c>
      <c r="P1686" s="2" t="s">
        <v>23</v>
      </c>
      <c r="Q1686" s="2" t="s">
        <v>23</v>
      </c>
      <c r="R1686" s="2" t="s">
        <v>32</v>
      </c>
      <c r="S1686" s="2" t="s">
        <v>23</v>
      </c>
      <c r="T1686" s="2" t="s">
        <v>23</v>
      </c>
      <c r="U1686" s="25">
        <f t="shared" si="105"/>
        <v>13960.001686</v>
      </c>
    </row>
    <row r="1687" spans="1:21">
      <c r="A1687" s="2" t="s">
        <v>2523</v>
      </c>
      <c r="B1687" s="2" t="s">
        <v>306</v>
      </c>
      <c r="C1687" s="2" t="s">
        <v>35</v>
      </c>
      <c r="D1687" s="2">
        <v>60</v>
      </c>
      <c r="E1687" s="2" t="str">
        <f t="shared" si="106"/>
        <v>46-60</v>
      </c>
      <c r="F1687" s="2" t="s">
        <v>46</v>
      </c>
      <c r="G1687" s="2" t="s">
        <v>27</v>
      </c>
      <c r="H1687" s="2">
        <v>11</v>
      </c>
      <c r="I1687" s="2" t="str">
        <f t="shared" si="104"/>
        <v>7-12 months</v>
      </c>
      <c r="J1687" s="3">
        <v>999</v>
      </c>
      <c r="K1687" s="3">
        <v>10989</v>
      </c>
      <c r="L1687" s="2" t="s">
        <v>22</v>
      </c>
      <c r="M1687" s="4">
        <v>45572</v>
      </c>
      <c r="N1687" s="2" t="s">
        <v>32</v>
      </c>
      <c r="O1687" s="2">
        <f t="shared" si="107"/>
        <v>1</v>
      </c>
      <c r="P1687" s="2" t="s">
        <v>23</v>
      </c>
      <c r="Q1687" s="2" t="s">
        <v>23</v>
      </c>
      <c r="R1687" s="2" t="s">
        <v>23</v>
      </c>
      <c r="S1687" s="2" t="s">
        <v>23</v>
      </c>
      <c r="T1687" s="2" t="s">
        <v>23</v>
      </c>
      <c r="U1687" s="25">
        <f t="shared" si="105"/>
        <v>10989.001687</v>
      </c>
    </row>
    <row r="1688" spans="1:21">
      <c r="A1688" s="2" t="s">
        <v>2524</v>
      </c>
      <c r="B1688" s="2" t="s">
        <v>1382</v>
      </c>
      <c r="C1688" s="2" t="s">
        <v>35</v>
      </c>
      <c r="D1688" s="2">
        <v>75</v>
      </c>
      <c r="E1688" s="2" t="str">
        <f t="shared" si="106"/>
        <v>60+</v>
      </c>
      <c r="F1688" s="2" t="s">
        <v>60</v>
      </c>
      <c r="G1688" s="2" t="s">
        <v>21</v>
      </c>
      <c r="H1688" s="2">
        <v>18</v>
      </c>
      <c r="I1688" s="2" t="str">
        <f t="shared" si="104"/>
        <v>13-24 months</v>
      </c>
      <c r="J1688" s="3">
        <v>599</v>
      </c>
      <c r="K1688" s="3">
        <v>10782</v>
      </c>
      <c r="L1688" s="2" t="s">
        <v>31</v>
      </c>
      <c r="M1688" s="4">
        <v>45376</v>
      </c>
      <c r="N1688" s="2" t="s">
        <v>23</v>
      </c>
      <c r="O1688" s="2">
        <f t="shared" si="107"/>
        <v>0</v>
      </c>
      <c r="P1688" s="2" t="s">
        <v>23</v>
      </c>
      <c r="Q1688" s="2" t="s">
        <v>23</v>
      </c>
      <c r="R1688" s="2" t="s">
        <v>23</v>
      </c>
      <c r="S1688" s="2" t="s">
        <v>23</v>
      </c>
      <c r="T1688" s="2" t="s">
        <v>23</v>
      </c>
      <c r="U1688" s="25">
        <f t="shared" si="105"/>
        <v>10782.001688</v>
      </c>
    </row>
    <row r="1689" spans="1:21">
      <c r="A1689" s="2" t="s">
        <v>2525</v>
      </c>
      <c r="B1689" s="2" t="s">
        <v>2526</v>
      </c>
      <c r="C1689" s="2" t="s">
        <v>37</v>
      </c>
      <c r="D1689" s="2">
        <v>39</v>
      </c>
      <c r="E1689" s="2" t="str">
        <f t="shared" si="106"/>
        <v>36-45</v>
      </c>
      <c r="F1689" s="2" t="s">
        <v>141</v>
      </c>
      <c r="G1689" s="2" t="s">
        <v>27</v>
      </c>
      <c r="H1689" s="2">
        <v>39</v>
      </c>
      <c r="I1689" s="2" t="str">
        <f t="shared" si="104"/>
        <v>25-48 months</v>
      </c>
      <c r="J1689" s="3">
        <v>899</v>
      </c>
      <c r="K1689" s="3">
        <v>35061</v>
      </c>
      <c r="L1689" s="2" t="s">
        <v>31</v>
      </c>
      <c r="M1689" s="4">
        <v>44742</v>
      </c>
      <c r="N1689" s="2" t="s">
        <v>23</v>
      </c>
      <c r="O1689" s="2">
        <f t="shared" si="107"/>
        <v>0</v>
      </c>
      <c r="P1689" s="2" t="s">
        <v>23</v>
      </c>
      <c r="Q1689" s="2" t="s">
        <v>23</v>
      </c>
      <c r="R1689" s="2" t="s">
        <v>23</v>
      </c>
      <c r="S1689" s="2" t="s">
        <v>23</v>
      </c>
      <c r="T1689" s="2" t="s">
        <v>23</v>
      </c>
      <c r="U1689" s="25">
        <f t="shared" si="105"/>
        <v>35061.001688999997</v>
      </c>
    </row>
    <row r="1690" spans="1:21">
      <c r="A1690" s="2" t="s">
        <v>2527</v>
      </c>
      <c r="B1690" s="2" t="s">
        <v>256</v>
      </c>
      <c r="C1690" s="2" t="s">
        <v>19</v>
      </c>
      <c r="D1690" s="2">
        <v>75</v>
      </c>
      <c r="E1690" s="2" t="str">
        <f t="shared" si="106"/>
        <v>60+</v>
      </c>
      <c r="F1690" s="2" t="s">
        <v>20</v>
      </c>
      <c r="G1690" s="2" t="s">
        <v>21</v>
      </c>
      <c r="H1690" s="2">
        <v>10</v>
      </c>
      <c r="I1690" s="2" t="str">
        <f t="shared" si="104"/>
        <v>7-12 months</v>
      </c>
      <c r="J1690" s="3">
        <v>599</v>
      </c>
      <c r="K1690" s="3">
        <v>5990</v>
      </c>
      <c r="L1690" s="2" t="s">
        <v>31</v>
      </c>
      <c r="M1690" s="4">
        <v>45606</v>
      </c>
      <c r="N1690" s="2" t="s">
        <v>23</v>
      </c>
      <c r="O1690" s="2">
        <f t="shared" si="107"/>
        <v>0</v>
      </c>
      <c r="P1690" s="2" t="s">
        <v>23</v>
      </c>
      <c r="Q1690" s="2" t="s">
        <v>23</v>
      </c>
      <c r="R1690" s="2" t="s">
        <v>23</v>
      </c>
      <c r="S1690" s="2" t="s">
        <v>23</v>
      </c>
      <c r="T1690" s="2" t="s">
        <v>23</v>
      </c>
      <c r="U1690" s="25">
        <f t="shared" si="105"/>
        <v>5990.0016900000001</v>
      </c>
    </row>
    <row r="1691" spans="1:21">
      <c r="A1691" s="2" t="s">
        <v>2528</v>
      </c>
      <c r="B1691" s="2" t="s">
        <v>1212</v>
      </c>
      <c r="C1691" s="2" t="s">
        <v>35</v>
      </c>
      <c r="D1691" s="2">
        <v>50</v>
      </c>
      <c r="E1691" s="2" t="str">
        <f t="shared" si="106"/>
        <v>46-60</v>
      </c>
      <c r="F1691" s="2" t="s">
        <v>46</v>
      </c>
      <c r="G1691" s="2" t="s">
        <v>21</v>
      </c>
      <c r="H1691" s="2">
        <v>14</v>
      </c>
      <c r="I1691" s="2" t="str">
        <f t="shared" si="104"/>
        <v>13-24 months</v>
      </c>
      <c r="J1691" s="3">
        <v>699</v>
      </c>
      <c r="K1691" s="3">
        <v>9786</v>
      </c>
      <c r="L1691" s="2" t="s">
        <v>31</v>
      </c>
      <c r="M1691" s="4">
        <v>45479</v>
      </c>
      <c r="N1691" s="2" t="s">
        <v>32</v>
      </c>
      <c r="O1691" s="2">
        <f t="shared" si="107"/>
        <v>1</v>
      </c>
      <c r="P1691" s="2" t="s">
        <v>23</v>
      </c>
      <c r="Q1691" s="2" t="s">
        <v>23</v>
      </c>
      <c r="R1691" s="2" t="s">
        <v>23</v>
      </c>
      <c r="S1691" s="2" t="s">
        <v>23</v>
      </c>
      <c r="T1691" s="2" t="s">
        <v>23</v>
      </c>
      <c r="U1691" s="25">
        <f t="shared" si="105"/>
        <v>9786.0016909999995</v>
      </c>
    </row>
    <row r="1692" spans="1:21">
      <c r="A1692" s="2" t="s">
        <v>2529</v>
      </c>
      <c r="B1692" s="2" t="s">
        <v>1575</v>
      </c>
      <c r="C1692" s="2" t="s">
        <v>35</v>
      </c>
      <c r="D1692" s="2">
        <v>45</v>
      </c>
      <c r="E1692" s="2" t="str">
        <f t="shared" si="106"/>
        <v>36-45</v>
      </c>
      <c r="F1692" s="2" t="s">
        <v>36</v>
      </c>
      <c r="G1692" s="2" t="s">
        <v>47</v>
      </c>
      <c r="H1692" s="2">
        <v>69</v>
      </c>
      <c r="I1692" s="2" t="str">
        <f t="shared" si="104"/>
        <v>49+ months</v>
      </c>
      <c r="J1692" s="3">
        <v>699</v>
      </c>
      <c r="K1692" s="3">
        <v>48231</v>
      </c>
      <c r="L1692" s="2" t="s">
        <v>31</v>
      </c>
      <c r="M1692" s="4">
        <v>43839</v>
      </c>
      <c r="N1692" s="2" t="s">
        <v>23</v>
      </c>
      <c r="O1692" s="2">
        <f t="shared" si="107"/>
        <v>0</v>
      </c>
      <c r="P1692" s="2" t="s">
        <v>23</v>
      </c>
      <c r="Q1692" s="2" t="s">
        <v>23</v>
      </c>
      <c r="R1692" s="2" t="s">
        <v>23</v>
      </c>
      <c r="S1692" s="2" t="s">
        <v>23</v>
      </c>
      <c r="T1692" s="2" t="s">
        <v>23</v>
      </c>
      <c r="U1692" s="25">
        <f t="shared" si="105"/>
        <v>48231.001691999998</v>
      </c>
    </row>
    <row r="1693" spans="1:21">
      <c r="A1693" s="2" t="s">
        <v>2530</v>
      </c>
      <c r="B1693" s="2" t="s">
        <v>492</v>
      </c>
      <c r="C1693" s="2" t="s">
        <v>19</v>
      </c>
      <c r="D1693" s="2">
        <v>68</v>
      </c>
      <c r="E1693" s="2" t="str">
        <f t="shared" si="106"/>
        <v>60+</v>
      </c>
      <c r="F1693" s="2" t="s">
        <v>26</v>
      </c>
      <c r="G1693" s="2" t="s">
        <v>21</v>
      </c>
      <c r="H1693" s="2">
        <v>21</v>
      </c>
      <c r="I1693" s="2" t="str">
        <f t="shared" si="104"/>
        <v>13-24 months</v>
      </c>
      <c r="J1693" s="3">
        <v>1299</v>
      </c>
      <c r="K1693" s="3">
        <v>27279</v>
      </c>
      <c r="L1693" s="2" t="s">
        <v>22</v>
      </c>
      <c r="M1693" s="4">
        <v>45279</v>
      </c>
      <c r="N1693" s="2" t="s">
        <v>32</v>
      </c>
      <c r="O1693" s="2">
        <f t="shared" si="107"/>
        <v>1</v>
      </c>
      <c r="P1693" s="2" t="s">
        <v>23</v>
      </c>
      <c r="Q1693" s="2" t="s">
        <v>23</v>
      </c>
      <c r="R1693" s="2" t="s">
        <v>23</v>
      </c>
      <c r="S1693" s="2" t="s">
        <v>23</v>
      </c>
      <c r="T1693" s="2" t="s">
        <v>23</v>
      </c>
      <c r="U1693" s="25">
        <f t="shared" si="105"/>
        <v>27279.001692999998</v>
      </c>
    </row>
    <row r="1694" spans="1:21">
      <c r="A1694" s="2" t="s">
        <v>2531</v>
      </c>
      <c r="B1694" s="2" t="s">
        <v>248</v>
      </c>
      <c r="C1694" s="2" t="s">
        <v>19</v>
      </c>
      <c r="D1694" s="2">
        <v>47</v>
      </c>
      <c r="E1694" s="2" t="str">
        <f t="shared" si="106"/>
        <v>46-60</v>
      </c>
      <c r="F1694" s="2" t="s">
        <v>26</v>
      </c>
      <c r="G1694" s="2" t="s">
        <v>21</v>
      </c>
      <c r="H1694" s="2">
        <v>18</v>
      </c>
      <c r="I1694" s="2" t="str">
        <f t="shared" si="104"/>
        <v>13-24 months</v>
      </c>
      <c r="J1694" s="3">
        <v>849</v>
      </c>
      <c r="K1694" s="3">
        <v>15282</v>
      </c>
      <c r="L1694" s="2" t="s">
        <v>31</v>
      </c>
      <c r="M1694" s="4">
        <v>45375</v>
      </c>
      <c r="N1694" s="2" t="s">
        <v>23</v>
      </c>
      <c r="O1694" s="2">
        <f t="shared" si="107"/>
        <v>0</v>
      </c>
      <c r="P1694" s="2" t="s">
        <v>23</v>
      </c>
      <c r="Q1694" s="2" t="s">
        <v>23</v>
      </c>
      <c r="R1694" s="2" t="s">
        <v>23</v>
      </c>
      <c r="S1694" s="2" t="s">
        <v>23</v>
      </c>
      <c r="T1694" s="2" t="s">
        <v>23</v>
      </c>
      <c r="U1694" s="25">
        <f t="shared" si="105"/>
        <v>15282.001694</v>
      </c>
    </row>
    <row r="1695" spans="1:21">
      <c r="A1695" s="2" t="s">
        <v>2532</v>
      </c>
      <c r="B1695" s="2" t="s">
        <v>953</v>
      </c>
      <c r="C1695" s="2" t="s">
        <v>19</v>
      </c>
      <c r="D1695" s="2">
        <v>47</v>
      </c>
      <c r="E1695" s="2" t="str">
        <f t="shared" si="106"/>
        <v>46-60</v>
      </c>
      <c r="F1695" s="2" t="s">
        <v>30</v>
      </c>
      <c r="G1695" s="2" t="s">
        <v>21</v>
      </c>
      <c r="H1695" s="2">
        <v>16</v>
      </c>
      <c r="I1695" s="2" t="str">
        <f t="shared" si="104"/>
        <v>13-24 months</v>
      </c>
      <c r="J1695" s="3">
        <v>1049</v>
      </c>
      <c r="K1695" s="3">
        <v>16784</v>
      </c>
      <c r="L1695" s="2" t="s">
        <v>22</v>
      </c>
      <c r="M1695" s="4">
        <v>45440</v>
      </c>
      <c r="N1695" s="2" t="s">
        <v>23</v>
      </c>
      <c r="O1695" s="2">
        <f t="shared" si="107"/>
        <v>0</v>
      </c>
      <c r="P1695" s="2" t="s">
        <v>32</v>
      </c>
      <c r="Q1695" s="2" t="s">
        <v>23</v>
      </c>
      <c r="R1695" s="2" t="s">
        <v>23</v>
      </c>
      <c r="S1695" s="2" t="s">
        <v>32</v>
      </c>
      <c r="T1695" s="2" t="s">
        <v>23</v>
      </c>
      <c r="U1695" s="25">
        <f t="shared" si="105"/>
        <v>16784.001694999999</v>
      </c>
    </row>
    <row r="1696" spans="1:21">
      <c r="A1696" s="2" t="s">
        <v>2533</v>
      </c>
      <c r="B1696" s="2" t="s">
        <v>2534</v>
      </c>
      <c r="C1696" s="2" t="s">
        <v>35</v>
      </c>
      <c r="D1696" s="2">
        <v>69</v>
      </c>
      <c r="E1696" s="2" t="str">
        <f t="shared" si="106"/>
        <v>60+</v>
      </c>
      <c r="F1696" s="2" t="s">
        <v>41</v>
      </c>
      <c r="G1696" s="2" t="s">
        <v>47</v>
      </c>
      <c r="H1696" s="2">
        <v>70</v>
      </c>
      <c r="I1696" s="2" t="str">
        <f t="shared" si="104"/>
        <v>49+ months</v>
      </c>
      <c r="J1696" s="3">
        <v>449</v>
      </c>
      <c r="K1696" s="3">
        <v>31430</v>
      </c>
      <c r="L1696" s="2" t="s">
        <v>66</v>
      </c>
      <c r="M1696" s="4">
        <v>43824</v>
      </c>
      <c r="N1696" s="2" t="s">
        <v>23</v>
      </c>
      <c r="O1696" s="2">
        <f t="shared" si="107"/>
        <v>0</v>
      </c>
      <c r="P1696" s="2" t="s">
        <v>23</v>
      </c>
      <c r="Q1696" s="2" t="s">
        <v>23</v>
      </c>
      <c r="R1696" s="2" t="s">
        <v>23</v>
      </c>
      <c r="S1696" s="2" t="s">
        <v>23</v>
      </c>
      <c r="T1696" s="2" t="s">
        <v>23</v>
      </c>
      <c r="U1696" s="25">
        <f t="shared" si="105"/>
        <v>31430.001695999999</v>
      </c>
    </row>
    <row r="1697" spans="1:21">
      <c r="A1697" s="2" t="s">
        <v>2535</v>
      </c>
      <c r="B1697" s="2" t="s">
        <v>1044</v>
      </c>
      <c r="C1697" s="2" t="s">
        <v>19</v>
      </c>
      <c r="D1697" s="2">
        <v>32</v>
      </c>
      <c r="E1697" s="2" t="str">
        <f t="shared" si="106"/>
        <v>26-35</v>
      </c>
      <c r="F1697" s="2" t="s">
        <v>91</v>
      </c>
      <c r="G1697" s="2" t="s">
        <v>21</v>
      </c>
      <c r="H1697" s="2">
        <v>8</v>
      </c>
      <c r="I1697" s="2" t="str">
        <f t="shared" si="104"/>
        <v>7-12 months</v>
      </c>
      <c r="J1697" s="3">
        <v>1299</v>
      </c>
      <c r="K1697" s="3">
        <v>10392</v>
      </c>
      <c r="L1697" s="2" t="s">
        <v>22</v>
      </c>
      <c r="M1697" s="4">
        <v>45685</v>
      </c>
      <c r="N1697" s="2" t="s">
        <v>32</v>
      </c>
      <c r="O1697" s="2">
        <f t="shared" si="107"/>
        <v>1</v>
      </c>
      <c r="P1697" s="2" t="s">
        <v>23</v>
      </c>
      <c r="Q1697" s="2" t="s">
        <v>23</v>
      </c>
      <c r="R1697" s="2" t="s">
        <v>23</v>
      </c>
      <c r="S1697" s="2" t="s">
        <v>23</v>
      </c>
      <c r="T1697" s="2" t="s">
        <v>23</v>
      </c>
      <c r="U1697" s="25">
        <f t="shared" si="105"/>
        <v>10392.001697</v>
      </c>
    </row>
    <row r="1698" spans="1:21">
      <c r="A1698" s="2" t="s">
        <v>2536</v>
      </c>
      <c r="B1698" s="2" t="s">
        <v>1408</v>
      </c>
      <c r="C1698" s="2" t="s">
        <v>35</v>
      </c>
      <c r="D1698" s="2">
        <v>70</v>
      </c>
      <c r="E1698" s="2" t="str">
        <f t="shared" si="106"/>
        <v>60+</v>
      </c>
      <c r="F1698" s="2" t="s">
        <v>63</v>
      </c>
      <c r="G1698" s="2" t="s">
        <v>47</v>
      </c>
      <c r="H1698" s="2">
        <v>23</v>
      </c>
      <c r="I1698" s="2" t="str">
        <f t="shared" si="104"/>
        <v>13-24 months</v>
      </c>
      <c r="J1698" s="3">
        <v>1299</v>
      </c>
      <c r="K1698" s="3">
        <v>29877</v>
      </c>
      <c r="L1698" s="2" t="s">
        <v>22</v>
      </c>
      <c r="M1698" s="4">
        <v>45216</v>
      </c>
      <c r="N1698" s="2" t="s">
        <v>23</v>
      </c>
      <c r="O1698" s="2">
        <f t="shared" si="107"/>
        <v>0</v>
      </c>
      <c r="P1698" s="2" t="s">
        <v>23</v>
      </c>
      <c r="Q1698" s="2" t="s">
        <v>23</v>
      </c>
      <c r="R1698" s="2" t="s">
        <v>23</v>
      </c>
      <c r="S1698" s="2" t="s">
        <v>23</v>
      </c>
      <c r="T1698" s="2" t="s">
        <v>23</v>
      </c>
      <c r="U1698" s="25">
        <f t="shared" si="105"/>
        <v>29877.001698</v>
      </c>
    </row>
    <row r="1699" spans="1:21">
      <c r="A1699" s="2" t="s">
        <v>2537</v>
      </c>
      <c r="B1699" s="2" t="s">
        <v>946</v>
      </c>
      <c r="C1699" s="2" t="s">
        <v>19</v>
      </c>
      <c r="D1699" s="2">
        <v>25</v>
      </c>
      <c r="E1699" s="2" t="str">
        <f t="shared" si="106"/>
        <v>18-25</v>
      </c>
      <c r="F1699" s="2" t="s">
        <v>36</v>
      </c>
      <c r="G1699" s="2" t="s">
        <v>47</v>
      </c>
      <c r="H1699" s="2">
        <v>30</v>
      </c>
      <c r="I1699" s="2" t="str">
        <f t="shared" si="104"/>
        <v>25-48 months</v>
      </c>
      <c r="J1699" s="3">
        <v>649</v>
      </c>
      <c r="K1699" s="3">
        <v>19470</v>
      </c>
      <c r="L1699" s="2" t="s">
        <v>31</v>
      </c>
      <c r="M1699" s="4">
        <v>45012</v>
      </c>
      <c r="N1699" s="2" t="s">
        <v>32</v>
      </c>
      <c r="O1699" s="2">
        <f t="shared" si="107"/>
        <v>1</v>
      </c>
      <c r="P1699" s="2" t="s">
        <v>23</v>
      </c>
      <c r="Q1699" s="2" t="s">
        <v>23</v>
      </c>
      <c r="R1699" s="2" t="s">
        <v>23</v>
      </c>
      <c r="S1699" s="2" t="s">
        <v>23</v>
      </c>
      <c r="T1699" s="2" t="s">
        <v>23</v>
      </c>
      <c r="U1699" s="25">
        <f t="shared" si="105"/>
        <v>19470.001699</v>
      </c>
    </row>
    <row r="1700" spans="1:21">
      <c r="A1700" s="2" t="s">
        <v>2538</v>
      </c>
      <c r="B1700" s="2" t="s">
        <v>1069</v>
      </c>
      <c r="C1700" s="2" t="s">
        <v>35</v>
      </c>
      <c r="D1700" s="2">
        <v>42</v>
      </c>
      <c r="E1700" s="2" t="str">
        <f t="shared" si="106"/>
        <v>36-45</v>
      </c>
      <c r="F1700" s="2" t="s">
        <v>41</v>
      </c>
      <c r="G1700" s="2" t="s">
        <v>21</v>
      </c>
      <c r="H1700" s="2">
        <v>21</v>
      </c>
      <c r="I1700" s="2" t="str">
        <f t="shared" si="104"/>
        <v>13-24 months</v>
      </c>
      <c r="J1700" s="3">
        <v>799</v>
      </c>
      <c r="K1700" s="3">
        <v>16779</v>
      </c>
      <c r="L1700" s="2" t="s">
        <v>31</v>
      </c>
      <c r="M1700" s="4">
        <v>45277</v>
      </c>
      <c r="N1700" s="2" t="s">
        <v>23</v>
      </c>
      <c r="O1700" s="2">
        <f t="shared" si="107"/>
        <v>0</v>
      </c>
      <c r="P1700" s="2" t="s">
        <v>23</v>
      </c>
      <c r="Q1700" s="2" t="s">
        <v>23</v>
      </c>
      <c r="R1700" s="2" t="s">
        <v>23</v>
      </c>
      <c r="S1700" s="2" t="s">
        <v>23</v>
      </c>
      <c r="T1700" s="2" t="s">
        <v>23</v>
      </c>
      <c r="U1700" s="25">
        <f t="shared" si="105"/>
        <v>16779.001700000001</v>
      </c>
    </row>
    <row r="1701" spans="1:21">
      <c r="A1701" s="2" t="s">
        <v>2539</v>
      </c>
      <c r="B1701" s="2" t="s">
        <v>1155</v>
      </c>
      <c r="C1701" s="2" t="s">
        <v>35</v>
      </c>
      <c r="D1701" s="2">
        <v>18</v>
      </c>
      <c r="E1701" s="2" t="str">
        <f t="shared" si="106"/>
        <v>18-25</v>
      </c>
      <c r="F1701" s="2" t="s">
        <v>26</v>
      </c>
      <c r="G1701" s="2" t="s">
        <v>21</v>
      </c>
      <c r="H1701" s="2">
        <v>12</v>
      </c>
      <c r="I1701" s="2" t="str">
        <f t="shared" si="104"/>
        <v>7-12 months</v>
      </c>
      <c r="J1701" s="3">
        <v>749</v>
      </c>
      <c r="K1701" s="3">
        <v>8988</v>
      </c>
      <c r="L1701" s="2" t="s">
        <v>31</v>
      </c>
      <c r="M1701" s="4">
        <v>45539</v>
      </c>
      <c r="N1701" s="2" t="s">
        <v>32</v>
      </c>
      <c r="O1701" s="2">
        <f t="shared" si="107"/>
        <v>1</v>
      </c>
      <c r="P1701" s="2" t="s">
        <v>23</v>
      </c>
      <c r="Q1701" s="2" t="s">
        <v>32</v>
      </c>
      <c r="R1701" s="2" t="s">
        <v>23</v>
      </c>
      <c r="S1701" s="2" t="s">
        <v>23</v>
      </c>
      <c r="T1701" s="2" t="s">
        <v>23</v>
      </c>
      <c r="U1701" s="25">
        <f t="shared" si="105"/>
        <v>8988.0017009999992</v>
      </c>
    </row>
    <row r="1702" spans="1:21">
      <c r="A1702" s="2" t="s">
        <v>2540</v>
      </c>
      <c r="B1702" s="2" t="s">
        <v>1098</v>
      </c>
      <c r="C1702" s="2" t="s">
        <v>19</v>
      </c>
      <c r="D1702" s="2">
        <v>38</v>
      </c>
      <c r="E1702" s="2" t="str">
        <f t="shared" si="106"/>
        <v>36-45</v>
      </c>
      <c r="F1702" s="2" t="s">
        <v>71</v>
      </c>
      <c r="G1702" s="2" t="s">
        <v>21</v>
      </c>
      <c r="H1702" s="2">
        <v>19</v>
      </c>
      <c r="I1702" s="2" t="str">
        <f t="shared" si="104"/>
        <v>13-24 months</v>
      </c>
      <c r="J1702" s="3">
        <v>349</v>
      </c>
      <c r="K1702" s="3">
        <v>6631</v>
      </c>
      <c r="L1702" s="2" t="s">
        <v>66</v>
      </c>
      <c r="M1702" s="4">
        <v>45350</v>
      </c>
      <c r="N1702" s="2" t="s">
        <v>23</v>
      </c>
      <c r="O1702" s="2">
        <f t="shared" si="107"/>
        <v>0</v>
      </c>
      <c r="P1702" s="2" t="s">
        <v>23</v>
      </c>
      <c r="Q1702" s="2" t="s">
        <v>23</v>
      </c>
      <c r="R1702" s="2" t="s">
        <v>23</v>
      </c>
      <c r="S1702" s="2" t="s">
        <v>23</v>
      </c>
      <c r="T1702" s="2" t="s">
        <v>23</v>
      </c>
      <c r="U1702" s="25">
        <f t="shared" si="105"/>
        <v>6631.0017019999996</v>
      </c>
    </row>
    <row r="1703" spans="1:21">
      <c r="A1703" s="2" t="s">
        <v>2541</v>
      </c>
      <c r="B1703" s="2" t="s">
        <v>2407</v>
      </c>
      <c r="C1703" s="2" t="s">
        <v>35</v>
      </c>
      <c r="D1703" s="2">
        <v>26</v>
      </c>
      <c r="E1703" s="2" t="str">
        <f t="shared" si="106"/>
        <v>26-35</v>
      </c>
      <c r="F1703" s="2" t="s">
        <v>20</v>
      </c>
      <c r="G1703" s="2" t="s">
        <v>21</v>
      </c>
      <c r="H1703" s="2">
        <v>19</v>
      </c>
      <c r="I1703" s="2" t="str">
        <f t="shared" si="104"/>
        <v>13-24 months</v>
      </c>
      <c r="J1703" s="3">
        <v>1299</v>
      </c>
      <c r="K1703" s="3">
        <v>24681</v>
      </c>
      <c r="L1703" s="2" t="s">
        <v>22</v>
      </c>
      <c r="M1703" s="4">
        <v>45352</v>
      </c>
      <c r="N1703" s="2" t="s">
        <v>32</v>
      </c>
      <c r="O1703" s="2">
        <f t="shared" si="107"/>
        <v>1</v>
      </c>
      <c r="P1703" s="2" t="s">
        <v>23</v>
      </c>
      <c r="Q1703" s="2" t="s">
        <v>23</v>
      </c>
      <c r="R1703" s="2" t="s">
        <v>23</v>
      </c>
      <c r="S1703" s="2" t="s">
        <v>23</v>
      </c>
      <c r="T1703" s="2" t="s">
        <v>23</v>
      </c>
      <c r="U1703" s="25">
        <f t="shared" si="105"/>
        <v>24681.001703000002</v>
      </c>
    </row>
    <row r="1704" spans="1:21">
      <c r="A1704" s="2" t="s">
        <v>2542</v>
      </c>
      <c r="B1704" s="2" t="s">
        <v>2131</v>
      </c>
      <c r="C1704" s="2" t="s">
        <v>19</v>
      </c>
      <c r="D1704" s="2">
        <v>29</v>
      </c>
      <c r="E1704" s="2" t="str">
        <f t="shared" si="106"/>
        <v>26-35</v>
      </c>
      <c r="F1704" s="2" t="s">
        <v>36</v>
      </c>
      <c r="G1704" s="2" t="s">
        <v>21</v>
      </c>
      <c r="H1704" s="2">
        <v>11</v>
      </c>
      <c r="I1704" s="2" t="str">
        <f t="shared" si="104"/>
        <v>7-12 months</v>
      </c>
      <c r="J1704" s="3">
        <v>499</v>
      </c>
      <c r="K1704" s="3">
        <v>5489</v>
      </c>
      <c r="L1704" s="2" t="s">
        <v>66</v>
      </c>
      <c r="M1704" s="4">
        <v>45596</v>
      </c>
      <c r="N1704" s="2" t="s">
        <v>23</v>
      </c>
      <c r="O1704" s="2">
        <f t="shared" si="107"/>
        <v>0</v>
      </c>
      <c r="P1704" s="2" t="s">
        <v>23</v>
      </c>
      <c r="Q1704" s="2" t="s">
        <v>23</v>
      </c>
      <c r="R1704" s="2" t="s">
        <v>23</v>
      </c>
      <c r="S1704" s="2" t="s">
        <v>23</v>
      </c>
      <c r="T1704" s="2" t="s">
        <v>23</v>
      </c>
      <c r="U1704" s="25">
        <f t="shared" si="105"/>
        <v>5489.0017040000002</v>
      </c>
    </row>
    <row r="1705" spans="1:21">
      <c r="A1705" s="2" t="s">
        <v>2543</v>
      </c>
      <c r="B1705" s="2" t="s">
        <v>172</v>
      </c>
      <c r="C1705" s="2" t="s">
        <v>35</v>
      </c>
      <c r="D1705" s="2">
        <v>20</v>
      </c>
      <c r="E1705" s="2" t="str">
        <f t="shared" si="106"/>
        <v>18-25</v>
      </c>
      <c r="F1705" s="2" t="s">
        <v>105</v>
      </c>
      <c r="G1705" s="2" t="s">
        <v>37</v>
      </c>
      <c r="H1705" s="2">
        <v>13</v>
      </c>
      <c r="I1705" s="2" t="str">
        <f t="shared" si="104"/>
        <v>13-24 months</v>
      </c>
      <c r="J1705" s="3">
        <v>349</v>
      </c>
      <c r="K1705" s="3">
        <v>4537</v>
      </c>
      <c r="L1705" s="2" t="s">
        <v>66</v>
      </c>
      <c r="M1705" s="4">
        <v>45510</v>
      </c>
      <c r="N1705" s="2" t="s">
        <v>32</v>
      </c>
      <c r="O1705" s="2">
        <f t="shared" si="107"/>
        <v>1</v>
      </c>
      <c r="P1705" s="2" t="s">
        <v>23</v>
      </c>
      <c r="Q1705" s="2" t="s">
        <v>23</v>
      </c>
      <c r="R1705" s="2" t="s">
        <v>23</v>
      </c>
      <c r="S1705" s="2" t="s">
        <v>23</v>
      </c>
      <c r="T1705" s="2" t="s">
        <v>23</v>
      </c>
      <c r="U1705" s="25">
        <f t="shared" si="105"/>
        <v>4537.0017049999997</v>
      </c>
    </row>
    <row r="1706" spans="1:21">
      <c r="A1706" s="2" t="s">
        <v>2544</v>
      </c>
      <c r="B1706" s="2" t="s">
        <v>112</v>
      </c>
      <c r="C1706" s="2" t="s">
        <v>35</v>
      </c>
      <c r="D1706" s="2">
        <v>73</v>
      </c>
      <c r="E1706" s="2" t="str">
        <f t="shared" si="106"/>
        <v>60+</v>
      </c>
      <c r="F1706" s="2" t="s">
        <v>41</v>
      </c>
      <c r="G1706" s="2" t="s">
        <v>27</v>
      </c>
      <c r="H1706" s="2">
        <v>15</v>
      </c>
      <c r="I1706" s="2" t="str">
        <f t="shared" si="104"/>
        <v>13-24 months</v>
      </c>
      <c r="J1706" s="3">
        <v>899</v>
      </c>
      <c r="K1706" s="3">
        <v>13485</v>
      </c>
      <c r="L1706" s="2" t="s">
        <v>22</v>
      </c>
      <c r="M1706" s="4">
        <v>45475</v>
      </c>
      <c r="N1706" s="2" t="s">
        <v>23</v>
      </c>
      <c r="O1706" s="2">
        <f t="shared" si="107"/>
        <v>0</v>
      </c>
      <c r="P1706" s="2" t="s">
        <v>23</v>
      </c>
      <c r="Q1706" s="2" t="s">
        <v>23</v>
      </c>
      <c r="R1706" s="2" t="s">
        <v>23</v>
      </c>
      <c r="S1706" s="2" t="s">
        <v>23</v>
      </c>
      <c r="T1706" s="2" t="s">
        <v>23</v>
      </c>
      <c r="U1706" s="25">
        <f t="shared" si="105"/>
        <v>13485.001705999999</v>
      </c>
    </row>
    <row r="1707" spans="1:21">
      <c r="A1707" s="2" t="s">
        <v>2545</v>
      </c>
      <c r="B1707" s="2" t="s">
        <v>996</v>
      </c>
      <c r="C1707" s="2" t="s">
        <v>35</v>
      </c>
      <c r="D1707" s="2">
        <v>35</v>
      </c>
      <c r="E1707" s="2" t="str">
        <f t="shared" si="106"/>
        <v>26-35</v>
      </c>
      <c r="F1707" s="2" t="s">
        <v>110</v>
      </c>
      <c r="G1707" s="2" t="s">
        <v>27</v>
      </c>
      <c r="H1707" s="2">
        <v>40</v>
      </c>
      <c r="I1707" s="2" t="str">
        <f t="shared" si="104"/>
        <v>25-48 months</v>
      </c>
      <c r="J1707" s="3">
        <v>599</v>
      </c>
      <c r="K1707" s="3">
        <v>23960</v>
      </c>
      <c r="L1707" s="2" t="s">
        <v>31</v>
      </c>
      <c r="M1707" s="4">
        <v>44715</v>
      </c>
      <c r="N1707" s="2" t="s">
        <v>23</v>
      </c>
      <c r="O1707" s="2">
        <f t="shared" si="107"/>
        <v>0</v>
      </c>
      <c r="P1707" s="2" t="s">
        <v>23</v>
      </c>
      <c r="Q1707" s="2" t="s">
        <v>23</v>
      </c>
      <c r="R1707" s="2" t="s">
        <v>23</v>
      </c>
      <c r="S1707" s="2" t="s">
        <v>23</v>
      </c>
      <c r="T1707" s="2" t="s">
        <v>23</v>
      </c>
      <c r="U1707" s="25">
        <f t="shared" si="105"/>
        <v>23960.001706999999</v>
      </c>
    </row>
    <row r="1708" spans="1:21">
      <c r="A1708" s="2" t="s">
        <v>2546</v>
      </c>
      <c r="B1708" s="2" t="s">
        <v>2547</v>
      </c>
      <c r="C1708" s="2" t="s">
        <v>35</v>
      </c>
      <c r="D1708" s="2">
        <v>36</v>
      </c>
      <c r="E1708" s="2" t="str">
        <f t="shared" si="106"/>
        <v>36-45</v>
      </c>
      <c r="F1708" s="2" t="s">
        <v>26</v>
      </c>
      <c r="G1708" s="2" t="s">
        <v>21</v>
      </c>
      <c r="H1708" s="2">
        <v>19</v>
      </c>
      <c r="I1708" s="2" t="str">
        <f t="shared" si="104"/>
        <v>13-24 months</v>
      </c>
      <c r="J1708" s="3">
        <v>1149</v>
      </c>
      <c r="K1708" s="3">
        <v>21831</v>
      </c>
      <c r="L1708" s="2" t="s">
        <v>22</v>
      </c>
      <c r="M1708" s="4">
        <v>45339</v>
      </c>
      <c r="N1708" s="2" t="s">
        <v>32</v>
      </c>
      <c r="O1708" s="2">
        <f t="shared" si="107"/>
        <v>1</v>
      </c>
      <c r="P1708" s="2" t="s">
        <v>23</v>
      </c>
      <c r="Q1708" s="2" t="s">
        <v>23</v>
      </c>
      <c r="R1708" s="2" t="s">
        <v>23</v>
      </c>
      <c r="S1708" s="2" t="s">
        <v>23</v>
      </c>
      <c r="T1708" s="2" t="s">
        <v>23</v>
      </c>
      <c r="U1708" s="25">
        <f t="shared" si="105"/>
        <v>21831.001708</v>
      </c>
    </row>
    <row r="1709" spans="1:21">
      <c r="A1709" s="2" t="s">
        <v>2548</v>
      </c>
      <c r="B1709" s="2" t="s">
        <v>720</v>
      </c>
      <c r="C1709" s="2" t="s">
        <v>35</v>
      </c>
      <c r="D1709" s="2">
        <v>32</v>
      </c>
      <c r="E1709" s="2" t="str">
        <f t="shared" si="106"/>
        <v>26-35</v>
      </c>
      <c r="F1709" s="2" t="s">
        <v>26</v>
      </c>
      <c r="G1709" s="2" t="s">
        <v>21</v>
      </c>
      <c r="H1709" s="2">
        <v>21</v>
      </c>
      <c r="I1709" s="2" t="str">
        <f t="shared" si="104"/>
        <v>13-24 months</v>
      </c>
      <c r="J1709" s="3">
        <v>899</v>
      </c>
      <c r="K1709" s="3">
        <v>18879</v>
      </c>
      <c r="L1709" s="2" t="s">
        <v>22</v>
      </c>
      <c r="M1709" s="4">
        <v>45277</v>
      </c>
      <c r="N1709" s="2" t="s">
        <v>23</v>
      </c>
      <c r="O1709" s="2">
        <f t="shared" si="107"/>
        <v>0</v>
      </c>
      <c r="P1709" s="2" t="s">
        <v>23</v>
      </c>
      <c r="Q1709" s="2" t="s">
        <v>23</v>
      </c>
      <c r="R1709" s="2" t="s">
        <v>23</v>
      </c>
      <c r="S1709" s="2" t="s">
        <v>23</v>
      </c>
      <c r="T1709" s="2" t="s">
        <v>23</v>
      </c>
      <c r="U1709" s="25">
        <f t="shared" si="105"/>
        <v>18879.001709</v>
      </c>
    </row>
    <row r="1710" spans="1:21">
      <c r="A1710" s="2" t="s">
        <v>2549</v>
      </c>
      <c r="B1710" s="2" t="s">
        <v>2452</v>
      </c>
      <c r="C1710" s="2" t="s">
        <v>35</v>
      </c>
      <c r="D1710" s="2">
        <v>41</v>
      </c>
      <c r="E1710" s="2" t="str">
        <f t="shared" si="106"/>
        <v>36-45</v>
      </c>
      <c r="F1710" s="2" t="s">
        <v>36</v>
      </c>
      <c r="G1710" s="2" t="s">
        <v>21</v>
      </c>
      <c r="H1710" s="2">
        <v>6</v>
      </c>
      <c r="I1710" s="2" t="str">
        <f t="shared" si="104"/>
        <v>0-6 months</v>
      </c>
      <c r="J1710" s="3">
        <v>1099</v>
      </c>
      <c r="K1710" s="3">
        <v>6594</v>
      </c>
      <c r="L1710" s="2" t="s">
        <v>22</v>
      </c>
      <c r="M1710" s="4">
        <v>45720</v>
      </c>
      <c r="N1710" s="2" t="s">
        <v>23</v>
      </c>
      <c r="O1710" s="2">
        <f t="shared" si="107"/>
        <v>0</v>
      </c>
      <c r="P1710" s="2" t="s">
        <v>23</v>
      </c>
      <c r="Q1710" s="2" t="s">
        <v>23</v>
      </c>
      <c r="R1710" s="2" t="s">
        <v>23</v>
      </c>
      <c r="S1710" s="2" t="s">
        <v>32</v>
      </c>
      <c r="T1710" s="2" t="s">
        <v>23</v>
      </c>
      <c r="U1710" s="25">
        <f t="shared" si="105"/>
        <v>6594.0017099999995</v>
      </c>
    </row>
    <row r="1711" spans="1:21">
      <c r="A1711" s="2" t="s">
        <v>2550</v>
      </c>
      <c r="B1711" s="2" t="s">
        <v>172</v>
      </c>
      <c r="C1711" s="2" t="s">
        <v>35</v>
      </c>
      <c r="D1711" s="2">
        <v>56</v>
      </c>
      <c r="E1711" s="2" t="str">
        <f t="shared" si="106"/>
        <v>46-60</v>
      </c>
      <c r="F1711" s="2" t="s">
        <v>20</v>
      </c>
      <c r="G1711" s="2" t="s">
        <v>21</v>
      </c>
      <c r="H1711" s="2">
        <v>5</v>
      </c>
      <c r="I1711" s="2" t="str">
        <f t="shared" si="104"/>
        <v>0-6 months</v>
      </c>
      <c r="J1711" s="3">
        <v>449</v>
      </c>
      <c r="K1711" s="3">
        <v>2245</v>
      </c>
      <c r="L1711" s="2" t="s">
        <v>66</v>
      </c>
      <c r="M1711" s="4">
        <v>45758</v>
      </c>
      <c r="N1711" s="2" t="s">
        <v>32</v>
      </c>
      <c r="O1711" s="2">
        <f t="shared" si="107"/>
        <v>1</v>
      </c>
      <c r="P1711" s="2" t="s">
        <v>23</v>
      </c>
      <c r="Q1711" s="2" t="s">
        <v>23</v>
      </c>
      <c r="R1711" s="2" t="s">
        <v>23</v>
      </c>
      <c r="S1711" s="2" t="s">
        <v>23</v>
      </c>
      <c r="T1711" s="2" t="s">
        <v>23</v>
      </c>
      <c r="U1711" s="25">
        <f t="shared" si="105"/>
        <v>2245.0017109999999</v>
      </c>
    </row>
    <row r="1712" spans="1:21">
      <c r="A1712" s="2" t="s">
        <v>2551</v>
      </c>
      <c r="B1712" s="2" t="s">
        <v>2552</v>
      </c>
      <c r="C1712" s="2" t="s">
        <v>19</v>
      </c>
      <c r="D1712" s="2">
        <v>37</v>
      </c>
      <c r="E1712" s="2" t="str">
        <f t="shared" si="106"/>
        <v>36-45</v>
      </c>
      <c r="F1712" s="2" t="s">
        <v>41</v>
      </c>
      <c r="G1712" s="2" t="s">
        <v>27</v>
      </c>
      <c r="H1712" s="2">
        <v>37</v>
      </c>
      <c r="I1712" s="2" t="str">
        <f t="shared" si="104"/>
        <v>25-48 months</v>
      </c>
      <c r="J1712" s="3">
        <v>699</v>
      </c>
      <c r="K1712" s="3">
        <v>25863</v>
      </c>
      <c r="L1712" s="2" t="s">
        <v>31</v>
      </c>
      <c r="M1712" s="4">
        <v>44807</v>
      </c>
      <c r="N1712" s="2" t="s">
        <v>23</v>
      </c>
      <c r="O1712" s="2">
        <f t="shared" si="107"/>
        <v>0</v>
      </c>
      <c r="P1712" s="2" t="s">
        <v>23</v>
      </c>
      <c r="Q1712" s="2" t="s">
        <v>23</v>
      </c>
      <c r="R1712" s="2" t="s">
        <v>23</v>
      </c>
      <c r="S1712" s="2" t="s">
        <v>23</v>
      </c>
      <c r="T1712" s="2" t="s">
        <v>23</v>
      </c>
      <c r="U1712" s="25">
        <f t="shared" si="105"/>
        <v>25863.001712000001</v>
      </c>
    </row>
    <row r="1713" spans="1:21">
      <c r="A1713" s="2" t="s">
        <v>2553</v>
      </c>
      <c r="B1713" s="2" t="s">
        <v>440</v>
      </c>
      <c r="C1713" s="2" t="s">
        <v>35</v>
      </c>
      <c r="D1713" s="2">
        <v>25</v>
      </c>
      <c r="E1713" s="2" t="str">
        <f t="shared" si="106"/>
        <v>18-25</v>
      </c>
      <c r="F1713" s="2" t="s">
        <v>60</v>
      </c>
      <c r="G1713" s="2" t="s">
        <v>21</v>
      </c>
      <c r="H1713" s="2">
        <v>3</v>
      </c>
      <c r="I1713" s="2" t="str">
        <f t="shared" si="104"/>
        <v>0-6 months</v>
      </c>
      <c r="J1713" s="3">
        <v>849</v>
      </c>
      <c r="K1713" s="3">
        <v>2547</v>
      </c>
      <c r="L1713" s="2" t="s">
        <v>31</v>
      </c>
      <c r="M1713" s="4">
        <v>45826</v>
      </c>
      <c r="N1713" s="2" t="s">
        <v>32</v>
      </c>
      <c r="O1713" s="2">
        <f t="shared" si="107"/>
        <v>1</v>
      </c>
      <c r="P1713" s="2" t="s">
        <v>23</v>
      </c>
      <c r="Q1713" s="2" t="s">
        <v>23</v>
      </c>
      <c r="R1713" s="2" t="s">
        <v>23</v>
      </c>
      <c r="S1713" s="2" t="s">
        <v>23</v>
      </c>
      <c r="T1713" s="2" t="s">
        <v>23</v>
      </c>
      <c r="U1713" s="25">
        <f t="shared" si="105"/>
        <v>2547.0017130000001</v>
      </c>
    </row>
    <row r="1714" spans="1:21">
      <c r="A1714" s="2" t="s">
        <v>2554</v>
      </c>
      <c r="B1714" s="2" t="s">
        <v>1438</v>
      </c>
      <c r="C1714" s="2" t="s">
        <v>19</v>
      </c>
      <c r="D1714" s="2">
        <v>52</v>
      </c>
      <c r="E1714" s="2" t="str">
        <f t="shared" si="106"/>
        <v>46-60</v>
      </c>
      <c r="F1714" s="2" t="s">
        <v>71</v>
      </c>
      <c r="G1714" s="2" t="s">
        <v>27</v>
      </c>
      <c r="H1714" s="2">
        <v>10</v>
      </c>
      <c r="I1714" s="2" t="str">
        <f t="shared" si="104"/>
        <v>7-12 months</v>
      </c>
      <c r="J1714" s="3">
        <v>899</v>
      </c>
      <c r="K1714" s="3">
        <v>8990</v>
      </c>
      <c r="L1714" s="2" t="s">
        <v>22</v>
      </c>
      <c r="M1714" s="4">
        <v>45616</v>
      </c>
      <c r="N1714" s="2" t="s">
        <v>23</v>
      </c>
      <c r="O1714" s="2">
        <f t="shared" si="107"/>
        <v>0</v>
      </c>
      <c r="P1714" s="2" t="s">
        <v>23</v>
      </c>
      <c r="Q1714" s="2" t="s">
        <v>23</v>
      </c>
      <c r="R1714" s="2" t="s">
        <v>23</v>
      </c>
      <c r="S1714" s="2" t="s">
        <v>23</v>
      </c>
      <c r="T1714" s="2" t="s">
        <v>23</v>
      </c>
      <c r="U1714" s="25">
        <f t="shared" si="105"/>
        <v>8990.001714</v>
      </c>
    </row>
    <row r="1715" spans="1:21">
      <c r="A1715" s="2" t="s">
        <v>2555</v>
      </c>
      <c r="B1715" s="2" t="s">
        <v>2259</v>
      </c>
      <c r="C1715" s="2" t="s">
        <v>19</v>
      </c>
      <c r="D1715" s="2">
        <v>29</v>
      </c>
      <c r="E1715" s="2" t="str">
        <f t="shared" si="106"/>
        <v>26-35</v>
      </c>
      <c r="F1715" s="2" t="s">
        <v>63</v>
      </c>
      <c r="G1715" s="2" t="s">
        <v>21</v>
      </c>
      <c r="H1715" s="2">
        <v>11</v>
      </c>
      <c r="I1715" s="2" t="str">
        <f t="shared" si="104"/>
        <v>7-12 months</v>
      </c>
      <c r="J1715" s="3">
        <v>349</v>
      </c>
      <c r="K1715" s="3">
        <v>3839</v>
      </c>
      <c r="L1715" s="2" t="s">
        <v>66</v>
      </c>
      <c r="M1715" s="4">
        <v>45573</v>
      </c>
      <c r="N1715" s="2" t="s">
        <v>23</v>
      </c>
      <c r="O1715" s="2">
        <f t="shared" si="107"/>
        <v>0</v>
      </c>
      <c r="P1715" s="2" t="s">
        <v>23</v>
      </c>
      <c r="Q1715" s="2" t="s">
        <v>23</v>
      </c>
      <c r="R1715" s="2" t="s">
        <v>23</v>
      </c>
      <c r="S1715" s="2" t="s">
        <v>23</v>
      </c>
      <c r="T1715" s="2" t="s">
        <v>23</v>
      </c>
      <c r="U1715" s="25">
        <f t="shared" si="105"/>
        <v>3839.0017149999999</v>
      </c>
    </row>
    <row r="1716" spans="1:21">
      <c r="A1716" s="2" t="s">
        <v>2556</v>
      </c>
      <c r="B1716" s="2" t="s">
        <v>479</v>
      </c>
      <c r="C1716" s="2" t="s">
        <v>35</v>
      </c>
      <c r="D1716" s="2">
        <v>26</v>
      </c>
      <c r="E1716" s="2" t="str">
        <f t="shared" si="106"/>
        <v>26-35</v>
      </c>
      <c r="F1716" s="2" t="s">
        <v>41</v>
      </c>
      <c r="G1716" s="2" t="s">
        <v>47</v>
      </c>
      <c r="H1716" s="2">
        <v>38</v>
      </c>
      <c r="I1716" s="2" t="str">
        <f t="shared" si="104"/>
        <v>25-48 months</v>
      </c>
      <c r="J1716" s="3">
        <v>699</v>
      </c>
      <c r="K1716" s="3">
        <v>26562</v>
      </c>
      <c r="L1716" s="2" t="s">
        <v>31</v>
      </c>
      <c r="M1716" s="4">
        <v>44764</v>
      </c>
      <c r="N1716" s="2" t="s">
        <v>23</v>
      </c>
      <c r="O1716" s="2">
        <f t="shared" si="107"/>
        <v>0</v>
      </c>
      <c r="P1716" s="2" t="s">
        <v>23</v>
      </c>
      <c r="Q1716" s="2" t="s">
        <v>23</v>
      </c>
      <c r="R1716" s="2" t="s">
        <v>23</v>
      </c>
      <c r="S1716" s="2" t="s">
        <v>23</v>
      </c>
      <c r="T1716" s="2" t="s">
        <v>23</v>
      </c>
      <c r="U1716" s="25">
        <f t="shared" si="105"/>
        <v>26562.001715999999</v>
      </c>
    </row>
    <row r="1717" spans="1:21">
      <c r="A1717" s="2" t="s">
        <v>2557</v>
      </c>
      <c r="B1717" s="2" t="s">
        <v>37</v>
      </c>
      <c r="C1717" s="2" t="s">
        <v>19</v>
      </c>
      <c r="D1717" s="2">
        <v>27</v>
      </c>
      <c r="E1717" s="2" t="str">
        <f t="shared" si="106"/>
        <v>26-35</v>
      </c>
      <c r="F1717" s="2" t="s">
        <v>63</v>
      </c>
      <c r="G1717" s="2" t="s">
        <v>47</v>
      </c>
      <c r="H1717" s="2">
        <v>1</v>
      </c>
      <c r="I1717" s="2" t="str">
        <f t="shared" si="104"/>
        <v>0-6 months</v>
      </c>
      <c r="J1717" s="3">
        <v>1149</v>
      </c>
      <c r="K1717" s="3">
        <v>1149</v>
      </c>
      <c r="L1717" s="2" t="s">
        <v>22</v>
      </c>
      <c r="M1717" s="4">
        <v>45897</v>
      </c>
      <c r="N1717" s="2" t="s">
        <v>23</v>
      </c>
      <c r="O1717" s="2">
        <f t="shared" si="107"/>
        <v>0</v>
      </c>
      <c r="P1717" s="2" t="s">
        <v>23</v>
      </c>
      <c r="Q1717" s="2" t="s">
        <v>23</v>
      </c>
      <c r="R1717" s="2" t="s">
        <v>23</v>
      </c>
      <c r="S1717" s="2" t="s">
        <v>23</v>
      </c>
      <c r="T1717" s="2" t="s">
        <v>23</v>
      </c>
      <c r="U1717" s="25">
        <f t="shared" si="105"/>
        <v>1149.0017170000001</v>
      </c>
    </row>
    <row r="1718" spans="1:21">
      <c r="A1718" s="2" t="s">
        <v>2558</v>
      </c>
      <c r="B1718" s="2" t="s">
        <v>2559</v>
      </c>
      <c r="C1718" s="2" t="s">
        <v>19</v>
      </c>
      <c r="D1718" s="2">
        <v>63</v>
      </c>
      <c r="E1718" s="2" t="str">
        <f t="shared" si="106"/>
        <v>60+</v>
      </c>
      <c r="F1718" s="2" t="s">
        <v>30</v>
      </c>
      <c r="G1718" s="2" t="s">
        <v>21</v>
      </c>
      <c r="H1718" s="2">
        <v>15</v>
      </c>
      <c r="I1718" s="2" t="str">
        <f t="shared" si="104"/>
        <v>13-24 months</v>
      </c>
      <c r="J1718" s="3">
        <v>399</v>
      </c>
      <c r="K1718" s="3">
        <v>5985</v>
      </c>
      <c r="L1718" s="2" t="s">
        <v>66</v>
      </c>
      <c r="M1718" s="4">
        <v>45451</v>
      </c>
      <c r="N1718" s="2" t="s">
        <v>32</v>
      </c>
      <c r="O1718" s="2">
        <f t="shared" si="107"/>
        <v>1</v>
      </c>
      <c r="P1718" s="2" t="s">
        <v>23</v>
      </c>
      <c r="Q1718" s="2" t="s">
        <v>23</v>
      </c>
      <c r="R1718" s="2" t="s">
        <v>23</v>
      </c>
      <c r="S1718" s="2" t="s">
        <v>23</v>
      </c>
      <c r="T1718" s="2" t="s">
        <v>23</v>
      </c>
      <c r="U1718" s="25">
        <f t="shared" si="105"/>
        <v>5985.0017180000004</v>
      </c>
    </row>
    <row r="1719" spans="1:21">
      <c r="A1719" s="2" t="s">
        <v>2560</v>
      </c>
      <c r="B1719" s="2" t="s">
        <v>1206</v>
      </c>
      <c r="C1719" s="2" t="s">
        <v>35</v>
      </c>
      <c r="D1719" s="2">
        <v>28</v>
      </c>
      <c r="E1719" s="2" t="str">
        <f t="shared" si="106"/>
        <v>26-35</v>
      </c>
      <c r="F1719" s="2" t="s">
        <v>26</v>
      </c>
      <c r="G1719" s="2" t="s">
        <v>27</v>
      </c>
      <c r="H1719" s="2">
        <v>18</v>
      </c>
      <c r="I1719" s="2" t="str">
        <f t="shared" si="104"/>
        <v>13-24 months</v>
      </c>
      <c r="J1719" s="3">
        <v>349</v>
      </c>
      <c r="K1719" s="3">
        <v>6282</v>
      </c>
      <c r="L1719" s="2" t="s">
        <v>66</v>
      </c>
      <c r="M1719" s="4">
        <v>45368</v>
      </c>
      <c r="N1719" s="2" t="s">
        <v>23</v>
      </c>
      <c r="O1719" s="2">
        <f t="shared" si="107"/>
        <v>0</v>
      </c>
      <c r="P1719" s="2" t="s">
        <v>23</v>
      </c>
      <c r="Q1719" s="2" t="s">
        <v>23</v>
      </c>
      <c r="R1719" s="2" t="s">
        <v>23</v>
      </c>
      <c r="S1719" s="2" t="s">
        <v>23</v>
      </c>
      <c r="T1719" s="2" t="s">
        <v>23</v>
      </c>
      <c r="U1719" s="25">
        <f t="shared" si="105"/>
        <v>6282.0017189999999</v>
      </c>
    </row>
    <row r="1720" spans="1:21">
      <c r="A1720" s="2" t="s">
        <v>2561</v>
      </c>
      <c r="B1720" s="2" t="s">
        <v>29</v>
      </c>
      <c r="C1720" s="2" t="s">
        <v>19</v>
      </c>
      <c r="D1720" s="2">
        <v>34</v>
      </c>
      <c r="E1720" s="2" t="str">
        <f t="shared" si="106"/>
        <v>26-35</v>
      </c>
      <c r="F1720" s="2" t="s">
        <v>141</v>
      </c>
      <c r="G1720" s="2" t="s">
        <v>21</v>
      </c>
      <c r="H1720" s="2">
        <v>14</v>
      </c>
      <c r="I1720" s="2" t="str">
        <f t="shared" si="104"/>
        <v>13-24 months</v>
      </c>
      <c r="J1720" s="3">
        <v>599</v>
      </c>
      <c r="K1720" s="3">
        <v>8386</v>
      </c>
      <c r="L1720" s="2" t="s">
        <v>31</v>
      </c>
      <c r="M1720" s="4">
        <v>45483</v>
      </c>
      <c r="N1720" s="2" t="s">
        <v>23</v>
      </c>
      <c r="O1720" s="2">
        <f t="shared" si="107"/>
        <v>0</v>
      </c>
      <c r="P1720" s="2" t="s">
        <v>23</v>
      </c>
      <c r="Q1720" s="2" t="s">
        <v>23</v>
      </c>
      <c r="R1720" s="2" t="s">
        <v>23</v>
      </c>
      <c r="S1720" s="2" t="s">
        <v>23</v>
      </c>
      <c r="T1720" s="2" t="s">
        <v>23</v>
      </c>
      <c r="U1720" s="25">
        <f t="shared" si="105"/>
        <v>8386.0017200000002</v>
      </c>
    </row>
    <row r="1721" spans="1:21">
      <c r="A1721" s="2" t="s">
        <v>2562</v>
      </c>
      <c r="B1721" s="2" t="s">
        <v>2563</v>
      </c>
      <c r="C1721" s="2" t="s">
        <v>35</v>
      </c>
      <c r="D1721" s="2">
        <v>22</v>
      </c>
      <c r="E1721" s="2" t="str">
        <f t="shared" si="106"/>
        <v>18-25</v>
      </c>
      <c r="F1721" s="2" t="s">
        <v>36</v>
      </c>
      <c r="G1721" s="2" t="s">
        <v>27</v>
      </c>
      <c r="H1721" s="2">
        <v>4</v>
      </c>
      <c r="I1721" s="2" t="str">
        <f t="shared" si="104"/>
        <v>0-6 months</v>
      </c>
      <c r="J1721" s="3">
        <v>549</v>
      </c>
      <c r="K1721" s="3">
        <v>2196</v>
      </c>
      <c r="L1721" s="2" t="s">
        <v>66</v>
      </c>
      <c r="M1721" s="4">
        <v>45808</v>
      </c>
      <c r="N1721" s="2" t="s">
        <v>23</v>
      </c>
      <c r="O1721" s="2">
        <f t="shared" si="107"/>
        <v>0</v>
      </c>
      <c r="P1721" s="2" t="s">
        <v>23</v>
      </c>
      <c r="Q1721" s="2" t="s">
        <v>23</v>
      </c>
      <c r="R1721" s="2" t="s">
        <v>23</v>
      </c>
      <c r="S1721" s="2" t="s">
        <v>23</v>
      </c>
      <c r="T1721" s="2" t="s">
        <v>23</v>
      </c>
      <c r="U1721" s="25">
        <f t="shared" si="105"/>
        <v>2196.0017210000001</v>
      </c>
    </row>
    <row r="1722" spans="1:21">
      <c r="A1722" s="2" t="s">
        <v>2564</v>
      </c>
      <c r="B1722" s="2" t="s">
        <v>2565</v>
      </c>
      <c r="C1722" s="2" t="s">
        <v>19</v>
      </c>
      <c r="D1722" s="2">
        <v>70</v>
      </c>
      <c r="E1722" s="2" t="str">
        <f t="shared" si="106"/>
        <v>60+</v>
      </c>
      <c r="F1722" s="2" t="s">
        <v>71</v>
      </c>
      <c r="G1722" s="2" t="s">
        <v>21</v>
      </c>
      <c r="H1722" s="2">
        <v>3</v>
      </c>
      <c r="I1722" s="2" t="str">
        <f t="shared" si="104"/>
        <v>0-6 months</v>
      </c>
      <c r="J1722" s="3">
        <v>849</v>
      </c>
      <c r="K1722" s="3">
        <v>2547</v>
      </c>
      <c r="L1722" s="2" t="s">
        <v>31</v>
      </c>
      <c r="M1722" s="4">
        <v>45812</v>
      </c>
      <c r="N1722" s="2" t="s">
        <v>32</v>
      </c>
      <c r="O1722" s="2">
        <f t="shared" si="107"/>
        <v>1</v>
      </c>
      <c r="P1722" s="2" t="s">
        <v>23</v>
      </c>
      <c r="Q1722" s="2" t="s">
        <v>23</v>
      </c>
      <c r="R1722" s="2" t="s">
        <v>23</v>
      </c>
      <c r="S1722" s="2" t="s">
        <v>23</v>
      </c>
      <c r="T1722" s="2" t="s">
        <v>23</v>
      </c>
      <c r="U1722" s="25">
        <f t="shared" si="105"/>
        <v>2547.001722</v>
      </c>
    </row>
    <row r="1723" spans="1:21">
      <c r="A1723" s="2" t="s">
        <v>2566</v>
      </c>
      <c r="B1723" s="2" t="s">
        <v>1510</v>
      </c>
      <c r="C1723" s="2" t="s">
        <v>35</v>
      </c>
      <c r="D1723" s="2">
        <v>26</v>
      </c>
      <c r="E1723" s="2" t="str">
        <f t="shared" si="106"/>
        <v>26-35</v>
      </c>
      <c r="F1723" s="2" t="s">
        <v>20</v>
      </c>
      <c r="G1723" s="2" t="s">
        <v>21</v>
      </c>
      <c r="H1723" s="2">
        <v>14</v>
      </c>
      <c r="I1723" s="2" t="str">
        <f t="shared" si="104"/>
        <v>13-24 months</v>
      </c>
      <c r="J1723" s="3">
        <v>1049</v>
      </c>
      <c r="K1723" s="3">
        <v>14686</v>
      </c>
      <c r="L1723" s="2" t="s">
        <v>22</v>
      </c>
      <c r="M1723" s="4">
        <v>45493</v>
      </c>
      <c r="N1723" s="2" t="s">
        <v>32</v>
      </c>
      <c r="O1723" s="2">
        <f t="shared" si="107"/>
        <v>1</v>
      </c>
      <c r="P1723" s="2" t="s">
        <v>23</v>
      </c>
      <c r="Q1723" s="2" t="s">
        <v>23</v>
      </c>
      <c r="R1723" s="2" t="s">
        <v>23</v>
      </c>
      <c r="S1723" s="2" t="s">
        <v>23</v>
      </c>
      <c r="T1723" s="2" t="s">
        <v>23</v>
      </c>
      <c r="U1723" s="25">
        <f t="shared" si="105"/>
        <v>14686.001722999999</v>
      </c>
    </row>
    <row r="1724" spans="1:21">
      <c r="A1724" s="2" t="s">
        <v>2567</v>
      </c>
      <c r="B1724" s="2" t="s">
        <v>297</v>
      </c>
      <c r="C1724" s="2" t="s">
        <v>35</v>
      </c>
      <c r="D1724" s="2">
        <v>54</v>
      </c>
      <c r="E1724" s="2" t="str">
        <f t="shared" si="106"/>
        <v>46-60</v>
      </c>
      <c r="F1724" s="2" t="s">
        <v>110</v>
      </c>
      <c r="G1724" s="2" t="s">
        <v>21</v>
      </c>
      <c r="H1724" s="2">
        <v>23</v>
      </c>
      <c r="I1724" s="2" t="str">
        <f t="shared" si="104"/>
        <v>13-24 months</v>
      </c>
      <c r="J1724" s="3">
        <v>999</v>
      </c>
      <c r="K1724" s="3">
        <v>22977</v>
      </c>
      <c r="L1724" s="2" t="s">
        <v>22</v>
      </c>
      <c r="M1724" s="4">
        <v>45222</v>
      </c>
      <c r="N1724" s="2" t="s">
        <v>23</v>
      </c>
      <c r="O1724" s="2">
        <f t="shared" si="107"/>
        <v>0</v>
      </c>
      <c r="P1724" s="2" t="s">
        <v>23</v>
      </c>
      <c r="Q1724" s="2" t="s">
        <v>23</v>
      </c>
      <c r="R1724" s="2" t="s">
        <v>23</v>
      </c>
      <c r="S1724" s="2" t="s">
        <v>23</v>
      </c>
      <c r="T1724" s="2" t="s">
        <v>23</v>
      </c>
      <c r="U1724" s="25">
        <f t="shared" si="105"/>
        <v>22977.001724000002</v>
      </c>
    </row>
    <row r="1725" spans="1:21">
      <c r="A1725" s="2" t="s">
        <v>2568</v>
      </c>
      <c r="B1725" s="2" t="s">
        <v>2569</v>
      </c>
      <c r="C1725" s="2" t="s">
        <v>35</v>
      </c>
      <c r="D1725" s="2">
        <v>53</v>
      </c>
      <c r="E1725" s="2" t="str">
        <f t="shared" si="106"/>
        <v>46-60</v>
      </c>
      <c r="F1725" s="2" t="s">
        <v>91</v>
      </c>
      <c r="G1725" s="2" t="s">
        <v>21</v>
      </c>
      <c r="H1725" s="2">
        <v>12</v>
      </c>
      <c r="I1725" s="2" t="str">
        <f t="shared" si="104"/>
        <v>7-12 months</v>
      </c>
      <c r="J1725" s="3">
        <v>449</v>
      </c>
      <c r="K1725" s="3">
        <v>5388</v>
      </c>
      <c r="L1725" s="2" t="s">
        <v>66</v>
      </c>
      <c r="M1725" s="4">
        <v>45553</v>
      </c>
      <c r="N1725" s="2" t="s">
        <v>32</v>
      </c>
      <c r="O1725" s="2">
        <f t="shared" si="107"/>
        <v>1</v>
      </c>
      <c r="P1725" s="2" t="s">
        <v>23</v>
      </c>
      <c r="Q1725" s="2" t="s">
        <v>23</v>
      </c>
      <c r="R1725" s="2" t="s">
        <v>23</v>
      </c>
      <c r="S1725" s="2" t="s">
        <v>23</v>
      </c>
      <c r="T1725" s="2" t="s">
        <v>23</v>
      </c>
      <c r="U1725" s="25">
        <f t="shared" si="105"/>
        <v>5388.0017250000001</v>
      </c>
    </row>
    <row r="1726" spans="1:21">
      <c r="A1726" s="2" t="s">
        <v>2570</v>
      </c>
      <c r="B1726" s="2" t="s">
        <v>2230</v>
      </c>
      <c r="C1726" s="2" t="s">
        <v>19</v>
      </c>
      <c r="D1726" s="2">
        <v>23</v>
      </c>
      <c r="E1726" s="2" t="str">
        <f t="shared" si="106"/>
        <v>18-25</v>
      </c>
      <c r="F1726" s="2" t="s">
        <v>91</v>
      </c>
      <c r="G1726" s="2" t="s">
        <v>27</v>
      </c>
      <c r="H1726" s="2">
        <v>10</v>
      </c>
      <c r="I1726" s="2" t="str">
        <f t="shared" si="104"/>
        <v>7-12 months</v>
      </c>
      <c r="J1726" s="3">
        <v>999</v>
      </c>
      <c r="K1726" s="3">
        <v>9990</v>
      </c>
      <c r="L1726" s="2" t="s">
        <v>22</v>
      </c>
      <c r="M1726" s="4">
        <v>45626</v>
      </c>
      <c r="N1726" s="2" t="s">
        <v>23</v>
      </c>
      <c r="O1726" s="2">
        <f t="shared" si="107"/>
        <v>0</v>
      </c>
      <c r="P1726" s="2" t="s">
        <v>23</v>
      </c>
      <c r="Q1726" s="2" t="s">
        <v>23</v>
      </c>
      <c r="R1726" s="2" t="s">
        <v>32</v>
      </c>
      <c r="S1726" s="2" t="s">
        <v>23</v>
      </c>
      <c r="T1726" s="2" t="s">
        <v>23</v>
      </c>
      <c r="U1726" s="25">
        <f t="shared" si="105"/>
        <v>9990.0017260000004</v>
      </c>
    </row>
    <row r="1727" spans="1:21">
      <c r="A1727" s="2" t="s">
        <v>2571</v>
      </c>
      <c r="B1727" s="2" t="s">
        <v>2219</v>
      </c>
      <c r="C1727" s="2" t="s">
        <v>19</v>
      </c>
      <c r="D1727" s="2">
        <v>34</v>
      </c>
      <c r="E1727" s="2" t="str">
        <f t="shared" si="106"/>
        <v>26-35</v>
      </c>
      <c r="F1727" s="2" t="s">
        <v>30</v>
      </c>
      <c r="G1727" s="2" t="s">
        <v>21</v>
      </c>
      <c r="H1727" s="2">
        <v>18</v>
      </c>
      <c r="I1727" s="2" t="str">
        <f t="shared" si="104"/>
        <v>13-24 months</v>
      </c>
      <c r="J1727" s="3">
        <v>1149</v>
      </c>
      <c r="K1727" s="3">
        <v>20682</v>
      </c>
      <c r="L1727" s="2" t="s">
        <v>22</v>
      </c>
      <c r="M1727" s="4">
        <v>45383</v>
      </c>
      <c r="N1727" s="2" t="s">
        <v>32</v>
      </c>
      <c r="O1727" s="2">
        <f t="shared" si="107"/>
        <v>1</v>
      </c>
      <c r="P1727" s="2" t="s">
        <v>23</v>
      </c>
      <c r="Q1727" s="2" t="s">
        <v>23</v>
      </c>
      <c r="R1727" s="2" t="s">
        <v>23</v>
      </c>
      <c r="S1727" s="2" t="s">
        <v>23</v>
      </c>
      <c r="T1727" s="2" t="s">
        <v>23</v>
      </c>
      <c r="U1727" s="25">
        <f t="shared" si="105"/>
        <v>20682.001726999999</v>
      </c>
    </row>
    <row r="1728" spans="1:21">
      <c r="A1728" s="2" t="s">
        <v>2572</v>
      </c>
      <c r="B1728" s="2" t="s">
        <v>570</v>
      </c>
      <c r="C1728" s="2" t="s">
        <v>19</v>
      </c>
      <c r="D1728" s="2">
        <v>31</v>
      </c>
      <c r="E1728" s="2" t="str">
        <f t="shared" si="106"/>
        <v>26-35</v>
      </c>
      <c r="F1728" s="2" t="s">
        <v>110</v>
      </c>
      <c r="G1728" s="2" t="s">
        <v>27</v>
      </c>
      <c r="H1728" s="2">
        <v>17</v>
      </c>
      <c r="I1728" s="2" t="str">
        <f t="shared" si="104"/>
        <v>13-24 months</v>
      </c>
      <c r="J1728" s="3">
        <v>1299</v>
      </c>
      <c r="K1728" s="3">
        <v>22083</v>
      </c>
      <c r="L1728" s="2" t="s">
        <v>22</v>
      </c>
      <c r="M1728" s="4">
        <v>45389</v>
      </c>
      <c r="N1728" s="2" t="s">
        <v>23</v>
      </c>
      <c r="O1728" s="2">
        <f t="shared" si="107"/>
        <v>0</v>
      </c>
      <c r="P1728" s="2" t="s">
        <v>23</v>
      </c>
      <c r="Q1728" s="2" t="s">
        <v>23</v>
      </c>
      <c r="R1728" s="2" t="s">
        <v>23</v>
      </c>
      <c r="S1728" s="2" t="s">
        <v>23</v>
      </c>
      <c r="T1728" s="2" t="s">
        <v>23</v>
      </c>
      <c r="U1728" s="25">
        <f t="shared" si="105"/>
        <v>22083.001727999999</v>
      </c>
    </row>
    <row r="1729" spans="1:21">
      <c r="A1729" s="2" t="s">
        <v>2573</v>
      </c>
      <c r="B1729" s="2" t="s">
        <v>2574</v>
      </c>
      <c r="C1729" s="2" t="s">
        <v>19</v>
      </c>
      <c r="D1729" s="2">
        <v>21</v>
      </c>
      <c r="E1729" s="2" t="str">
        <f t="shared" si="106"/>
        <v>18-25</v>
      </c>
      <c r="F1729" s="2" t="s">
        <v>105</v>
      </c>
      <c r="G1729" s="2" t="s">
        <v>47</v>
      </c>
      <c r="H1729" s="2">
        <v>56</v>
      </c>
      <c r="I1729" s="2" t="str">
        <f t="shared" si="104"/>
        <v>49+ months</v>
      </c>
      <c r="J1729" s="3">
        <v>499</v>
      </c>
      <c r="K1729" s="3">
        <v>27944</v>
      </c>
      <c r="L1729" s="2" t="s">
        <v>66</v>
      </c>
      <c r="M1729" s="4">
        <v>44230</v>
      </c>
      <c r="N1729" s="2" t="s">
        <v>23</v>
      </c>
      <c r="O1729" s="2">
        <f t="shared" si="107"/>
        <v>0</v>
      </c>
      <c r="P1729" s="2" t="s">
        <v>23</v>
      </c>
      <c r="Q1729" s="2" t="s">
        <v>23</v>
      </c>
      <c r="R1729" s="2" t="s">
        <v>23</v>
      </c>
      <c r="S1729" s="2" t="s">
        <v>23</v>
      </c>
      <c r="T1729" s="2" t="s">
        <v>23</v>
      </c>
      <c r="U1729" s="25">
        <f t="shared" si="105"/>
        <v>27944.001729</v>
      </c>
    </row>
    <row r="1730" spans="1:21">
      <c r="A1730" s="2" t="s">
        <v>2575</v>
      </c>
      <c r="B1730" s="2" t="s">
        <v>2576</v>
      </c>
      <c r="C1730" s="2" t="s">
        <v>19</v>
      </c>
      <c r="D1730" s="2">
        <v>52</v>
      </c>
      <c r="E1730" s="2" t="str">
        <f t="shared" si="106"/>
        <v>46-60</v>
      </c>
      <c r="F1730" s="2" t="s">
        <v>26</v>
      </c>
      <c r="G1730" s="2" t="s">
        <v>21</v>
      </c>
      <c r="H1730" s="2">
        <v>6</v>
      </c>
      <c r="I1730" s="2" t="str">
        <f t="shared" ref="I1730:I1793" si="108">IF(H1730="","Unknown",IF(H1730&lt;=6,"0-6 months",IF(H1730&lt;=12,"7-12 months",IF(H1730&lt;=24,"13-24 months",IF(H1730&lt;=48,"25-48 months","49+ months")))))</f>
        <v>0-6 months</v>
      </c>
      <c r="J1730" s="3">
        <v>699</v>
      </c>
      <c r="K1730" s="3">
        <v>4194</v>
      </c>
      <c r="L1730" s="2" t="s">
        <v>31</v>
      </c>
      <c r="M1730" s="4">
        <v>45723</v>
      </c>
      <c r="N1730" s="2" t="s">
        <v>32</v>
      </c>
      <c r="O1730" s="2">
        <f t="shared" si="107"/>
        <v>1</v>
      </c>
      <c r="P1730" s="2" t="s">
        <v>23</v>
      </c>
      <c r="Q1730" s="2" t="s">
        <v>23</v>
      </c>
      <c r="R1730" s="2" t="s">
        <v>23</v>
      </c>
      <c r="S1730" s="2" t="s">
        <v>23</v>
      </c>
      <c r="T1730" s="2" t="s">
        <v>23</v>
      </c>
      <c r="U1730" s="25">
        <f t="shared" ref="U1730:U1793" si="109">IF(K1730="","",K1730+ROW()/1000000)</f>
        <v>4194.00173</v>
      </c>
    </row>
    <row r="1731" spans="1:21">
      <c r="A1731" s="2" t="s">
        <v>2577</v>
      </c>
      <c r="B1731" s="2" t="s">
        <v>371</v>
      </c>
      <c r="C1731" s="2" t="s">
        <v>35</v>
      </c>
      <c r="D1731" s="2">
        <v>52</v>
      </c>
      <c r="E1731" s="2" t="str">
        <f t="shared" ref="E1731:E1794" si="110">IF(D1731&lt;=25,"18-25",IF(D1731&lt;=35,"26-35",IF(D1731&lt;=45,"36-45",IF(D1731&lt;=60,"46-60","60+"))))</f>
        <v>46-60</v>
      </c>
      <c r="F1731" s="2" t="s">
        <v>36</v>
      </c>
      <c r="G1731" s="2" t="s">
        <v>21</v>
      </c>
      <c r="H1731" s="2">
        <v>15</v>
      </c>
      <c r="I1731" s="2" t="str">
        <f t="shared" si="108"/>
        <v>13-24 months</v>
      </c>
      <c r="J1731" s="3">
        <v>699</v>
      </c>
      <c r="K1731" s="3">
        <v>10485</v>
      </c>
      <c r="L1731" s="2" t="s">
        <v>31</v>
      </c>
      <c r="M1731" s="4">
        <v>45464</v>
      </c>
      <c r="N1731" s="2" t="s">
        <v>32</v>
      </c>
      <c r="O1731" s="2">
        <f t="shared" ref="O1731:O1794" si="111">IF(N1731="Yes",1,IF(N1731="No",0,""))</f>
        <v>1</v>
      </c>
      <c r="P1731" s="2" t="s">
        <v>23</v>
      </c>
      <c r="Q1731" s="2" t="s">
        <v>23</v>
      </c>
      <c r="R1731" s="2" t="s">
        <v>23</v>
      </c>
      <c r="S1731" s="2" t="s">
        <v>23</v>
      </c>
      <c r="T1731" s="2" t="s">
        <v>23</v>
      </c>
      <c r="U1731" s="25">
        <f t="shared" si="109"/>
        <v>10485.001731</v>
      </c>
    </row>
    <row r="1732" spans="1:21">
      <c r="A1732" s="2" t="s">
        <v>2578</v>
      </c>
      <c r="B1732" s="2" t="s">
        <v>998</v>
      </c>
      <c r="C1732" s="2" t="s">
        <v>35</v>
      </c>
      <c r="D1732" s="2">
        <v>41</v>
      </c>
      <c r="E1732" s="2" t="str">
        <f t="shared" si="110"/>
        <v>36-45</v>
      </c>
      <c r="F1732" s="2" t="s">
        <v>105</v>
      </c>
      <c r="G1732" s="2" t="s">
        <v>21</v>
      </c>
      <c r="H1732" s="2">
        <v>24</v>
      </c>
      <c r="I1732" s="2" t="str">
        <f t="shared" si="108"/>
        <v>13-24 months</v>
      </c>
      <c r="J1732" s="3">
        <v>899</v>
      </c>
      <c r="K1732" s="3">
        <v>21576</v>
      </c>
      <c r="L1732" s="2" t="s">
        <v>22</v>
      </c>
      <c r="M1732" s="4">
        <v>45179</v>
      </c>
      <c r="N1732" s="2" t="s">
        <v>32</v>
      </c>
      <c r="O1732" s="2">
        <f t="shared" si="111"/>
        <v>1</v>
      </c>
      <c r="P1732" s="2" t="s">
        <v>23</v>
      </c>
      <c r="Q1732" s="2" t="s">
        <v>23</v>
      </c>
      <c r="R1732" s="2" t="s">
        <v>23</v>
      </c>
      <c r="S1732" s="2" t="s">
        <v>23</v>
      </c>
      <c r="T1732" s="2" t="s">
        <v>23</v>
      </c>
      <c r="U1732" s="25">
        <f t="shared" si="109"/>
        <v>21576.001732000001</v>
      </c>
    </row>
    <row r="1733" spans="1:21">
      <c r="A1733" s="2" t="s">
        <v>2579</v>
      </c>
      <c r="B1733" s="2" t="s">
        <v>871</v>
      </c>
      <c r="C1733" s="2" t="s">
        <v>35</v>
      </c>
      <c r="D1733" s="2">
        <v>20</v>
      </c>
      <c r="E1733" s="2" t="str">
        <f t="shared" si="110"/>
        <v>18-25</v>
      </c>
      <c r="F1733" s="2" t="s">
        <v>60</v>
      </c>
      <c r="G1733" s="2" t="s">
        <v>27</v>
      </c>
      <c r="H1733" s="2">
        <v>2</v>
      </c>
      <c r="I1733" s="2" t="str">
        <f t="shared" si="108"/>
        <v>0-6 months</v>
      </c>
      <c r="J1733" s="3">
        <v>849</v>
      </c>
      <c r="K1733" s="3">
        <v>1698</v>
      </c>
      <c r="L1733" s="2" t="s">
        <v>31</v>
      </c>
      <c r="M1733" s="4">
        <v>45865</v>
      </c>
      <c r="N1733" s="2" t="s">
        <v>23</v>
      </c>
      <c r="O1733" s="2">
        <f t="shared" si="111"/>
        <v>0</v>
      </c>
      <c r="P1733" s="2" t="s">
        <v>23</v>
      </c>
      <c r="Q1733" s="2" t="s">
        <v>23</v>
      </c>
      <c r="R1733" s="2" t="s">
        <v>23</v>
      </c>
      <c r="S1733" s="2" t="s">
        <v>23</v>
      </c>
      <c r="T1733" s="2" t="s">
        <v>23</v>
      </c>
      <c r="U1733" s="25">
        <f t="shared" si="109"/>
        <v>1698.0017330000001</v>
      </c>
    </row>
    <row r="1734" spans="1:21">
      <c r="A1734" s="2" t="s">
        <v>2580</v>
      </c>
      <c r="B1734" s="2" t="s">
        <v>202</v>
      </c>
      <c r="C1734" s="2" t="s">
        <v>19</v>
      </c>
      <c r="D1734" s="2">
        <v>67</v>
      </c>
      <c r="E1734" s="2" t="str">
        <f t="shared" si="110"/>
        <v>60+</v>
      </c>
      <c r="F1734" s="2" t="s">
        <v>26</v>
      </c>
      <c r="G1734" s="2" t="s">
        <v>47</v>
      </c>
      <c r="H1734" s="2">
        <v>3</v>
      </c>
      <c r="I1734" s="2" t="str">
        <f t="shared" si="108"/>
        <v>0-6 months</v>
      </c>
      <c r="J1734" s="3">
        <v>649</v>
      </c>
      <c r="K1734" s="3">
        <v>1947</v>
      </c>
      <c r="L1734" s="2" t="s">
        <v>31</v>
      </c>
      <c r="M1734" s="4">
        <v>45824</v>
      </c>
      <c r="N1734" s="2" t="s">
        <v>23</v>
      </c>
      <c r="O1734" s="2">
        <f t="shared" si="111"/>
        <v>0</v>
      </c>
      <c r="P1734" s="2" t="s">
        <v>23</v>
      </c>
      <c r="Q1734" s="2" t="s">
        <v>23</v>
      </c>
      <c r="R1734" s="2" t="s">
        <v>23</v>
      </c>
      <c r="S1734" s="2" t="s">
        <v>32</v>
      </c>
      <c r="T1734" s="2" t="s">
        <v>23</v>
      </c>
      <c r="U1734" s="25">
        <f t="shared" si="109"/>
        <v>1947.0017339999999</v>
      </c>
    </row>
    <row r="1735" spans="1:21">
      <c r="A1735" s="2" t="s">
        <v>2581</v>
      </c>
      <c r="B1735" s="2" t="s">
        <v>2582</v>
      </c>
      <c r="C1735" s="2" t="s">
        <v>35</v>
      </c>
      <c r="D1735" s="2">
        <v>62</v>
      </c>
      <c r="E1735" s="2" t="str">
        <f t="shared" si="110"/>
        <v>60+</v>
      </c>
      <c r="F1735" s="2" t="s">
        <v>63</v>
      </c>
      <c r="G1735" s="2" t="s">
        <v>21</v>
      </c>
      <c r="H1735" s="2">
        <v>23</v>
      </c>
      <c r="I1735" s="2" t="str">
        <f t="shared" si="108"/>
        <v>13-24 months</v>
      </c>
      <c r="J1735" s="3">
        <v>799</v>
      </c>
      <c r="K1735" s="3">
        <v>18377</v>
      </c>
      <c r="L1735" s="2" t="s">
        <v>31</v>
      </c>
      <c r="M1735" s="4">
        <v>45209</v>
      </c>
      <c r="N1735" s="2" t="s">
        <v>32</v>
      </c>
      <c r="O1735" s="2">
        <f t="shared" si="111"/>
        <v>1</v>
      </c>
      <c r="P1735" s="2" t="s">
        <v>23</v>
      </c>
      <c r="Q1735" s="2" t="s">
        <v>23</v>
      </c>
      <c r="R1735" s="2" t="s">
        <v>23</v>
      </c>
      <c r="S1735" s="2" t="s">
        <v>23</v>
      </c>
      <c r="T1735" s="2" t="s">
        <v>23</v>
      </c>
      <c r="U1735" s="25">
        <f t="shared" si="109"/>
        <v>18377.001735000002</v>
      </c>
    </row>
    <row r="1736" spans="1:21">
      <c r="A1736" s="2" t="s">
        <v>2583</v>
      </c>
      <c r="B1736" s="2" t="s">
        <v>244</v>
      </c>
      <c r="C1736" s="2" t="s">
        <v>35</v>
      </c>
      <c r="D1736" s="2">
        <v>29</v>
      </c>
      <c r="E1736" s="2" t="str">
        <f t="shared" si="110"/>
        <v>26-35</v>
      </c>
      <c r="F1736" s="2" t="s">
        <v>36</v>
      </c>
      <c r="G1736" s="2" t="s">
        <v>47</v>
      </c>
      <c r="H1736" s="2">
        <v>24</v>
      </c>
      <c r="I1736" s="2" t="str">
        <f t="shared" si="108"/>
        <v>13-24 months</v>
      </c>
      <c r="J1736" s="3">
        <v>1049</v>
      </c>
      <c r="K1736" s="3">
        <v>25176</v>
      </c>
      <c r="L1736" s="2" t="s">
        <v>22</v>
      </c>
      <c r="M1736" s="4">
        <v>45207</v>
      </c>
      <c r="N1736" s="2" t="s">
        <v>23</v>
      </c>
      <c r="O1736" s="2">
        <f t="shared" si="111"/>
        <v>0</v>
      </c>
      <c r="P1736" s="2" t="s">
        <v>23</v>
      </c>
      <c r="Q1736" s="2" t="s">
        <v>23</v>
      </c>
      <c r="R1736" s="2" t="s">
        <v>23</v>
      </c>
      <c r="S1736" s="2" t="s">
        <v>23</v>
      </c>
      <c r="T1736" s="2" t="s">
        <v>23</v>
      </c>
      <c r="U1736" s="25">
        <f t="shared" si="109"/>
        <v>25176.001735999998</v>
      </c>
    </row>
    <row r="1737" spans="1:21">
      <c r="A1737" s="2" t="s">
        <v>2584</v>
      </c>
      <c r="B1737" s="2" t="s">
        <v>1305</v>
      </c>
      <c r="C1737" s="2" t="s">
        <v>19</v>
      </c>
      <c r="D1737" s="2">
        <v>66</v>
      </c>
      <c r="E1737" s="2" t="str">
        <f t="shared" si="110"/>
        <v>60+</v>
      </c>
      <c r="F1737" s="2" t="s">
        <v>110</v>
      </c>
      <c r="G1737" s="2" t="s">
        <v>27</v>
      </c>
      <c r="H1737" s="2">
        <v>21</v>
      </c>
      <c r="I1737" s="2" t="str">
        <f t="shared" si="108"/>
        <v>13-24 months</v>
      </c>
      <c r="J1737" s="3">
        <v>599</v>
      </c>
      <c r="K1737" s="3">
        <v>12579</v>
      </c>
      <c r="L1737" s="2" t="s">
        <v>31</v>
      </c>
      <c r="M1737" s="4">
        <v>45269</v>
      </c>
      <c r="N1737" s="2" t="s">
        <v>23</v>
      </c>
      <c r="O1737" s="2">
        <f t="shared" si="111"/>
        <v>0</v>
      </c>
      <c r="P1737" s="2" t="s">
        <v>23</v>
      </c>
      <c r="Q1737" s="2" t="s">
        <v>23</v>
      </c>
      <c r="R1737" s="2" t="s">
        <v>23</v>
      </c>
      <c r="S1737" s="2" t="s">
        <v>23</v>
      </c>
      <c r="T1737" s="2" t="s">
        <v>23</v>
      </c>
      <c r="U1737" s="25">
        <f t="shared" si="109"/>
        <v>12579.001737000001</v>
      </c>
    </row>
    <row r="1738" spans="1:21">
      <c r="A1738" s="2" t="s">
        <v>2585</v>
      </c>
      <c r="B1738" s="2" t="s">
        <v>1080</v>
      </c>
      <c r="C1738" s="2" t="s">
        <v>19</v>
      </c>
      <c r="D1738" s="2">
        <v>61</v>
      </c>
      <c r="E1738" s="2" t="str">
        <f t="shared" si="110"/>
        <v>60+</v>
      </c>
      <c r="F1738" s="2" t="s">
        <v>71</v>
      </c>
      <c r="G1738" s="2" t="s">
        <v>27</v>
      </c>
      <c r="H1738" s="2">
        <v>40</v>
      </c>
      <c r="I1738" s="2" t="str">
        <f t="shared" si="108"/>
        <v>25-48 months</v>
      </c>
      <c r="J1738" s="3">
        <v>899</v>
      </c>
      <c r="K1738" s="3">
        <v>35960</v>
      </c>
      <c r="L1738" s="2" t="s">
        <v>22</v>
      </c>
      <c r="M1738" s="4">
        <v>44702</v>
      </c>
      <c r="N1738" s="2" t="s">
        <v>23</v>
      </c>
      <c r="O1738" s="2">
        <f t="shared" si="111"/>
        <v>0</v>
      </c>
      <c r="P1738" s="2" t="s">
        <v>23</v>
      </c>
      <c r="Q1738" s="2" t="s">
        <v>23</v>
      </c>
      <c r="R1738" s="2" t="s">
        <v>23</v>
      </c>
      <c r="S1738" s="2" t="s">
        <v>32</v>
      </c>
      <c r="T1738" s="2" t="s">
        <v>23</v>
      </c>
      <c r="U1738" s="25">
        <f t="shared" si="109"/>
        <v>35960.001737999999</v>
      </c>
    </row>
    <row r="1739" spans="1:21">
      <c r="A1739" s="2" t="s">
        <v>2586</v>
      </c>
      <c r="B1739" s="2" t="s">
        <v>984</v>
      </c>
      <c r="C1739" s="2" t="s">
        <v>35</v>
      </c>
      <c r="D1739" s="2">
        <v>63</v>
      </c>
      <c r="E1739" s="2" t="str">
        <f t="shared" si="110"/>
        <v>60+</v>
      </c>
      <c r="F1739" s="2" t="s">
        <v>20</v>
      </c>
      <c r="G1739" s="2" t="s">
        <v>47</v>
      </c>
      <c r="H1739" s="2">
        <v>71</v>
      </c>
      <c r="I1739" s="2" t="str">
        <f t="shared" si="108"/>
        <v>49+ months</v>
      </c>
      <c r="J1739" s="3">
        <v>1049</v>
      </c>
      <c r="K1739" s="3">
        <v>74479</v>
      </c>
      <c r="L1739" s="2" t="s">
        <v>22</v>
      </c>
      <c r="M1739" s="4">
        <v>43778</v>
      </c>
      <c r="N1739" s="2" t="s">
        <v>23</v>
      </c>
      <c r="O1739" s="2">
        <f t="shared" si="111"/>
        <v>0</v>
      </c>
      <c r="P1739" s="2" t="s">
        <v>23</v>
      </c>
      <c r="Q1739" s="2" t="s">
        <v>23</v>
      </c>
      <c r="R1739" s="2" t="s">
        <v>23</v>
      </c>
      <c r="S1739" s="2" t="s">
        <v>23</v>
      </c>
      <c r="T1739" s="2" t="s">
        <v>23</v>
      </c>
      <c r="U1739" s="25">
        <f t="shared" si="109"/>
        <v>74479.001738999999</v>
      </c>
    </row>
    <row r="1740" spans="1:21">
      <c r="A1740" s="2" t="s">
        <v>2587</v>
      </c>
      <c r="B1740" s="2" t="s">
        <v>1741</v>
      </c>
      <c r="C1740" s="2" t="s">
        <v>19</v>
      </c>
      <c r="D1740" s="2">
        <v>66</v>
      </c>
      <c r="E1740" s="2" t="str">
        <f t="shared" si="110"/>
        <v>60+</v>
      </c>
      <c r="F1740" s="2" t="s">
        <v>57</v>
      </c>
      <c r="G1740" s="2" t="s">
        <v>21</v>
      </c>
      <c r="H1740" s="2">
        <v>13</v>
      </c>
      <c r="I1740" s="2" t="str">
        <f t="shared" si="108"/>
        <v>13-24 months</v>
      </c>
      <c r="J1740" s="3">
        <v>699</v>
      </c>
      <c r="K1740" s="3">
        <v>9087</v>
      </c>
      <c r="L1740" s="2" t="s">
        <v>31</v>
      </c>
      <c r="M1740" s="4">
        <v>45529</v>
      </c>
      <c r="N1740" s="2" t="s">
        <v>32</v>
      </c>
      <c r="O1740" s="2">
        <f t="shared" si="111"/>
        <v>1</v>
      </c>
      <c r="P1740" s="2" t="s">
        <v>23</v>
      </c>
      <c r="Q1740" s="2" t="s">
        <v>23</v>
      </c>
      <c r="R1740" s="2" t="s">
        <v>23</v>
      </c>
      <c r="S1740" s="2" t="s">
        <v>23</v>
      </c>
      <c r="T1740" s="2" t="s">
        <v>23</v>
      </c>
      <c r="U1740" s="25">
        <f t="shared" si="109"/>
        <v>9087.0017399999997</v>
      </c>
    </row>
    <row r="1741" spans="1:21">
      <c r="A1741" s="2" t="s">
        <v>2588</v>
      </c>
      <c r="B1741" s="2" t="s">
        <v>1505</v>
      </c>
      <c r="C1741" s="2" t="s">
        <v>19</v>
      </c>
      <c r="D1741" s="2">
        <v>75</v>
      </c>
      <c r="E1741" s="2" t="str">
        <f t="shared" si="110"/>
        <v>60+</v>
      </c>
      <c r="F1741" s="2" t="s">
        <v>91</v>
      </c>
      <c r="G1741" s="2" t="s">
        <v>21</v>
      </c>
      <c r="H1741" s="2">
        <v>5</v>
      </c>
      <c r="I1741" s="2" t="str">
        <f t="shared" si="108"/>
        <v>0-6 months</v>
      </c>
      <c r="J1741" s="3">
        <v>599</v>
      </c>
      <c r="K1741" s="3">
        <v>2995</v>
      </c>
      <c r="L1741" s="2" t="s">
        <v>31</v>
      </c>
      <c r="M1741" s="4">
        <v>45759</v>
      </c>
      <c r="N1741" s="2" t="s">
        <v>32</v>
      </c>
      <c r="O1741" s="2">
        <f t="shared" si="111"/>
        <v>1</v>
      </c>
      <c r="P1741" s="2" t="s">
        <v>23</v>
      </c>
      <c r="Q1741" s="2" t="s">
        <v>23</v>
      </c>
      <c r="R1741" s="2" t="s">
        <v>23</v>
      </c>
      <c r="S1741" s="2" t="s">
        <v>23</v>
      </c>
      <c r="T1741" s="2" t="s">
        <v>23</v>
      </c>
      <c r="U1741" s="25">
        <f t="shared" si="109"/>
        <v>2995.001741</v>
      </c>
    </row>
    <row r="1742" spans="1:21">
      <c r="A1742" s="2" t="s">
        <v>2589</v>
      </c>
      <c r="B1742" s="2" t="s">
        <v>832</v>
      </c>
      <c r="C1742" s="2" t="s">
        <v>35</v>
      </c>
      <c r="D1742" s="2">
        <v>52</v>
      </c>
      <c r="E1742" s="2" t="str">
        <f t="shared" si="110"/>
        <v>46-60</v>
      </c>
      <c r="F1742" s="2" t="s">
        <v>46</v>
      </c>
      <c r="G1742" s="2" t="s">
        <v>27</v>
      </c>
      <c r="H1742" s="2">
        <v>15</v>
      </c>
      <c r="I1742" s="2" t="str">
        <f t="shared" si="108"/>
        <v>13-24 months</v>
      </c>
      <c r="J1742" s="3">
        <v>549</v>
      </c>
      <c r="K1742" s="3">
        <v>8235</v>
      </c>
      <c r="L1742" s="2" t="s">
        <v>66</v>
      </c>
      <c r="M1742" s="4">
        <v>45473</v>
      </c>
      <c r="N1742" s="2" t="s">
        <v>23</v>
      </c>
      <c r="O1742" s="2">
        <f t="shared" si="111"/>
        <v>0</v>
      </c>
      <c r="P1742" s="2" t="s">
        <v>23</v>
      </c>
      <c r="Q1742" s="2" t="s">
        <v>23</v>
      </c>
      <c r="R1742" s="2" t="s">
        <v>23</v>
      </c>
      <c r="S1742" s="2" t="s">
        <v>23</v>
      </c>
      <c r="T1742" s="2" t="s">
        <v>23</v>
      </c>
      <c r="U1742" s="25">
        <f t="shared" si="109"/>
        <v>8235.0017420000004</v>
      </c>
    </row>
    <row r="1743" spans="1:21">
      <c r="A1743" s="2" t="s">
        <v>2590</v>
      </c>
      <c r="B1743" s="2" t="s">
        <v>2146</v>
      </c>
      <c r="C1743" s="2" t="s">
        <v>35</v>
      </c>
      <c r="D1743" s="2">
        <v>41</v>
      </c>
      <c r="E1743" s="2" t="str">
        <f t="shared" si="110"/>
        <v>36-45</v>
      </c>
      <c r="F1743" s="2" t="s">
        <v>71</v>
      </c>
      <c r="G1743" s="2" t="s">
        <v>27</v>
      </c>
      <c r="H1743" s="2">
        <v>24</v>
      </c>
      <c r="I1743" s="2" t="str">
        <f t="shared" si="108"/>
        <v>13-24 months</v>
      </c>
      <c r="J1743" s="3">
        <v>749</v>
      </c>
      <c r="K1743" s="3">
        <v>17976</v>
      </c>
      <c r="L1743" s="2" t="s">
        <v>31</v>
      </c>
      <c r="M1743" s="4"/>
      <c r="N1743" s="2" t="s">
        <v>32</v>
      </c>
      <c r="O1743" s="2">
        <f t="shared" si="111"/>
        <v>1</v>
      </c>
      <c r="P1743" s="2" t="s">
        <v>23</v>
      </c>
      <c r="Q1743" s="2" t="s">
        <v>23</v>
      </c>
      <c r="R1743" s="2" t="s">
        <v>23</v>
      </c>
      <c r="S1743" s="2" t="s">
        <v>23</v>
      </c>
      <c r="T1743" s="2" t="s">
        <v>54</v>
      </c>
      <c r="U1743" s="25">
        <f t="shared" si="109"/>
        <v>17976.001743000001</v>
      </c>
    </row>
    <row r="1744" spans="1:21">
      <c r="A1744" s="2" t="s">
        <v>2591</v>
      </c>
      <c r="B1744" s="2" t="s">
        <v>1188</v>
      </c>
      <c r="C1744" s="2" t="s">
        <v>19</v>
      </c>
      <c r="D1744" s="2">
        <v>54</v>
      </c>
      <c r="E1744" s="2" t="str">
        <f t="shared" si="110"/>
        <v>46-60</v>
      </c>
      <c r="F1744" s="2" t="s">
        <v>105</v>
      </c>
      <c r="G1744" s="2" t="s">
        <v>47</v>
      </c>
      <c r="H1744" s="2">
        <v>71</v>
      </c>
      <c r="I1744" s="2" t="str">
        <f t="shared" si="108"/>
        <v>49+ months</v>
      </c>
      <c r="J1744" s="3">
        <v>549</v>
      </c>
      <c r="K1744" s="3">
        <v>38979</v>
      </c>
      <c r="L1744" s="2" t="s">
        <v>66</v>
      </c>
      <c r="M1744" s="4"/>
      <c r="N1744" s="2" t="s">
        <v>23</v>
      </c>
      <c r="O1744" s="2">
        <f t="shared" si="111"/>
        <v>0</v>
      </c>
      <c r="P1744" s="2" t="s">
        <v>23</v>
      </c>
      <c r="Q1744" s="2" t="s">
        <v>23</v>
      </c>
      <c r="R1744" s="2" t="s">
        <v>23</v>
      </c>
      <c r="S1744" s="2" t="s">
        <v>23</v>
      </c>
      <c r="T1744" s="2" t="s">
        <v>54</v>
      </c>
      <c r="U1744" s="25">
        <f t="shared" si="109"/>
        <v>38979.001744000001</v>
      </c>
    </row>
    <row r="1745" spans="1:21">
      <c r="A1745" s="2" t="s">
        <v>2592</v>
      </c>
      <c r="B1745" s="2" t="s">
        <v>336</v>
      </c>
      <c r="C1745" s="2" t="s">
        <v>35</v>
      </c>
      <c r="D1745" s="2">
        <v>67</v>
      </c>
      <c r="E1745" s="2" t="str">
        <f t="shared" si="110"/>
        <v>60+</v>
      </c>
      <c r="F1745" s="2" t="s">
        <v>141</v>
      </c>
      <c r="G1745" s="2" t="s">
        <v>47</v>
      </c>
      <c r="H1745" s="2">
        <v>65</v>
      </c>
      <c r="I1745" s="2" t="str">
        <f t="shared" si="108"/>
        <v>49+ months</v>
      </c>
      <c r="J1745" s="3">
        <v>399</v>
      </c>
      <c r="K1745" s="3">
        <v>25935</v>
      </c>
      <c r="L1745" s="2" t="s">
        <v>66</v>
      </c>
      <c r="M1745" s="4">
        <v>43972</v>
      </c>
      <c r="N1745" s="2" t="s">
        <v>23</v>
      </c>
      <c r="O1745" s="2">
        <f t="shared" si="111"/>
        <v>0</v>
      </c>
      <c r="P1745" s="2" t="s">
        <v>23</v>
      </c>
      <c r="Q1745" s="2" t="s">
        <v>23</v>
      </c>
      <c r="R1745" s="2" t="s">
        <v>23</v>
      </c>
      <c r="S1745" s="2" t="s">
        <v>32</v>
      </c>
      <c r="T1745" s="2" t="s">
        <v>23</v>
      </c>
      <c r="U1745" s="25">
        <f t="shared" si="109"/>
        <v>25935.001745000001</v>
      </c>
    </row>
    <row r="1746" spans="1:21">
      <c r="A1746" s="2" t="s">
        <v>2593</v>
      </c>
      <c r="B1746" s="2" t="s">
        <v>2205</v>
      </c>
      <c r="C1746" s="2" t="s">
        <v>19</v>
      </c>
      <c r="D1746" s="2">
        <v>37</v>
      </c>
      <c r="E1746" s="2" t="str">
        <f t="shared" si="110"/>
        <v>36-45</v>
      </c>
      <c r="F1746" s="2" t="s">
        <v>91</v>
      </c>
      <c r="G1746" s="2" t="s">
        <v>27</v>
      </c>
      <c r="H1746" s="2">
        <v>15</v>
      </c>
      <c r="I1746" s="2" t="str">
        <f t="shared" si="108"/>
        <v>13-24 months</v>
      </c>
      <c r="J1746" s="3">
        <v>499</v>
      </c>
      <c r="K1746" s="3">
        <v>7485</v>
      </c>
      <c r="L1746" s="2" t="s">
        <v>66</v>
      </c>
      <c r="M1746" s="4">
        <v>45466</v>
      </c>
      <c r="N1746" s="2" t="s">
        <v>23</v>
      </c>
      <c r="O1746" s="2">
        <f t="shared" si="111"/>
        <v>0</v>
      </c>
      <c r="P1746" s="2" t="s">
        <v>23</v>
      </c>
      <c r="Q1746" s="2" t="s">
        <v>23</v>
      </c>
      <c r="R1746" s="2" t="s">
        <v>23</v>
      </c>
      <c r="S1746" s="2" t="s">
        <v>23</v>
      </c>
      <c r="T1746" s="2" t="s">
        <v>23</v>
      </c>
      <c r="U1746" s="25">
        <f t="shared" si="109"/>
        <v>7485.0017459999999</v>
      </c>
    </row>
    <row r="1747" spans="1:21">
      <c r="A1747" s="2" t="s">
        <v>2594</v>
      </c>
      <c r="B1747" s="2" t="s">
        <v>736</v>
      </c>
      <c r="C1747" s="2" t="s">
        <v>19</v>
      </c>
      <c r="D1747" s="2">
        <v>18</v>
      </c>
      <c r="E1747" s="2" t="str">
        <f t="shared" si="110"/>
        <v>18-25</v>
      </c>
      <c r="F1747" s="2" t="s">
        <v>20</v>
      </c>
      <c r="G1747" s="2" t="s">
        <v>21</v>
      </c>
      <c r="H1747" s="2">
        <v>1</v>
      </c>
      <c r="I1747" s="2" t="str">
        <f t="shared" si="108"/>
        <v>0-6 months</v>
      </c>
      <c r="J1747" s="3">
        <v>599</v>
      </c>
      <c r="K1747" s="3">
        <v>599</v>
      </c>
      <c r="L1747" s="2" t="s">
        <v>31</v>
      </c>
      <c r="M1747" s="4">
        <v>45888</v>
      </c>
      <c r="N1747" s="2" t="s">
        <v>23</v>
      </c>
      <c r="O1747" s="2">
        <f t="shared" si="111"/>
        <v>0</v>
      </c>
      <c r="P1747" s="2" t="s">
        <v>23</v>
      </c>
      <c r="Q1747" s="2" t="s">
        <v>23</v>
      </c>
      <c r="R1747" s="2" t="s">
        <v>23</v>
      </c>
      <c r="S1747" s="2" t="s">
        <v>23</v>
      </c>
      <c r="T1747" s="2" t="s">
        <v>23</v>
      </c>
      <c r="U1747" s="25">
        <f t="shared" si="109"/>
        <v>599.00174700000002</v>
      </c>
    </row>
    <row r="1748" spans="1:21">
      <c r="A1748" s="2" t="s">
        <v>2595</v>
      </c>
      <c r="B1748" s="2" t="s">
        <v>1539</v>
      </c>
      <c r="C1748" s="2" t="s">
        <v>35</v>
      </c>
      <c r="D1748" s="2">
        <v>29</v>
      </c>
      <c r="E1748" s="2" t="str">
        <f t="shared" si="110"/>
        <v>26-35</v>
      </c>
      <c r="F1748" s="2" t="s">
        <v>46</v>
      </c>
      <c r="G1748" s="2" t="s">
        <v>21</v>
      </c>
      <c r="H1748" s="2">
        <v>6</v>
      </c>
      <c r="I1748" s="2" t="str">
        <f t="shared" si="108"/>
        <v>0-6 months</v>
      </c>
      <c r="J1748" s="3">
        <v>899</v>
      </c>
      <c r="K1748" s="3">
        <v>5394</v>
      </c>
      <c r="L1748" s="2" t="s">
        <v>22</v>
      </c>
      <c r="M1748" s="4">
        <v>45730</v>
      </c>
      <c r="N1748" s="2" t="s">
        <v>23</v>
      </c>
      <c r="O1748" s="2">
        <f t="shared" si="111"/>
        <v>0</v>
      </c>
      <c r="P1748" s="2" t="s">
        <v>23</v>
      </c>
      <c r="Q1748" s="2" t="s">
        <v>23</v>
      </c>
      <c r="R1748" s="2" t="s">
        <v>23</v>
      </c>
      <c r="S1748" s="2" t="s">
        <v>23</v>
      </c>
      <c r="T1748" s="2" t="s">
        <v>23</v>
      </c>
      <c r="U1748" s="25">
        <f t="shared" si="109"/>
        <v>5394.0017479999997</v>
      </c>
    </row>
    <row r="1749" spans="1:21">
      <c r="A1749" s="2" t="s">
        <v>2596</v>
      </c>
      <c r="B1749" s="2" t="s">
        <v>670</v>
      </c>
      <c r="C1749" s="2" t="s">
        <v>19</v>
      </c>
      <c r="D1749" s="2">
        <v>37</v>
      </c>
      <c r="E1749" s="2" t="str">
        <f t="shared" si="110"/>
        <v>36-45</v>
      </c>
      <c r="F1749" s="2" t="s">
        <v>30</v>
      </c>
      <c r="G1749" s="2" t="s">
        <v>47</v>
      </c>
      <c r="H1749" s="2">
        <v>5</v>
      </c>
      <c r="I1749" s="2" t="str">
        <f t="shared" si="108"/>
        <v>0-6 months</v>
      </c>
      <c r="J1749" s="3">
        <v>799</v>
      </c>
      <c r="K1749" s="3">
        <v>3995</v>
      </c>
      <c r="L1749" s="2" t="s">
        <v>31</v>
      </c>
      <c r="M1749" s="4">
        <v>45777</v>
      </c>
      <c r="N1749" s="2" t="s">
        <v>23</v>
      </c>
      <c r="O1749" s="2">
        <f t="shared" si="111"/>
        <v>0</v>
      </c>
      <c r="P1749" s="2" t="s">
        <v>23</v>
      </c>
      <c r="Q1749" s="2" t="s">
        <v>23</v>
      </c>
      <c r="R1749" s="2" t="s">
        <v>23</v>
      </c>
      <c r="S1749" s="2" t="s">
        <v>23</v>
      </c>
      <c r="T1749" s="2" t="s">
        <v>23</v>
      </c>
      <c r="U1749" s="25">
        <f t="shared" si="109"/>
        <v>3995.001749</v>
      </c>
    </row>
    <row r="1750" spans="1:21">
      <c r="A1750" s="2" t="s">
        <v>2597</v>
      </c>
      <c r="B1750" s="2" t="s">
        <v>2598</v>
      </c>
      <c r="C1750" s="2" t="s">
        <v>35</v>
      </c>
      <c r="D1750" s="2">
        <v>58</v>
      </c>
      <c r="E1750" s="2" t="str">
        <f t="shared" si="110"/>
        <v>46-60</v>
      </c>
      <c r="F1750" s="2" t="s">
        <v>110</v>
      </c>
      <c r="G1750" s="2" t="s">
        <v>47</v>
      </c>
      <c r="H1750" s="2">
        <v>53</v>
      </c>
      <c r="I1750" s="2" t="str">
        <f t="shared" si="108"/>
        <v>49+ months</v>
      </c>
      <c r="J1750" s="3">
        <v>1049</v>
      </c>
      <c r="K1750" s="3">
        <v>55597</v>
      </c>
      <c r="L1750" s="2" t="s">
        <v>22</v>
      </c>
      <c r="M1750" s="4">
        <v>44310</v>
      </c>
      <c r="N1750" s="2" t="s">
        <v>32</v>
      </c>
      <c r="O1750" s="2">
        <f t="shared" si="111"/>
        <v>1</v>
      </c>
      <c r="P1750" s="2" t="s">
        <v>23</v>
      </c>
      <c r="Q1750" s="2" t="s">
        <v>23</v>
      </c>
      <c r="R1750" s="2" t="s">
        <v>23</v>
      </c>
      <c r="S1750" s="2" t="s">
        <v>23</v>
      </c>
      <c r="T1750" s="2" t="s">
        <v>23</v>
      </c>
      <c r="U1750" s="25">
        <f t="shared" si="109"/>
        <v>55597.001750000003</v>
      </c>
    </row>
    <row r="1751" spans="1:21">
      <c r="A1751" s="2" t="s">
        <v>2599</v>
      </c>
      <c r="B1751" s="2" t="s">
        <v>2600</v>
      </c>
      <c r="C1751" s="2" t="s">
        <v>19</v>
      </c>
      <c r="D1751" s="2">
        <v>43</v>
      </c>
      <c r="E1751" s="2" t="str">
        <f t="shared" si="110"/>
        <v>36-45</v>
      </c>
      <c r="F1751" s="2" t="s">
        <v>60</v>
      </c>
      <c r="G1751" s="2" t="s">
        <v>21</v>
      </c>
      <c r="H1751" s="2">
        <v>1</v>
      </c>
      <c r="I1751" s="2" t="str">
        <f t="shared" si="108"/>
        <v>0-6 months</v>
      </c>
      <c r="J1751" s="3">
        <v>699</v>
      </c>
      <c r="K1751" s="3">
        <v>699</v>
      </c>
      <c r="L1751" s="2" t="s">
        <v>31</v>
      </c>
      <c r="M1751" s="4">
        <v>45869</v>
      </c>
      <c r="N1751" s="2" t="s">
        <v>23</v>
      </c>
      <c r="O1751" s="2">
        <f t="shared" si="111"/>
        <v>0</v>
      </c>
      <c r="P1751" s="2" t="s">
        <v>23</v>
      </c>
      <c r="Q1751" s="2" t="s">
        <v>23</v>
      </c>
      <c r="R1751" s="2" t="s">
        <v>23</v>
      </c>
      <c r="S1751" s="2" t="s">
        <v>23</v>
      </c>
      <c r="T1751" s="2" t="s">
        <v>23</v>
      </c>
      <c r="U1751" s="25">
        <f t="shared" si="109"/>
        <v>699.00175100000001</v>
      </c>
    </row>
    <row r="1752" spans="1:21">
      <c r="A1752" s="2" t="s">
        <v>2601</v>
      </c>
      <c r="B1752" s="2" t="s">
        <v>1786</v>
      </c>
      <c r="C1752" s="2" t="s">
        <v>35</v>
      </c>
      <c r="D1752" s="2">
        <v>53</v>
      </c>
      <c r="E1752" s="2" t="str">
        <f t="shared" si="110"/>
        <v>46-60</v>
      </c>
      <c r="F1752" s="2" t="s">
        <v>110</v>
      </c>
      <c r="G1752" s="2" t="s">
        <v>47</v>
      </c>
      <c r="H1752" s="2">
        <v>24</v>
      </c>
      <c r="I1752" s="2" t="str">
        <f t="shared" si="108"/>
        <v>13-24 months</v>
      </c>
      <c r="J1752" s="3">
        <v>999</v>
      </c>
      <c r="K1752" s="3">
        <v>23976</v>
      </c>
      <c r="L1752" s="2" t="s">
        <v>22</v>
      </c>
      <c r="M1752" s="4">
        <v>45184</v>
      </c>
      <c r="N1752" s="2" t="s">
        <v>23</v>
      </c>
      <c r="O1752" s="2">
        <f t="shared" si="111"/>
        <v>0</v>
      </c>
      <c r="P1752" s="2" t="s">
        <v>23</v>
      </c>
      <c r="Q1752" s="2" t="s">
        <v>23</v>
      </c>
      <c r="R1752" s="2" t="s">
        <v>23</v>
      </c>
      <c r="S1752" s="2" t="s">
        <v>23</v>
      </c>
      <c r="T1752" s="2" t="s">
        <v>23</v>
      </c>
      <c r="U1752" s="25">
        <f t="shared" si="109"/>
        <v>23976.001752</v>
      </c>
    </row>
    <row r="1753" spans="1:21">
      <c r="A1753" s="2" t="s">
        <v>2602</v>
      </c>
      <c r="B1753" s="2" t="s">
        <v>2603</v>
      </c>
      <c r="C1753" s="2" t="s">
        <v>35</v>
      </c>
      <c r="D1753" s="2">
        <v>43</v>
      </c>
      <c r="E1753" s="2" t="str">
        <f t="shared" si="110"/>
        <v>36-45</v>
      </c>
      <c r="F1753" s="2" t="s">
        <v>36</v>
      </c>
      <c r="G1753" s="2" t="s">
        <v>21</v>
      </c>
      <c r="H1753" s="2">
        <v>14</v>
      </c>
      <c r="I1753" s="2" t="str">
        <f t="shared" si="108"/>
        <v>13-24 months</v>
      </c>
      <c r="J1753" s="3">
        <v>399</v>
      </c>
      <c r="K1753" s="3">
        <v>5586</v>
      </c>
      <c r="L1753" s="2" t="s">
        <v>66</v>
      </c>
      <c r="M1753" s="4">
        <v>45480</v>
      </c>
      <c r="N1753" s="2" t="s">
        <v>23</v>
      </c>
      <c r="O1753" s="2">
        <f t="shared" si="111"/>
        <v>0</v>
      </c>
      <c r="P1753" s="2" t="s">
        <v>23</v>
      </c>
      <c r="Q1753" s="2" t="s">
        <v>23</v>
      </c>
      <c r="R1753" s="2" t="s">
        <v>23</v>
      </c>
      <c r="S1753" s="2" t="s">
        <v>23</v>
      </c>
      <c r="T1753" s="2" t="s">
        <v>23</v>
      </c>
      <c r="U1753" s="25">
        <f t="shared" si="109"/>
        <v>5586.0017529999996</v>
      </c>
    </row>
    <row r="1754" spans="1:21">
      <c r="A1754" s="2" t="s">
        <v>2604</v>
      </c>
      <c r="B1754" s="2" t="s">
        <v>235</v>
      </c>
      <c r="C1754" s="2" t="s">
        <v>19</v>
      </c>
      <c r="D1754" s="2">
        <v>40</v>
      </c>
      <c r="E1754" s="2" t="str">
        <f t="shared" si="110"/>
        <v>36-45</v>
      </c>
      <c r="F1754" s="2" t="s">
        <v>26</v>
      </c>
      <c r="G1754" s="2" t="s">
        <v>21</v>
      </c>
      <c r="H1754" s="2">
        <v>15</v>
      </c>
      <c r="I1754" s="2" t="str">
        <f t="shared" si="108"/>
        <v>13-24 months</v>
      </c>
      <c r="J1754" s="3">
        <v>599</v>
      </c>
      <c r="K1754" s="3">
        <v>8985</v>
      </c>
      <c r="L1754" s="2" t="s">
        <v>31</v>
      </c>
      <c r="M1754" s="4">
        <v>45449</v>
      </c>
      <c r="N1754" s="2" t="s">
        <v>32</v>
      </c>
      <c r="O1754" s="2">
        <f t="shared" si="111"/>
        <v>1</v>
      </c>
      <c r="P1754" s="2" t="s">
        <v>23</v>
      </c>
      <c r="Q1754" s="2" t="s">
        <v>23</v>
      </c>
      <c r="R1754" s="2" t="s">
        <v>23</v>
      </c>
      <c r="S1754" s="2" t="s">
        <v>32</v>
      </c>
      <c r="T1754" s="2" t="s">
        <v>23</v>
      </c>
      <c r="U1754" s="25">
        <f t="shared" si="109"/>
        <v>8985.0017540000008</v>
      </c>
    </row>
    <row r="1755" spans="1:21">
      <c r="A1755" s="2" t="s">
        <v>2605</v>
      </c>
      <c r="B1755" s="2" t="s">
        <v>1906</v>
      </c>
      <c r="C1755" s="2" t="s">
        <v>35</v>
      </c>
      <c r="D1755" s="2">
        <v>69</v>
      </c>
      <c r="E1755" s="2" t="str">
        <f t="shared" si="110"/>
        <v>60+</v>
      </c>
      <c r="F1755" s="2" t="s">
        <v>30</v>
      </c>
      <c r="G1755" s="2" t="s">
        <v>47</v>
      </c>
      <c r="H1755" s="2">
        <v>71</v>
      </c>
      <c r="I1755" s="2" t="str">
        <f t="shared" si="108"/>
        <v>49+ months</v>
      </c>
      <c r="J1755" s="3">
        <v>599</v>
      </c>
      <c r="K1755" s="3">
        <v>42529</v>
      </c>
      <c r="L1755" s="2" t="s">
        <v>31</v>
      </c>
      <c r="M1755" s="4">
        <v>43793</v>
      </c>
      <c r="N1755" s="2" t="s">
        <v>23</v>
      </c>
      <c r="O1755" s="2">
        <f t="shared" si="111"/>
        <v>0</v>
      </c>
      <c r="P1755" s="2" t="s">
        <v>23</v>
      </c>
      <c r="Q1755" s="2" t="s">
        <v>23</v>
      </c>
      <c r="R1755" s="2" t="s">
        <v>23</v>
      </c>
      <c r="S1755" s="2" t="s">
        <v>23</v>
      </c>
      <c r="T1755" s="2" t="s">
        <v>23</v>
      </c>
      <c r="U1755" s="25">
        <f t="shared" si="109"/>
        <v>42529.001754999998</v>
      </c>
    </row>
    <row r="1756" spans="1:21">
      <c r="A1756" s="2" t="s">
        <v>2606</v>
      </c>
      <c r="B1756" s="2" t="s">
        <v>180</v>
      </c>
      <c r="C1756" s="2" t="s">
        <v>19</v>
      </c>
      <c r="D1756" s="2">
        <v>60</v>
      </c>
      <c r="E1756" s="2" t="str">
        <f t="shared" si="110"/>
        <v>46-60</v>
      </c>
      <c r="F1756" s="2" t="s">
        <v>63</v>
      </c>
      <c r="G1756" s="2" t="s">
        <v>21</v>
      </c>
      <c r="H1756" s="2">
        <v>17</v>
      </c>
      <c r="I1756" s="2" t="str">
        <f t="shared" si="108"/>
        <v>13-24 months</v>
      </c>
      <c r="J1756" s="3">
        <v>549</v>
      </c>
      <c r="K1756" s="3">
        <v>9333</v>
      </c>
      <c r="L1756" s="2" t="s">
        <v>66</v>
      </c>
      <c r="M1756" s="4">
        <v>45403</v>
      </c>
      <c r="N1756" s="2" t="s">
        <v>23</v>
      </c>
      <c r="O1756" s="2">
        <f t="shared" si="111"/>
        <v>0</v>
      </c>
      <c r="P1756" s="2" t="s">
        <v>23</v>
      </c>
      <c r="Q1756" s="2" t="s">
        <v>23</v>
      </c>
      <c r="R1756" s="2" t="s">
        <v>23</v>
      </c>
      <c r="S1756" s="2" t="s">
        <v>23</v>
      </c>
      <c r="T1756" s="2" t="s">
        <v>23</v>
      </c>
      <c r="U1756" s="25">
        <f t="shared" si="109"/>
        <v>9333.0017559999997</v>
      </c>
    </row>
    <row r="1757" spans="1:21">
      <c r="A1757" s="2" t="s">
        <v>2607</v>
      </c>
      <c r="B1757" s="2" t="s">
        <v>2608</v>
      </c>
      <c r="C1757" s="2" t="s">
        <v>19</v>
      </c>
      <c r="D1757" s="2">
        <v>24</v>
      </c>
      <c r="E1757" s="2" t="str">
        <f t="shared" si="110"/>
        <v>18-25</v>
      </c>
      <c r="F1757" s="2" t="s">
        <v>105</v>
      </c>
      <c r="G1757" s="2" t="s">
        <v>21</v>
      </c>
      <c r="H1757" s="2">
        <v>14</v>
      </c>
      <c r="I1757" s="2" t="str">
        <f t="shared" si="108"/>
        <v>13-24 months</v>
      </c>
      <c r="J1757" s="3">
        <v>649</v>
      </c>
      <c r="K1757" s="3">
        <v>9086</v>
      </c>
      <c r="L1757" s="2" t="s">
        <v>31</v>
      </c>
      <c r="M1757" s="4">
        <v>45491</v>
      </c>
      <c r="N1757" s="2" t="s">
        <v>32</v>
      </c>
      <c r="O1757" s="2">
        <f t="shared" si="111"/>
        <v>1</v>
      </c>
      <c r="P1757" s="2" t="s">
        <v>23</v>
      </c>
      <c r="Q1757" s="2" t="s">
        <v>23</v>
      </c>
      <c r="R1757" s="2" t="s">
        <v>23</v>
      </c>
      <c r="S1757" s="2" t="s">
        <v>23</v>
      </c>
      <c r="T1757" s="2" t="s">
        <v>23</v>
      </c>
      <c r="U1757" s="25">
        <f t="shared" si="109"/>
        <v>9086.001757</v>
      </c>
    </row>
    <row r="1758" spans="1:21">
      <c r="A1758" s="2" t="s">
        <v>2609</v>
      </c>
      <c r="B1758" s="2" t="s">
        <v>2610</v>
      </c>
      <c r="C1758" s="2" t="s">
        <v>37</v>
      </c>
      <c r="D1758" s="2">
        <v>54</v>
      </c>
      <c r="E1758" s="2" t="str">
        <f t="shared" si="110"/>
        <v>46-60</v>
      </c>
      <c r="F1758" s="2" t="s">
        <v>141</v>
      </c>
      <c r="G1758" s="2" t="s">
        <v>21</v>
      </c>
      <c r="H1758" s="2">
        <v>6</v>
      </c>
      <c r="I1758" s="2" t="str">
        <f t="shared" si="108"/>
        <v>0-6 months</v>
      </c>
      <c r="J1758" s="3">
        <v>349</v>
      </c>
      <c r="K1758" s="3">
        <v>2094</v>
      </c>
      <c r="L1758" s="2" t="s">
        <v>66</v>
      </c>
      <c r="M1758" s="4">
        <v>45732</v>
      </c>
      <c r="N1758" s="2" t="s">
        <v>32</v>
      </c>
      <c r="O1758" s="2">
        <f t="shared" si="111"/>
        <v>1</v>
      </c>
      <c r="P1758" s="2" t="s">
        <v>23</v>
      </c>
      <c r="Q1758" s="2" t="s">
        <v>23</v>
      </c>
      <c r="R1758" s="2" t="s">
        <v>23</v>
      </c>
      <c r="S1758" s="2" t="s">
        <v>23</v>
      </c>
      <c r="T1758" s="2" t="s">
        <v>23</v>
      </c>
      <c r="U1758" s="25">
        <f t="shared" si="109"/>
        <v>2094.0017579999999</v>
      </c>
    </row>
    <row r="1759" spans="1:21">
      <c r="A1759" s="2" t="s">
        <v>2611</v>
      </c>
      <c r="B1759" s="2" t="s">
        <v>1691</v>
      </c>
      <c r="C1759" s="2" t="s">
        <v>19</v>
      </c>
      <c r="D1759" s="2">
        <v>33</v>
      </c>
      <c r="E1759" s="2" t="str">
        <f t="shared" si="110"/>
        <v>26-35</v>
      </c>
      <c r="F1759" s="2" t="s">
        <v>60</v>
      </c>
      <c r="G1759" s="2" t="s">
        <v>21</v>
      </c>
      <c r="H1759" s="2">
        <v>20</v>
      </c>
      <c r="I1759" s="2" t="str">
        <f t="shared" si="108"/>
        <v>13-24 months</v>
      </c>
      <c r="J1759" s="3">
        <v>349</v>
      </c>
      <c r="K1759" s="3">
        <v>6980</v>
      </c>
      <c r="L1759" s="2" t="s">
        <v>66</v>
      </c>
      <c r="M1759" s="4">
        <v>45316</v>
      </c>
      <c r="N1759" s="2" t="s">
        <v>23</v>
      </c>
      <c r="O1759" s="2">
        <f t="shared" si="111"/>
        <v>0</v>
      </c>
      <c r="P1759" s="2" t="s">
        <v>23</v>
      </c>
      <c r="Q1759" s="2" t="s">
        <v>23</v>
      </c>
      <c r="R1759" s="2" t="s">
        <v>23</v>
      </c>
      <c r="S1759" s="2" t="s">
        <v>23</v>
      </c>
      <c r="T1759" s="2" t="s">
        <v>23</v>
      </c>
      <c r="U1759" s="25">
        <f t="shared" si="109"/>
        <v>6980.0017589999998</v>
      </c>
    </row>
    <row r="1760" spans="1:21">
      <c r="A1760" s="2" t="s">
        <v>2612</v>
      </c>
      <c r="B1760" s="2" t="s">
        <v>212</v>
      </c>
      <c r="C1760" s="2" t="s">
        <v>19</v>
      </c>
      <c r="D1760" s="2">
        <v>48</v>
      </c>
      <c r="E1760" s="2" t="str">
        <f t="shared" si="110"/>
        <v>46-60</v>
      </c>
      <c r="F1760" s="2" t="s">
        <v>63</v>
      </c>
      <c r="G1760" s="2" t="s">
        <v>47</v>
      </c>
      <c r="H1760" s="2">
        <v>40</v>
      </c>
      <c r="I1760" s="2" t="str">
        <f t="shared" si="108"/>
        <v>25-48 months</v>
      </c>
      <c r="J1760" s="3">
        <v>899</v>
      </c>
      <c r="K1760" s="3">
        <v>35960</v>
      </c>
      <c r="L1760" s="2" t="s">
        <v>31</v>
      </c>
      <c r="M1760" s="4">
        <v>44724</v>
      </c>
      <c r="N1760" s="2" t="s">
        <v>23</v>
      </c>
      <c r="O1760" s="2">
        <f t="shared" si="111"/>
        <v>0</v>
      </c>
      <c r="P1760" s="2" t="s">
        <v>23</v>
      </c>
      <c r="Q1760" s="2" t="s">
        <v>23</v>
      </c>
      <c r="R1760" s="2" t="s">
        <v>23</v>
      </c>
      <c r="S1760" s="2" t="s">
        <v>23</v>
      </c>
      <c r="T1760" s="2" t="s">
        <v>23</v>
      </c>
      <c r="U1760" s="25">
        <f t="shared" si="109"/>
        <v>35960.001759999999</v>
      </c>
    </row>
    <row r="1761" spans="1:21">
      <c r="A1761" s="2" t="s">
        <v>2613</v>
      </c>
      <c r="B1761" s="2" t="s">
        <v>2456</v>
      </c>
      <c r="C1761" s="2" t="s">
        <v>19</v>
      </c>
      <c r="D1761" s="2">
        <v>18</v>
      </c>
      <c r="E1761" s="2" t="str">
        <f t="shared" si="110"/>
        <v>18-25</v>
      </c>
      <c r="F1761" s="2" t="s">
        <v>36</v>
      </c>
      <c r="G1761" s="2" t="s">
        <v>21</v>
      </c>
      <c r="H1761" s="2">
        <v>10</v>
      </c>
      <c r="I1761" s="2" t="str">
        <f t="shared" si="108"/>
        <v>7-12 months</v>
      </c>
      <c r="J1761" s="3">
        <v>799</v>
      </c>
      <c r="K1761" s="3">
        <v>7990</v>
      </c>
      <c r="L1761" s="2" t="s">
        <v>31</v>
      </c>
      <c r="M1761" s="4">
        <v>45624</v>
      </c>
      <c r="N1761" s="2" t="s">
        <v>32</v>
      </c>
      <c r="O1761" s="2">
        <f t="shared" si="111"/>
        <v>1</v>
      </c>
      <c r="P1761" s="2" t="s">
        <v>23</v>
      </c>
      <c r="Q1761" s="2" t="s">
        <v>23</v>
      </c>
      <c r="R1761" s="2" t="s">
        <v>23</v>
      </c>
      <c r="S1761" s="2" t="s">
        <v>23</v>
      </c>
      <c r="T1761" s="2" t="s">
        <v>23</v>
      </c>
      <c r="U1761" s="25">
        <f t="shared" si="109"/>
        <v>7990.0017610000004</v>
      </c>
    </row>
    <row r="1762" spans="1:21">
      <c r="A1762" s="2" t="s">
        <v>2614</v>
      </c>
      <c r="B1762" s="2" t="s">
        <v>556</v>
      </c>
      <c r="C1762" s="2" t="s">
        <v>19</v>
      </c>
      <c r="D1762" s="2">
        <v>35</v>
      </c>
      <c r="E1762" s="2" t="str">
        <f t="shared" si="110"/>
        <v>26-35</v>
      </c>
      <c r="F1762" s="2" t="s">
        <v>46</v>
      </c>
      <c r="G1762" s="2" t="s">
        <v>21</v>
      </c>
      <c r="H1762" s="2">
        <v>7</v>
      </c>
      <c r="I1762" s="2" t="str">
        <f t="shared" si="108"/>
        <v>7-12 months</v>
      </c>
      <c r="J1762" s="3">
        <v>849</v>
      </c>
      <c r="K1762" s="3">
        <v>5943</v>
      </c>
      <c r="L1762" s="2" t="s">
        <v>31</v>
      </c>
      <c r="M1762" s="4"/>
      <c r="N1762" s="2" t="s">
        <v>23</v>
      </c>
      <c r="O1762" s="2">
        <f t="shared" si="111"/>
        <v>0</v>
      </c>
      <c r="P1762" s="2" t="s">
        <v>23</v>
      </c>
      <c r="Q1762" s="2" t="s">
        <v>23</v>
      </c>
      <c r="R1762" s="2" t="s">
        <v>23</v>
      </c>
      <c r="S1762" s="2" t="s">
        <v>23</v>
      </c>
      <c r="T1762" s="2" t="s">
        <v>54</v>
      </c>
      <c r="U1762" s="25">
        <f t="shared" si="109"/>
        <v>5943.0017619999999</v>
      </c>
    </row>
    <row r="1763" spans="1:21">
      <c r="A1763" s="2" t="s">
        <v>2615</v>
      </c>
      <c r="B1763" s="2" t="s">
        <v>1815</v>
      </c>
      <c r="C1763" s="2" t="s">
        <v>35</v>
      </c>
      <c r="D1763" s="2">
        <v>56</v>
      </c>
      <c r="E1763" s="2" t="str">
        <f t="shared" si="110"/>
        <v>46-60</v>
      </c>
      <c r="F1763" s="2" t="s">
        <v>141</v>
      </c>
      <c r="G1763" s="2" t="s">
        <v>21</v>
      </c>
      <c r="H1763" s="2">
        <v>5</v>
      </c>
      <c r="I1763" s="2" t="str">
        <f t="shared" si="108"/>
        <v>0-6 months</v>
      </c>
      <c r="J1763" s="3">
        <v>849</v>
      </c>
      <c r="K1763" s="3">
        <v>4245</v>
      </c>
      <c r="L1763" s="2" t="s">
        <v>31</v>
      </c>
      <c r="M1763" s="4">
        <v>45758</v>
      </c>
      <c r="N1763" s="2" t="s">
        <v>32</v>
      </c>
      <c r="O1763" s="2">
        <f t="shared" si="111"/>
        <v>1</v>
      </c>
      <c r="P1763" s="2" t="s">
        <v>23</v>
      </c>
      <c r="Q1763" s="2" t="s">
        <v>23</v>
      </c>
      <c r="R1763" s="2" t="s">
        <v>23</v>
      </c>
      <c r="S1763" s="2" t="s">
        <v>23</v>
      </c>
      <c r="T1763" s="2" t="s">
        <v>23</v>
      </c>
      <c r="U1763" s="25">
        <f t="shared" si="109"/>
        <v>4245.0017630000002</v>
      </c>
    </row>
    <row r="1764" spans="1:21">
      <c r="A1764" s="2" t="s">
        <v>2616</v>
      </c>
      <c r="B1764" s="2" t="s">
        <v>2526</v>
      </c>
      <c r="C1764" s="2" t="s">
        <v>19</v>
      </c>
      <c r="D1764" s="2">
        <v>63</v>
      </c>
      <c r="E1764" s="2" t="str">
        <f t="shared" si="110"/>
        <v>60+</v>
      </c>
      <c r="F1764" s="2" t="s">
        <v>141</v>
      </c>
      <c r="G1764" s="2" t="s">
        <v>21</v>
      </c>
      <c r="H1764" s="2">
        <v>5</v>
      </c>
      <c r="I1764" s="2" t="str">
        <f t="shared" si="108"/>
        <v>0-6 months</v>
      </c>
      <c r="J1764" s="3">
        <v>499</v>
      </c>
      <c r="K1764" s="3">
        <v>2495</v>
      </c>
      <c r="L1764" s="2" t="s">
        <v>66</v>
      </c>
      <c r="M1764" s="4">
        <v>45749</v>
      </c>
      <c r="N1764" s="2" t="s">
        <v>32</v>
      </c>
      <c r="O1764" s="2">
        <f t="shared" si="111"/>
        <v>1</v>
      </c>
      <c r="P1764" s="2" t="s">
        <v>23</v>
      </c>
      <c r="Q1764" s="2" t="s">
        <v>23</v>
      </c>
      <c r="R1764" s="2" t="s">
        <v>32</v>
      </c>
      <c r="S1764" s="2" t="s">
        <v>23</v>
      </c>
      <c r="T1764" s="2" t="s">
        <v>23</v>
      </c>
      <c r="U1764" s="25">
        <f t="shared" si="109"/>
        <v>2495.0017640000001</v>
      </c>
    </row>
    <row r="1765" spans="1:21">
      <c r="A1765" s="2" t="s">
        <v>2617</v>
      </c>
      <c r="B1765" s="2" t="s">
        <v>2336</v>
      </c>
      <c r="C1765" s="2" t="s">
        <v>19</v>
      </c>
      <c r="D1765" s="2">
        <v>41</v>
      </c>
      <c r="E1765" s="2" t="str">
        <f t="shared" si="110"/>
        <v>36-45</v>
      </c>
      <c r="F1765" s="2" t="s">
        <v>141</v>
      </c>
      <c r="G1765" s="2" t="s">
        <v>21</v>
      </c>
      <c r="H1765" s="2">
        <v>5</v>
      </c>
      <c r="I1765" s="2" t="str">
        <f t="shared" si="108"/>
        <v>0-6 months</v>
      </c>
      <c r="J1765" s="3">
        <v>499</v>
      </c>
      <c r="K1765" s="3">
        <v>2495</v>
      </c>
      <c r="L1765" s="2" t="s">
        <v>66</v>
      </c>
      <c r="M1765" s="4">
        <v>45777</v>
      </c>
      <c r="N1765" s="2" t="s">
        <v>32</v>
      </c>
      <c r="O1765" s="2">
        <f t="shared" si="111"/>
        <v>1</v>
      </c>
      <c r="P1765" s="2" t="s">
        <v>23</v>
      </c>
      <c r="Q1765" s="2" t="s">
        <v>23</v>
      </c>
      <c r="R1765" s="2" t="s">
        <v>23</v>
      </c>
      <c r="S1765" s="2" t="s">
        <v>23</v>
      </c>
      <c r="T1765" s="2" t="s">
        <v>23</v>
      </c>
      <c r="U1765" s="25">
        <f t="shared" si="109"/>
        <v>2495.001765</v>
      </c>
    </row>
    <row r="1766" spans="1:21">
      <c r="A1766" s="2" t="s">
        <v>2618</v>
      </c>
      <c r="B1766" s="2" t="s">
        <v>2619</v>
      </c>
      <c r="C1766" s="2" t="s">
        <v>35</v>
      </c>
      <c r="D1766" s="2">
        <v>30</v>
      </c>
      <c r="E1766" s="2" t="str">
        <f t="shared" si="110"/>
        <v>26-35</v>
      </c>
      <c r="F1766" s="2" t="s">
        <v>36</v>
      </c>
      <c r="G1766" s="2" t="s">
        <v>27</v>
      </c>
      <c r="H1766" s="2">
        <v>23</v>
      </c>
      <c r="I1766" s="2" t="str">
        <f t="shared" si="108"/>
        <v>13-24 months</v>
      </c>
      <c r="J1766" s="3">
        <v>549</v>
      </c>
      <c r="K1766" s="3">
        <v>12627</v>
      </c>
      <c r="L1766" s="2" t="s">
        <v>37</v>
      </c>
      <c r="M1766" s="4">
        <v>45212</v>
      </c>
      <c r="N1766" s="2" t="s">
        <v>23</v>
      </c>
      <c r="O1766" s="2">
        <f t="shared" si="111"/>
        <v>0</v>
      </c>
      <c r="P1766" s="2" t="s">
        <v>23</v>
      </c>
      <c r="Q1766" s="2" t="s">
        <v>23</v>
      </c>
      <c r="R1766" s="2" t="s">
        <v>32</v>
      </c>
      <c r="S1766" s="2" t="s">
        <v>23</v>
      </c>
      <c r="T1766" s="2" t="s">
        <v>23</v>
      </c>
      <c r="U1766" s="25">
        <f t="shared" si="109"/>
        <v>12627.001765999999</v>
      </c>
    </row>
    <row r="1767" spans="1:21">
      <c r="A1767" s="2" t="s">
        <v>2620</v>
      </c>
      <c r="B1767" s="2" t="s">
        <v>1971</v>
      </c>
      <c r="C1767" s="2" t="s">
        <v>35</v>
      </c>
      <c r="D1767" s="2">
        <v>40</v>
      </c>
      <c r="E1767" s="2" t="str">
        <f t="shared" si="110"/>
        <v>36-45</v>
      </c>
      <c r="F1767" s="2" t="s">
        <v>105</v>
      </c>
      <c r="G1767" s="2" t="s">
        <v>47</v>
      </c>
      <c r="H1767" s="2">
        <v>69</v>
      </c>
      <c r="I1767" s="2" t="str">
        <f t="shared" si="108"/>
        <v>49+ months</v>
      </c>
      <c r="J1767" s="3">
        <v>649</v>
      </c>
      <c r="K1767" s="3">
        <v>44781</v>
      </c>
      <c r="L1767" s="2" t="s">
        <v>31</v>
      </c>
      <c r="M1767" s="4">
        <v>43838</v>
      </c>
      <c r="N1767" s="2" t="s">
        <v>23</v>
      </c>
      <c r="O1767" s="2">
        <f t="shared" si="111"/>
        <v>0</v>
      </c>
      <c r="P1767" s="2" t="s">
        <v>23</v>
      </c>
      <c r="Q1767" s="2" t="s">
        <v>23</v>
      </c>
      <c r="R1767" s="2" t="s">
        <v>23</v>
      </c>
      <c r="S1767" s="2" t="s">
        <v>23</v>
      </c>
      <c r="T1767" s="2" t="s">
        <v>23</v>
      </c>
      <c r="U1767" s="25">
        <f t="shared" si="109"/>
        <v>44781.001767000002</v>
      </c>
    </row>
    <row r="1768" spans="1:21">
      <c r="A1768" s="2" t="s">
        <v>2621</v>
      </c>
      <c r="B1768" s="2" t="s">
        <v>1993</v>
      </c>
      <c r="C1768" s="2" t="s">
        <v>19</v>
      </c>
      <c r="D1768" s="2">
        <v>44</v>
      </c>
      <c r="E1768" s="2" t="str">
        <f t="shared" si="110"/>
        <v>36-45</v>
      </c>
      <c r="F1768" s="2" t="s">
        <v>71</v>
      </c>
      <c r="G1768" s="2" t="s">
        <v>47</v>
      </c>
      <c r="H1768" s="2">
        <v>10</v>
      </c>
      <c r="I1768" s="2" t="str">
        <f t="shared" si="108"/>
        <v>7-12 months</v>
      </c>
      <c r="J1768" s="3">
        <v>1049</v>
      </c>
      <c r="K1768" s="3">
        <v>10490</v>
      </c>
      <c r="L1768" s="2" t="s">
        <v>22</v>
      </c>
      <c r="M1768" s="4">
        <v>45627</v>
      </c>
      <c r="N1768" s="2" t="s">
        <v>23</v>
      </c>
      <c r="O1768" s="2">
        <f t="shared" si="111"/>
        <v>0</v>
      </c>
      <c r="P1768" s="2" t="s">
        <v>23</v>
      </c>
      <c r="Q1768" s="2" t="s">
        <v>23</v>
      </c>
      <c r="R1768" s="2" t="s">
        <v>23</v>
      </c>
      <c r="S1768" s="2" t="s">
        <v>23</v>
      </c>
      <c r="T1768" s="2" t="s">
        <v>23</v>
      </c>
      <c r="U1768" s="25">
        <f t="shared" si="109"/>
        <v>10490.001768</v>
      </c>
    </row>
    <row r="1769" spans="1:21">
      <c r="A1769" s="2" t="s">
        <v>2622</v>
      </c>
      <c r="B1769" s="2" t="s">
        <v>2623</v>
      </c>
      <c r="C1769" s="2" t="s">
        <v>19</v>
      </c>
      <c r="D1769" s="2">
        <v>51</v>
      </c>
      <c r="E1769" s="2" t="str">
        <f t="shared" si="110"/>
        <v>46-60</v>
      </c>
      <c r="F1769" s="2" t="s">
        <v>20</v>
      </c>
      <c r="G1769" s="2" t="s">
        <v>21</v>
      </c>
      <c r="H1769" s="2">
        <v>9</v>
      </c>
      <c r="I1769" s="2" t="str">
        <f t="shared" si="108"/>
        <v>7-12 months</v>
      </c>
      <c r="J1769" s="3">
        <v>1299</v>
      </c>
      <c r="K1769" s="3">
        <v>11691</v>
      </c>
      <c r="L1769" s="2" t="s">
        <v>22</v>
      </c>
      <c r="M1769" s="4">
        <v>45656</v>
      </c>
      <c r="N1769" s="2" t="s">
        <v>23</v>
      </c>
      <c r="O1769" s="2">
        <f t="shared" si="111"/>
        <v>0</v>
      </c>
      <c r="P1769" s="2" t="s">
        <v>23</v>
      </c>
      <c r="Q1769" s="2" t="s">
        <v>23</v>
      </c>
      <c r="R1769" s="2" t="s">
        <v>23</v>
      </c>
      <c r="S1769" s="2" t="s">
        <v>23</v>
      </c>
      <c r="T1769" s="2" t="s">
        <v>23</v>
      </c>
      <c r="U1769" s="25">
        <f t="shared" si="109"/>
        <v>11691.001769</v>
      </c>
    </row>
    <row r="1770" spans="1:21">
      <c r="A1770" s="2" t="s">
        <v>2624</v>
      </c>
      <c r="B1770" s="2" t="s">
        <v>1368</v>
      </c>
      <c r="C1770" s="2" t="s">
        <v>35</v>
      </c>
      <c r="D1770" s="2">
        <v>27</v>
      </c>
      <c r="E1770" s="2" t="str">
        <f t="shared" si="110"/>
        <v>26-35</v>
      </c>
      <c r="F1770" s="2" t="s">
        <v>91</v>
      </c>
      <c r="G1770" s="2" t="s">
        <v>21</v>
      </c>
      <c r="H1770" s="2">
        <v>4</v>
      </c>
      <c r="I1770" s="2" t="str">
        <f t="shared" si="108"/>
        <v>0-6 months</v>
      </c>
      <c r="J1770" s="3">
        <v>349</v>
      </c>
      <c r="K1770" s="3">
        <v>1396</v>
      </c>
      <c r="L1770" s="2" t="s">
        <v>66</v>
      </c>
      <c r="M1770" s="4">
        <v>45797</v>
      </c>
      <c r="N1770" s="2" t="s">
        <v>32</v>
      </c>
      <c r="O1770" s="2">
        <f t="shared" si="111"/>
        <v>1</v>
      </c>
      <c r="P1770" s="2" t="s">
        <v>23</v>
      </c>
      <c r="Q1770" s="2" t="s">
        <v>23</v>
      </c>
      <c r="R1770" s="2" t="s">
        <v>23</v>
      </c>
      <c r="S1770" s="2" t="s">
        <v>23</v>
      </c>
      <c r="T1770" s="2" t="s">
        <v>23</v>
      </c>
      <c r="U1770" s="25">
        <f t="shared" si="109"/>
        <v>1396.0017700000001</v>
      </c>
    </row>
    <row r="1771" spans="1:21">
      <c r="A1771" s="2" t="s">
        <v>2625</v>
      </c>
      <c r="B1771" s="2" t="s">
        <v>395</v>
      </c>
      <c r="C1771" s="2" t="s">
        <v>35</v>
      </c>
      <c r="D1771" s="2">
        <v>71</v>
      </c>
      <c r="E1771" s="2" t="str">
        <f t="shared" si="110"/>
        <v>60+</v>
      </c>
      <c r="F1771" s="2" t="s">
        <v>105</v>
      </c>
      <c r="G1771" s="2" t="s">
        <v>47</v>
      </c>
      <c r="H1771" s="2">
        <v>59</v>
      </c>
      <c r="I1771" s="2" t="str">
        <f t="shared" si="108"/>
        <v>49+ months</v>
      </c>
      <c r="J1771" s="3">
        <v>499</v>
      </c>
      <c r="K1771" s="3">
        <v>29441</v>
      </c>
      <c r="L1771" s="2" t="s">
        <v>66</v>
      </c>
      <c r="M1771" s="4">
        <v>44146</v>
      </c>
      <c r="N1771" s="2" t="s">
        <v>23</v>
      </c>
      <c r="O1771" s="2">
        <f t="shared" si="111"/>
        <v>0</v>
      </c>
      <c r="P1771" s="2" t="s">
        <v>23</v>
      </c>
      <c r="Q1771" s="2" t="s">
        <v>23</v>
      </c>
      <c r="R1771" s="2" t="s">
        <v>23</v>
      </c>
      <c r="S1771" s="2" t="s">
        <v>23</v>
      </c>
      <c r="T1771" s="2" t="s">
        <v>23</v>
      </c>
      <c r="U1771" s="25">
        <f t="shared" si="109"/>
        <v>29441.001770999999</v>
      </c>
    </row>
    <row r="1772" spans="1:21">
      <c r="A1772" s="2" t="s">
        <v>2626</v>
      </c>
      <c r="B1772" s="2" t="s">
        <v>1784</v>
      </c>
      <c r="C1772" s="2" t="s">
        <v>19</v>
      </c>
      <c r="D1772" s="2">
        <v>47</v>
      </c>
      <c r="E1772" s="2" t="str">
        <f t="shared" si="110"/>
        <v>46-60</v>
      </c>
      <c r="F1772" s="2" t="s">
        <v>110</v>
      </c>
      <c r="G1772" s="2" t="s">
        <v>21</v>
      </c>
      <c r="H1772" s="2">
        <v>10</v>
      </c>
      <c r="I1772" s="2" t="str">
        <f t="shared" si="108"/>
        <v>7-12 months</v>
      </c>
      <c r="J1772" s="3">
        <v>1049</v>
      </c>
      <c r="K1772" s="3">
        <v>10490</v>
      </c>
      <c r="L1772" s="2" t="s">
        <v>22</v>
      </c>
      <c r="M1772" s="4">
        <v>45627</v>
      </c>
      <c r="N1772" s="2" t="s">
        <v>32</v>
      </c>
      <c r="O1772" s="2">
        <f t="shared" si="111"/>
        <v>1</v>
      </c>
      <c r="P1772" s="2" t="s">
        <v>32</v>
      </c>
      <c r="Q1772" s="2" t="s">
        <v>23</v>
      </c>
      <c r="R1772" s="2" t="s">
        <v>23</v>
      </c>
      <c r="S1772" s="2" t="s">
        <v>23</v>
      </c>
      <c r="T1772" s="2" t="s">
        <v>23</v>
      </c>
      <c r="U1772" s="25">
        <f t="shared" si="109"/>
        <v>10490.001772</v>
      </c>
    </row>
    <row r="1773" spans="1:21">
      <c r="A1773" s="2" t="s">
        <v>2627</v>
      </c>
      <c r="B1773" s="2" t="s">
        <v>338</v>
      </c>
      <c r="C1773" s="2" t="s">
        <v>35</v>
      </c>
      <c r="D1773" s="2">
        <v>30</v>
      </c>
      <c r="E1773" s="2" t="str">
        <f t="shared" si="110"/>
        <v>26-35</v>
      </c>
      <c r="F1773" s="2" t="s">
        <v>71</v>
      </c>
      <c r="G1773" s="2" t="s">
        <v>21</v>
      </c>
      <c r="H1773" s="2">
        <v>23</v>
      </c>
      <c r="I1773" s="2" t="str">
        <f t="shared" si="108"/>
        <v>13-24 months</v>
      </c>
      <c r="J1773" s="3">
        <v>1149</v>
      </c>
      <c r="K1773" s="3">
        <v>26427</v>
      </c>
      <c r="L1773" s="2" t="s">
        <v>22</v>
      </c>
      <c r="M1773" s="4">
        <v>45229</v>
      </c>
      <c r="N1773" s="2" t="s">
        <v>32</v>
      </c>
      <c r="O1773" s="2">
        <f t="shared" si="111"/>
        <v>1</v>
      </c>
      <c r="P1773" s="2" t="s">
        <v>23</v>
      </c>
      <c r="Q1773" s="2" t="s">
        <v>23</v>
      </c>
      <c r="R1773" s="2" t="s">
        <v>23</v>
      </c>
      <c r="S1773" s="2" t="s">
        <v>23</v>
      </c>
      <c r="T1773" s="2" t="s">
        <v>23</v>
      </c>
      <c r="U1773" s="25">
        <f t="shared" si="109"/>
        <v>26427.001773</v>
      </c>
    </row>
    <row r="1774" spans="1:21">
      <c r="A1774" s="2" t="s">
        <v>2628</v>
      </c>
      <c r="B1774" s="2" t="s">
        <v>1402</v>
      </c>
      <c r="C1774" s="2" t="s">
        <v>35</v>
      </c>
      <c r="D1774" s="2">
        <v>30</v>
      </c>
      <c r="E1774" s="2" t="str">
        <f t="shared" si="110"/>
        <v>26-35</v>
      </c>
      <c r="F1774" s="2" t="s">
        <v>63</v>
      </c>
      <c r="G1774" s="2" t="s">
        <v>47</v>
      </c>
      <c r="H1774" s="2">
        <v>56</v>
      </c>
      <c r="I1774" s="2" t="str">
        <f t="shared" si="108"/>
        <v>49+ months</v>
      </c>
      <c r="J1774" s="3">
        <v>899</v>
      </c>
      <c r="K1774" s="3">
        <v>50344</v>
      </c>
      <c r="L1774" s="2" t="s">
        <v>22</v>
      </c>
      <c r="M1774" s="4">
        <v>44244</v>
      </c>
      <c r="N1774" s="2" t="s">
        <v>23</v>
      </c>
      <c r="O1774" s="2">
        <f t="shared" si="111"/>
        <v>0</v>
      </c>
      <c r="P1774" s="2" t="s">
        <v>23</v>
      </c>
      <c r="Q1774" s="2" t="s">
        <v>23</v>
      </c>
      <c r="R1774" s="2" t="s">
        <v>23</v>
      </c>
      <c r="S1774" s="2" t="s">
        <v>23</v>
      </c>
      <c r="T1774" s="2" t="s">
        <v>23</v>
      </c>
      <c r="U1774" s="25">
        <f t="shared" si="109"/>
        <v>50344.001773999997</v>
      </c>
    </row>
    <row r="1775" spans="1:21">
      <c r="A1775" s="2" t="s">
        <v>2629</v>
      </c>
      <c r="B1775" s="2" t="s">
        <v>533</v>
      </c>
      <c r="C1775" s="2" t="s">
        <v>35</v>
      </c>
      <c r="D1775" s="2">
        <v>60</v>
      </c>
      <c r="E1775" s="2" t="str">
        <f t="shared" si="110"/>
        <v>46-60</v>
      </c>
      <c r="F1775" s="2" t="s">
        <v>63</v>
      </c>
      <c r="G1775" s="2" t="s">
        <v>47</v>
      </c>
      <c r="H1775" s="2">
        <v>72</v>
      </c>
      <c r="I1775" s="2" t="str">
        <f t="shared" si="108"/>
        <v>49+ months</v>
      </c>
      <c r="J1775" s="3">
        <v>1049</v>
      </c>
      <c r="K1775" s="3">
        <v>75528</v>
      </c>
      <c r="L1775" s="2" t="s">
        <v>22</v>
      </c>
      <c r="M1775" s="4">
        <v>43765</v>
      </c>
      <c r="N1775" s="2" t="s">
        <v>23</v>
      </c>
      <c r="O1775" s="2">
        <f t="shared" si="111"/>
        <v>0</v>
      </c>
      <c r="P1775" s="2" t="s">
        <v>23</v>
      </c>
      <c r="Q1775" s="2" t="s">
        <v>23</v>
      </c>
      <c r="R1775" s="2" t="s">
        <v>23</v>
      </c>
      <c r="S1775" s="2" t="s">
        <v>23</v>
      </c>
      <c r="T1775" s="2" t="s">
        <v>23</v>
      </c>
      <c r="U1775" s="25">
        <f t="shared" si="109"/>
        <v>75528.001774999997</v>
      </c>
    </row>
    <row r="1776" spans="1:21">
      <c r="A1776" s="2" t="s">
        <v>2630</v>
      </c>
      <c r="B1776" s="2" t="s">
        <v>880</v>
      </c>
      <c r="C1776" s="2" t="s">
        <v>19</v>
      </c>
      <c r="D1776" s="2">
        <v>49</v>
      </c>
      <c r="E1776" s="2" t="str">
        <f t="shared" si="110"/>
        <v>46-60</v>
      </c>
      <c r="F1776" s="2" t="s">
        <v>91</v>
      </c>
      <c r="G1776" s="2" t="s">
        <v>47</v>
      </c>
      <c r="H1776" s="2">
        <v>53</v>
      </c>
      <c r="I1776" s="2" t="str">
        <f t="shared" si="108"/>
        <v>49+ months</v>
      </c>
      <c r="J1776" s="3">
        <v>1199</v>
      </c>
      <c r="K1776" s="3">
        <v>63547</v>
      </c>
      <c r="L1776" s="2" t="s">
        <v>22</v>
      </c>
      <c r="M1776" s="4">
        <v>44309</v>
      </c>
      <c r="N1776" s="2" t="s">
        <v>23</v>
      </c>
      <c r="O1776" s="2">
        <f t="shared" si="111"/>
        <v>0</v>
      </c>
      <c r="P1776" s="2" t="s">
        <v>23</v>
      </c>
      <c r="Q1776" s="2" t="s">
        <v>23</v>
      </c>
      <c r="R1776" s="2" t="s">
        <v>23</v>
      </c>
      <c r="S1776" s="2" t="s">
        <v>23</v>
      </c>
      <c r="T1776" s="2" t="s">
        <v>23</v>
      </c>
      <c r="U1776" s="25">
        <f t="shared" si="109"/>
        <v>63547.001775999997</v>
      </c>
    </row>
    <row r="1777" spans="1:21">
      <c r="A1777" s="2" t="s">
        <v>2631</v>
      </c>
      <c r="B1777" s="2" t="s">
        <v>2632</v>
      </c>
      <c r="C1777" s="2" t="s">
        <v>19</v>
      </c>
      <c r="D1777" s="2">
        <v>61</v>
      </c>
      <c r="E1777" s="2" t="str">
        <f t="shared" si="110"/>
        <v>60+</v>
      </c>
      <c r="F1777" s="2" t="s">
        <v>105</v>
      </c>
      <c r="G1777" s="2" t="s">
        <v>21</v>
      </c>
      <c r="H1777" s="2">
        <v>11</v>
      </c>
      <c r="I1777" s="2" t="str">
        <f t="shared" si="108"/>
        <v>7-12 months</v>
      </c>
      <c r="J1777" s="3">
        <v>899</v>
      </c>
      <c r="K1777" s="3">
        <v>9889</v>
      </c>
      <c r="L1777" s="2" t="s">
        <v>31</v>
      </c>
      <c r="M1777" s="4">
        <v>45589</v>
      </c>
      <c r="N1777" s="2" t="s">
        <v>23</v>
      </c>
      <c r="O1777" s="2">
        <f t="shared" si="111"/>
        <v>0</v>
      </c>
      <c r="P1777" s="2" t="s">
        <v>23</v>
      </c>
      <c r="Q1777" s="2" t="s">
        <v>23</v>
      </c>
      <c r="R1777" s="2" t="s">
        <v>23</v>
      </c>
      <c r="S1777" s="2" t="s">
        <v>23</v>
      </c>
      <c r="T1777" s="2" t="s">
        <v>23</v>
      </c>
      <c r="U1777" s="25">
        <f t="shared" si="109"/>
        <v>9889.0017769999995</v>
      </c>
    </row>
    <row r="1778" spans="1:21">
      <c r="A1778" s="2" t="s">
        <v>2633</v>
      </c>
      <c r="B1778" s="2" t="s">
        <v>562</v>
      </c>
      <c r="C1778" s="2" t="s">
        <v>35</v>
      </c>
      <c r="D1778" s="2">
        <v>60</v>
      </c>
      <c r="E1778" s="2" t="str">
        <f t="shared" si="110"/>
        <v>46-60</v>
      </c>
      <c r="F1778" s="2" t="s">
        <v>36</v>
      </c>
      <c r="G1778" s="2" t="s">
        <v>21</v>
      </c>
      <c r="H1778" s="2">
        <v>8</v>
      </c>
      <c r="I1778" s="2" t="str">
        <f t="shared" si="108"/>
        <v>7-12 months</v>
      </c>
      <c r="J1778" s="3">
        <v>699</v>
      </c>
      <c r="K1778" s="3">
        <v>5592</v>
      </c>
      <c r="L1778" s="2" t="s">
        <v>31</v>
      </c>
      <c r="M1778" s="4">
        <v>45681</v>
      </c>
      <c r="N1778" s="2" t="s">
        <v>23</v>
      </c>
      <c r="O1778" s="2">
        <f t="shared" si="111"/>
        <v>0</v>
      </c>
      <c r="P1778" s="2" t="s">
        <v>23</v>
      </c>
      <c r="Q1778" s="2" t="s">
        <v>23</v>
      </c>
      <c r="R1778" s="2" t="s">
        <v>23</v>
      </c>
      <c r="S1778" s="2" t="s">
        <v>23</v>
      </c>
      <c r="T1778" s="2" t="s">
        <v>23</v>
      </c>
      <c r="U1778" s="25">
        <f t="shared" si="109"/>
        <v>5592.0017779999998</v>
      </c>
    </row>
    <row r="1779" spans="1:21">
      <c r="A1779" s="2" t="s">
        <v>2634</v>
      </c>
      <c r="B1779" s="2" t="s">
        <v>1657</v>
      </c>
      <c r="C1779" s="2" t="s">
        <v>19</v>
      </c>
      <c r="D1779" s="2">
        <v>71</v>
      </c>
      <c r="E1779" s="2" t="str">
        <f t="shared" si="110"/>
        <v>60+</v>
      </c>
      <c r="F1779" s="2" t="s">
        <v>30</v>
      </c>
      <c r="G1779" s="2" t="s">
        <v>47</v>
      </c>
      <c r="H1779" s="2">
        <v>52</v>
      </c>
      <c r="I1779" s="2" t="str">
        <f t="shared" si="108"/>
        <v>49+ months</v>
      </c>
      <c r="J1779" s="3">
        <v>1049</v>
      </c>
      <c r="K1779" s="3">
        <v>54548</v>
      </c>
      <c r="L1779" s="2" t="s">
        <v>22</v>
      </c>
      <c r="M1779" s="4">
        <v>44354</v>
      </c>
      <c r="N1779" s="2" t="s">
        <v>23</v>
      </c>
      <c r="O1779" s="2">
        <f t="shared" si="111"/>
        <v>0</v>
      </c>
      <c r="P1779" s="2" t="s">
        <v>23</v>
      </c>
      <c r="Q1779" s="2" t="s">
        <v>23</v>
      </c>
      <c r="R1779" s="2" t="s">
        <v>23</v>
      </c>
      <c r="S1779" s="2" t="s">
        <v>32</v>
      </c>
      <c r="T1779" s="2" t="s">
        <v>23</v>
      </c>
      <c r="U1779" s="25">
        <f t="shared" si="109"/>
        <v>54548.001778999998</v>
      </c>
    </row>
    <row r="1780" spans="1:21">
      <c r="A1780" s="2" t="s">
        <v>2635</v>
      </c>
      <c r="B1780" s="2" t="s">
        <v>1214</v>
      </c>
      <c r="C1780" s="2" t="s">
        <v>35</v>
      </c>
      <c r="D1780" s="2">
        <v>35</v>
      </c>
      <c r="E1780" s="2" t="str">
        <f t="shared" si="110"/>
        <v>26-35</v>
      </c>
      <c r="F1780" s="2" t="s">
        <v>60</v>
      </c>
      <c r="G1780" s="2" t="s">
        <v>21</v>
      </c>
      <c r="H1780" s="2">
        <v>19</v>
      </c>
      <c r="I1780" s="2" t="str">
        <f t="shared" si="108"/>
        <v>13-24 months</v>
      </c>
      <c r="J1780" s="3">
        <v>1199</v>
      </c>
      <c r="K1780" s="3">
        <v>22781</v>
      </c>
      <c r="L1780" s="2" t="s">
        <v>22</v>
      </c>
      <c r="M1780" s="4">
        <v>45330</v>
      </c>
      <c r="N1780" s="2" t="s">
        <v>23</v>
      </c>
      <c r="O1780" s="2">
        <f t="shared" si="111"/>
        <v>0</v>
      </c>
      <c r="P1780" s="2" t="s">
        <v>23</v>
      </c>
      <c r="Q1780" s="2" t="s">
        <v>23</v>
      </c>
      <c r="R1780" s="2" t="s">
        <v>23</v>
      </c>
      <c r="S1780" s="2" t="s">
        <v>23</v>
      </c>
      <c r="T1780" s="2" t="s">
        <v>23</v>
      </c>
      <c r="U1780" s="25">
        <f t="shared" si="109"/>
        <v>22781.001779999999</v>
      </c>
    </row>
    <row r="1781" spans="1:21">
      <c r="A1781" s="2" t="s">
        <v>2636</v>
      </c>
      <c r="B1781" s="2" t="s">
        <v>312</v>
      </c>
      <c r="C1781" s="2" t="s">
        <v>35</v>
      </c>
      <c r="D1781" s="2">
        <v>33</v>
      </c>
      <c r="E1781" s="2" t="str">
        <f t="shared" si="110"/>
        <v>26-35</v>
      </c>
      <c r="F1781" s="2" t="s">
        <v>105</v>
      </c>
      <c r="G1781" s="2" t="s">
        <v>21</v>
      </c>
      <c r="H1781" s="2">
        <v>9</v>
      </c>
      <c r="I1781" s="2" t="str">
        <f t="shared" si="108"/>
        <v>7-12 months</v>
      </c>
      <c r="J1781" s="3">
        <v>1099</v>
      </c>
      <c r="K1781" s="3">
        <v>9891</v>
      </c>
      <c r="L1781" s="2" t="s">
        <v>22</v>
      </c>
      <c r="M1781" s="4">
        <v>45646</v>
      </c>
      <c r="N1781" s="2" t="s">
        <v>23</v>
      </c>
      <c r="O1781" s="2">
        <f t="shared" si="111"/>
        <v>0</v>
      </c>
      <c r="P1781" s="2" t="s">
        <v>23</v>
      </c>
      <c r="Q1781" s="2" t="s">
        <v>23</v>
      </c>
      <c r="R1781" s="2" t="s">
        <v>23</v>
      </c>
      <c r="S1781" s="2" t="s">
        <v>32</v>
      </c>
      <c r="T1781" s="2" t="s">
        <v>23</v>
      </c>
      <c r="U1781" s="25">
        <f t="shared" si="109"/>
        <v>9891.0017810000008</v>
      </c>
    </row>
    <row r="1782" spans="1:21">
      <c r="A1782" s="2" t="s">
        <v>2637</v>
      </c>
      <c r="B1782" s="2" t="s">
        <v>1847</v>
      </c>
      <c r="C1782" s="2" t="s">
        <v>19</v>
      </c>
      <c r="D1782" s="2">
        <v>75</v>
      </c>
      <c r="E1782" s="2" t="str">
        <f t="shared" si="110"/>
        <v>60+</v>
      </c>
      <c r="F1782" s="2" t="s">
        <v>46</v>
      </c>
      <c r="G1782" s="2" t="s">
        <v>21</v>
      </c>
      <c r="H1782" s="2">
        <v>10</v>
      </c>
      <c r="I1782" s="2" t="str">
        <f t="shared" si="108"/>
        <v>7-12 months</v>
      </c>
      <c r="J1782" s="3">
        <v>699</v>
      </c>
      <c r="K1782" s="3">
        <v>6990</v>
      </c>
      <c r="L1782" s="2" t="s">
        <v>31</v>
      </c>
      <c r="M1782" s="4">
        <v>45628</v>
      </c>
      <c r="N1782" s="2" t="s">
        <v>23</v>
      </c>
      <c r="O1782" s="2">
        <f t="shared" si="111"/>
        <v>0</v>
      </c>
      <c r="P1782" s="2" t="s">
        <v>23</v>
      </c>
      <c r="Q1782" s="2" t="s">
        <v>23</v>
      </c>
      <c r="R1782" s="2" t="s">
        <v>23</v>
      </c>
      <c r="S1782" s="2" t="s">
        <v>23</v>
      </c>
      <c r="T1782" s="2" t="s">
        <v>23</v>
      </c>
      <c r="U1782" s="25">
        <f t="shared" si="109"/>
        <v>6990.0017820000003</v>
      </c>
    </row>
    <row r="1783" spans="1:21">
      <c r="A1783" s="2" t="s">
        <v>2638</v>
      </c>
      <c r="B1783" s="2" t="s">
        <v>1519</v>
      </c>
      <c r="C1783" s="2" t="s">
        <v>35</v>
      </c>
      <c r="D1783" s="2">
        <v>50</v>
      </c>
      <c r="E1783" s="2" t="str">
        <f t="shared" si="110"/>
        <v>46-60</v>
      </c>
      <c r="F1783" s="2" t="s">
        <v>41</v>
      </c>
      <c r="G1783" s="2" t="s">
        <v>47</v>
      </c>
      <c r="H1783" s="2">
        <v>52</v>
      </c>
      <c r="I1783" s="2" t="str">
        <f t="shared" si="108"/>
        <v>49+ months</v>
      </c>
      <c r="J1783" s="3">
        <v>799</v>
      </c>
      <c r="K1783" s="3">
        <v>41548</v>
      </c>
      <c r="L1783" s="2" t="s">
        <v>31</v>
      </c>
      <c r="M1783" s="4">
        <v>44357</v>
      </c>
      <c r="N1783" s="2" t="s">
        <v>23</v>
      </c>
      <c r="O1783" s="2">
        <f t="shared" si="111"/>
        <v>0</v>
      </c>
      <c r="P1783" s="2" t="s">
        <v>23</v>
      </c>
      <c r="Q1783" s="2" t="s">
        <v>23</v>
      </c>
      <c r="R1783" s="2" t="s">
        <v>23</v>
      </c>
      <c r="S1783" s="2" t="s">
        <v>32</v>
      </c>
      <c r="T1783" s="2" t="s">
        <v>23</v>
      </c>
      <c r="U1783" s="25">
        <f t="shared" si="109"/>
        <v>41548.001783</v>
      </c>
    </row>
    <row r="1784" spans="1:21">
      <c r="A1784" s="2" t="s">
        <v>2639</v>
      </c>
      <c r="B1784" s="2" t="s">
        <v>1235</v>
      </c>
      <c r="C1784" s="2" t="s">
        <v>35</v>
      </c>
      <c r="D1784" s="2">
        <v>72</v>
      </c>
      <c r="E1784" s="2" t="str">
        <f t="shared" si="110"/>
        <v>60+</v>
      </c>
      <c r="F1784" s="2" t="s">
        <v>60</v>
      </c>
      <c r="G1784" s="2" t="s">
        <v>21</v>
      </c>
      <c r="H1784" s="2">
        <v>8</v>
      </c>
      <c r="I1784" s="2" t="str">
        <f t="shared" si="108"/>
        <v>7-12 months</v>
      </c>
      <c r="J1784" s="3">
        <v>449</v>
      </c>
      <c r="K1784" s="3">
        <v>3592</v>
      </c>
      <c r="L1784" s="2" t="s">
        <v>66</v>
      </c>
      <c r="M1784" s="4">
        <v>45677</v>
      </c>
      <c r="N1784" s="2" t="s">
        <v>32</v>
      </c>
      <c r="O1784" s="2">
        <f t="shared" si="111"/>
        <v>1</v>
      </c>
      <c r="P1784" s="2" t="s">
        <v>23</v>
      </c>
      <c r="Q1784" s="2" t="s">
        <v>23</v>
      </c>
      <c r="R1784" s="2" t="s">
        <v>23</v>
      </c>
      <c r="S1784" s="2" t="s">
        <v>23</v>
      </c>
      <c r="T1784" s="2" t="s">
        <v>23</v>
      </c>
      <c r="U1784" s="25">
        <f t="shared" si="109"/>
        <v>3592.001784</v>
      </c>
    </row>
    <row r="1785" spans="1:21">
      <c r="A1785" s="2" t="s">
        <v>2640</v>
      </c>
      <c r="B1785" s="2" t="s">
        <v>102</v>
      </c>
      <c r="C1785" s="2" t="s">
        <v>19</v>
      </c>
      <c r="D1785" s="2">
        <v>42</v>
      </c>
      <c r="E1785" s="2" t="str">
        <f t="shared" si="110"/>
        <v>36-45</v>
      </c>
      <c r="F1785" s="2" t="s">
        <v>41</v>
      </c>
      <c r="G1785" s="2" t="s">
        <v>47</v>
      </c>
      <c r="H1785" s="2">
        <v>34</v>
      </c>
      <c r="I1785" s="2" t="str">
        <f t="shared" si="108"/>
        <v>25-48 months</v>
      </c>
      <c r="J1785" s="3">
        <v>849</v>
      </c>
      <c r="K1785" s="3">
        <v>28866</v>
      </c>
      <c r="L1785" s="2" t="s">
        <v>31</v>
      </c>
      <c r="M1785" s="4">
        <v>44883</v>
      </c>
      <c r="N1785" s="2" t="s">
        <v>23</v>
      </c>
      <c r="O1785" s="2">
        <f t="shared" si="111"/>
        <v>0</v>
      </c>
      <c r="P1785" s="2" t="s">
        <v>23</v>
      </c>
      <c r="Q1785" s="2" t="s">
        <v>23</v>
      </c>
      <c r="R1785" s="2" t="s">
        <v>23</v>
      </c>
      <c r="S1785" s="2" t="s">
        <v>23</v>
      </c>
      <c r="T1785" s="2" t="s">
        <v>23</v>
      </c>
      <c r="U1785" s="25">
        <f t="shared" si="109"/>
        <v>28866.001785</v>
      </c>
    </row>
    <row r="1786" spans="1:21">
      <c r="A1786" s="2" t="s">
        <v>2641</v>
      </c>
      <c r="B1786" s="2" t="s">
        <v>218</v>
      </c>
      <c r="C1786" s="2" t="s">
        <v>19</v>
      </c>
      <c r="D1786" s="2">
        <v>37</v>
      </c>
      <c r="E1786" s="2" t="str">
        <f t="shared" si="110"/>
        <v>36-45</v>
      </c>
      <c r="F1786" s="2" t="s">
        <v>110</v>
      </c>
      <c r="G1786" s="2" t="s">
        <v>21</v>
      </c>
      <c r="H1786" s="2">
        <v>23</v>
      </c>
      <c r="I1786" s="2" t="str">
        <f t="shared" si="108"/>
        <v>13-24 months</v>
      </c>
      <c r="J1786" s="3">
        <v>899</v>
      </c>
      <c r="K1786" s="3">
        <v>20677</v>
      </c>
      <c r="L1786" s="2" t="s">
        <v>31</v>
      </c>
      <c r="M1786" s="4"/>
      <c r="N1786" s="2" t="s">
        <v>37</v>
      </c>
      <c r="O1786" s="2" t="str">
        <f t="shared" si="111"/>
        <v/>
      </c>
      <c r="P1786" s="2" t="s">
        <v>23</v>
      </c>
      <c r="Q1786" s="2" t="s">
        <v>23</v>
      </c>
      <c r="R1786" s="2" t="s">
        <v>23</v>
      </c>
      <c r="S1786" s="2" t="s">
        <v>23</v>
      </c>
      <c r="T1786" s="2" t="s">
        <v>2642</v>
      </c>
      <c r="U1786" s="25">
        <f t="shared" si="109"/>
        <v>20677.001786000001</v>
      </c>
    </row>
    <row r="1787" spans="1:21">
      <c r="A1787" s="2" t="s">
        <v>2643</v>
      </c>
      <c r="B1787" s="2" t="s">
        <v>2644</v>
      </c>
      <c r="C1787" s="2" t="s">
        <v>35</v>
      </c>
      <c r="D1787" s="2">
        <v>61</v>
      </c>
      <c r="E1787" s="2" t="str">
        <f t="shared" si="110"/>
        <v>60+</v>
      </c>
      <c r="F1787" s="2" t="s">
        <v>36</v>
      </c>
      <c r="G1787" s="2" t="s">
        <v>21</v>
      </c>
      <c r="H1787" s="2">
        <v>24</v>
      </c>
      <c r="I1787" s="2" t="str">
        <f t="shared" si="108"/>
        <v>13-24 months</v>
      </c>
      <c r="J1787" s="3">
        <v>1099</v>
      </c>
      <c r="K1787" s="3">
        <v>26376</v>
      </c>
      <c r="L1787" s="2" t="s">
        <v>22</v>
      </c>
      <c r="M1787" s="4">
        <v>45179</v>
      </c>
      <c r="N1787" s="2" t="s">
        <v>23</v>
      </c>
      <c r="O1787" s="2">
        <f t="shared" si="111"/>
        <v>0</v>
      </c>
      <c r="P1787" s="2" t="s">
        <v>23</v>
      </c>
      <c r="Q1787" s="2" t="s">
        <v>23</v>
      </c>
      <c r="R1787" s="2" t="s">
        <v>23</v>
      </c>
      <c r="S1787" s="2" t="s">
        <v>23</v>
      </c>
      <c r="T1787" s="2" t="s">
        <v>23</v>
      </c>
      <c r="U1787" s="25">
        <f t="shared" si="109"/>
        <v>26376.001787000001</v>
      </c>
    </row>
    <row r="1788" spans="1:21">
      <c r="A1788" s="2" t="s">
        <v>2645</v>
      </c>
      <c r="B1788" s="2" t="s">
        <v>1914</v>
      </c>
      <c r="C1788" s="2" t="s">
        <v>19</v>
      </c>
      <c r="D1788" s="2">
        <v>23</v>
      </c>
      <c r="E1788" s="2" t="str">
        <f t="shared" si="110"/>
        <v>18-25</v>
      </c>
      <c r="F1788" s="2" t="s">
        <v>30</v>
      </c>
      <c r="G1788" s="2" t="s">
        <v>27</v>
      </c>
      <c r="H1788" s="2">
        <v>36</v>
      </c>
      <c r="I1788" s="2" t="str">
        <f t="shared" si="108"/>
        <v>25-48 months</v>
      </c>
      <c r="J1788" s="3">
        <v>1049</v>
      </c>
      <c r="K1788" s="3">
        <v>37764</v>
      </c>
      <c r="L1788" s="2" t="s">
        <v>22</v>
      </c>
      <c r="M1788" s="4">
        <v>44822</v>
      </c>
      <c r="N1788" s="2" t="s">
        <v>23</v>
      </c>
      <c r="O1788" s="2">
        <f t="shared" si="111"/>
        <v>0</v>
      </c>
      <c r="P1788" s="2" t="s">
        <v>23</v>
      </c>
      <c r="Q1788" s="2" t="s">
        <v>23</v>
      </c>
      <c r="R1788" s="2" t="s">
        <v>23</v>
      </c>
      <c r="S1788" s="2" t="s">
        <v>23</v>
      </c>
      <c r="T1788" s="2" t="s">
        <v>23</v>
      </c>
      <c r="U1788" s="25">
        <f t="shared" si="109"/>
        <v>37764.001788000001</v>
      </c>
    </row>
    <row r="1789" spans="1:21">
      <c r="A1789" s="2" t="s">
        <v>2646</v>
      </c>
      <c r="B1789" s="2" t="s">
        <v>1199</v>
      </c>
      <c r="C1789" s="2" t="s">
        <v>35</v>
      </c>
      <c r="D1789" s="2">
        <v>74</v>
      </c>
      <c r="E1789" s="2" t="str">
        <f t="shared" si="110"/>
        <v>60+</v>
      </c>
      <c r="F1789" s="2" t="s">
        <v>26</v>
      </c>
      <c r="G1789" s="2" t="s">
        <v>27</v>
      </c>
      <c r="H1789" s="2">
        <v>32</v>
      </c>
      <c r="I1789" s="2" t="str">
        <f t="shared" si="108"/>
        <v>25-48 months</v>
      </c>
      <c r="J1789" s="3">
        <v>599</v>
      </c>
      <c r="K1789" s="3">
        <v>19168</v>
      </c>
      <c r="L1789" s="2" t="s">
        <v>31</v>
      </c>
      <c r="M1789" s="4">
        <v>44963</v>
      </c>
      <c r="N1789" s="2" t="s">
        <v>23</v>
      </c>
      <c r="O1789" s="2">
        <f t="shared" si="111"/>
        <v>0</v>
      </c>
      <c r="P1789" s="2" t="s">
        <v>23</v>
      </c>
      <c r="Q1789" s="2" t="s">
        <v>23</v>
      </c>
      <c r="R1789" s="2" t="s">
        <v>23</v>
      </c>
      <c r="S1789" s="2" t="s">
        <v>23</v>
      </c>
      <c r="T1789" s="2" t="s">
        <v>23</v>
      </c>
      <c r="U1789" s="25">
        <f t="shared" si="109"/>
        <v>19168.001789000002</v>
      </c>
    </row>
    <row r="1790" spans="1:21">
      <c r="A1790" s="2" t="s">
        <v>2647</v>
      </c>
      <c r="B1790" s="2" t="s">
        <v>2648</v>
      </c>
      <c r="C1790" s="2" t="s">
        <v>19</v>
      </c>
      <c r="D1790" s="2">
        <v>68</v>
      </c>
      <c r="E1790" s="2" t="str">
        <f t="shared" si="110"/>
        <v>60+</v>
      </c>
      <c r="F1790" s="2" t="s">
        <v>30</v>
      </c>
      <c r="G1790" s="2" t="s">
        <v>47</v>
      </c>
      <c r="H1790" s="2">
        <v>29</v>
      </c>
      <c r="I1790" s="2" t="str">
        <f t="shared" si="108"/>
        <v>25-48 months</v>
      </c>
      <c r="J1790" s="3">
        <v>499</v>
      </c>
      <c r="K1790" s="3">
        <v>14471</v>
      </c>
      <c r="L1790" s="2" t="s">
        <v>66</v>
      </c>
      <c r="M1790" s="4">
        <v>45045</v>
      </c>
      <c r="N1790" s="2" t="s">
        <v>23</v>
      </c>
      <c r="O1790" s="2">
        <f t="shared" si="111"/>
        <v>0</v>
      </c>
      <c r="P1790" s="2" t="s">
        <v>23</v>
      </c>
      <c r="Q1790" s="2" t="s">
        <v>23</v>
      </c>
      <c r="R1790" s="2" t="s">
        <v>23</v>
      </c>
      <c r="S1790" s="2" t="s">
        <v>23</v>
      </c>
      <c r="T1790" s="2" t="s">
        <v>23</v>
      </c>
      <c r="U1790" s="25">
        <f t="shared" si="109"/>
        <v>14471.00179</v>
      </c>
    </row>
    <row r="1791" spans="1:21">
      <c r="A1791" s="2" t="s">
        <v>2649</v>
      </c>
      <c r="B1791" s="2" t="s">
        <v>757</v>
      </c>
      <c r="C1791" s="2" t="s">
        <v>35</v>
      </c>
      <c r="D1791" s="2">
        <v>30</v>
      </c>
      <c r="E1791" s="2" t="str">
        <f t="shared" si="110"/>
        <v>26-35</v>
      </c>
      <c r="F1791" s="2" t="s">
        <v>20</v>
      </c>
      <c r="G1791" s="2" t="s">
        <v>21</v>
      </c>
      <c r="H1791" s="2">
        <v>2</v>
      </c>
      <c r="I1791" s="2" t="str">
        <f t="shared" si="108"/>
        <v>0-6 months</v>
      </c>
      <c r="J1791" s="3">
        <v>849</v>
      </c>
      <c r="K1791" s="3">
        <v>1698</v>
      </c>
      <c r="L1791" s="2" t="s">
        <v>31</v>
      </c>
      <c r="M1791" s="4">
        <v>45848</v>
      </c>
      <c r="N1791" s="2" t="s">
        <v>23</v>
      </c>
      <c r="O1791" s="2">
        <f t="shared" si="111"/>
        <v>0</v>
      </c>
      <c r="P1791" s="2" t="s">
        <v>23</v>
      </c>
      <c r="Q1791" s="2" t="s">
        <v>23</v>
      </c>
      <c r="R1791" s="2" t="s">
        <v>23</v>
      </c>
      <c r="S1791" s="2" t="s">
        <v>23</v>
      </c>
      <c r="T1791" s="2" t="s">
        <v>23</v>
      </c>
      <c r="U1791" s="25">
        <f t="shared" si="109"/>
        <v>1698.0017909999999</v>
      </c>
    </row>
    <row r="1792" spans="1:21">
      <c r="A1792" s="2" t="s">
        <v>2650</v>
      </c>
      <c r="B1792" s="2" t="s">
        <v>291</v>
      </c>
      <c r="C1792" s="2" t="s">
        <v>35</v>
      </c>
      <c r="D1792" s="2">
        <v>52</v>
      </c>
      <c r="E1792" s="2" t="str">
        <f t="shared" si="110"/>
        <v>46-60</v>
      </c>
      <c r="F1792" s="2" t="s">
        <v>41</v>
      </c>
      <c r="G1792" s="2" t="s">
        <v>21</v>
      </c>
      <c r="H1792" s="2">
        <v>11</v>
      </c>
      <c r="I1792" s="2" t="str">
        <f t="shared" si="108"/>
        <v>7-12 months</v>
      </c>
      <c r="J1792" s="3">
        <v>349</v>
      </c>
      <c r="K1792" s="3">
        <v>3839</v>
      </c>
      <c r="L1792" s="2" t="s">
        <v>66</v>
      </c>
      <c r="M1792" s="4">
        <v>45569</v>
      </c>
      <c r="N1792" s="2" t="s">
        <v>32</v>
      </c>
      <c r="O1792" s="2">
        <f t="shared" si="111"/>
        <v>1</v>
      </c>
      <c r="P1792" s="2" t="s">
        <v>23</v>
      </c>
      <c r="Q1792" s="2" t="s">
        <v>23</v>
      </c>
      <c r="R1792" s="2" t="s">
        <v>23</v>
      </c>
      <c r="S1792" s="2" t="s">
        <v>23</v>
      </c>
      <c r="T1792" s="2" t="s">
        <v>23</v>
      </c>
      <c r="U1792" s="25">
        <f t="shared" si="109"/>
        <v>3839.001792</v>
      </c>
    </row>
    <row r="1793" spans="1:21">
      <c r="A1793" s="2" t="s">
        <v>2651</v>
      </c>
      <c r="B1793" s="2" t="s">
        <v>774</v>
      </c>
      <c r="C1793" s="2" t="s">
        <v>19</v>
      </c>
      <c r="D1793" s="2">
        <v>29</v>
      </c>
      <c r="E1793" s="2" t="str">
        <f t="shared" si="110"/>
        <v>26-35</v>
      </c>
      <c r="F1793" s="2" t="s">
        <v>141</v>
      </c>
      <c r="G1793" s="2" t="s">
        <v>21</v>
      </c>
      <c r="H1793" s="2">
        <v>11</v>
      </c>
      <c r="I1793" s="2" t="str">
        <f t="shared" si="108"/>
        <v>7-12 months</v>
      </c>
      <c r="J1793" s="3">
        <v>749</v>
      </c>
      <c r="K1793" s="3">
        <v>8239</v>
      </c>
      <c r="L1793" s="2" t="s">
        <v>31</v>
      </c>
      <c r="M1793" s="4">
        <v>45598</v>
      </c>
      <c r="N1793" s="2" t="s">
        <v>32</v>
      </c>
      <c r="O1793" s="2">
        <f t="shared" si="111"/>
        <v>1</v>
      </c>
      <c r="P1793" s="2" t="s">
        <v>23</v>
      </c>
      <c r="Q1793" s="2" t="s">
        <v>23</v>
      </c>
      <c r="R1793" s="2" t="s">
        <v>23</v>
      </c>
      <c r="S1793" s="2" t="s">
        <v>23</v>
      </c>
      <c r="T1793" s="2" t="s">
        <v>23</v>
      </c>
      <c r="U1793" s="25">
        <f t="shared" si="109"/>
        <v>8239.0017929999995</v>
      </c>
    </row>
    <row r="1794" spans="1:21">
      <c r="A1794" s="2" t="s">
        <v>2652</v>
      </c>
      <c r="B1794" s="2" t="s">
        <v>2423</v>
      </c>
      <c r="C1794" s="2" t="s">
        <v>35</v>
      </c>
      <c r="D1794" s="2">
        <v>62</v>
      </c>
      <c r="E1794" s="2" t="str">
        <f t="shared" si="110"/>
        <v>60+</v>
      </c>
      <c r="F1794" s="2" t="s">
        <v>110</v>
      </c>
      <c r="G1794" s="2" t="s">
        <v>21</v>
      </c>
      <c r="H1794" s="2">
        <v>13</v>
      </c>
      <c r="I1794" s="2" t="str">
        <f t="shared" ref="I1794:I1857" si="112">IF(H1794="","Unknown",IF(H1794&lt;=6,"0-6 months",IF(H1794&lt;=12,"7-12 months",IF(H1794&lt;=24,"13-24 months",IF(H1794&lt;=48,"25-48 months","49+ months")))))</f>
        <v>13-24 months</v>
      </c>
      <c r="J1794" s="3">
        <v>349</v>
      </c>
      <c r="K1794" s="3">
        <v>4537</v>
      </c>
      <c r="L1794" s="2" t="s">
        <v>66</v>
      </c>
      <c r="M1794" s="4">
        <v>45533</v>
      </c>
      <c r="N1794" s="2" t="s">
        <v>23</v>
      </c>
      <c r="O1794" s="2">
        <f t="shared" si="111"/>
        <v>0</v>
      </c>
      <c r="P1794" s="2" t="s">
        <v>23</v>
      </c>
      <c r="Q1794" s="2" t="s">
        <v>23</v>
      </c>
      <c r="R1794" s="2" t="s">
        <v>23</v>
      </c>
      <c r="S1794" s="2" t="s">
        <v>23</v>
      </c>
      <c r="T1794" s="2" t="s">
        <v>23</v>
      </c>
      <c r="U1794" s="25">
        <f t="shared" ref="U1794:U1857" si="113">IF(K1794="","",K1794+ROW()/1000000)</f>
        <v>4537.0017939999998</v>
      </c>
    </row>
    <row r="1795" spans="1:21">
      <c r="A1795" s="2" t="s">
        <v>2653</v>
      </c>
      <c r="B1795" s="2" t="s">
        <v>1898</v>
      </c>
      <c r="C1795" s="2" t="s">
        <v>19</v>
      </c>
      <c r="D1795" s="2">
        <v>30</v>
      </c>
      <c r="E1795" s="2" t="str">
        <f t="shared" ref="E1795:E1858" si="114">IF(D1795&lt;=25,"18-25",IF(D1795&lt;=35,"26-35",IF(D1795&lt;=45,"36-45",IF(D1795&lt;=60,"46-60","60+"))))</f>
        <v>26-35</v>
      </c>
      <c r="F1795" s="2" t="s">
        <v>105</v>
      </c>
      <c r="G1795" s="2" t="s">
        <v>27</v>
      </c>
      <c r="H1795" s="2">
        <v>10</v>
      </c>
      <c r="I1795" s="2" t="str">
        <f t="shared" si="112"/>
        <v>7-12 months</v>
      </c>
      <c r="J1795" s="3">
        <v>1299</v>
      </c>
      <c r="K1795" s="3">
        <v>12990</v>
      </c>
      <c r="L1795" s="2" t="s">
        <v>22</v>
      </c>
      <c r="M1795" s="4">
        <v>45605</v>
      </c>
      <c r="N1795" s="2" t="s">
        <v>32</v>
      </c>
      <c r="O1795" s="2">
        <f t="shared" ref="O1795:O1858" si="115">IF(N1795="Yes",1,IF(N1795="No",0,""))</f>
        <v>1</v>
      </c>
      <c r="P1795" s="2" t="s">
        <v>23</v>
      </c>
      <c r="Q1795" s="2" t="s">
        <v>23</v>
      </c>
      <c r="R1795" s="2" t="s">
        <v>23</v>
      </c>
      <c r="S1795" s="2" t="s">
        <v>23</v>
      </c>
      <c r="T1795" s="2" t="s">
        <v>23</v>
      </c>
      <c r="U1795" s="25">
        <f t="shared" si="113"/>
        <v>12990.001795</v>
      </c>
    </row>
    <row r="1796" spans="1:21">
      <c r="A1796" s="2" t="s">
        <v>2654</v>
      </c>
      <c r="B1796" s="2" t="s">
        <v>1028</v>
      </c>
      <c r="C1796" s="2" t="s">
        <v>19</v>
      </c>
      <c r="D1796" s="2">
        <v>29</v>
      </c>
      <c r="E1796" s="2" t="str">
        <f t="shared" si="114"/>
        <v>26-35</v>
      </c>
      <c r="F1796" s="2" t="s">
        <v>91</v>
      </c>
      <c r="G1796" s="2" t="s">
        <v>27</v>
      </c>
      <c r="H1796" s="2">
        <v>16</v>
      </c>
      <c r="I1796" s="2" t="str">
        <f t="shared" si="112"/>
        <v>13-24 months</v>
      </c>
      <c r="J1796" s="3">
        <v>449</v>
      </c>
      <c r="K1796" s="3">
        <v>7184</v>
      </c>
      <c r="L1796" s="2" t="s">
        <v>66</v>
      </c>
      <c r="M1796" s="4">
        <v>45437</v>
      </c>
      <c r="N1796" s="2" t="s">
        <v>23</v>
      </c>
      <c r="O1796" s="2">
        <f t="shared" si="115"/>
        <v>0</v>
      </c>
      <c r="P1796" s="2" t="s">
        <v>23</v>
      </c>
      <c r="Q1796" s="2" t="s">
        <v>23</v>
      </c>
      <c r="R1796" s="2" t="s">
        <v>23</v>
      </c>
      <c r="S1796" s="2" t="s">
        <v>23</v>
      </c>
      <c r="T1796" s="2" t="s">
        <v>23</v>
      </c>
      <c r="U1796" s="25">
        <f t="shared" si="113"/>
        <v>7184.0017959999996</v>
      </c>
    </row>
    <row r="1797" spans="1:21">
      <c r="A1797" s="2" t="s">
        <v>2655</v>
      </c>
      <c r="B1797" s="2" t="s">
        <v>640</v>
      </c>
      <c r="C1797" s="2" t="s">
        <v>19</v>
      </c>
      <c r="D1797" s="2">
        <v>28</v>
      </c>
      <c r="E1797" s="2" t="str">
        <f t="shared" si="114"/>
        <v>26-35</v>
      </c>
      <c r="F1797" s="2" t="s">
        <v>63</v>
      </c>
      <c r="G1797" s="2" t="s">
        <v>27</v>
      </c>
      <c r="H1797" s="2">
        <v>29</v>
      </c>
      <c r="I1797" s="2" t="str">
        <f t="shared" si="112"/>
        <v>25-48 months</v>
      </c>
      <c r="J1797" s="3">
        <v>1199</v>
      </c>
      <c r="K1797" s="3">
        <v>34771</v>
      </c>
      <c r="L1797" s="2" t="s">
        <v>22</v>
      </c>
      <c r="M1797" s="4">
        <v>45042</v>
      </c>
      <c r="N1797" s="2" t="s">
        <v>32</v>
      </c>
      <c r="O1797" s="2">
        <f t="shared" si="115"/>
        <v>1</v>
      </c>
      <c r="P1797" s="2" t="s">
        <v>23</v>
      </c>
      <c r="Q1797" s="2" t="s">
        <v>23</v>
      </c>
      <c r="R1797" s="2" t="s">
        <v>23</v>
      </c>
      <c r="S1797" s="2" t="s">
        <v>23</v>
      </c>
      <c r="T1797" s="2" t="s">
        <v>23</v>
      </c>
      <c r="U1797" s="25">
        <f t="shared" si="113"/>
        <v>34771.001796999997</v>
      </c>
    </row>
    <row r="1798" spans="1:21">
      <c r="A1798" s="2" t="s">
        <v>2656</v>
      </c>
      <c r="B1798" s="2" t="s">
        <v>2657</v>
      </c>
      <c r="C1798" s="2" t="s">
        <v>19</v>
      </c>
      <c r="D1798" s="2">
        <v>41</v>
      </c>
      <c r="E1798" s="2" t="str">
        <f t="shared" si="114"/>
        <v>36-45</v>
      </c>
      <c r="F1798" s="2" t="s">
        <v>57</v>
      </c>
      <c r="G1798" s="2" t="s">
        <v>21</v>
      </c>
      <c r="H1798" s="2">
        <v>8</v>
      </c>
      <c r="I1798" s="2" t="str">
        <f t="shared" si="112"/>
        <v>7-12 months</v>
      </c>
      <c r="J1798" s="3">
        <v>1049</v>
      </c>
      <c r="K1798" s="3">
        <v>8392</v>
      </c>
      <c r="L1798" s="2" t="s">
        <v>22</v>
      </c>
      <c r="M1798" s="4">
        <v>45675</v>
      </c>
      <c r="N1798" s="2" t="s">
        <v>32</v>
      </c>
      <c r="O1798" s="2">
        <f t="shared" si="115"/>
        <v>1</v>
      </c>
      <c r="P1798" s="2" t="s">
        <v>23</v>
      </c>
      <c r="Q1798" s="2" t="s">
        <v>23</v>
      </c>
      <c r="R1798" s="2" t="s">
        <v>23</v>
      </c>
      <c r="S1798" s="2" t="s">
        <v>23</v>
      </c>
      <c r="T1798" s="2" t="s">
        <v>23</v>
      </c>
      <c r="U1798" s="25">
        <f t="shared" si="113"/>
        <v>8392.0017979999993</v>
      </c>
    </row>
    <row r="1799" spans="1:21">
      <c r="A1799" s="2" t="s">
        <v>2658</v>
      </c>
      <c r="B1799" s="2" t="s">
        <v>297</v>
      </c>
      <c r="C1799" s="2" t="s">
        <v>35</v>
      </c>
      <c r="D1799" s="2">
        <v>40</v>
      </c>
      <c r="E1799" s="2" t="str">
        <f t="shared" si="114"/>
        <v>36-45</v>
      </c>
      <c r="F1799" s="2" t="s">
        <v>36</v>
      </c>
      <c r="G1799" s="2" t="s">
        <v>21</v>
      </c>
      <c r="H1799" s="2">
        <v>2</v>
      </c>
      <c r="I1799" s="2" t="str">
        <f t="shared" si="112"/>
        <v>0-6 months</v>
      </c>
      <c r="J1799" s="3">
        <v>799</v>
      </c>
      <c r="K1799" s="3">
        <v>1598</v>
      </c>
      <c r="L1799" s="2" t="s">
        <v>31</v>
      </c>
      <c r="M1799" s="4">
        <v>45856</v>
      </c>
      <c r="N1799" s="2" t="s">
        <v>32</v>
      </c>
      <c r="O1799" s="2">
        <f t="shared" si="115"/>
        <v>1</v>
      </c>
      <c r="P1799" s="2" t="s">
        <v>23</v>
      </c>
      <c r="Q1799" s="2" t="s">
        <v>23</v>
      </c>
      <c r="R1799" s="2" t="s">
        <v>23</v>
      </c>
      <c r="S1799" s="2" t="s">
        <v>23</v>
      </c>
      <c r="T1799" s="2" t="s">
        <v>23</v>
      </c>
      <c r="U1799" s="25">
        <f t="shared" si="113"/>
        <v>1598.0017989999999</v>
      </c>
    </row>
    <row r="1800" spans="1:21">
      <c r="A1800" s="2" t="s">
        <v>2659</v>
      </c>
      <c r="B1800" s="2" t="s">
        <v>2660</v>
      </c>
      <c r="C1800" s="2" t="s">
        <v>35</v>
      </c>
      <c r="D1800" s="2">
        <v>69</v>
      </c>
      <c r="E1800" s="2" t="str">
        <f t="shared" si="114"/>
        <v>60+</v>
      </c>
      <c r="F1800" s="2" t="s">
        <v>63</v>
      </c>
      <c r="G1800" s="2" t="s">
        <v>47</v>
      </c>
      <c r="H1800" s="2">
        <v>5</v>
      </c>
      <c r="I1800" s="2" t="str">
        <f t="shared" si="112"/>
        <v>0-6 months</v>
      </c>
      <c r="J1800" s="3">
        <v>599</v>
      </c>
      <c r="K1800" s="3">
        <v>2995</v>
      </c>
      <c r="L1800" s="2" t="s">
        <v>31</v>
      </c>
      <c r="M1800" s="4">
        <v>45766</v>
      </c>
      <c r="N1800" s="2" t="s">
        <v>32</v>
      </c>
      <c r="O1800" s="2">
        <f t="shared" si="115"/>
        <v>1</v>
      </c>
      <c r="P1800" s="2" t="s">
        <v>23</v>
      </c>
      <c r="Q1800" s="2" t="s">
        <v>32</v>
      </c>
      <c r="R1800" s="2" t="s">
        <v>23</v>
      </c>
      <c r="S1800" s="2" t="s">
        <v>23</v>
      </c>
      <c r="T1800" s="2" t="s">
        <v>23</v>
      </c>
      <c r="U1800" s="25">
        <f t="shared" si="113"/>
        <v>2995.0018</v>
      </c>
    </row>
    <row r="1801" spans="1:21">
      <c r="A1801" s="2" t="s">
        <v>2661</v>
      </c>
      <c r="B1801" s="2" t="s">
        <v>1080</v>
      </c>
      <c r="C1801" s="2" t="s">
        <v>19</v>
      </c>
      <c r="D1801" s="2">
        <v>72</v>
      </c>
      <c r="E1801" s="2" t="str">
        <f t="shared" si="114"/>
        <v>60+</v>
      </c>
      <c r="F1801" s="2" t="s">
        <v>57</v>
      </c>
      <c r="G1801" s="2" t="s">
        <v>47</v>
      </c>
      <c r="H1801" s="2">
        <v>72</v>
      </c>
      <c r="I1801" s="2" t="str">
        <f t="shared" si="112"/>
        <v>49+ months</v>
      </c>
      <c r="J1801" s="3">
        <v>849</v>
      </c>
      <c r="K1801" s="3">
        <v>61128</v>
      </c>
      <c r="L1801" s="2" t="s">
        <v>31</v>
      </c>
      <c r="M1801" s="4">
        <v>43741</v>
      </c>
      <c r="N1801" s="2" t="s">
        <v>23</v>
      </c>
      <c r="O1801" s="2">
        <f t="shared" si="115"/>
        <v>0</v>
      </c>
      <c r="P1801" s="2" t="s">
        <v>23</v>
      </c>
      <c r="Q1801" s="2" t="s">
        <v>23</v>
      </c>
      <c r="R1801" s="2" t="s">
        <v>23</v>
      </c>
      <c r="S1801" s="2" t="s">
        <v>23</v>
      </c>
      <c r="T1801" s="2" t="s">
        <v>23</v>
      </c>
      <c r="U1801" s="25">
        <f t="shared" si="113"/>
        <v>61128.001800999999</v>
      </c>
    </row>
    <row r="1802" spans="1:21">
      <c r="A1802" s="2" t="s">
        <v>2662</v>
      </c>
      <c r="B1802" s="2" t="s">
        <v>418</v>
      </c>
      <c r="C1802" s="2" t="s">
        <v>35</v>
      </c>
      <c r="D1802" s="2">
        <v>66</v>
      </c>
      <c r="E1802" s="2" t="str">
        <f t="shared" si="114"/>
        <v>60+</v>
      </c>
      <c r="F1802" s="2" t="s">
        <v>46</v>
      </c>
      <c r="G1802" s="2" t="s">
        <v>21</v>
      </c>
      <c r="H1802" s="2">
        <v>13</v>
      </c>
      <c r="I1802" s="2" t="str">
        <f t="shared" si="112"/>
        <v>13-24 months</v>
      </c>
      <c r="J1802" s="3">
        <v>749</v>
      </c>
      <c r="K1802" s="3">
        <v>9737</v>
      </c>
      <c r="L1802" s="2" t="s">
        <v>31</v>
      </c>
      <c r="M1802" s="4">
        <v>45530</v>
      </c>
      <c r="N1802" s="2" t="s">
        <v>23</v>
      </c>
      <c r="O1802" s="2">
        <f t="shared" si="115"/>
        <v>0</v>
      </c>
      <c r="P1802" s="2" t="s">
        <v>23</v>
      </c>
      <c r="Q1802" s="2" t="s">
        <v>23</v>
      </c>
      <c r="R1802" s="2" t="s">
        <v>32</v>
      </c>
      <c r="S1802" s="2" t="s">
        <v>23</v>
      </c>
      <c r="T1802" s="2" t="s">
        <v>23</v>
      </c>
      <c r="U1802" s="25">
        <f t="shared" si="113"/>
        <v>9737.0018020000007</v>
      </c>
    </row>
    <row r="1803" spans="1:21">
      <c r="A1803" s="2" t="s">
        <v>2663</v>
      </c>
      <c r="B1803" s="2" t="s">
        <v>584</v>
      </c>
      <c r="C1803" s="2" t="s">
        <v>19</v>
      </c>
      <c r="D1803" s="2">
        <v>31</v>
      </c>
      <c r="E1803" s="2" t="str">
        <f t="shared" si="114"/>
        <v>26-35</v>
      </c>
      <c r="F1803" s="2" t="s">
        <v>141</v>
      </c>
      <c r="G1803" s="2" t="s">
        <v>47</v>
      </c>
      <c r="H1803" s="2">
        <v>21</v>
      </c>
      <c r="I1803" s="2" t="str">
        <f t="shared" si="112"/>
        <v>13-24 months</v>
      </c>
      <c r="J1803" s="3">
        <v>849</v>
      </c>
      <c r="K1803" s="3">
        <v>17829</v>
      </c>
      <c r="L1803" s="2" t="s">
        <v>31</v>
      </c>
      <c r="M1803" s="4">
        <v>45274</v>
      </c>
      <c r="N1803" s="2" t="s">
        <v>23</v>
      </c>
      <c r="O1803" s="2">
        <f t="shared" si="115"/>
        <v>0</v>
      </c>
      <c r="P1803" s="2" t="s">
        <v>23</v>
      </c>
      <c r="Q1803" s="2" t="s">
        <v>23</v>
      </c>
      <c r="R1803" s="2" t="s">
        <v>23</v>
      </c>
      <c r="S1803" s="2" t="s">
        <v>23</v>
      </c>
      <c r="T1803" s="2" t="s">
        <v>23</v>
      </c>
      <c r="U1803" s="25">
        <f t="shared" si="113"/>
        <v>17829.001802999999</v>
      </c>
    </row>
    <row r="1804" spans="1:21">
      <c r="A1804" s="2" t="s">
        <v>2664</v>
      </c>
      <c r="B1804" s="2" t="s">
        <v>978</v>
      </c>
      <c r="C1804" s="2" t="s">
        <v>35</v>
      </c>
      <c r="D1804" s="2">
        <v>40</v>
      </c>
      <c r="E1804" s="2" t="str">
        <f t="shared" si="114"/>
        <v>36-45</v>
      </c>
      <c r="F1804" s="2" t="s">
        <v>26</v>
      </c>
      <c r="G1804" s="2" t="s">
        <v>47</v>
      </c>
      <c r="H1804" s="2">
        <v>20</v>
      </c>
      <c r="I1804" s="2" t="str">
        <f t="shared" si="112"/>
        <v>13-24 months</v>
      </c>
      <c r="J1804" s="3">
        <v>399</v>
      </c>
      <c r="K1804" s="3">
        <v>7980</v>
      </c>
      <c r="L1804" s="2" t="s">
        <v>66</v>
      </c>
      <c r="M1804" s="4">
        <v>45317</v>
      </c>
      <c r="N1804" s="2" t="s">
        <v>23</v>
      </c>
      <c r="O1804" s="2">
        <f t="shared" si="115"/>
        <v>0</v>
      </c>
      <c r="P1804" s="2" t="s">
        <v>23</v>
      </c>
      <c r="Q1804" s="2" t="s">
        <v>23</v>
      </c>
      <c r="R1804" s="2" t="s">
        <v>32</v>
      </c>
      <c r="S1804" s="2" t="s">
        <v>23</v>
      </c>
      <c r="T1804" s="2" t="s">
        <v>23</v>
      </c>
      <c r="U1804" s="25">
        <f t="shared" si="113"/>
        <v>7980.0018040000004</v>
      </c>
    </row>
    <row r="1805" spans="1:21">
      <c r="A1805" s="2" t="s">
        <v>2665</v>
      </c>
      <c r="B1805" s="2" t="s">
        <v>2666</v>
      </c>
      <c r="C1805" s="2" t="s">
        <v>35</v>
      </c>
      <c r="D1805" s="2">
        <v>29</v>
      </c>
      <c r="E1805" s="2" t="str">
        <f t="shared" si="114"/>
        <v>26-35</v>
      </c>
      <c r="F1805" s="2" t="s">
        <v>57</v>
      </c>
      <c r="G1805" s="2" t="s">
        <v>47</v>
      </c>
      <c r="H1805" s="2">
        <v>44</v>
      </c>
      <c r="I1805" s="2" t="str">
        <f t="shared" si="112"/>
        <v>25-48 months</v>
      </c>
      <c r="J1805" s="3">
        <v>349</v>
      </c>
      <c r="K1805" s="3">
        <v>15356</v>
      </c>
      <c r="L1805" s="2" t="s">
        <v>66</v>
      </c>
      <c r="M1805" s="4">
        <v>44601</v>
      </c>
      <c r="N1805" s="2" t="s">
        <v>23</v>
      </c>
      <c r="O1805" s="2">
        <f t="shared" si="115"/>
        <v>0</v>
      </c>
      <c r="P1805" s="2" t="s">
        <v>23</v>
      </c>
      <c r="Q1805" s="2" t="s">
        <v>23</v>
      </c>
      <c r="R1805" s="2" t="s">
        <v>23</v>
      </c>
      <c r="S1805" s="2" t="s">
        <v>23</v>
      </c>
      <c r="T1805" s="2" t="s">
        <v>23</v>
      </c>
      <c r="U1805" s="25">
        <f t="shared" si="113"/>
        <v>15356.001805</v>
      </c>
    </row>
    <row r="1806" spans="1:21">
      <c r="A1806" s="2" t="s">
        <v>2667</v>
      </c>
      <c r="B1806" s="2" t="s">
        <v>2104</v>
      </c>
      <c r="C1806" s="2" t="s">
        <v>35</v>
      </c>
      <c r="D1806" s="2">
        <v>72</v>
      </c>
      <c r="E1806" s="2" t="str">
        <f t="shared" si="114"/>
        <v>60+</v>
      </c>
      <c r="F1806" s="2" t="s">
        <v>71</v>
      </c>
      <c r="G1806" s="2" t="s">
        <v>21</v>
      </c>
      <c r="H1806" s="2">
        <v>13</v>
      </c>
      <c r="I1806" s="2" t="str">
        <f t="shared" si="112"/>
        <v>13-24 months</v>
      </c>
      <c r="J1806" s="3">
        <v>849</v>
      </c>
      <c r="K1806" s="3">
        <v>11037</v>
      </c>
      <c r="L1806" s="2" t="s">
        <v>31</v>
      </c>
      <c r="M1806" s="4">
        <v>45512</v>
      </c>
      <c r="N1806" s="2" t="s">
        <v>32</v>
      </c>
      <c r="O1806" s="2">
        <f t="shared" si="115"/>
        <v>1</v>
      </c>
      <c r="P1806" s="2" t="s">
        <v>23</v>
      </c>
      <c r="Q1806" s="2" t="s">
        <v>32</v>
      </c>
      <c r="R1806" s="2" t="s">
        <v>23</v>
      </c>
      <c r="S1806" s="2" t="s">
        <v>23</v>
      </c>
      <c r="T1806" s="2" t="s">
        <v>23</v>
      </c>
      <c r="U1806" s="25">
        <f t="shared" si="113"/>
        <v>11037.001806</v>
      </c>
    </row>
    <row r="1807" spans="1:21">
      <c r="A1807" s="2" t="s">
        <v>2668</v>
      </c>
      <c r="B1807" s="2" t="s">
        <v>980</v>
      </c>
      <c r="C1807" s="2" t="s">
        <v>19</v>
      </c>
      <c r="D1807" s="2">
        <v>60</v>
      </c>
      <c r="E1807" s="2" t="str">
        <f t="shared" si="114"/>
        <v>46-60</v>
      </c>
      <c r="F1807" s="2" t="s">
        <v>30</v>
      </c>
      <c r="G1807" s="2" t="s">
        <v>21</v>
      </c>
      <c r="H1807" s="2">
        <v>10</v>
      </c>
      <c r="I1807" s="2" t="str">
        <f t="shared" si="112"/>
        <v>7-12 months</v>
      </c>
      <c r="J1807" s="3">
        <v>899</v>
      </c>
      <c r="K1807" s="3">
        <v>8990</v>
      </c>
      <c r="L1807" s="2" t="s">
        <v>22</v>
      </c>
      <c r="M1807" s="4">
        <v>45628</v>
      </c>
      <c r="N1807" s="2" t="s">
        <v>32</v>
      </c>
      <c r="O1807" s="2">
        <f t="shared" si="115"/>
        <v>1</v>
      </c>
      <c r="P1807" s="2" t="s">
        <v>23</v>
      </c>
      <c r="Q1807" s="2" t="s">
        <v>23</v>
      </c>
      <c r="R1807" s="2" t="s">
        <v>23</v>
      </c>
      <c r="S1807" s="2" t="s">
        <v>23</v>
      </c>
      <c r="T1807" s="2" t="s">
        <v>23</v>
      </c>
      <c r="U1807" s="25">
        <f t="shared" si="113"/>
        <v>8990.0018070000006</v>
      </c>
    </row>
    <row r="1808" spans="1:21">
      <c r="A1808" s="2" t="s">
        <v>2669</v>
      </c>
      <c r="B1808" s="2" t="s">
        <v>542</v>
      </c>
      <c r="C1808" s="2" t="s">
        <v>37</v>
      </c>
      <c r="D1808" s="2">
        <v>29</v>
      </c>
      <c r="E1808" s="2" t="str">
        <f t="shared" si="114"/>
        <v>26-35</v>
      </c>
      <c r="F1808" s="2" t="s">
        <v>105</v>
      </c>
      <c r="G1808" s="2" t="s">
        <v>27</v>
      </c>
      <c r="H1808" s="2">
        <v>19</v>
      </c>
      <c r="I1808" s="2" t="str">
        <f t="shared" si="112"/>
        <v>13-24 months</v>
      </c>
      <c r="J1808" s="3">
        <v>1099</v>
      </c>
      <c r="K1808" s="3">
        <v>20881</v>
      </c>
      <c r="L1808" s="2" t="s">
        <v>37</v>
      </c>
      <c r="M1808" s="4">
        <v>45335</v>
      </c>
      <c r="N1808" s="2" t="s">
        <v>23</v>
      </c>
      <c r="O1808" s="2">
        <f t="shared" si="115"/>
        <v>0</v>
      </c>
      <c r="P1808" s="2" t="s">
        <v>23</v>
      </c>
      <c r="Q1808" s="2" t="s">
        <v>23</v>
      </c>
      <c r="R1808" s="2" t="s">
        <v>23</v>
      </c>
      <c r="S1808" s="2" t="s">
        <v>23</v>
      </c>
      <c r="T1808" s="2" t="s">
        <v>23</v>
      </c>
      <c r="U1808" s="25">
        <f t="shared" si="113"/>
        <v>20881.001808000001</v>
      </c>
    </row>
    <row r="1809" spans="1:21">
      <c r="A1809" s="2" t="s">
        <v>2670</v>
      </c>
      <c r="B1809" s="2" t="s">
        <v>986</v>
      </c>
      <c r="C1809" s="2" t="s">
        <v>35</v>
      </c>
      <c r="D1809" s="2">
        <v>22</v>
      </c>
      <c r="E1809" s="2" t="str">
        <f t="shared" si="114"/>
        <v>18-25</v>
      </c>
      <c r="F1809" s="2" t="s">
        <v>30</v>
      </c>
      <c r="G1809" s="2" t="s">
        <v>27</v>
      </c>
      <c r="H1809" s="2">
        <v>3</v>
      </c>
      <c r="I1809" s="2" t="str">
        <f t="shared" si="112"/>
        <v>0-6 months</v>
      </c>
      <c r="J1809" s="3">
        <v>1049</v>
      </c>
      <c r="K1809" s="3">
        <v>3147</v>
      </c>
      <c r="L1809" s="2" t="s">
        <v>22</v>
      </c>
      <c r="M1809" s="4">
        <v>45813</v>
      </c>
      <c r="N1809" s="2" t="s">
        <v>23</v>
      </c>
      <c r="O1809" s="2">
        <f t="shared" si="115"/>
        <v>0</v>
      </c>
      <c r="P1809" s="2" t="s">
        <v>23</v>
      </c>
      <c r="Q1809" s="2" t="s">
        <v>23</v>
      </c>
      <c r="R1809" s="2" t="s">
        <v>23</v>
      </c>
      <c r="S1809" s="2" t="s">
        <v>32</v>
      </c>
      <c r="T1809" s="2" t="s">
        <v>23</v>
      </c>
      <c r="U1809" s="25">
        <f t="shared" si="113"/>
        <v>3147.0018089999999</v>
      </c>
    </row>
    <row r="1810" spans="1:21">
      <c r="A1810" s="2" t="s">
        <v>2671</v>
      </c>
      <c r="B1810" s="2" t="s">
        <v>1352</v>
      </c>
      <c r="C1810" s="2" t="s">
        <v>19</v>
      </c>
      <c r="D1810" s="2">
        <v>23</v>
      </c>
      <c r="E1810" s="2" t="str">
        <f t="shared" si="114"/>
        <v>18-25</v>
      </c>
      <c r="F1810" s="2" t="s">
        <v>105</v>
      </c>
      <c r="G1810" s="2" t="s">
        <v>47</v>
      </c>
      <c r="H1810" s="2">
        <v>10</v>
      </c>
      <c r="I1810" s="2" t="str">
        <f t="shared" si="112"/>
        <v>7-12 months</v>
      </c>
      <c r="J1810" s="3">
        <v>799</v>
      </c>
      <c r="K1810" s="3">
        <v>7990</v>
      </c>
      <c r="L1810" s="2" t="s">
        <v>37</v>
      </c>
      <c r="M1810" s="4">
        <v>45620</v>
      </c>
      <c r="N1810" s="2" t="s">
        <v>23</v>
      </c>
      <c r="O1810" s="2">
        <f t="shared" si="115"/>
        <v>0</v>
      </c>
      <c r="P1810" s="2" t="s">
        <v>23</v>
      </c>
      <c r="Q1810" s="2" t="s">
        <v>23</v>
      </c>
      <c r="R1810" s="2" t="s">
        <v>23</v>
      </c>
      <c r="S1810" s="2" t="s">
        <v>23</v>
      </c>
      <c r="T1810" s="2" t="s">
        <v>23</v>
      </c>
      <c r="U1810" s="25">
        <f t="shared" si="113"/>
        <v>7990.0018099999998</v>
      </c>
    </row>
    <row r="1811" spans="1:21">
      <c r="A1811" s="2" t="s">
        <v>2672</v>
      </c>
      <c r="B1811" s="2" t="s">
        <v>823</v>
      </c>
      <c r="C1811" s="2" t="s">
        <v>19</v>
      </c>
      <c r="D1811" s="2">
        <v>23</v>
      </c>
      <c r="E1811" s="2" t="str">
        <f t="shared" si="114"/>
        <v>18-25</v>
      </c>
      <c r="F1811" s="2" t="s">
        <v>91</v>
      </c>
      <c r="G1811" s="2" t="s">
        <v>27</v>
      </c>
      <c r="H1811" s="2">
        <v>14</v>
      </c>
      <c r="I1811" s="2" t="str">
        <f t="shared" si="112"/>
        <v>13-24 months</v>
      </c>
      <c r="J1811" s="3">
        <v>1049</v>
      </c>
      <c r="K1811" s="3">
        <v>14686</v>
      </c>
      <c r="L1811" s="2" t="s">
        <v>22</v>
      </c>
      <c r="M1811" s="4">
        <v>45497</v>
      </c>
      <c r="N1811" s="2" t="s">
        <v>23</v>
      </c>
      <c r="O1811" s="2">
        <f t="shared" si="115"/>
        <v>0</v>
      </c>
      <c r="P1811" s="2" t="s">
        <v>23</v>
      </c>
      <c r="Q1811" s="2" t="s">
        <v>23</v>
      </c>
      <c r="R1811" s="2" t="s">
        <v>23</v>
      </c>
      <c r="S1811" s="2" t="s">
        <v>23</v>
      </c>
      <c r="T1811" s="2" t="s">
        <v>23</v>
      </c>
      <c r="U1811" s="25">
        <f t="shared" si="113"/>
        <v>14686.001811</v>
      </c>
    </row>
    <row r="1812" spans="1:21">
      <c r="A1812" s="2" t="s">
        <v>2673</v>
      </c>
      <c r="B1812" s="2" t="s">
        <v>1655</v>
      </c>
      <c r="C1812" s="2" t="s">
        <v>19</v>
      </c>
      <c r="D1812" s="2">
        <v>69</v>
      </c>
      <c r="E1812" s="2" t="str">
        <f t="shared" si="114"/>
        <v>60+</v>
      </c>
      <c r="F1812" s="2" t="s">
        <v>36</v>
      </c>
      <c r="G1812" s="2" t="s">
        <v>47</v>
      </c>
      <c r="H1812" s="2">
        <v>22</v>
      </c>
      <c r="I1812" s="2" t="str">
        <f t="shared" si="112"/>
        <v>13-24 months</v>
      </c>
      <c r="J1812" s="3">
        <v>749</v>
      </c>
      <c r="K1812" s="3">
        <v>16478</v>
      </c>
      <c r="L1812" s="2" t="s">
        <v>31</v>
      </c>
      <c r="M1812" s="4">
        <v>45241</v>
      </c>
      <c r="N1812" s="2" t="s">
        <v>23</v>
      </c>
      <c r="O1812" s="2">
        <f t="shared" si="115"/>
        <v>0</v>
      </c>
      <c r="P1812" s="2" t="s">
        <v>23</v>
      </c>
      <c r="Q1812" s="2" t="s">
        <v>23</v>
      </c>
      <c r="R1812" s="2" t="s">
        <v>23</v>
      </c>
      <c r="S1812" s="2" t="s">
        <v>23</v>
      </c>
      <c r="T1812" s="2" t="s">
        <v>23</v>
      </c>
      <c r="U1812" s="25">
        <f t="shared" si="113"/>
        <v>16478.001811999999</v>
      </c>
    </row>
    <row r="1813" spans="1:21">
      <c r="A1813" s="2" t="s">
        <v>2674</v>
      </c>
      <c r="B1813" s="2" t="s">
        <v>98</v>
      </c>
      <c r="C1813" s="2" t="s">
        <v>35</v>
      </c>
      <c r="D1813" s="2">
        <v>64</v>
      </c>
      <c r="E1813" s="2" t="str">
        <f t="shared" si="114"/>
        <v>60+</v>
      </c>
      <c r="F1813" s="2" t="s">
        <v>71</v>
      </c>
      <c r="G1813" s="2" t="s">
        <v>21</v>
      </c>
      <c r="H1813" s="2">
        <v>7</v>
      </c>
      <c r="I1813" s="2" t="str">
        <f t="shared" si="112"/>
        <v>7-12 months</v>
      </c>
      <c r="J1813" s="3">
        <v>799</v>
      </c>
      <c r="K1813" s="3">
        <v>5593</v>
      </c>
      <c r="L1813" s="2" t="s">
        <v>31</v>
      </c>
      <c r="M1813" s="4"/>
      <c r="N1813" s="2" t="s">
        <v>23</v>
      </c>
      <c r="O1813" s="2">
        <f t="shared" si="115"/>
        <v>0</v>
      </c>
      <c r="P1813" s="2" t="s">
        <v>23</v>
      </c>
      <c r="Q1813" s="2" t="s">
        <v>23</v>
      </c>
      <c r="R1813" s="2" t="s">
        <v>23</v>
      </c>
      <c r="S1813" s="2" t="s">
        <v>23</v>
      </c>
      <c r="T1813" s="2" t="s">
        <v>54</v>
      </c>
      <c r="U1813" s="25">
        <f t="shared" si="113"/>
        <v>5593.0018129999999</v>
      </c>
    </row>
    <row r="1814" spans="1:21">
      <c r="A1814" s="2" t="s">
        <v>2675</v>
      </c>
      <c r="B1814" s="2" t="s">
        <v>2405</v>
      </c>
      <c r="C1814" s="2" t="s">
        <v>35</v>
      </c>
      <c r="D1814" s="2">
        <v>54</v>
      </c>
      <c r="E1814" s="2" t="str">
        <f t="shared" si="114"/>
        <v>46-60</v>
      </c>
      <c r="F1814" s="2" t="s">
        <v>71</v>
      </c>
      <c r="G1814" s="2" t="s">
        <v>21</v>
      </c>
      <c r="H1814" s="2">
        <v>17</v>
      </c>
      <c r="I1814" s="2" t="str">
        <f t="shared" si="112"/>
        <v>13-24 months</v>
      </c>
      <c r="J1814" s="3">
        <v>749</v>
      </c>
      <c r="K1814" s="3">
        <v>12733</v>
      </c>
      <c r="L1814" s="2" t="s">
        <v>31</v>
      </c>
      <c r="M1814" s="4">
        <v>45403</v>
      </c>
      <c r="N1814" s="2" t="s">
        <v>32</v>
      </c>
      <c r="O1814" s="2">
        <f t="shared" si="115"/>
        <v>1</v>
      </c>
      <c r="P1814" s="2" t="s">
        <v>23</v>
      </c>
      <c r="Q1814" s="2" t="s">
        <v>23</v>
      </c>
      <c r="R1814" s="2" t="s">
        <v>23</v>
      </c>
      <c r="S1814" s="2" t="s">
        <v>23</v>
      </c>
      <c r="T1814" s="2" t="s">
        <v>23</v>
      </c>
      <c r="U1814" s="25">
        <f t="shared" si="113"/>
        <v>12733.001813999999</v>
      </c>
    </row>
    <row r="1815" spans="1:21">
      <c r="A1815" s="2" t="s">
        <v>2676</v>
      </c>
      <c r="B1815" s="2" t="s">
        <v>2104</v>
      </c>
      <c r="C1815" s="2" t="s">
        <v>35</v>
      </c>
      <c r="D1815" s="2">
        <v>69</v>
      </c>
      <c r="E1815" s="2" t="str">
        <f t="shared" si="114"/>
        <v>60+</v>
      </c>
      <c r="F1815" s="2" t="s">
        <v>91</v>
      </c>
      <c r="G1815" s="2" t="s">
        <v>47</v>
      </c>
      <c r="H1815" s="2">
        <v>57</v>
      </c>
      <c r="I1815" s="2" t="str">
        <f t="shared" si="112"/>
        <v>49+ months</v>
      </c>
      <c r="J1815" s="3">
        <v>849</v>
      </c>
      <c r="K1815" s="3">
        <v>48393</v>
      </c>
      <c r="L1815" s="2" t="s">
        <v>31</v>
      </c>
      <c r="M1815" s="4">
        <v>44208</v>
      </c>
      <c r="N1815" s="2" t="s">
        <v>23</v>
      </c>
      <c r="O1815" s="2">
        <f t="shared" si="115"/>
        <v>0</v>
      </c>
      <c r="P1815" s="2" t="s">
        <v>23</v>
      </c>
      <c r="Q1815" s="2" t="s">
        <v>23</v>
      </c>
      <c r="R1815" s="2" t="s">
        <v>23</v>
      </c>
      <c r="S1815" s="2" t="s">
        <v>23</v>
      </c>
      <c r="T1815" s="2" t="s">
        <v>23</v>
      </c>
      <c r="U1815" s="25">
        <f t="shared" si="113"/>
        <v>48393.001815000003</v>
      </c>
    </row>
    <row r="1816" spans="1:21">
      <c r="A1816" s="2" t="s">
        <v>2677</v>
      </c>
      <c r="B1816" s="2" t="s">
        <v>1178</v>
      </c>
      <c r="C1816" s="2" t="s">
        <v>35</v>
      </c>
      <c r="D1816" s="2">
        <v>40</v>
      </c>
      <c r="E1816" s="2" t="str">
        <f t="shared" si="114"/>
        <v>36-45</v>
      </c>
      <c r="F1816" s="2" t="s">
        <v>20</v>
      </c>
      <c r="G1816" s="2" t="s">
        <v>47</v>
      </c>
      <c r="H1816" s="2">
        <v>40</v>
      </c>
      <c r="I1816" s="2" t="str">
        <f t="shared" si="112"/>
        <v>25-48 months</v>
      </c>
      <c r="J1816" s="3">
        <v>549</v>
      </c>
      <c r="K1816" s="3">
        <v>21960</v>
      </c>
      <c r="L1816" s="2" t="s">
        <v>66</v>
      </c>
      <c r="M1816" s="4">
        <v>44704</v>
      </c>
      <c r="N1816" s="2" t="s">
        <v>23</v>
      </c>
      <c r="O1816" s="2">
        <f t="shared" si="115"/>
        <v>0</v>
      </c>
      <c r="P1816" s="2" t="s">
        <v>23</v>
      </c>
      <c r="Q1816" s="2" t="s">
        <v>23</v>
      </c>
      <c r="R1816" s="2" t="s">
        <v>23</v>
      </c>
      <c r="S1816" s="2" t="s">
        <v>23</v>
      </c>
      <c r="T1816" s="2" t="s">
        <v>23</v>
      </c>
      <c r="U1816" s="25">
        <f t="shared" si="113"/>
        <v>21960.001816</v>
      </c>
    </row>
    <row r="1817" spans="1:21">
      <c r="A1817" s="2" t="s">
        <v>2678</v>
      </c>
      <c r="B1817" s="2" t="s">
        <v>1827</v>
      </c>
      <c r="C1817" s="2" t="s">
        <v>35</v>
      </c>
      <c r="D1817" s="2">
        <v>30</v>
      </c>
      <c r="E1817" s="2" t="str">
        <f t="shared" si="114"/>
        <v>26-35</v>
      </c>
      <c r="F1817" s="2" t="s">
        <v>36</v>
      </c>
      <c r="G1817" s="2" t="s">
        <v>47</v>
      </c>
      <c r="H1817" s="2">
        <v>43</v>
      </c>
      <c r="I1817" s="2" t="str">
        <f t="shared" si="112"/>
        <v>25-48 months</v>
      </c>
      <c r="J1817" s="3">
        <v>999</v>
      </c>
      <c r="K1817" s="3">
        <v>42957</v>
      </c>
      <c r="L1817" s="2" t="s">
        <v>22</v>
      </c>
      <c r="M1817" s="4">
        <v>44633</v>
      </c>
      <c r="N1817" s="2" t="s">
        <v>23</v>
      </c>
      <c r="O1817" s="2">
        <f t="shared" si="115"/>
        <v>0</v>
      </c>
      <c r="P1817" s="2" t="s">
        <v>23</v>
      </c>
      <c r="Q1817" s="2" t="s">
        <v>23</v>
      </c>
      <c r="R1817" s="2" t="s">
        <v>23</v>
      </c>
      <c r="S1817" s="2" t="s">
        <v>23</v>
      </c>
      <c r="T1817" s="2" t="s">
        <v>23</v>
      </c>
      <c r="U1817" s="25">
        <f t="shared" si="113"/>
        <v>42957.001816999997</v>
      </c>
    </row>
    <row r="1818" spans="1:21">
      <c r="A1818" s="2" t="s">
        <v>2679</v>
      </c>
      <c r="B1818" s="2" t="s">
        <v>426</v>
      </c>
      <c r="C1818" s="2" t="s">
        <v>19</v>
      </c>
      <c r="D1818" s="2">
        <v>40</v>
      </c>
      <c r="E1818" s="2" t="str">
        <f t="shared" si="114"/>
        <v>36-45</v>
      </c>
      <c r="F1818" s="2" t="s">
        <v>57</v>
      </c>
      <c r="G1818" s="2" t="s">
        <v>21</v>
      </c>
      <c r="H1818" s="2">
        <v>13</v>
      </c>
      <c r="I1818" s="2" t="str">
        <f t="shared" si="112"/>
        <v>13-24 months</v>
      </c>
      <c r="J1818" s="3">
        <v>699</v>
      </c>
      <c r="K1818" s="3">
        <v>9087</v>
      </c>
      <c r="L1818" s="2" t="s">
        <v>31</v>
      </c>
      <c r="M1818" s="4">
        <v>45513</v>
      </c>
      <c r="N1818" s="2" t="s">
        <v>23</v>
      </c>
      <c r="O1818" s="2">
        <f t="shared" si="115"/>
        <v>0</v>
      </c>
      <c r="P1818" s="2" t="s">
        <v>23</v>
      </c>
      <c r="Q1818" s="2" t="s">
        <v>23</v>
      </c>
      <c r="R1818" s="2" t="s">
        <v>23</v>
      </c>
      <c r="S1818" s="2" t="s">
        <v>32</v>
      </c>
      <c r="T1818" s="2" t="s">
        <v>23</v>
      </c>
      <c r="U1818" s="25">
        <f t="shared" si="113"/>
        <v>9087.0018180000006</v>
      </c>
    </row>
    <row r="1819" spans="1:21">
      <c r="A1819" s="2" t="s">
        <v>2680</v>
      </c>
      <c r="B1819" s="2" t="s">
        <v>1708</v>
      </c>
      <c r="C1819" s="2" t="s">
        <v>35</v>
      </c>
      <c r="D1819" s="2">
        <v>63</v>
      </c>
      <c r="E1819" s="2" t="str">
        <f t="shared" si="114"/>
        <v>60+</v>
      </c>
      <c r="F1819" s="2" t="s">
        <v>36</v>
      </c>
      <c r="G1819" s="2" t="s">
        <v>21</v>
      </c>
      <c r="H1819" s="2">
        <v>18</v>
      </c>
      <c r="I1819" s="2" t="str">
        <f t="shared" si="112"/>
        <v>13-24 months</v>
      </c>
      <c r="J1819" s="3">
        <v>1099</v>
      </c>
      <c r="K1819" s="3">
        <v>19782</v>
      </c>
      <c r="L1819" s="2" t="s">
        <v>22</v>
      </c>
      <c r="M1819" s="4">
        <v>45367</v>
      </c>
      <c r="N1819" s="2" t="s">
        <v>32</v>
      </c>
      <c r="O1819" s="2">
        <f t="shared" si="115"/>
        <v>1</v>
      </c>
      <c r="P1819" s="2" t="s">
        <v>23</v>
      </c>
      <c r="Q1819" s="2" t="s">
        <v>23</v>
      </c>
      <c r="R1819" s="2" t="s">
        <v>23</v>
      </c>
      <c r="S1819" s="2" t="s">
        <v>23</v>
      </c>
      <c r="T1819" s="2" t="s">
        <v>23</v>
      </c>
      <c r="U1819" s="25">
        <f t="shared" si="113"/>
        <v>19782.001819000001</v>
      </c>
    </row>
    <row r="1820" spans="1:21">
      <c r="A1820" s="2" t="s">
        <v>2681</v>
      </c>
      <c r="B1820" s="2" t="s">
        <v>130</v>
      </c>
      <c r="C1820" s="2" t="s">
        <v>35</v>
      </c>
      <c r="D1820" s="2">
        <v>37</v>
      </c>
      <c r="E1820" s="2" t="str">
        <f t="shared" si="114"/>
        <v>36-45</v>
      </c>
      <c r="F1820" s="2" t="s">
        <v>91</v>
      </c>
      <c r="G1820" s="2" t="s">
        <v>21</v>
      </c>
      <c r="H1820" s="2">
        <v>10</v>
      </c>
      <c r="I1820" s="2" t="str">
        <f t="shared" si="112"/>
        <v>7-12 months</v>
      </c>
      <c r="J1820" s="3">
        <v>1099</v>
      </c>
      <c r="K1820" s="3">
        <v>10990</v>
      </c>
      <c r="L1820" s="2" t="s">
        <v>22</v>
      </c>
      <c r="M1820" s="4">
        <v>45617</v>
      </c>
      <c r="N1820" s="2" t="s">
        <v>32</v>
      </c>
      <c r="O1820" s="2">
        <f t="shared" si="115"/>
        <v>1</v>
      </c>
      <c r="P1820" s="2" t="s">
        <v>23</v>
      </c>
      <c r="Q1820" s="2" t="s">
        <v>23</v>
      </c>
      <c r="R1820" s="2" t="s">
        <v>23</v>
      </c>
      <c r="S1820" s="2" t="s">
        <v>23</v>
      </c>
      <c r="T1820" s="2" t="s">
        <v>23</v>
      </c>
      <c r="U1820" s="25">
        <f t="shared" si="113"/>
        <v>10990.001819999999</v>
      </c>
    </row>
    <row r="1821" spans="1:21">
      <c r="A1821" s="2" t="s">
        <v>2682</v>
      </c>
      <c r="B1821" s="2" t="s">
        <v>520</v>
      </c>
      <c r="C1821" s="2" t="s">
        <v>35</v>
      </c>
      <c r="D1821" s="2">
        <v>72</v>
      </c>
      <c r="E1821" s="2" t="str">
        <f t="shared" si="114"/>
        <v>60+</v>
      </c>
      <c r="F1821" s="2" t="s">
        <v>30</v>
      </c>
      <c r="G1821" s="2" t="s">
        <v>21</v>
      </c>
      <c r="H1821" s="2">
        <v>12</v>
      </c>
      <c r="I1821" s="2" t="str">
        <f t="shared" si="112"/>
        <v>7-12 months</v>
      </c>
      <c r="J1821" s="3">
        <v>1199</v>
      </c>
      <c r="K1821" s="3">
        <v>14388</v>
      </c>
      <c r="L1821" s="2" t="s">
        <v>22</v>
      </c>
      <c r="M1821" s="4">
        <v>45567</v>
      </c>
      <c r="N1821" s="2" t="s">
        <v>23</v>
      </c>
      <c r="O1821" s="2">
        <f t="shared" si="115"/>
        <v>0</v>
      </c>
      <c r="P1821" s="2" t="s">
        <v>23</v>
      </c>
      <c r="Q1821" s="2" t="s">
        <v>23</v>
      </c>
      <c r="R1821" s="2" t="s">
        <v>23</v>
      </c>
      <c r="S1821" s="2" t="s">
        <v>23</v>
      </c>
      <c r="T1821" s="2" t="s">
        <v>23</v>
      </c>
      <c r="U1821" s="25">
        <f t="shared" si="113"/>
        <v>14388.001821</v>
      </c>
    </row>
    <row r="1822" spans="1:21">
      <c r="A1822" s="2" t="s">
        <v>2683</v>
      </c>
      <c r="B1822" s="2" t="s">
        <v>1224</v>
      </c>
      <c r="C1822" s="2" t="s">
        <v>35</v>
      </c>
      <c r="D1822" s="2">
        <v>45</v>
      </c>
      <c r="E1822" s="2" t="str">
        <f t="shared" si="114"/>
        <v>36-45</v>
      </c>
      <c r="F1822" s="2" t="s">
        <v>91</v>
      </c>
      <c r="G1822" s="2" t="s">
        <v>21</v>
      </c>
      <c r="H1822" s="2"/>
      <c r="I1822" s="2" t="str">
        <f t="shared" si="112"/>
        <v>Unknown</v>
      </c>
      <c r="J1822" s="3">
        <v>1199</v>
      </c>
      <c r="K1822" s="3"/>
      <c r="L1822" s="2" t="s">
        <v>22</v>
      </c>
      <c r="M1822" s="4">
        <v>45834</v>
      </c>
      <c r="N1822" s="2" t="s">
        <v>23</v>
      </c>
      <c r="O1822" s="2">
        <f t="shared" si="115"/>
        <v>0</v>
      </c>
      <c r="P1822" s="2" t="s">
        <v>23</v>
      </c>
      <c r="Q1822" s="2" t="s">
        <v>23</v>
      </c>
      <c r="R1822" s="2" t="s">
        <v>23</v>
      </c>
      <c r="S1822" s="2" t="s">
        <v>23</v>
      </c>
      <c r="T1822" s="2" t="s">
        <v>214</v>
      </c>
      <c r="U1822" s="25" t="str">
        <f t="shared" si="113"/>
        <v/>
      </c>
    </row>
    <row r="1823" spans="1:21">
      <c r="A1823" s="2" t="s">
        <v>2684</v>
      </c>
      <c r="B1823" s="2" t="s">
        <v>2685</v>
      </c>
      <c r="C1823" s="2" t="s">
        <v>35</v>
      </c>
      <c r="D1823" s="2">
        <v>31</v>
      </c>
      <c r="E1823" s="2" t="str">
        <f t="shared" si="114"/>
        <v>26-35</v>
      </c>
      <c r="F1823" s="2" t="s">
        <v>36</v>
      </c>
      <c r="G1823" s="2" t="s">
        <v>27</v>
      </c>
      <c r="H1823" s="2">
        <v>1</v>
      </c>
      <c r="I1823" s="2" t="str">
        <f t="shared" si="112"/>
        <v>0-6 months</v>
      </c>
      <c r="J1823" s="3">
        <v>1049</v>
      </c>
      <c r="K1823" s="3">
        <v>1049</v>
      </c>
      <c r="L1823" s="2" t="s">
        <v>22</v>
      </c>
      <c r="M1823" s="4">
        <v>45882</v>
      </c>
      <c r="N1823" s="2" t="s">
        <v>32</v>
      </c>
      <c r="O1823" s="2">
        <f t="shared" si="115"/>
        <v>1</v>
      </c>
      <c r="P1823" s="2" t="s">
        <v>23</v>
      </c>
      <c r="Q1823" s="2" t="s">
        <v>23</v>
      </c>
      <c r="R1823" s="2" t="s">
        <v>23</v>
      </c>
      <c r="S1823" s="2" t="s">
        <v>23</v>
      </c>
      <c r="T1823" s="2" t="s">
        <v>23</v>
      </c>
      <c r="U1823" s="25">
        <f t="shared" si="113"/>
        <v>1049.0018230000001</v>
      </c>
    </row>
    <row r="1824" spans="1:21">
      <c r="A1824" s="2" t="s">
        <v>2686</v>
      </c>
      <c r="B1824" s="2" t="s">
        <v>2437</v>
      </c>
      <c r="C1824" s="2" t="s">
        <v>19</v>
      </c>
      <c r="D1824" s="2">
        <v>61</v>
      </c>
      <c r="E1824" s="2" t="str">
        <f t="shared" si="114"/>
        <v>60+</v>
      </c>
      <c r="F1824" s="2" t="s">
        <v>20</v>
      </c>
      <c r="G1824" s="2" t="s">
        <v>21</v>
      </c>
      <c r="H1824" s="2">
        <v>3</v>
      </c>
      <c r="I1824" s="2" t="str">
        <f t="shared" si="112"/>
        <v>0-6 months</v>
      </c>
      <c r="J1824" s="3">
        <v>899</v>
      </c>
      <c r="K1824" s="3">
        <v>2697</v>
      </c>
      <c r="L1824" s="2" t="s">
        <v>31</v>
      </c>
      <c r="M1824" s="4">
        <v>45822</v>
      </c>
      <c r="N1824" s="2" t="s">
        <v>32</v>
      </c>
      <c r="O1824" s="2">
        <f t="shared" si="115"/>
        <v>1</v>
      </c>
      <c r="P1824" s="2" t="s">
        <v>23</v>
      </c>
      <c r="Q1824" s="2" t="s">
        <v>23</v>
      </c>
      <c r="R1824" s="2" t="s">
        <v>23</v>
      </c>
      <c r="S1824" s="2" t="s">
        <v>23</v>
      </c>
      <c r="T1824" s="2" t="s">
        <v>23</v>
      </c>
      <c r="U1824" s="25">
        <f t="shared" si="113"/>
        <v>2697.0018239999999</v>
      </c>
    </row>
    <row r="1825" spans="1:21">
      <c r="A1825" s="2" t="s">
        <v>2687</v>
      </c>
      <c r="B1825" s="2" t="s">
        <v>2169</v>
      </c>
      <c r="C1825" s="2" t="s">
        <v>35</v>
      </c>
      <c r="D1825" s="2">
        <v>40</v>
      </c>
      <c r="E1825" s="2" t="str">
        <f t="shared" si="114"/>
        <v>36-45</v>
      </c>
      <c r="F1825" s="2" t="s">
        <v>46</v>
      </c>
      <c r="G1825" s="2" t="s">
        <v>21</v>
      </c>
      <c r="H1825" s="2">
        <v>10</v>
      </c>
      <c r="I1825" s="2" t="str">
        <f t="shared" si="112"/>
        <v>7-12 months</v>
      </c>
      <c r="J1825" s="3">
        <v>1299</v>
      </c>
      <c r="K1825" s="3">
        <v>12990</v>
      </c>
      <c r="L1825" s="2" t="s">
        <v>22</v>
      </c>
      <c r="M1825" s="4">
        <v>45599</v>
      </c>
      <c r="N1825" s="2" t="s">
        <v>23</v>
      </c>
      <c r="O1825" s="2">
        <f t="shared" si="115"/>
        <v>0</v>
      </c>
      <c r="P1825" s="2" t="s">
        <v>23</v>
      </c>
      <c r="Q1825" s="2" t="s">
        <v>23</v>
      </c>
      <c r="R1825" s="2" t="s">
        <v>23</v>
      </c>
      <c r="S1825" s="2" t="s">
        <v>23</v>
      </c>
      <c r="T1825" s="2" t="s">
        <v>23</v>
      </c>
      <c r="U1825" s="25">
        <f t="shared" si="113"/>
        <v>12990.001824999999</v>
      </c>
    </row>
    <row r="1826" spans="1:21">
      <c r="A1826" s="2" t="s">
        <v>2688</v>
      </c>
      <c r="B1826" s="2" t="s">
        <v>397</v>
      </c>
      <c r="C1826" s="2" t="s">
        <v>35</v>
      </c>
      <c r="D1826" s="2">
        <v>47</v>
      </c>
      <c r="E1826" s="2" t="str">
        <f t="shared" si="114"/>
        <v>46-60</v>
      </c>
      <c r="F1826" s="2" t="s">
        <v>46</v>
      </c>
      <c r="G1826" s="2" t="s">
        <v>27</v>
      </c>
      <c r="H1826" s="2">
        <v>20</v>
      </c>
      <c r="I1826" s="2" t="str">
        <f t="shared" si="112"/>
        <v>13-24 months</v>
      </c>
      <c r="J1826" s="3">
        <v>899</v>
      </c>
      <c r="K1826" s="3">
        <v>17980</v>
      </c>
      <c r="L1826" s="2" t="s">
        <v>22</v>
      </c>
      <c r="M1826" s="4">
        <v>45309</v>
      </c>
      <c r="N1826" s="2" t="s">
        <v>23</v>
      </c>
      <c r="O1826" s="2">
        <f t="shared" si="115"/>
        <v>0</v>
      </c>
      <c r="P1826" s="2" t="s">
        <v>32</v>
      </c>
      <c r="Q1826" s="2" t="s">
        <v>23</v>
      </c>
      <c r="R1826" s="2" t="s">
        <v>23</v>
      </c>
      <c r="S1826" s="2" t="s">
        <v>23</v>
      </c>
      <c r="T1826" s="2" t="s">
        <v>23</v>
      </c>
      <c r="U1826" s="25">
        <f t="shared" si="113"/>
        <v>17980.001826</v>
      </c>
    </row>
    <row r="1827" spans="1:21">
      <c r="A1827" s="2" t="s">
        <v>2689</v>
      </c>
      <c r="B1827" s="2" t="s">
        <v>1954</v>
      </c>
      <c r="C1827" s="2" t="s">
        <v>19</v>
      </c>
      <c r="D1827" s="2">
        <v>71</v>
      </c>
      <c r="E1827" s="2" t="str">
        <f t="shared" si="114"/>
        <v>60+</v>
      </c>
      <c r="F1827" s="2" t="s">
        <v>141</v>
      </c>
      <c r="G1827" s="2" t="s">
        <v>47</v>
      </c>
      <c r="H1827" s="2">
        <v>58</v>
      </c>
      <c r="I1827" s="2" t="str">
        <f t="shared" si="112"/>
        <v>49+ months</v>
      </c>
      <c r="J1827" s="3">
        <v>699</v>
      </c>
      <c r="K1827" s="3">
        <v>40542</v>
      </c>
      <c r="L1827" s="2" t="s">
        <v>31</v>
      </c>
      <c r="M1827" s="4">
        <v>44160</v>
      </c>
      <c r="N1827" s="2" t="s">
        <v>23</v>
      </c>
      <c r="O1827" s="2">
        <f t="shared" si="115"/>
        <v>0</v>
      </c>
      <c r="P1827" s="2" t="s">
        <v>23</v>
      </c>
      <c r="Q1827" s="2" t="s">
        <v>23</v>
      </c>
      <c r="R1827" s="2" t="s">
        <v>23</v>
      </c>
      <c r="S1827" s="2" t="s">
        <v>32</v>
      </c>
      <c r="T1827" s="2" t="s">
        <v>23</v>
      </c>
      <c r="U1827" s="25">
        <f t="shared" si="113"/>
        <v>40542.001827</v>
      </c>
    </row>
    <row r="1828" spans="1:21">
      <c r="A1828" s="2" t="s">
        <v>2690</v>
      </c>
      <c r="B1828" s="2" t="s">
        <v>226</v>
      </c>
      <c r="C1828" s="2" t="s">
        <v>35</v>
      </c>
      <c r="D1828" s="2">
        <v>51</v>
      </c>
      <c r="E1828" s="2" t="str">
        <f t="shared" si="114"/>
        <v>46-60</v>
      </c>
      <c r="F1828" s="2" t="s">
        <v>110</v>
      </c>
      <c r="G1828" s="2" t="s">
        <v>27</v>
      </c>
      <c r="H1828" s="2">
        <v>36</v>
      </c>
      <c r="I1828" s="2" t="str">
        <f t="shared" si="112"/>
        <v>25-48 months</v>
      </c>
      <c r="J1828" s="3">
        <v>999</v>
      </c>
      <c r="K1828" s="3">
        <v>35964</v>
      </c>
      <c r="L1828" s="2" t="s">
        <v>22</v>
      </c>
      <c r="M1828" s="4">
        <v>44838</v>
      </c>
      <c r="N1828" s="2" t="s">
        <v>32</v>
      </c>
      <c r="O1828" s="2">
        <f t="shared" si="115"/>
        <v>1</v>
      </c>
      <c r="P1828" s="2" t="s">
        <v>23</v>
      </c>
      <c r="Q1828" s="2" t="s">
        <v>23</v>
      </c>
      <c r="R1828" s="2" t="s">
        <v>23</v>
      </c>
      <c r="S1828" s="2" t="s">
        <v>32</v>
      </c>
      <c r="T1828" s="2" t="s">
        <v>23</v>
      </c>
      <c r="U1828" s="25">
        <f t="shared" si="113"/>
        <v>35964.001828</v>
      </c>
    </row>
    <row r="1829" spans="1:21">
      <c r="A1829" s="2" t="s">
        <v>2691</v>
      </c>
      <c r="B1829" s="2" t="s">
        <v>1700</v>
      </c>
      <c r="C1829" s="2" t="s">
        <v>35</v>
      </c>
      <c r="D1829" s="2">
        <v>47</v>
      </c>
      <c r="E1829" s="2" t="str">
        <f t="shared" si="114"/>
        <v>46-60</v>
      </c>
      <c r="F1829" s="2" t="s">
        <v>60</v>
      </c>
      <c r="G1829" s="2" t="s">
        <v>27</v>
      </c>
      <c r="H1829" s="2">
        <v>37</v>
      </c>
      <c r="I1829" s="2" t="str">
        <f t="shared" si="112"/>
        <v>25-48 months</v>
      </c>
      <c r="J1829" s="3">
        <v>849</v>
      </c>
      <c r="K1829" s="3">
        <v>31413</v>
      </c>
      <c r="L1829" s="2" t="s">
        <v>31</v>
      </c>
      <c r="M1829" s="4">
        <v>44790</v>
      </c>
      <c r="N1829" s="2" t="s">
        <v>23</v>
      </c>
      <c r="O1829" s="2">
        <f t="shared" si="115"/>
        <v>0</v>
      </c>
      <c r="P1829" s="2" t="s">
        <v>32</v>
      </c>
      <c r="Q1829" s="2" t="s">
        <v>23</v>
      </c>
      <c r="R1829" s="2" t="s">
        <v>23</v>
      </c>
      <c r="S1829" s="2" t="s">
        <v>23</v>
      </c>
      <c r="T1829" s="2" t="s">
        <v>23</v>
      </c>
      <c r="U1829" s="25">
        <f t="shared" si="113"/>
        <v>31413.001829000001</v>
      </c>
    </row>
    <row r="1830" spans="1:21">
      <c r="A1830" s="2" t="s">
        <v>2692</v>
      </c>
      <c r="B1830" s="2" t="s">
        <v>80</v>
      </c>
      <c r="C1830" s="2" t="s">
        <v>35</v>
      </c>
      <c r="D1830" s="2">
        <v>28</v>
      </c>
      <c r="E1830" s="2" t="str">
        <f t="shared" si="114"/>
        <v>26-35</v>
      </c>
      <c r="F1830" s="2" t="s">
        <v>41</v>
      </c>
      <c r="G1830" s="2" t="s">
        <v>47</v>
      </c>
      <c r="H1830" s="2">
        <v>58</v>
      </c>
      <c r="I1830" s="2" t="str">
        <f t="shared" si="112"/>
        <v>49+ months</v>
      </c>
      <c r="J1830" s="3">
        <v>399</v>
      </c>
      <c r="K1830" s="3">
        <v>23142</v>
      </c>
      <c r="L1830" s="2" t="s">
        <v>66</v>
      </c>
      <c r="M1830" s="4">
        <v>44173</v>
      </c>
      <c r="N1830" s="2" t="s">
        <v>23</v>
      </c>
      <c r="O1830" s="2">
        <f t="shared" si="115"/>
        <v>0</v>
      </c>
      <c r="P1830" s="2" t="s">
        <v>23</v>
      </c>
      <c r="Q1830" s="2" t="s">
        <v>23</v>
      </c>
      <c r="R1830" s="2" t="s">
        <v>23</v>
      </c>
      <c r="S1830" s="2" t="s">
        <v>23</v>
      </c>
      <c r="T1830" s="2" t="s">
        <v>23</v>
      </c>
      <c r="U1830" s="25">
        <f t="shared" si="113"/>
        <v>23142.001830000001</v>
      </c>
    </row>
    <row r="1831" spans="1:21">
      <c r="A1831" s="2" t="s">
        <v>2693</v>
      </c>
      <c r="B1831" s="2" t="s">
        <v>412</v>
      </c>
      <c r="C1831" s="2" t="s">
        <v>19</v>
      </c>
      <c r="D1831" s="2">
        <v>37</v>
      </c>
      <c r="E1831" s="2" t="str">
        <f t="shared" si="114"/>
        <v>36-45</v>
      </c>
      <c r="F1831" s="2" t="s">
        <v>57</v>
      </c>
      <c r="G1831" s="2" t="s">
        <v>21</v>
      </c>
      <c r="H1831" s="2">
        <v>21</v>
      </c>
      <c r="I1831" s="2" t="str">
        <f t="shared" si="112"/>
        <v>13-24 months</v>
      </c>
      <c r="J1831" s="3">
        <v>849</v>
      </c>
      <c r="K1831" s="3">
        <v>17829</v>
      </c>
      <c r="L1831" s="2" t="s">
        <v>31</v>
      </c>
      <c r="M1831" s="4">
        <v>45283</v>
      </c>
      <c r="N1831" s="2" t="s">
        <v>32</v>
      </c>
      <c r="O1831" s="2">
        <f t="shared" si="115"/>
        <v>1</v>
      </c>
      <c r="P1831" s="2" t="s">
        <v>23</v>
      </c>
      <c r="Q1831" s="2" t="s">
        <v>32</v>
      </c>
      <c r="R1831" s="2" t="s">
        <v>23</v>
      </c>
      <c r="S1831" s="2" t="s">
        <v>23</v>
      </c>
      <c r="T1831" s="2" t="s">
        <v>23</v>
      </c>
      <c r="U1831" s="25">
        <f t="shared" si="113"/>
        <v>17829.001831000001</v>
      </c>
    </row>
    <row r="1832" spans="1:21">
      <c r="A1832" s="2" t="s">
        <v>2694</v>
      </c>
      <c r="B1832" s="2" t="s">
        <v>2695</v>
      </c>
      <c r="C1832" s="2" t="s">
        <v>19</v>
      </c>
      <c r="D1832" s="2">
        <v>33</v>
      </c>
      <c r="E1832" s="2" t="str">
        <f t="shared" si="114"/>
        <v>26-35</v>
      </c>
      <c r="F1832" s="2" t="s">
        <v>36</v>
      </c>
      <c r="G1832" s="2" t="s">
        <v>21</v>
      </c>
      <c r="H1832" s="2">
        <v>14</v>
      </c>
      <c r="I1832" s="2" t="str">
        <f t="shared" si="112"/>
        <v>13-24 months</v>
      </c>
      <c r="J1832" s="3">
        <v>899</v>
      </c>
      <c r="K1832" s="3">
        <v>12586</v>
      </c>
      <c r="L1832" s="2" t="s">
        <v>31</v>
      </c>
      <c r="M1832" s="4">
        <v>45504</v>
      </c>
      <c r="N1832" s="2" t="s">
        <v>23</v>
      </c>
      <c r="O1832" s="2">
        <f t="shared" si="115"/>
        <v>0</v>
      </c>
      <c r="P1832" s="2" t="s">
        <v>23</v>
      </c>
      <c r="Q1832" s="2" t="s">
        <v>23</v>
      </c>
      <c r="R1832" s="2" t="s">
        <v>23</v>
      </c>
      <c r="S1832" s="2" t="s">
        <v>23</v>
      </c>
      <c r="T1832" s="2" t="s">
        <v>23</v>
      </c>
      <c r="U1832" s="25">
        <f t="shared" si="113"/>
        <v>12586.001832</v>
      </c>
    </row>
    <row r="1833" spans="1:21">
      <c r="A1833" s="2" t="s">
        <v>2696</v>
      </c>
      <c r="B1833" s="2" t="s">
        <v>745</v>
      </c>
      <c r="C1833" s="2" t="s">
        <v>19</v>
      </c>
      <c r="D1833" s="2">
        <v>70</v>
      </c>
      <c r="E1833" s="2" t="str">
        <f t="shared" si="114"/>
        <v>60+</v>
      </c>
      <c r="F1833" s="2" t="s">
        <v>36</v>
      </c>
      <c r="G1833" s="2" t="s">
        <v>21</v>
      </c>
      <c r="H1833" s="2">
        <v>12</v>
      </c>
      <c r="I1833" s="2" t="str">
        <f t="shared" si="112"/>
        <v>7-12 months</v>
      </c>
      <c r="J1833" s="3">
        <v>999</v>
      </c>
      <c r="K1833" s="3">
        <v>11988</v>
      </c>
      <c r="L1833" s="2" t="s">
        <v>22</v>
      </c>
      <c r="M1833" s="4">
        <v>45541</v>
      </c>
      <c r="N1833" s="2" t="s">
        <v>37</v>
      </c>
      <c r="O1833" s="2" t="str">
        <f t="shared" si="115"/>
        <v/>
      </c>
      <c r="P1833" s="2" t="s">
        <v>23</v>
      </c>
      <c r="Q1833" s="2" t="s">
        <v>23</v>
      </c>
      <c r="R1833" s="2" t="s">
        <v>23</v>
      </c>
      <c r="S1833" s="2" t="s">
        <v>23</v>
      </c>
      <c r="T1833" s="2" t="s">
        <v>38</v>
      </c>
      <c r="U1833" s="25">
        <f t="shared" si="113"/>
        <v>11988.001833</v>
      </c>
    </row>
    <row r="1834" spans="1:21">
      <c r="A1834" s="2" t="s">
        <v>2697</v>
      </c>
      <c r="B1834" s="2" t="s">
        <v>930</v>
      </c>
      <c r="C1834" s="2" t="s">
        <v>35</v>
      </c>
      <c r="D1834" s="2">
        <v>47</v>
      </c>
      <c r="E1834" s="2" t="str">
        <f t="shared" si="114"/>
        <v>46-60</v>
      </c>
      <c r="F1834" s="2" t="s">
        <v>30</v>
      </c>
      <c r="G1834" s="2" t="s">
        <v>21</v>
      </c>
      <c r="H1834" s="2">
        <v>7</v>
      </c>
      <c r="I1834" s="2" t="str">
        <f t="shared" si="112"/>
        <v>7-12 months</v>
      </c>
      <c r="J1834" s="3">
        <v>1149</v>
      </c>
      <c r="K1834" s="3">
        <v>8043</v>
      </c>
      <c r="L1834" s="2" t="s">
        <v>22</v>
      </c>
      <c r="M1834" s="4">
        <v>45692</v>
      </c>
      <c r="N1834" s="2" t="s">
        <v>23</v>
      </c>
      <c r="O1834" s="2">
        <f t="shared" si="115"/>
        <v>0</v>
      </c>
      <c r="P1834" s="2" t="s">
        <v>32</v>
      </c>
      <c r="Q1834" s="2" t="s">
        <v>23</v>
      </c>
      <c r="R1834" s="2" t="s">
        <v>23</v>
      </c>
      <c r="S1834" s="2" t="s">
        <v>23</v>
      </c>
      <c r="T1834" s="2" t="s">
        <v>23</v>
      </c>
      <c r="U1834" s="25">
        <f t="shared" si="113"/>
        <v>8043.0018339999997</v>
      </c>
    </row>
    <row r="1835" spans="1:21">
      <c r="A1835" s="2" t="s">
        <v>2698</v>
      </c>
      <c r="B1835" s="2" t="s">
        <v>914</v>
      </c>
      <c r="C1835" s="2" t="s">
        <v>37</v>
      </c>
      <c r="D1835" s="2">
        <v>45</v>
      </c>
      <c r="E1835" s="2" t="str">
        <f t="shared" si="114"/>
        <v>36-45</v>
      </c>
      <c r="F1835" s="2" t="s">
        <v>110</v>
      </c>
      <c r="G1835" s="2" t="s">
        <v>37</v>
      </c>
      <c r="H1835" s="2">
        <v>7</v>
      </c>
      <c r="I1835" s="2" t="str">
        <f t="shared" si="112"/>
        <v>7-12 months</v>
      </c>
      <c r="J1835" s="3">
        <v>1049</v>
      </c>
      <c r="K1835" s="3">
        <v>7343</v>
      </c>
      <c r="L1835" s="2" t="s">
        <v>22</v>
      </c>
      <c r="M1835" s="4">
        <v>45712</v>
      </c>
      <c r="N1835" s="2" t="s">
        <v>23</v>
      </c>
      <c r="O1835" s="2">
        <f t="shared" si="115"/>
        <v>0</v>
      </c>
      <c r="P1835" s="2" t="s">
        <v>23</v>
      </c>
      <c r="Q1835" s="2" t="s">
        <v>23</v>
      </c>
      <c r="R1835" s="2" t="s">
        <v>23</v>
      </c>
      <c r="S1835" s="2" t="s">
        <v>23</v>
      </c>
      <c r="T1835" s="2" t="s">
        <v>23</v>
      </c>
      <c r="U1835" s="25">
        <f t="shared" si="113"/>
        <v>7343.001835</v>
      </c>
    </row>
    <row r="1836" spans="1:21">
      <c r="A1836" s="2" t="s">
        <v>2699</v>
      </c>
      <c r="B1836" s="2" t="s">
        <v>930</v>
      </c>
      <c r="C1836" s="2" t="s">
        <v>35</v>
      </c>
      <c r="D1836" s="2">
        <v>42</v>
      </c>
      <c r="E1836" s="2" t="str">
        <f t="shared" si="114"/>
        <v>36-45</v>
      </c>
      <c r="F1836" s="2" t="s">
        <v>20</v>
      </c>
      <c r="G1836" s="2" t="s">
        <v>21</v>
      </c>
      <c r="H1836" s="2">
        <v>18</v>
      </c>
      <c r="I1836" s="2" t="str">
        <f t="shared" si="112"/>
        <v>13-24 months</v>
      </c>
      <c r="J1836" s="3">
        <v>799</v>
      </c>
      <c r="K1836" s="3">
        <v>14382</v>
      </c>
      <c r="L1836" s="2" t="s">
        <v>31</v>
      </c>
      <c r="M1836" s="4">
        <v>45379</v>
      </c>
      <c r="N1836" s="2" t="s">
        <v>23</v>
      </c>
      <c r="O1836" s="2">
        <f t="shared" si="115"/>
        <v>0</v>
      </c>
      <c r="P1836" s="2" t="s">
        <v>23</v>
      </c>
      <c r="Q1836" s="2" t="s">
        <v>23</v>
      </c>
      <c r="R1836" s="2" t="s">
        <v>32</v>
      </c>
      <c r="S1836" s="2" t="s">
        <v>23</v>
      </c>
      <c r="T1836" s="2" t="s">
        <v>23</v>
      </c>
      <c r="U1836" s="25">
        <f t="shared" si="113"/>
        <v>14382.001835999999</v>
      </c>
    </row>
    <row r="1837" spans="1:21">
      <c r="A1837" s="2" t="s">
        <v>2700</v>
      </c>
      <c r="B1837" s="2" t="s">
        <v>138</v>
      </c>
      <c r="C1837" s="2" t="s">
        <v>19</v>
      </c>
      <c r="D1837" s="2">
        <v>28</v>
      </c>
      <c r="E1837" s="2" t="str">
        <f t="shared" si="114"/>
        <v>26-35</v>
      </c>
      <c r="F1837" s="2" t="s">
        <v>71</v>
      </c>
      <c r="G1837" s="2" t="s">
        <v>27</v>
      </c>
      <c r="H1837" s="2">
        <v>16</v>
      </c>
      <c r="I1837" s="2" t="str">
        <f t="shared" si="112"/>
        <v>13-24 months</v>
      </c>
      <c r="J1837" s="3">
        <v>649</v>
      </c>
      <c r="K1837" s="3">
        <v>10384</v>
      </c>
      <c r="L1837" s="2" t="s">
        <v>31</v>
      </c>
      <c r="M1837" s="4">
        <v>45440</v>
      </c>
      <c r="N1837" s="2" t="s">
        <v>23</v>
      </c>
      <c r="O1837" s="2">
        <f t="shared" si="115"/>
        <v>0</v>
      </c>
      <c r="P1837" s="2" t="s">
        <v>23</v>
      </c>
      <c r="Q1837" s="2" t="s">
        <v>23</v>
      </c>
      <c r="R1837" s="2" t="s">
        <v>32</v>
      </c>
      <c r="S1837" s="2" t="s">
        <v>23</v>
      </c>
      <c r="T1837" s="2" t="s">
        <v>23</v>
      </c>
      <c r="U1837" s="25">
        <f t="shared" si="113"/>
        <v>10384.001837</v>
      </c>
    </row>
    <row r="1838" spans="1:21">
      <c r="A1838" s="2" t="s">
        <v>2701</v>
      </c>
      <c r="B1838" s="2" t="s">
        <v>592</v>
      </c>
      <c r="C1838" s="2" t="s">
        <v>35</v>
      </c>
      <c r="D1838" s="2">
        <v>24</v>
      </c>
      <c r="E1838" s="2" t="str">
        <f t="shared" si="114"/>
        <v>18-25</v>
      </c>
      <c r="F1838" s="2" t="s">
        <v>36</v>
      </c>
      <c r="G1838" s="2" t="s">
        <v>21</v>
      </c>
      <c r="H1838" s="2">
        <v>23</v>
      </c>
      <c r="I1838" s="2" t="str">
        <f t="shared" si="112"/>
        <v>13-24 months</v>
      </c>
      <c r="J1838" s="3">
        <v>1099</v>
      </c>
      <c r="K1838" s="3">
        <v>25277</v>
      </c>
      <c r="L1838" s="2" t="s">
        <v>22</v>
      </c>
      <c r="M1838" s="4">
        <v>45217</v>
      </c>
      <c r="N1838" s="2" t="s">
        <v>23</v>
      </c>
      <c r="O1838" s="2">
        <f t="shared" si="115"/>
        <v>0</v>
      </c>
      <c r="P1838" s="2" t="s">
        <v>23</v>
      </c>
      <c r="Q1838" s="2" t="s">
        <v>23</v>
      </c>
      <c r="R1838" s="2" t="s">
        <v>23</v>
      </c>
      <c r="S1838" s="2" t="s">
        <v>32</v>
      </c>
      <c r="T1838" s="2" t="s">
        <v>23</v>
      </c>
      <c r="U1838" s="25">
        <f t="shared" si="113"/>
        <v>25277.001838</v>
      </c>
    </row>
    <row r="1839" spans="1:21">
      <c r="A1839" s="2" t="s">
        <v>2702</v>
      </c>
      <c r="B1839" s="2" t="s">
        <v>1628</v>
      </c>
      <c r="C1839" s="2" t="s">
        <v>35</v>
      </c>
      <c r="D1839" s="2">
        <v>20</v>
      </c>
      <c r="E1839" s="2" t="str">
        <f t="shared" si="114"/>
        <v>18-25</v>
      </c>
      <c r="F1839" s="2" t="s">
        <v>26</v>
      </c>
      <c r="G1839" s="2" t="s">
        <v>27</v>
      </c>
      <c r="H1839" s="2">
        <v>21</v>
      </c>
      <c r="I1839" s="2" t="str">
        <f t="shared" si="112"/>
        <v>13-24 months</v>
      </c>
      <c r="J1839" s="3">
        <v>399</v>
      </c>
      <c r="K1839" s="3">
        <v>8379</v>
      </c>
      <c r="L1839" s="2" t="s">
        <v>66</v>
      </c>
      <c r="M1839" s="4">
        <v>45290</v>
      </c>
      <c r="N1839" s="2" t="s">
        <v>23</v>
      </c>
      <c r="O1839" s="2">
        <f t="shared" si="115"/>
        <v>0</v>
      </c>
      <c r="P1839" s="2" t="s">
        <v>23</v>
      </c>
      <c r="Q1839" s="2" t="s">
        <v>23</v>
      </c>
      <c r="R1839" s="2" t="s">
        <v>23</v>
      </c>
      <c r="S1839" s="2" t="s">
        <v>23</v>
      </c>
      <c r="T1839" s="2" t="s">
        <v>23</v>
      </c>
      <c r="U1839" s="25">
        <f t="shared" si="113"/>
        <v>8379.0018390000005</v>
      </c>
    </row>
    <row r="1840" spans="1:21">
      <c r="A1840" s="2" t="s">
        <v>2703</v>
      </c>
      <c r="B1840" s="2" t="s">
        <v>366</v>
      </c>
      <c r="C1840" s="2" t="s">
        <v>35</v>
      </c>
      <c r="D1840" s="2">
        <v>27</v>
      </c>
      <c r="E1840" s="2" t="str">
        <f t="shared" si="114"/>
        <v>26-35</v>
      </c>
      <c r="F1840" s="2" t="s">
        <v>110</v>
      </c>
      <c r="G1840" s="2" t="s">
        <v>27</v>
      </c>
      <c r="H1840" s="2">
        <v>32</v>
      </c>
      <c r="I1840" s="2" t="str">
        <f t="shared" si="112"/>
        <v>25-48 months</v>
      </c>
      <c r="J1840" s="3">
        <v>1049</v>
      </c>
      <c r="K1840" s="3">
        <v>33568</v>
      </c>
      <c r="L1840" s="2" t="s">
        <v>22</v>
      </c>
      <c r="M1840" s="4">
        <v>44962</v>
      </c>
      <c r="N1840" s="2" t="s">
        <v>23</v>
      </c>
      <c r="O1840" s="2">
        <f t="shared" si="115"/>
        <v>0</v>
      </c>
      <c r="P1840" s="2" t="s">
        <v>23</v>
      </c>
      <c r="Q1840" s="2" t="s">
        <v>23</v>
      </c>
      <c r="R1840" s="2" t="s">
        <v>23</v>
      </c>
      <c r="S1840" s="2" t="s">
        <v>23</v>
      </c>
      <c r="T1840" s="2" t="s">
        <v>23</v>
      </c>
      <c r="U1840" s="25">
        <f t="shared" si="113"/>
        <v>33568.001839999997</v>
      </c>
    </row>
    <row r="1841" spans="1:21">
      <c r="A1841" s="2" t="s">
        <v>2704</v>
      </c>
      <c r="B1841" s="2" t="s">
        <v>550</v>
      </c>
      <c r="C1841" s="2" t="s">
        <v>37</v>
      </c>
      <c r="D1841" s="2">
        <v>71</v>
      </c>
      <c r="E1841" s="2" t="str">
        <f t="shared" si="114"/>
        <v>60+</v>
      </c>
      <c r="F1841" s="2" t="s">
        <v>30</v>
      </c>
      <c r="G1841" s="2" t="s">
        <v>21</v>
      </c>
      <c r="H1841" s="2">
        <v>12</v>
      </c>
      <c r="I1841" s="2" t="str">
        <f t="shared" si="112"/>
        <v>7-12 months</v>
      </c>
      <c r="J1841" s="3">
        <v>599</v>
      </c>
      <c r="K1841" s="3">
        <v>7188</v>
      </c>
      <c r="L1841" s="2" t="s">
        <v>31</v>
      </c>
      <c r="M1841" s="4">
        <v>45549</v>
      </c>
      <c r="N1841" s="2" t="s">
        <v>23</v>
      </c>
      <c r="O1841" s="2">
        <f t="shared" si="115"/>
        <v>0</v>
      </c>
      <c r="P1841" s="2" t="s">
        <v>23</v>
      </c>
      <c r="Q1841" s="2" t="s">
        <v>23</v>
      </c>
      <c r="R1841" s="2" t="s">
        <v>23</v>
      </c>
      <c r="S1841" s="2" t="s">
        <v>23</v>
      </c>
      <c r="T1841" s="2" t="s">
        <v>23</v>
      </c>
      <c r="U1841" s="25">
        <f t="shared" si="113"/>
        <v>7188.0018410000002</v>
      </c>
    </row>
    <row r="1842" spans="1:21">
      <c r="A1842" s="2" t="s">
        <v>2705</v>
      </c>
      <c r="B1842" s="2" t="s">
        <v>338</v>
      </c>
      <c r="C1842" s="2" t="s">
        <v>35</v>
      </c>
      <c r="D1842" s="2">
        <v>39</v>
      </c>
      <c r="E1842" s="2" t="str">
        <f t="shared" si="114"/>
        <v>36-45</v>
      </c>
      <c r="F1842" s="2" t="s">
        <v>63</v>
      </c>
      <c r="G1842" s="2" t="s">
        <v>21</v>
      </c>
      <c r="H1842" s="2">
        <v>6</v>
      </c>
      <c r="I1842" s="2" t="str">
        <f t="shared" si="112"/>
        <v>0-6 months</v>
      </c>
      <c r="J1842" s="3">
        <v>649</v>
      </c>
      <c r="K1842" s="3">
        <v>3894</v>
      </c>
      <c r="L1842" s="2" t="s">
        <v>31</v>
      </c>
      <c r="M1842" s="4">
        <v>45744</v>
      </c>
      <c r="N1842" s="2" t="s">
        <v>23</v>
      </c>
      <c r="O1842" s="2">
        <f t="shared" si="115"/>
        <v>0</v>
      </c>
      <c r="P1842" s="2" t="s">
        <v>23</v>
      </c>
      <c r="Q1842" s="2" t="s">
        <v>23</v>
      </c>
      <c r="R1842" s="2" t="s">
        <v>23</v>
      </c>
      <c r="S1842" s="2" t="s">
        <v>32</v>
      </c>
      <c r="T1842" s="2" t="s">
        <v>23</v>
      </c>
      <c r="U1842" s="25">
        <f t="shared" si="113"/>
        <v>3894.0018420000001</v>
      </c>
    </row>
    <row r="1843" spans="1:21">
      <c r="A1843" s="2" t="s">
        <v>2706</v>
      </c>
      <c r="B1843" s="2" t="s">
        <v>1626</v>
      </c>
      <c r="C1843" s="2" t="s">
        <v>19</v>
      </c>
      <c r="D1843" s="2">
        <v>19</v>
      </c>
      <c r="E1843" s="2" t="str">
        <f t="shared" si="114"/>
        <v>18-25</v>
      </c>
      <c r="F1843" s="2" t="s">
        <v>63</v>
      </c>
      <c r="G1843" s="2" t="s">
        <v>21</v>
      </c>
      <c r="H1843" s="2">
        <v>4</v>
      </c>
      <c r="I1843" s="2" t="str">
        <f t="shared" si="112"/>
        <v>0-6 months</v>
      </c>
      <c r="J1843" s="3">
        <v>999</v>
      </c>
      <c r="K1843" s="3">
        <v>3996</v>
      </c>
      <c r="L1843" s="2" t="s">
        <v>22</v>
      </c>
      <c r="M1843" s="4">
        <v>45801</v>
      </c>
      <c r="N1843" s="2" t="s">
        <v>32</v>
      </c>
      <c r="O1843" s="2">
        <f t="shared" si="115"/>
        <v>1</v>
      </c>
      <c r="P1843" s="2" t="s">
        <v>23</v>
      </c>
      <c r="Q1843" s="2" t="s">
        <v>23</v>
      </c>
      <c r="R1843" s="2" t="s">
        <v>23</v>
      </c>
      <c r="S1843" s="2" t="s">
        <v>23</v>
      </c>
      <c r="T1843" s="2" t="s">
        <v>23</v>
      </c>
      <c r="U1843" s="25">
        <f t="shared" si="113"/>
        <v>3996.001843</v>
      </c>
    </row>
    <row r="1844" spans="1:21">
      <c r="A1844" s="2" t="s">
        <v>2707</v>
      </c>
      <c r="B1844" s="2" t="s">
        <v>1620</v>
      </c>
      <c r="C1844" s="2" t="s">
        <v>19</v>
      </c>
      <c r="D1844" s="2">
        <v>47</v>
      </c>
      <c r="E1844" s="2" t="str">
        <f t="shared" si="114"/>
        <v>46-60</v>
      </c>
      <c r="F1844" s="2" t="s">
        <v>60</v>
      </c>
      <c r="G1844" s="2" t="s">
        <v>21</v>
      </c>
      <c r="H1844" s="2">
        <v>22</v>
      </c>
      <c r="I1844" s="2" t="str">
        <f t="shared" si="112"/>
        <v>13-24 months</v>
      </c>
      <c r="J1844" s="3">
        <v>1299</v>
      </c>
      <c r="K1844" s="3">
        <v>28578</v>
      </c>
      <c r="L1844" s="2" t="s">
        <v>22</v>
      </c>
      <c r="M1844" s="4">
        <v>45242</v>
      </c>
      <c r="N1844" s="2" t="s">
        <v>32</v>
      </c>
      <c r="O1844" s="2">
        <f t="shared" si="115"/>
        <v>1</v>
      </c>
      <c r="P1844" s="2" t="s">
        <v>23</v>
      </c>
      <c r="Q1844" s="2" t="s">
        <v>23</v>
      </c>
      <c r="R1844" s="2" t="s">
        <v>23</v>
      </c>
      <c r="S1844" s="2" t="s">
        <v>23</v>
      </c>
      <c r="T1844" s="2" t="s">
        <v>23</v>
      </c>
      <c r="U1844" s="25">
        <f t="shared" si="113"/>
        <v>28578.001843999999</v>
      </c>
    </row>
    <row r="1845" spans="1:21">
      <c r="A1845" s="2" t="s">
        <v>2708</v>
      </c>
      <c r="B1845" s="2" t="s">
        <v>2437</v>
      </c>
      <c r="C1845" s="2" t="s">
        <v>19</v>
      </c>
      <c r="D1845" s="2">
        <v>27</v>
      </c>
      <c r="E1845" s="2" t="str">
        <f t="shared" si="114"/>
        <v>26-35</v>
      </c>
      <c r="F1845" s="2" t="s">
        <v>110</v>
      </c>
      <c r="G1845" s="2" t="s">
        <v>21</v>
      </c>
      <c r="H1845" s="2">
        <v>11</v>
      </c>
      <c r="I1845" s="2" t="str">
        <f t="shared" si="112"/>
        <v>7-12 months</v>
      </c>
      <c r="J1845" s="3">
        <v>1199</v>
      </c>
      <c r="K1845" s="3">
        <v>13189</v>
      </c>
      <c r="L1845" s="2" t="s">
        <v>22</v>
      </c>
      <c r="M1845" s="4">
        <v>45578</v>
      </c>
      <c r="N1845" s="2" t="s">
        <v>32</v>
      </c>
      <c r="O1845" s="2">
        <f t="shared" si="115"/>
        <v>1</v>
      </c>
      <c r="P1845" s="2" t="s">
        <v>23</v>
      </c>
      <c r="Q1845" s="2" t="s">
        <v>23</v>
      </c>
      <c r="R1845" s="2" t="s">
        <v>23</v>
      </c>
      <c r="S1845" s="2" t="s">
        <v>23</v>
      </c>
      <c r="T1845" s="2" t="s">
        <v>23</v>
      </c>
      <c r="U1845" s="25">
        <f t="shared" si="113"/>
        <v>13189.001845000001</v>
      </c>
    </row>
    <row r="1846" spans="1:21">
      <c r="A1846" s="2" t="s">
        <v>2709</v>
      </c>
      <c r="B1846" s="2" t="s">
        <v>37</v>
      </c>
      <c r="C1846" s="2" t="s">
        <v>37</v>
      </c>
      <c r="D1846" s="2">
        <v>23</v>
      </c>
      <c r="E1846" s="2" t="str">
        <f t="shared" si="114"/>
        <v>18-25</v>
      </c>
      <c r="F1846" s="2" t="s">
        <v>63</v>
      </c>
      <c r="G1846" s="2" t="s">
        <v>47</v>
      </c>
      <c r="H1846" s="2">
        <v>72</v>
      </c>
      <c r="I1846" s="2" t="str">
        <f t="shared" si="112"/>
        <v>49+ months</v>
      </c>
      <c r="J1846" s="3">
        <v>1049</v>
      </c>
      <c r="K1846" s="3">
        <v>75528</v>
      </c>
      <c r="L1846" s="2" t="s">
        <v>22</v>
      </c>
      <c r="M1846" s="4">
        <v>43768</v>
      </c>
      <c r="N1846" s="2" t="s">
        <v>37</v>
      </c>
      <c r="O1846" s="2" t="str">
        <f t="shared" si="115"/>
        <v/>
      </c>
      <c r="P1846" s="2" t="s">
        <v>23</v>
      </c>
      <c r="Q1846" s="2" t="s">
        <v>23</v>
      </c>
      <c r="R1846" s="2" t="s">
        <v>23</v>
      </c>
      <c r="S1846" s="2" t="s">
        <v>23</v>
      </c>
      <c r="T1846" s="2" t="s">
        <v>38</v>
      </c>
      <c r="U1846" s="25">
        <f t="shared" si="113"/>
        <v>75528.001845999999</v>
      </c>
    </row>
    <row r="1847" spans="1:21">
      <c r="A1847" s="2" t="s">
        <v>2710</v>
      </c>
      <c r="B1847" s="2" t="s">
        <v>564</v>
      </c>
      <c r="C1847" s="2" t="s">
        <v>19</v>
      </c>
      <c r="D1847" s="2">
        <v>47</v>
      </c>
      <c r="E1847" s="2" t="str">
        <f t="shared" si="114"/>
        <v>46-60</v>
      </c>
      <c r="F1847" s="2" t="s">
        <v>63</v>
      </c>
      <c r="G1847" s="2" t="s">
        <v>21</v>
      </c>
      <c r="H1847" s="2">
        <v>15</v>
      </c>
      <c r="I1847" s="2" t="str">
        <f t="shared" si="112"/>
        <v>13-24 months</v>
      </c>
      <c r="J1847" s="3">
        <v>1299</v>
      </c>
      <c r="K1847" s="3">
        <v>19485</v>
      </c>
      <c r="L1847" s="2" t="s">
        <v>22</v>
      </c>
      <c r="M1847" s="4">
        <v>45453</v>
      </c>
      <c r="N1847" s="2" t="s">
        <v>23</v>
      </c>
      <c r="O1847" s="2">
        <f t="shared" si="115"/>
        <v>0</v>
      </c>
      <c r="P1847" s="2" t="s">
        <v>32</v>
      </c>
      <c r="Q1847" s="2" t="s">
        <v>23</v>
      </c>
      <c r="R1847" s="2" t="s">
        <v>23</v>
      </c>
      <c r="S1847" s="2" t="s">
        <v>23</v>
      </c>
      <c r="T1847" s="2" t="s">
        <v>23</v>
      </c>
      <c r="U1847" s="25">
        <f t="shared" si="113"/>
        <v>19485.001847</v>
      </c>
    </row>
    <row r="1848" spans="1:21">
      <c r="A1848" s="2" t="s">
        <v>2711</v>
      </c>
      <c r="B1848" s="2" t="s">
        <v>1193</v>
      </c>
      <c r="C1848" s="2" t="s">
        <v>19</v>
      </c>
      <c r="D1848" s="2">
        <v>63</v>
      </c>
      <c r="E1848" s="2" t="str">
        <f t="shared" si="114"/>
        <v>60+</v>
      </c>
      <c r="F1848" s="2" t="s">
        <v>63</v>
      </c>
      <c r="G1848" s="2" t="s">
        <v>47</v>
      </c>
      <c r="H1848" s="2">
        <v>17</v>
      </c>
      <c r="I1848" s="2" t="str">
        <f t="shared" si="112"/>
        <v>13-24 months</v>
      </c>
      <c r="J1848" s="3">
        <v>899</v>
      </c>
      <c r="K1848" s="3">
        <v>15283</v>
      </c>
      <c r="L1848" s="2" t="s">
        <v>22</v>
      </c>
      <c r="M1848" s="4">
        <v>45392</v>
      </c>
      <c r="N1848" s="2" t="s">
        <v>32</v>
      </c>
      <c r="O1848" s="2">
        <f t="shared" si="115"/>
        <v>1</v>
      </c>
      <c r="P1848" s="2" t="s">
        <v>23</v>
      </c>
      <c r="Q1848" s="2" t="s">
        <v>23</v>
      </c>
      <c r="R1848" s="2" t="s">
        <v>23</v>
      </c>
      <c r="S1848" s="2" t="s">
        <v>23</v>
      </c>
      <c r="T1848" s="2" t="s">
        <v>23</v>
      </c>
      <c r="U1848" s="25">
        <f t="shared" si="113"/>
        <v>15283.001848</v>
      </c>
    </row>
    <row r="1849" spans="1:21">
      <c r="A1849" s="2" t="s">
        <v>2712</v>
      </c>
      <c r="B1849" s="2" t="s">
        <v>1123</v>
      </c>
      <c r="C1849" s="2" t="s">
        <v>35</v>
      </c>
      <c r="D1849" s="2">
        <v>74</v>
      </c>
      <c r="E1849" s="2" t="str">
        <f t="shared" si="114"/>
        <v>60+</v>
      </c>
      <c r="F1849" s="2" t="s">
        <v>26</v>
      </c>
      <c r="G1849" s="2" t="s">
        <v>21</v>
      </c>
      <c r="H1849" s="2">
        <v>4</v>
      </c>
      <c r="I1849" s="2" t="str">
        <f t="shared" si="112"/>
        <v>0-6 months</v>
      </c>
      <c r="J1849" s="3">
        <v>1099</v>
      </c>
      <c r="K1849" s="3">
        <v>4396</v>
      </c>
      <c r="L1849" s="2" t="s">
        <v>22</v>
      </c>
      <c r="M1849" s="4">
        <v>45800</v>
      </c>
      <c r="N1849" s="2" t="s">
        <v>32</v>
      </c>
      <c r="O1849" s="2">
        <f t="shared" si="115"/>
        <v>1</v>
      </c>
      <c r="P1849" s="2" t="s">
        <v>23</v>
      </c>
      <c r="Q1849" s="2" t="s">
        <v>23</v>
      </c>
      <c r="R1849" s="2" t="s">
        <v>23</v>
      </c>
      <c r="S1849" s="2" t="s">
        <v>23</v>
      </c>
      <c r="T1849" s="2" t="s">
        <v>23</v>
      </c>
      <c r="U1849" s="25">
        <f t="shared" si="113"/>
        <v>4396.0018490000002</v>
      </c>
    </row>
    <row r="1850" spans="1:21">
      <c r="A1850" s="2" t="s">
        <v>2713</v>
      </c>
      <c r="B1850" s="2" t="s">
        <v>1277</v>
      </c>
      <c r="C1850" s="2" t="s">
        <v>35</v>
      </c>
      <c r="D1850" s="2">
        <v>68</v>
      </c>
      <c r="E1850" s="2" t="str">
        <f t="shared" si="114"/>
        <v>60+</v>
      </c>
      <c r="F1850" s="2" t="s">
        <v>57</v>
      </c>
      <c r="G1850" s="2" t="s">
        <v>27</v>
      </c>
      <c r="H1850" s="2">
        <v>17</v>
      </c>
      <c r="I1850" s="2" t="str">
        <f t="shared" si="112"/>
        <v>13-24 months</v>
      </c>
      <c r="J1850" s="3">
        <v>449</v>
      </c>
      <c r="K1850" s="3">
        <v>7633</v>
      </c>
      <c r="L1850" s="2" t="s">
        <v>66</v>
      </c>
      <c r="M1850" s="4">
        <v>45411</v>
      </c>
      <c r="N1850" s="2" t="s">
        <v>23</v>
      </c>
      <c r="O1850" s="2">
        <f t="shared" si="115"/>
        <v>0</v>
      </c>
      <c r="P1850" s="2" t="s">
        <v>23</v>
      </c>
      <c r="Q1850" s="2" t="s">
        <v>23</v>
      </c>
      <c r="R1850" s="2" t="s">
        <v>23</v>
      </c>
      <c r="S1850" s="2" t="s">
        <v>23</v>
      </c>
      <c r="T1850" s="2" t="s">
        <v>23</v>
      </c>
      <c r="U1850" s="25">
        <f t="shared" si="113"/>
        <v>7633.0018499999996</v>
      </c>
    </row>
    <row r="1851" spans="1:21">
      <c r="A1851" s="2" t="s">
        <v>2714</v>
      </c>
      <c r="B1851" s="2" t="s">
        <v>794</v>
      </c>
      <c r="C1851" s="2" t="s">
        <v>35</v>
      </c>
      <c r="D1851" s="2">
        <v>48</v>
      </c>
      <c r="E1851" s="2" t="str">
        <f t="shared" si="114"/>
        <v>46-60</v>
      </c>
      <c r="F1851" s="2" t="s">
        <v>71</v>
      </c>
      <c r="G1851" s="2" t="s">
        <v>21</v>
      </c>
      <c r="H1851" s="2">
        <v>3</v>
      </c>
      <c r="I1851" s="2" t="str">
        <f t="shared" si="112"/>
        <v>0-6 months</v>
      </c>
      <c r="J1851" s="3">
        <v>999</v>
      </c>
      <c r="K1851" s="3">
        <v>2997</v>
      </c>
      <c r="L1851" s="2" t="s">
        <v>22</v>
      </c>
      <c r="M1851" s="4">
        <v>45813</v>
      </c>
      <c r="N1851" s="2" t="s">
        <v>32</v>
      </c>
      <c r="O1851" s="2">
        <f t="shared" si="115"/>
        <v>1</v>
      </c>
      <c r="P1851" s="2" t="s">
        <v>23</v>
      </c>
      <c r="Q1851" s="2" t="s">
        <v>23</v>
      </c>
      <c r="R1851" s="2" t="s">
        <v>23</v>
      </c>
      <c r="S1851" s="2" t="s">
        <v>23</v>
      </c>
      <c r="T1851" s="2" t="s">
        <v>23</v>
      </c>
      <c r="U1851" s="25">
        <f t="shared" si="113"/>
        <v>2997.001851</v>
      </c>
    </row>
    <row r="1852" spans="1:21">
      <c r="A1852" s="2" t="s">
        <v>2715</v>
      </c>
      <c r="B1852" s="2" t="s">
        <v>747</v>
      </c>
      <c r="C1852" s="2" t="s">
        <v>35</v>
      </c>
      <c r="D1852" s="2">
        <v>66</v>
      </c>
      <c r="E1852" s="2" t="str">
        <f t="shared" si="114"/>
        <v>60+</v>
      </c>
      <c r="F1852" s="2" t="s">
        <v>26</v>
      </c>
      <c r="G1852" s="2" t="s">
        <v>21</v>
      </c>
      <c r="H1852" s="2">
        <v>17</v>
      </c>
      <c r="I1852" s="2" t="str">
        <f t="shared" si="112"/>
        <v>13-24 months</v>
      </c>
      <c r="J1852" s="3">
        <v>849</v>
      </c>
      <c r="K1852" s="3">
        <v>14433</v>
      </c>
      <c r="L1852" s="2" t="s">
        <v>31</v>
      </c>
      <c r="M1852" s="4">
        <v>45403</v>
      </c>
      <c r="N1852" s="2" t="s">
        <v>23</v>
      </c>
      <c r="O1852" s="2">
        <f t="shared" si="115"/>
        <v>0</v>
      </c>
      <c r="P1852" s="2" t="s">
        <v>23</v>
      </c>
      <c r="Q1852" s="2" t="s">
        <v>23</v>
      </c>
      <c r="R1852" s="2" t="s">
        <v>23</v>
      </c>
      <c r="S1852" s="2" t="s">
        <v>23</v>
      </c>
      <c r="T1852" s="2" t="s">
        <v>23</v>
      </c>
      <c r="U1852" s="25">
        <f t="shared" si="113"/>
        <v>14433.001851999999</v>
      </c>
    </row>
    <row r="1853" spans="1:21">
      <c r="A1853" s="2" t="s">
        <v>2716</v>
      </c>
      <c r="B1853" s="2" t="s">
        <v>1794</v>
      </c>
      <c r="C1853" s="2" t="s">
        <v>19</v>
      </c>
      <c r="D1853" s="2">
        <v>54</v>
      </c>
      <c r="E1853" s="2" t="str">
        <f t="shared" si="114"/>
        <v>46-60</v>
      </c>
      <c r="F1853" s="2" t="s">
        <v>110</v>
      </c>
      <c r="G1853" s="2" t="s">
        <v>47</v>
      </c>
      <c r="H1853" s="2">
        <v>13</v>
      </c>
      <c r="I1853" s="2" t="str">
        <f t="shared" si="112"/>
        <v>13-24 months</v>
      </c>
      <c r="J1853" s="3">
        <v>899</v>
      </c>
      <c r="K1853" s="3">
        <v>11687</v>
      </c>
      <c r="L1853" s="2" t="s">
        <v>22</v>
      </c>
      <c r="M1853" s="4">
        <v>45535</v>
      </c>
      <c r="N1853" s="2" t="s">
        <v>23</v>
      </c>
      <c r="O1853" s="2">
        <f t="shared" si="115"/>
        <v>0</v>
      </c>
      <c r="P1853" s="2" t="s">
        <v>23</v>
      </c>
      <c r="Q1853" s="2" t="s">
        <v>23</v>
      </c>
      <c r="R1853" s="2" t="s">
        <v>23</v>
      </c>
      <c r="S1853" s="2" t="s">
        <v>23</v>
      </c>
      <c r="T1853" s="2" t="s">
        <v>23</v>
      </c>
      <c r="U1853" s="25">
        <f t="shared" si="113"/>
        <v>11687.001853</v>
      </c>
    </row>
    <row r="1854" spans="1:21">
      <c r="A1854" s="2" t="s">
        <v>2717</v>
      </c>
      <c r="B1854" s="2" t="s">
        <v>2718</v>
      </c>
      <c r="C1854" s="2" t="s">
        <v>35</v>
      </c>
      <c r="D1854" s="2">
        <v>33</v>
      </c>
      <c r="E1854" s="2" t="str">
        <f t="shared" si="114"/>
        <v>26-35</v>
      </c>
      <c r="F1854" s="2" t="s">
        <v>141</v>
      </c>
      <c r="G1854" s="2" t="s">
        <v>21</v>
      </c>
      <c r="H1854" s="2">
        <v>14</v>
      </c>
      <c r="I1854" s="2" t="str">
        <f t="shared" si="112"/>
        <v>13-24 months</v>
      </c>
      <c r="J1854" s="3">
        <v>1199</v>
      </c>
      <c r="K1854" s="3">
        <v>16786</v>
      </c>
      <c r="L1854" s="2" t="s">
        <v>22</v>
      </c>
      <c r="M1854" s="4">
        <v>45479</v>
      </c>
      <c r="N1854" s="2" t="s">
        <v>32</v>
      </c>
      <c r="O1854" s="2">
        <f t="shared" si="115"/>
        <v>1</v>
      </c>
      <c r="P1854" s="2" t="s">
        <v>23</v>
      </c>
      <c r="Q1854" s="2" t="s">
        <v>23</v>
      </c>
      <c r="R1854" s="2" t="s">
        <v>23</v>
      </c>
      <c r="S1854" s="2" t="s">
        <v>23</v>
      </c>
      <c r="T1854" s="2" t="s">
        <v>23</v>
      </c>
      <c r="U1854" s="25">
        <f t="shared" si="113"/>
        <v>16786.001853999998</v>
      </c>
    </row>
    <row r="1855" spans="1:21">
      <c r="A1855" s="2" t="s">
        <v>2719</v>
      </c>
      <c r="B1855" s="2" t="s">
        <v>2720</v>
      </c>
      <c r="C1855" s="2" t="s">
        <v>19</v>
      </c>
      <c r="D1855" s="2">
        <v>73</v>
      </c>
      <c r="E1855" s="2" t="str">
        <f t="shared" si="114"/>
        <v>60+</v>
      </c>
      <c r="F1855" s="2" t="s">
        <v>57</v>
      </c>
      <c r="G1855" s="2" t="s">
        <v>21</v>
      </c>
      <c r="H1855" s="2">
        <v>21</v>
      </c>
      <c r="I1855" s="2" t="str">
        <f t="shared" si="112"/>
        <v>13-24 months</v>
      </c>
      <c r="J1855" s="3">
        <v>1149</v>
      </c>
      <c r="K1855" s="3">
        <v>24129</v>
      </c>
      <c r="L1855" s="2" t="s">
        <v>22</v>
      </c>
      <c r="M1855" s="4">
        <v>45280</v>
      </c>
      <c r="N1855" s="2" t="s">
        <v>32</v>
      </c>
      <c r="O1855" s="2">
        <f t="shared" si="115"/>
        <v>1</v>
      </c>
      <c r="P1855" s="2" t="s">
        <v>23</v>
      </c>
      <c r="Q1855" s="2" t="s">
        <v>23</v>
      </c>
      <c r="R1855" s="2" t="s">
        <v>23</v>
      </c>
      <c r="S1855" s="2" t="s">
        <v>23</v>
      </c>
      <c r="T1855" s="2" t="s">
        <v>23</v>
      </c>
      <c r="U1855" s="25">
        <f t="shared" si="113"/>
        <v>24129.001854999999</v>
      </c>
    </row>
    <row r="1856" spans="1:21">
      <c r="A1856" s="2" t="s">
        <v>2721</v>
      </c>
      <c r="B1856" s="2" t="s">
        <v>821</v>
      </c>
      <c r="C1856" s="2" t="s">
        <v>35</v>
      </c>
      <c r="D1856" s="2">
        <v>56</v>
      </c>
      <c r="E1856" s="2" t="str">
        <f t="shared" si="114"/>
        <v>46-60</v>
      </c>
      <c r="F1856" s="2" t="s">
        <v>30</v>
      </c>
      <c r="G1856" s="2" t="s">
        <v>27</v>
      </c>
      <c r="H1856" s="2">
        <v>8</v>
      </c>
      <c r="I1856" s="2" t="str">
        <f t="shared" si="112"/>
        <v>7-12 months</v>
      </c>
      <c r="J1856" s="3">
        <v>399</v>
      </c>
      <c r="K1856" s="3">
        <v>3192</v>
      </c>
      <c r="L1856" s="2" t="s">
        <v>66</v>
      </c>
      <c r="M1856" s="4">
        <v>45660</v>
      </c>
      <c r="N1856" s="2" t="s">
        <v>23</v>
      </c>
      <c r="O1856" s="2">
        <f t="shared" si="115"/>
        <v>0</v>
      </c>
      <c r="P1856" s="2" t="s">
        <v>23</v>
      </c>
      <c r="Q1856" s="2" t="s">
        <v>32</v>
      </c>
      <c r="R1856" s="2" t="s">
        <v>23</v>
      </c>
      <c r="S1856" s="2" t="s">
        <v>23</v>
      </c>
      <c r="T1856" s="2" t="s">
        <v>23</v>
      </c>
      <c r="U1856" s="25">
        <f t="shared" si="113"/>
        <v>3192.0018559999999</v>
      </c>
    </row>
    <row r="1857" spans="1:21">
      <c r="A1857" s="2" t="s">
        <v>2722</v>
      </c>
      <c r="B1857" s="2" t="s">
        <v>2106</v>
      </c>
      <c r="C1857" s="2" t="s">
        <v>35</v>
      </c>
      <c r="D1857" s="2">
        <v>34</v>
      </c>
      <c r="E1857" s="2" t="str">
        <f t="shared" si="114"/>
        <v>26-35</v>
      </c>
      <c r="F1857" s="2" t="s">
        <v>20</v>
      </c>
      <c r="G1857" s="2" t="s">
        <v>21</v>
      </c>
      <c r="H1857" s="2">
        <v>6</v>
      </c>
      <c r="I1857" s="2" t="str">
        <f t="shared" si="112"/>
        <v>0-6 months</v>
      </c>
      <c r="J1857" s="3">
        <v>1049</v>
      </c>
      <c r="K1857" s="3">
        <v>6294</v>
      </c>
      <c r="L1857" s="2" t="s">
        <v>22</v>
      </c>
      <c r="M1857" s="4">
        <v>45745</v>
      </c>
      <c r="N1857" s="2" t="s">
        <v>32</v>
      </c>
      <c r="O1857" s="2">
        <f t="shared" si="115"/>
        <v>1</v>
      </c>
      <c r="P1857" s="2" t="s">
        <v>23</v>
      </c>
      <c r="Q1857" s="2" t="s">
        <v>23</v>
      </c>
      <c r="R1857" s="2" t="s">
        <v>23</v>
      </c>
      <c r="S1857" s="2" t="s">
        <v>23</v>
      </c>
      <c r="T1857" s="2" t="s">
        <v>23</v>
      </c>
      <c r="U1857" s="25">
        <f t="shared" si="113"/>
        <v>6294.0018570000002</v>
      </c>
    </row>
    <row r="1858" spans="1:21">
      <c r="A1858" s="2" t="s">
        <v>2723</v>
      </c>
      <c r="B1858" s="2" t="s">
        <v>2172</v>
      </c>
      <c r="C1858" s="2" t="s">
        <v>35</v>
      </c>
      <c r="D1858" s="2">
        <v>47</v>
      </c>
      <c r="E1858" s="2" t="str">
        <f t="shared" si="114"/>
        <v>46-60</v>
      </c>
      <c r="F1858" s="2" t="s">
        <v>30</v>
      </c>
      <c r="G1858" s="2" t="s">
        <v>27</v>
      </c>
      <c r="H1858" s="2">
        <v>25</v>
      </c>
      <c r="I1858" s="2" t="str">
        <f t="shared" ref="I1858:I1921" si="116">IF(H1858="","Unknown",IF(H1858&lt;=6,"0-6 months",IF(H1858&lt;=12,"7-12 months",IF(H1858&lt;=24,"13-24 months",IF(H1858&lt;=48,"25-48 months","49+ months")))))</f>
        <v>25-48 months</v>
      </c>
      <c r="J1858" s="3">
        <v>899</v>
      </c>
      <c r="K1858" s="3">
        <v>22475</v>
      </c>
      <c r="L1858" s="2" t="s">
        <v>31</v>
      </c>
      <c r="M1858" s="4">
        <v>45178</v>
      </c>
      <c r="N1858" s="2" t="s">
        <v>23</v>
      </c>
      <c r="O1858" s="2">
        <f t="shared" si="115"/>
        <v>0</v>
      </c>
      <c r="P1858" s="2" t="s">
        <v>32</v>
      </c>
      <c r="Q1858" s="2" t="s">
        <v>23</v>
      </c>
      <c r="R1858" s="2" t="s">
        <v>23</v>
      </c>
      <c r="S1858" s="2" t="s">
        <v>23</v>
      </c>
      <c r="T1858" s="2" t="s">
        <v>23</v>
      </c>
      <c r="U1858" s="25">
        <f t="shared" ref="U1858:U1921" si="117">IF(K1858="","",K1858+ROW()/1000000)</f>
        <v>22475.001858</v>
      </c>
    </row>
    <row r="1859" spans="1:21">
      <c r="A1859" s="2" t="s">
        <v>2724</v>
      </c>
      <c r="B1859" s="2" t="s">
        <v>728</v>
      </c>
      <c r="C1859" s="2" t="s">
        <v>19</v>
      </c>
      <c r="D1859" s="2">
        <v>36</v>
      </c>
      <c r="E1859" s="2" t="str">
        <f t="shared" ref="E1859:E1922" si="118">IF(D1859&lt;=25,"18-25",IF(D1859&lt;=35,"26-35",IF(D1859&lt;=45,"36-45",IF(D1859&lt;=60,"46-60","60+"))))</f>
        <v>36-45</v>
      </c>
      <c r="F1859" s="2" t="s">
        <v>46</v>
      </c>
      <c r="G1859" s="2" t="s">
        <v>21</v>
      </c>
      <c r="H1859" s="2">
        <v>1</v>
      </c>
      <c r="I1859" s="2" t="str">
        <f t="shared" si="116"/>
        <v>0-6 months</v>
      </c>
      <c r="J1859" s="3">
        <v>549</v>
      </c>
      <c r="K1859" s="3">
        <v>549</v>
      </c>
      <c r="L1859" s="2" t="s">
        <v>66</v>
      </c>
      <c r="M1859" s="4">
        <v>45879</v>
      </c>
      <c r="N1859" s="2" t="s">
        <v>32</v>
      </c>
      <c r="O1859" s="2">
        <f t="shared" ref="O1859:O1922" si="119">IF(N1859="Yes",1,IF(N1859="No",0,""))</f>
        <v>1</v>
      </c>
      <c r="P1859" s="2" t="s">
        <v>23</v>
      </c>
      <c r="Q1859" s="2" t="s">
        <v>23</v>
      </c>
      <c r="R1859" s="2" t="s">
        <v>23</v>
      </c>
      <c r="S1859" s="2" t="s">
        <v>23</v>
      </c>
      <c r="T1859" s="2" t="s">
        <v>23</v>
      </c>
      <c r="U1859" s="25">
        <f t="shared" si="117"/>
        <v>549.00185899999997</v>
      </c>
    </row>
    <row r="1860" spans="1:21">
      <c r="A1860" s="2" t="s">
        <v>2725</v>
      </c>
      <c r="B1860" s="2" t="s">
        <v>2726</v>
      </c>
      <c r="C1860" s="2" t="s">
        <v>35</v>
      </c>
      <c r="D1860" s="2">
        <v>47</v>
      </c>
      <c r="E1860" s="2" t="str">
        <f t="shared" si="118"/>
        <v>46-60</v>
      </c>
      <c r="F1860" s="2" t="s">
        <v>36</v>
      </c>
      <c r="G1860" s="2" t="s">
        <v>47</v>
      </c>
      <c r="H1860" s="2">
        <v>48</v>
      </c>
      <c r="I1860" s="2" t="str">
        <f t="shared" si="116"/>
        <v>25-48 months</v>
      </c>
      <c r="J1860" s="3">
        <v>799</v>
      </c>
      <c r="K1860" s="3">
        <v>38352</v>
      </c>
      <c r="L1860" s="2" t="s">
        <v>31</v>
      </c>
      <c r="M1860" s="4">
        <v>44467</v>
      </c>
      <c r="N1860" s="2" t="s">
        <v>23</v>
      </c>
      <c r="O1860" s="2">
        <f t="shared" si="119"/>
        <v>0</v>
      </c>
      <c r="P1860" s="2" t="s">
        <v>23</v>
      </c>
      <c r="Q1860" s="2" t="s">
        <v>23</v>
      </c>
      <c r="R1860" s="2" t="s">
        <v>23</v>
      </c>
      <c r="S1860" s="2" t="s">
        <v>23</v>
      </c>
      <c r="T1860" s="2" t="s">
        <v>23</v>
      </c>
      <c r="U1860" s="25">
        <f t="shared" si="117"/>
        <v>38352.001859999997</v>
      </c>
    </row>
    <row r="1861" spans="1:21">
      <c r="A1861" s="2" t="s">
        <v>2727</v>
      </c>
      <c r="B1861" s="2" t="s">
        <v>798</v>
      </c>
      <c r="C1861" s="2" t="s">
        <v>35</v>
      </c>
      <c r="D1861" s="2">
        <v>67</v>
      </c>
      <c r="E1861" s="2" t="str">
        <f t="shared" si="118"/>
        <v>60+</v>
      </c>
      <c r="F1861" s="2" t="s">
        <v>57</v>
      </c>
      <c r="G1861" s="2" t="s">
        <v>21</v>
      </c>
      <c r="H1861" s="2">
        <v>15</v>
      </c>
      <c r="I1861" s="2" t="str">
        <f t="shared" si="116"/>
        <v>13-24 months</v>
      </c>
      <c r="J1861" s="3">
        <v>1049</v>
      </c>
      <c r="K1861" s="3">
        <v>15735</v>
      </c>
      <c r="L1861" s="2" t="s">
        <v>22</v>
      </c>
      <c r="M1861" s="4">
        <v>45473</v>
      </c>
      <c r="N1861" s="2" t="s">
        <v>23</v>
      </c>
      <c r="O1861" s="2">
        <f t="shared" si="119"/>
        <v>0</v>
      </c>
      <c r="P1861" s="2" t="s">
        <v>23</v>
      </c>
      <c r="Q1861" s="2" t="s">
        <v>23</v>
      </c>
      <c r="R1861" s="2" t="s">
        <v>23</v>
      </c>
      <c r="S1861" s="2" t="s">
        <v>23</v>
      </c>
      <c r="T1861" s="2" t="s">
        <v>23</v>
      </c>
      <c r="U1861" s="25">
        <f t="shared" si="117"/>
        <v>15735.001861000001</v>
      </c>
    </row>
    <row r="1862" spans="1:21">
      <c r="A1862" s="2" t="s">
        <v>2728</v>
      </c>
      <c r="B1862" s="2" t="s">
        <v>1588</v>
      </c>
      <c r="C1862" s="2" t="s">
        <v>35</v>
      </c>
      <c r="D1862" s="2">
        <v>60</v>
      </c>
      <c r="E1862" s="2" t="str">
        <f t="shared" si="118"/>
        <v>46-60</v>
      </c>
      <c r="F1862" s="2" t="s">
        <v>20</v>
      </c>
      <c r="G1862" s="2" t="s">
        <v>21</v>
      </c>
      <c r="H1862" s="2">
        <v>24</v>
      </c>
      <c r="I1862" s="2" t="str">
        <f t="shared" si="116"/>
        <v>13-24 months</v>
      </c>
      <c r="J1862" s="3">
        <v>399</v>
      </c>
      <c r="K1862" s="3">
        <v>9576</v>
      </c>
      <c r="L1862" s="2" t="s">
        <v>66</v>
      </c>
      <c r="M1862" s="4">
        <v>45194</v>
      </c>
      <c r="N1862" s="2" t="s">
        <v>32</v>
      </c>
      <c r="O1862" s="2">
        <f t="shared" si="119"/>
        <v>1</v>
      </c>
      <c r="P1862" s="2" t="s">
        <v>23</v>
      </c>
      <c r="Q1862" s="2" t="s">
        <v>23</v>
      </c>
      <c r="R1862" s="2" t="s">
        <v>23</v>
      </c>
      <c r="S1862" s="2" t="s">
        <v>23</v>
      </c>
      <c r="T1862" s="2" t="s">
        <v>23</v>
      </c>
      <c r="U1862" s="25">
        <f t="shared" si="117"/>
        <v>9576.0018619999992</v>
      </c>
    </row>
    <row r="1863" spans="1:21">
      <c r="A1863" s="2" t="s">
        <v>2729</v>
      </c>
      <c r="B1863" s="2" t="s">
        <v>2479</v>
      </c>
      <c r="C1863" s="2" t="s">
        <v>35</v>
      </c>
      <c r="D1863" s="2">
        <v>68</v>
      </c>
      <c r="E1863" s="2" t="str">
        <f t="shared" si="118"/>
        <v>60+</v>
      </c>
      <c r="F1863" s="2" t="s">
        <v>63</v>
      </c>
      <c r="G1863" s="2" t="s">
        <v>21</v>
      </c>
      <c r="H1863" s="2">
        <v>5</v>
      </c>
      <c r="I1863" s="2" t="str">
        <f t="shared" si="116"/>
        <v>0-6 months</v>
      </c>
      <c r="J1863" s="3">
        <v>1099</v>
      </c>
      <c r="K1863" s="3">
        <v>5495</v>
      </c>
      <c r="L1863" s="2" t="s">
        <v>22</v>
      </c>
      <c r="M1863" s="4">
        <v>45767</v>
      </c>
      <c r="N1863" s="2" t="s">
        <v>23</v>
      </c>
      <c r="O1863" s="2">
        <f t="shared" si="119"/>
        <v>0</v>
      </c>
      <c r="P1863" s="2" t="s">
        <v>23</v>
      </c>
      <c r="Q1863" s="2" t="s">
        <v>23</v>
      </c>
      <c r="R1863" s="2" t="s">
        <v>23</v>
      </c>
      <c r="S1863" s="2" t="s">
        <v>23</v>
      </c>
      <c r="T1863" s="2" t="s">
        <v>23</v>
      </c>
      <c r="U1863" s="25">
        <f t="shared" si="117"/>
        <v>5495.0018630000004</v>
      </c>
    </row>
    <row r="1864" spans="1:21">
      <c r="A1864" s="2" t="s">
        <v>2730</v>
      </c>
      <c r="B1864" s="2" t="s">
        <v>1018</v>
      </c>
      <c r="C1864" s="2" t="s">
        <v>19</v>
      </c>
      <c r="D1864" s="2">
        <v>26</v>
      </c>
      <c r="E1864" s="2" t="str">
        <f t="shared" si="118"/>
        <v>26-35</v>
      </c>
      <c r="F1864" s="2" t="s">
        <v>36</v>
      </c>
      <c r="G1864" s="2" t="s">
        <v>27</v>
      </c>
      <c r="H1864" s="2">
        <v>11</v>
      </c>
      <c r="I1864" s="2" t="str">
        <f t="shared" si="116"/>
        <v>7-12 months</v>
      </c>
      <c r="J1864" s="3">
        <v>1149</v>
      </c>
      <c r="K1864" s="3">
        <v>12639</v>
      </c>
      <c r="L1864" s="2" t="s">
        <v>22</v>
      </c>
      <c r="M1864" s="4"/>
      <c r="N1864" s="2" t="s">
        <v>32</v>
      </c>
      <c r="O1864" s="2">
        <f t="shared" si="119"/>
        <v>1</v>
      </c>
      <c r="P1864" s="2" t="s">
        <v>23</v>
      </c>
      <c r="Q1864" s="2" t="s">
        <v>23</v>
      </c>
      <c r="R1864" s="2" t="s">
        <v>23</v>
      </c>
      <c r="S1864" s="2" t="s">
        <v>23</v>
      </c>
      <c r="T1864" s="2" t="s">
        <v>54</v>
      </c>
      <c r="U1864" s="25">
        <f t="shared" si="117"/>
        <v>12639.001864</v>
      </c>
    </row>
    <row r="1865" spans="1:21">
      <c r="A1865" s="2" t="s">
        <v>2731</v>
      </c>
      <c r="B1865" s="2" t="s">
        <v>2732</v>
      </c>
      <c r="C1865" s="2" t="s">
        <v>35</v>
      </c>
      <c r="D1865" s="2">
        <v>27</v>
      </c>
      <c r="E1865" s="2" t="str">
        <f t="shared" si="118"/>
        <v>26-35</v>
      </c>
      <c r="F1865" s="2" t="s">
        <v>91</v>
      </c>
      <c r="G1865" s="2" t="s">
        <v>21</v>
      </c>
      <c r="H1865" s="2">
        <v>23</v>
      </c>
      <c r="I1865" s="2" t="str">
        <f t="shared" si="116"/>
        <v>13-24 months</v>
      </c>
      <c r="J1865" s="3">
        <v>1099</v>
      </c>
      <c r="K1865" s="3">
        <v>25277</v>
      </c>
      <c r="L1865" s="2" t="s">
        <v>22</v>
      </c>
      <c r="M1865" s="4">
        <v>45224</v>
      </c>
      <c r="N1865" s="2" t="s">
        <v>32</v>
      </c>
      <c r="O1865" s="2">
        <f t="shared" si="119"/>
        <v>1</v>
      </c>
      <c r="P1865" s="2" t="s">
        <v>23</v>
      </c>
      <c r="Q1865" s="2" t="s">
        <v>23</v>
      </c>
      <c r="R1865" s="2" t="s">
        <v>23</v>
      </c>
      <c r="S1865" s="2" t="s">
        <v>32</v>
      </c>
      <c r="T1865" s="2" t="s">
        <v>23</v>
      </c>
      <c r="U1865" s="25">
        <f t="shared" si="117"/>
        <v>25277.001864999998</v>
      </c>
    </row>
    <row r="1866" spans="1:21">
      <c r="A1866" s="2" t="s">
        <v>2733</v>
      </c>
      <c r="B1866" s="2" t="s">
        <v>1935</v>
      </c>
      <c r="C1866" s="2" t="s">
        <v>19</v>
      </c>
      <c r="D1866" s="2">
        <v>70</v>
      </c>
      <c r="E1866" s="2" t="str">
        <f t="shared" si="118"/>
        <v>60+</v>
      </c>
      <c r="F1866" s="2" t="s">
        <v>91</v>
      </c>
      <c r="G1866" s="2" t="s">
        <v>27</v>
      </c>
      <c r="H1866" s="2">
        <v>12</v>
      </c>
      <c r="I1866" s="2" t="str">
        <f t="shared" si="116"/>
        <v>7-12 months</v>
      </c>
      <c r="J1866" s="3">
        <v>1099</v>
      </c>
      <c r="K1866" s="3">
        <v>13188</v>
      </c>
      <c r="L1866" s="2" t="s">
        <v>22</v>
      </c>
      <c r="M1866" s="4">
        <v>45547</v>
      </c>
      <c r="N1866" s="2" t="s">
        <v>32</v>
      </c>
      <c r="O1866" s="2">
        <f t="shared" si="119"/>
        <v>1</v>
      </c>
      <c r="P1866" s="2" t="s">
        <v>23</v>
      </c>
      <c r="Q1866" s="2" t="s">
        <v>23</v>
      </c>
      <c r="R1866" s="2" t="s">
        <v>23</v>
      </c>
      <c r="S1866" s="2" t="s">
        <v>23</v>
      </c>
      <c r="T1866" s="2" t="s">
        <v>23</v>
      </c>
      <c r="U1866" s="25">
        <f t="shared" si="117"/>
        <v>13188.001866000001</v>
      </c>
    </row>
    <row r="1867" spans="1:21">
      <c r="A1867" s="2" t="s">
        <v>2734</v>
      </c>
      <c r="B1867" s="2" t="s">
        <v>2735</v>
      </c>
      <c r="C1867" s="2" t="s">
        <v>35</v>
      </c>
      <c r="D1867" s="2">
        <v>19</v>
      </c>
      <c r="E1867" s="2" t="str">
        <f t="shared" si="118"/>
        <v>18-25</v>
      </c>
      <c r="F1867" s="2" t="s">
        <v>71</v>
      </c>
      <c r="G1867" s="2" t="s">
        <v>27</v>
      </c>
      <c r="H1867" s="2">
        <v>13</v>
      </c>
      <c r="I1867" s="2" t="str">
        <f t="shared" si="116"/>
        <v>13-24 months</v>
      </c>
      <c r="J1867" s="3">
        <v>649</v>
      </c>
      <c r="K1867" s="3">
        <v>8437</v>
      </c>
      <c r="L1867" s="2" t="s">
        <v>31</v>
      </c>
      <c r="M1867" s="4">
        <v>45521</v>
      </c>
      <c r="N1867" s="2" t="s">
        <v>23</v>
      </c>
      <c r="O1867" s="2">
        <f t="shared" si="119"/>
        <v>0</v>
      </c>
      <c r="P1867" s="2" t="s">
        <v>23</v>
      </c>
      <c r="Q1867" s="2" t="s">
        <v>23</v>
      </c>
      <c r="R1867" s="2" t="s">
        <v>23</v>
      </c>
      <c r="S1867" s="2" t="s">
        <v>23</v>
      </c>
      <c r="T1867" s="2" t="s">
        <v>23</v>
      </c>
      <c r="U1867" s="25">
        <f t="shared" si="117"/>
        <v>8437.0018670000009</v>
      </c>
    </row>
    <row r="1868" spans="1:21">
      <c r="A1868" s="2" t="s">
        <v>2736</v>
      </c>
      <c r="B1868" s="2" t="s">
        <v>2526</v>
      </c>
      <c r="C1868" s="2" t="s">
        <v>19</v>
      </c>
      <c r="D1868" s="2">
        <v>54</v>
      </c>
      <c r="E1868" s="2" t="str">
        <f t="shared" si="118"/>
        <v>46-60</v>
      </c>
      <c r="F1868" s="2" t="s">
        <v>26</v>
      </c>
      <c r="G1868" s="2" t="s">
        <v>47</v>
      </c>
      <c r="H1868" s="2">
        <v>21</v>
      </c>
      <c r="I1868" s="2" t="str">
        <f t="shared" si="116"/>
        <v>13-24 months</v>
      </c>
      <c r="J1868" s="3">
        <v>599</v>
      </c>
      <c r="K1868" s="3">
        <v>12579</v>
      </c>
      <c r="L1868" s="2" t="s">
        <v>31</v>
      </c>
      <c r="M1868" s="4">
        <v>45294</v>
      </c>
      <c r="N1868" s="2" t="s">
        <v>23</v>
      </c>
      <c r="O1868" s="2">
        <f t="shared" si="119"/>
        <v>0</v>
      </c>
      <c r="P1868" s="2" t="s">
        <v>23</v>
      </c>
      <c r="Q1868" s="2" t="s">
        <v>23</v>
      </c>
      <c r="R1868" s="2" t="s">
        <v>23</v>
      </c>
      <c r="S1868" s="2" t="s">
        <v>23</v>
      </c>
      <c r="T1868" s="2" t="s">
        <v>23</v>
      </c>
      <c r="U1868" s="25">
        <f t="shared" si="117"/>
        <v>12579.001867999999</v>
      </c>
    </row>
    <row r="1869" spans="1:21">
      <c r="A1869" s="2" t="s">
        <v>2737</v>
      </c>
      <c r="B1869" s="2" t="s">
        <v>2738</v>
      </c>
      <c r="C1869" s="2" t="s">
        <v>19</v>
      </c>
      <c r="D1869" s="2">
        <v>41</v>
      </c>
      <c r="E1869" s="2" t="str">
        <f t="shared" si="118"/>
        <v>36-45</v>
      </c>
      <c r="F1869" s="2" t="s">
        <v>141</v>
      </c>
      <c r="G1869" s="2" t="s">
        <v>21</v>
      </c>
      <c r="H1869" s="2">
        <v>4</v>
      </c>
      <c r="I1869" s="2" t="str">
        <f t="shared" si="116"/>
        <v>0-6 months</v>
      </c>
      <c r="J1869" s="3">
        <v>1049</v>
      </c>
      <c r="K1869" s="3">
        <v>4196</v>
      </c>
      <c r="L1869" s="2" t="s">
        <v>22</v>
      </c>
      <c r="M1869" s="4">
        <v>45795</v>
      </c>
      <c r="N1869" s="2" t="s">
        <v>32</v>
      </c>
      <c r="O1869" s="2">
        <f t="shared" si="119"/>
        <v>1</v>
      </c>
      <c r="P1869" s="2" t="s">
        <v>23</v>
      </c>
      <c r="Q1869" s="2" t="s">
        <v>23</v>
      </c>
      <c r="R1869" s="2" t="s">
        <v>23</v>
      </c>
      <c r="S1869" s="2" t="s">
        <v>23</v>
      </c>
      <c r="T1869" s="2" t="s">
        <v>23</v>
      </c>
      <c r="U1869" s="25">
        <f t="shared" si="117"/>
        <v>4196.0018689999997</v>
      </c>
    </row>
    <row r="1870" spans="1:21">
      <c r="A1870" s="2" t="s">
        <v>2739</v>
      </c>
      <c r="B1870" s="2" t="s">
        <v>466</v>
      </c>
      <c r="C1870" s="2" t="s">
        <v>35</v>
      </c>
      <c r="D1870" s="2">
        <v>43</v>
      </c>
      <c r="E1870" s="2" t="str">
        <f t="shared" si="118"/>
        <v>36-45</v>
      </c>
      <c r="F1870" s="2" t="s">
        <v>46</v>
      </c>
      <c r="G1870" s="2" t="s">
        <v>47</v>
      </c>
      <c r="H1870" s="2">
        <v>15</v>
      </c>
      <c r="I1870" s="2" t="str">
        <f t="shared" si="116"/>
        <v>13-24 months</v>
      </c>
      <c r="J1870" s="3">
        <v>799</v>
      </c>
      <c r="K1870" s="3">
        <v>11985</v>
      </c>
      <c r="L1870" s="2" t="s">
        <v>31</v>
      </c>
      <c r="M1870" s="4">
        <v>45477</v>
      </c>
      <c r="N1870" s="2" t="s">
        <v>23</v>
      </c>
      <c r="O1870" s="2">
        <f t="shared" si="119"/>
        <v>0</v>
      </c>
      <c r="P1870" s="2" t="s">
        <v>23</v>
      </c>
      <c r="Q1870" s="2" t="s">
        <v>23</v>
      </c>
      <c r="R1870" s="2" t="s">
        <v>32</v>
      </c>
      <c r="S1870" s="2" t="s">
        <v>23</v>
      </c>
      <c r="T1870" s="2" t="s">
        <v>23</v>
      </c>
      <c r="U1870" s="25">
        <f t="shared" si="117"/>
        <v>11985.00187</v>
      </c>
    </row>
    <row r="1871" spans="1:21">
      <c r="A1871" s="2" t="s">
        <v>2740</v>
      </c>
      <c r="B1871" s="2" t="s">
        <v>934</v>
      </c>
      <c r="C1871" s="2" t="s">
        <v>35</v>
      </c>
      <c r="D1871" s="2">
        <v>66</v>
      </c>
      <c r="E1871" s="2" t="str">
        <f t="shared" si="118"/>
        <v>60+</v>
      </c>
      <c r="F1871" s="2" t="s">
        <v>63</v>
      </c>
      <c r="G1871" s="2" t="s">
        <v>47</v>
      </c>
      <c r="H1871" s="2">
        <v>6</v>
      </c>
      <c r="I1871" s="2" t="str">
        <f t="shared" si="116"/>
        <v>0-6 months</v>
      </c>
      <c r="J1871" s="3">
        <v>1099</v>
      </c>
      <c r="K1871" s="3">
        <v>6594</v>
      </c>
      <c r="L1871" s="2" t="s">
        <v>22</v>
      </c>
      <c r="M1871" s="4">
        <v>45732</v>
      </c>
      <c r="N1871" s="2" t="s">
        <v>23</v>
      </c>
      <c r="O1871" s="2">
        <f t="shared" si="119"/>
        <v>0</v>
      </c>
      <c r="P1871" s="2" t="s">
        <v>23</v>
      </c>
      <c r="Q1871" s="2" t="s">
        <v>23</v>
      </c>
      <c r="R1871" s="2" t="s">
        <v>23</v>
      </c>
      <c r="S1871" s="2" t="s">
        <v>23</v>
      </c>
      <c r="T1871" s="2" t="s">
        <v>23</v>
      </c>
      <c r="U1871" s="25">
        <f t="shared" si="117"/>
        <v>6594.0018710000004</v>
      </c>
    </row>
    <row r="1872" spans="1:21">
      <c r="A1872" s="2" t="s">
        <v>2741</v>
      </c>
      <c r="B1872" s="2" t="s">
        <v>37</v>
      </c>
      <c r="C1872" s="2" t="s">
        <v>35</v>
      </c>
      <c r="D1872" s="2">
        <v>51</v>
      </c>
      <c r="E1872" s="2" t="str">
        <f t="shared" si="118"/>
        <v>46-60</v>
      </c>
      <c r="F1872" s="2" t="s">
        <v>60</v>
      </c>
      <c r="G1872" s="2" t="s">
        <v>21</v>
      </c>
      <c r="H1872" s="2">
        <v>11</v>
      </c>
      <c r="I1872" s="2" t="str">
        <f t="shared" si="116"/>
        <v>7-12 months</v>
      </c>
      <c r="J1872" s="3">
        <v>899</v>
      </c>
      <c r="K1872" s="3">
        <v>9889</v>
      </c>
      <c r="L1872" s="2" t="s">
        <v>31</v>
      </c>
      <c r="M1872" s="4">
        <v>45589</v>
      </c>
      <c r="N1872" s="2" t="s">
        <v>23</v>
      </c>
      <c r="O1872" s="2">
        <f t="shared" si="119"/>
        <v>0</v>
      </c>
      <c r="P1872" s="2" t="s">
        <v>23</v>
      </c>
      <c r="Q1872" s="2" t="s">
        <v>23</v>
      </c>
      <c r="R1872" s="2" t="s">
        <v>23</v>
      </c>
      <c r="S1872" s="2" t="s">
        <v>23</v>
      </c>
      <c r="T1872" s="2" t="s">
        <v>23</v>
      </c>
      <c r="U1872" s="25">
        <f t="shared" si="117"/>
        <v>9889.0018720000007</v>
      </c>
    </row>
    <row r="1873" spans="1:21">
      <c r="A1873" s="2" t="s">
        <v>2742</v>
      </c>
      <c r="B1873" s="2" t="s">
        <v>2743</v>
      </c>
      <c r="C1873" s="2" t="s">
        <v>35</v>
      </c>
      <c r="D1873" s="2">
        <v>25</v>
      </c>
      <c r="E1873" s="2" t="str">
        <f t="shared" si="118"/>
        <v>18-25</v>
      </c>
      <c r="F1873" s="2" t="s">
        <v>91</v>
      </c>
      <c r="G1873" s="2" t="s">
        <v>21</v>
      </c>
      <c r="H1873" s="2">
        <v>10</v>
      </c>
      <c r="I1873" s="2" t="str">
        <f t="shared" si="116"/>
        <v>7-12 months</v>
      </c>
      <c r="J1873" s="3">
        <v>849</v>
      </c>
      <c r="K1873" s="3">
        <v>8490</v>
      </c>
      <c r="L1873" s="2" t="s">
        <v>31</v>
      </c>
      <c r="M1873" s="4">
        <v>45606</v>
      </c>
      <c r="N1873" s="2" t="s">
        <v>23</v>
      </c>
      <c r="O1873" s="2">
        <f t="shared" si="119"/>
        <v>0</v>
      </c>
      <c r="P1873" s="2" t="s">
        <v>23</v>
      </c>
      <c r="Q1873" s="2" t="s">
        <v>23</v>
      </c>
      <c r="R1873" s="2" t="s">
        <v>23</v>
      </c>
      <c r="S1873" s="2" t="s">
        <v>23</v>
      </c>
      <c r="T1873" s="2" t="s">
        <v>23</v>
      </c>
      <c r="U1873" s="25">
        <f t="shared" si="117"/>
        <v>8490.0018729999993</v>
      </c>
    </row>
    <row r="1874" spans="1:21">
      <c r="A1874" s="2" t="s">
        <v>2744</v>
      </c>
      <c r="B1874" s="2" t="s">
        <v>2745</v>
      </c>
      <c r="C1874" s="2" t="s">
        <v>35</v>
      </c>
      <c r="D1874" s="2">
        <v>22</v>
      </c>
      <c r="E1874" s="2" t="str">
        <f t="shared" si="118"/>
        <v>18-25</v>
      </c>
      <c r="F1874" s="2" t="s">
        <v>20</v>
      </c>
      <c r="G1874" s="2" t="s">
        <v>21</v>
      </c>
      <c r="H1874" s="2">
        <v>3</v>
      </c>
      <c r="I1874" s="2" t="str">
        <f t="shared" si="116"/>
        <v>0-6 months</v>
      </c>
      <c r="J1874" s="3">
        <v>599</v>
      </c>
      <c r="K1874" s="3">
        <v>1797</v>
      </c>
      <c r="L1874" s="2" t="s">
        <v>31</v>
      </c>
      <c r="M1874" s="4">
        <v>45821</v>
      </c>
      <c r="N1874" s="2" t="s">
        <v>23</v>
      </c>
      <c r="O1874" s="2">
        <f t="shared" si="119"/>
        <v>0</v>
      </c>
      <c r="P1874" s="2" t="s">
        <v>23</v>
      </c>
      <c r="Q1874" s="2" t="s">
        <v>23</v>
      </c>
      <c r="R1874" s="2" t="s">
        <v>23</v>
      </c>
      <c r="S1874" s="2" t="s">
        <v>23</v>
      </c>
      <c r="T1874" s="2" t="s">
        <v>23</v>
      </c>
      <c r="U1874" s="25">
        <f t="shared" si="117"/>
        <v>1797.001874</v>
      </c>
    </row>
    <row r="1875" spans="1:21">
      <c r="A1875" s="2" t="s">
        <v>2746</v>
      </c>
      <c r="B1875" s="2" t="s">
        <v>755</v>
      </c>
      <c r="C1875" s="2" t="s">
        <v>19</v>
      </c>
      <c r="D1875" s="2">
        <v>64</v>
      </c>
      <c r="E1875" s="2" t="str">
        <f t="shared" si="118"/>
        <v>60+</v>
      </c>
      <c r="F1875" s="2" t="s">
        <v>60</v>
      </c>
      <c r="G1875" s="2" t="s">
        <v>47</v>
      </c>
      <c r="H1875" s="2">
        <v>15</v>
      </c>
      <c r="I1875" s="2" t="str">
        <f t="shared" si="116"/>
        <v>13-24 months</v>
      </c>
      <c r="J1875" s="3">
        <v>549</v>
      </c>
      <c r="K1875" s="3">
        <v>8235</v>
      </c>
      <c r="L1875" s="2" t="s">
        <v>66</v>
      </c>
      <c r="M1875" s="4">
        <v>45452</v>
      </c>
      <c r="N1875" s="2" t="s">
        <v>23</v>
      </c>
      <c r="O1875" s="2">
        <f t="shared" si="119"/>
        <v>0</v>
      </c>
      <c r="P1875" s="2" t="s">
        <v>23</v>
      </c>
      <c r="Q1875" s="2" t="s">
        <v>23</v>
      </c>
      <c r="R1875" s="2" t="s">
        <v>23</v>
      </c>
      <c r="S1875" s="2" t="s">
        <v>23</v>
      </c>
      <c r="T1875" s="2" t="s">
        <v>23</v>
      </c>
      <c r="U1875" s="25">
        <f t="shared" si="117"/>
        <v>8235.0018749999999</v>
      </c>
    </row>
    <row r="1876" spans="1:21">
      <c r="A1876" s="2" t="s">
        <v>2747</v>
      </c>
      <c r="B1876" s="2" t="s">
        <v>436</v>
      </c>
      <c r="C1876" s="2" t="s">
        <v>35</v>
      </c>
      <c r="D1876" s="2">
        <v>56</v>
      </c>
      <c r="E1876" s="2" t="str">
        <f t="shared" si="118"/>
        <v>46-60</v>
      </c>
      <c r="F1876" s="2" t="s">
        <v>91</v>
      </c>
      <c r="G1876" s="2" t="s">
        <v>21</v>
      </c>
      <c r="H1876" s="2">
        <v>4</v>
      </c>
      <c r="I1876" s="2" t="str">
        <f t="shared" si="116"/>
        <v>0-6 months</v>
      </c>
      <c r="J1876" s="3">
        <v>999</v>
      </c>
      <c r="K1876" s="3">
        <v>3996</v>
      </c>
      <c r="L1876" s="2" t="s">
        <v>22</v>
      </c>
      <c r="M1876" s="4">
        <v>45805</v>
      </c>
      <c r="N1876" s="2" t="s">
        <v>23</v>
      </c>
      <c r="O1876" s="2">
        <f t="shared" si="119"/>
        <v>0</v>
      </c>
      <c r="P1876" s="2" t="s">
        <v>23</v>
      </c>
      <c r="Q1876" s="2" t="s">
        <v>23</v>
      </c>
      <c r="R1876" s="2" t="s">
        <v>23</v>
      </c>
      <c r="S1876" s="2" t="s">
        <v>23</v>
      </c>
      <c r="T1876" s="2" t="s">
        <v>23</v>
      </c>
      <c r="U1876" s="25">
        <f t="shared" si="117"/>
        <v>3996.0018759999998</v>
      </c>
    </row>
    <row r="1877" spans="1:21">
      <c r="A1877" s="2" t="s">
        <v>2748</v>
      </c>
      <c r="B1877" s="2" t="s">
        <v>2749</v>
      </c>
      <c r="C1877" s="2" t="s">
        <v>37</v>
      </c>
      <c r="D1877" s="2">
        <v>74</v>
      </c>
      <c r="E1877" s="2" t="str">
        <f t="shared" si="118"/>
        <v>60+</v>
      </c>
      <c r="F1877" s="2" t="s">
        <v>105</v>
      </c>
      <c r="G1877" s="2" t="s">
        <v>21</v>
      </c>
      <c r="H1877" s="2">
        <v>23</v>
      </c>
      <c r="I1877" s="2" t="str">
        <f t="shared" si="116"/>
        <v>13-24 months</v>
      </c>
      <c r="J1877" s="3">
        <v>849</v>
      </c>
      <c r="K1877" s="3">
        <v>19527</v>
      </c>
      <c r="L1877" s="2" t="s">
        <v>31</v>
      </c>
      <c r="M1877" s="4">
        <v>45227</v>
      </c>
      <c r="N1877" s="2" t="s">
        <v>32</v>
      </c>
      <c r="O1877" s="2">
        <f t="shared" si="119"/>
        <v>1</v>
      </c>
      <c r="P1877" s="2" t="s">
        <v>23</v>
      </c>
      <c r="Q1877" s="2" t="s">
        <v>23</v>
      </c>
      <c r="R1877" s="2" t="s">
        <v>23</v>
      </c>
      <c r="S1877" s="2" t="s">
        <v>23</v>
      </c>
      <c r="T1877" s="2" t="s">
        <v>23</v>
      </c>
      <c r="U1877" s="25">
        <f t="shared" si="117"/>
        <v>19527.001876999999</v>
      </c>
    </row>
    <row r="1878" spans="1:21">
      <c r="A1878" s="2" t="s">
        <v>2750</v>
      </c>
      <c r="B1878" s="2" t="s">
        <v>2751</v>
      </c>
      <c r="C1878" s="2" t="s">
        <v>19</v>
      </c>
      <c r="D1878" s="2">
        <v>39</v>
      </c>
      <c r="E1878" s="2" t="str">
        <f t="shared" si="118"/>
        <v>36-45</v>
      </c>
      <c r="F1878" s="2" t="s">
        <v>20</v>
      </c>
      <c r="G1878" s="2" t="s">
        <v>21</v>
      </c>
      <c r="H1878" s="2">
        <v>4</v>
      </c>
      <c r="I1878" s="2" t="str">
        <f t="shared" si="116"/>
        <v>0-6 months</v>
      </c>
      <c r="J1878" s="3">
        <v>599</v>
      </c>
      <c r="K1878" s="3">
        <v>2396</v>
      </c>
      <c r="L1878" s="2" t="s">
        <v>31</v>
      </c>
      <c r="M1878" s="4">
        <v>45803</v>
      </c>
      <c r="N1878" s="2" t="s">
        <v>32</v>
      </c>
      <c r="O1878" s="2">
        <f t="shared" si="119"/>
        <v>1</v>
      </c>
      <c r="P1878" s="2" t="s">
        <v>23</v>
      </c>
      <c r="Q1878" s="2" t="s">
        <v>23</v>
      </c>
      <c r="R1878" s="2" t="s">
        <v>32</v>
      </c>
      <c r="S1878" s="2" t="s">
        <v>23</v>
      </c>
      <c r="T1878" s="2" t="s">
        <v>23</v>
      </c>
      <c r="U1878" s="25">
        <f t="shared" si="117"/>
        <v>2396.001878</v>
      </c>
    </row>
    <row r="1879" spans="1:21">
      <c r="A1879" s="2" t="s">
        <v>2752</v>
      </c>
      <c r="B1879" s="2" t="s">
        <v>499</v>
      </c>
      <c r="C1879" s="2" t="s">
        <v>35</v>
      </c>
      <c r="D1879" s="2">
        <v>75</v>
      </c>
      <c r="E1879" s="2" t="str">
        <f t="shared" si="118"/>
        <v>60+</v>
      </c>
      <c r="F1879" s="2" t="s">
        <v>20</v>
      </c>
      <c r="G1879" s="2" t="s">
        <v>21</v>
      </c>
      <c r="H1879" s="2">
        <v>12</v>
      </c>
      <c r="I1879" s="2" t="str">
        <f t="shared" si="116"/>
        <v>7-12 months</v>
      </c>
      <c r="J1879" s="3">
        <v>799</v>
      </c>
      <c r="K1879" s="3">
        <v>9588</v>
      </c>
      <c r="L1879" s="2" t="s">
        <v>31</v>
      </c>
      <c r="M1879" s="4">
        <v>45542</v>
      </c>
      <c r="N1879" s="2" t="s">
        <v>23</v>
      </c>
      <c r="O1879" s="2">
        <f t="shared" si="119"/>
        <v>0</v>
      </c>
      <c r="P1879" s="2" t="s">
        <v>23</v>
      </c>
      <c r="Q1879" s="2" t="s">
        <v>23</v>
      </c>
      <c r="R1879" s="2" t="s">
        <v>23</v>
      </c>
      <c r="S1879" s="2" t="s">
        <v>23</v>
      </c>
      <c r="T1879" s="2" t="s">
        <v>23</v>
      </c>
      <c r="U1879" s="25">
        <f t="shared" si="117"/>
        <v>9588.0018789999995</v>
      </c>
    </row>
    <row r="1880" spans="1:21">
      <c r="A1880" s="2" t="s">
        <v>2753</v>
      </c>
      <c r="B1880" s="2" t="s">
        <v>750</v>
      </c>
      <c r="C1880" s="2" t="s">
        <v>19</v>
      </c>
      <c r="D1880" s="2">
        <v>21</v>
      </c>
      <c r="E1880" s="2" t="str">
        <f t="shared" si="118"/>
        <v>18-25</v>
      </c>
      <c r="F1880" s="2" t="s">
        <v>36</v>
      </c>
      <c r="G1880" s="2" t="s">
        <v>21</v>
      </c>
      <c r="H1880" s="2">
        <v>14</v>
      </c>
      <c r="I1880" s="2" t="str">
        <f t="shared" si="116"/>
        <v>13-24 months</v>
      </c>
      <c r="J1880" s="3">
        <v>1299</v>
      </c>
      <c r="K1880" s="3">
        <v>18186</v>
      </c>
      <c r="L1880" s="2" t="s">
        <v>22</v>
      </c>
      <c r="M1880" s="4">
        <v>45479</v>
      </c>
      <c r="N1880" s="2" t="s">
        <v>23</v>
      </c>
      <c r="O1880" s="2">
        <f t="shared" si="119"/>
        <v>0</v>
      </c>
      <c r="P1880" s="2" t="s">
        <v>23</v>
      </c>
      <c r="Q1880" s="2" t="s">
        <v>23</v>
      </c>
      <c r="R1880" s="2" t="s">
        <v>23</v>
      </c>
      <c r="S1880" s="2" t="s">
        <v>23</v>
      </c>
      <c r="T1880" s="2" t="s">
        <v>23</v>
      </c>
      <c r="U1880" s="25">
        <f t="shared" si="117"/>
        <v>18186.00188</v>
      </c>
    </row>
    <row r="1881" spans="1:21">
      <c r="A1881" s="2" t="s">
        <v>2754</v>
      </c>
      <c r="B1881" s="2" t="s">
        <v>1210</v>
      </c>
      <c r="C1881" s="2" t="s">
        <v>19</v>
      </c>
      <c r="D1881" s="2">
        <v>72</v>
      </c>
      <c r="E1881" s="2" t="str">
        <f t="shared" si="118"/>
        <v>60+</v>
      </c>
      <c r="F1881" s="2" t="s">
        <v>26</v>
      </c>
      <c r="G1881" s="2" t="s">
        <v>47</v>
      </c>
      <c r="H1881" s="2">
        <v>65</v>
      </c>
      <c r="I1881" s="2" t="str">
        <f t="shared" si="116"/>
        <v>49+ months</v>
      </c>
      <c r="J1881" s="3">
        <v>799</v>
      </c>
      <c r="K1881" s="3">
        <v>51935</v>
      </c>
      <c r="L1881" s="2" t="s">
        <v>31</v>
      </c>
      <c r="M1881" s="4">
        <v>43963</v>
      </c>
      <c r="N1881" s="2" t="s">
        <v>23</v>
      </c>
      <c r="O1881" s="2">
        <f t="shared" si="119"/>
        <v>0</v>
      </c>
      <c r="P1881" s="2" t="s">
        <v>23</v>
      </c>
      <c r="Q1881" s="2" t="s">
        <v>23</v>
      </c>
      <c r="R1881" s="2" t="s">
        <v>23</v>
      </c>
      <c r="S1881" s="2" t="s">
        <v>23</v>
      </c>
      <c r="T1881" s="2" t="s">
        <v>23</v>
      </c>
      <c r="U1881" s="25">
        <f t="shared" si="117"/>
        <v>51935.001880999997</v>
      </c>
    </row>
    <row r="1882" spans="1:21">
      <c r="A1882" s="2" t="s">
        <v>2755</v>
      </c>
      <c r="B1882" s="2" t="s">
        <v>297</v>
      </c>
      <c r="C1882" s="2" t="s">
        <v>35</v>
      </c>
      <c r="D1882" s="2">
        <v>39</v>
      </c>
      <c r="E1882" s="2" t="str">
        <f t="shared" si="118"/>
        <v>36-45</v>
      </c>
      <c r="F1882" s="2" t="s">
        <v>71</v>
      </c>
      <c r="G1882" s="2" t="s">
        <v>21</v>
      </c>
      <c r="H1882" s="2">
        <v>18</v>
      </c>
      <c r="I1882" s="2" t="str">
        <f t="shared" si="116"/>
        <v>13-24 months</v>
      </c>
      <c r="J1882" s="3">
        <v>1299</v>
      </c>
      <c r="K1882" s="3">
        <v>23382</v>
      </c>
      <c r="L1882" s="2" t="s">
        <v>22</v>
      </c>
      <c r="M1882" s="4">
        <v>45374</v>
      </c>
      <c r="N1882" s="2" t="s">
        <v>32</v>
      </c>
      <c r="O1882" s="2">
        <f t="shared" si="119"/>
        <v>1</v>
      </c>
      <c r="P1882" s="2" t="s">
        <v>23</v>
      </c>
      <c r="Q1882" s="2" t="s">
        <v>23</v>
      </c>
      <c r="R1882" s="2" t="s">
        <v>23</v>
      </c>
      <c r="S1882" s="2" t="s">
        <v>23</v>
      </c>
      <c r="T1882" s="2" t="s">
        <v>23</v>
      </c>
      <c r="U1882" s="25">
        <f t="shared" si="117"/>
        <v>23382.001882</v>
      </c>
    </row>
    <row r="1883" spans="1:21">
      <c r="A1883" s="2" t="s">
        <v>2756</v>
      </c>
      <c r="B1883" s="2" t="s">
        <v>1237</v>
      </c>
      <c r="C1883" s="2" t="s">
        <v>19</v>
      </c>
      <c r="D1883" s="2">
        <v>53</v>
      </c>
      <c r="E1883" s="2" t="str">
        <f t="shared" si="118"/>
        <v>46-60</v>
      </c>
      <c r="F1883" s="2" t="s">
        <v>46</v>
      </c>
      <c r="G1883" s="2" t="s">
        <v>47</v>
      </c>
      <c r="H1883" s="2">
        <v>10</v>
      </c>
      <c r="I1883" s="2" t="str">
        <f t="shared" si="116"/>
        <v>7-12 months</v>
      </c>
      <c r="J1883" s="3">
        <v>649</v>
      </c>
      <c r="K1883" s="3">
        <v>6490</v>
      </c>
      <c r="L1883" s="2" t="s">
        <v>31</v>
      </c>
      <c r="M1883" s="4">
        <v>45622</v>
      </c>
      <c r="N1883" s="2" t="s">
        <v>23</v>
      </c>
      <c r="O1883" s="2">
        <f t="shared" si="119"/>
        <v>0</v>
      </c>
      <c r="P1883" s="2" t="s">
        <v>23</v>
      </c>
      <c r="Q1883" s="2" t="s">
        <v>23</v>
      </c>
      <c r="R1883" s="2" t="s">
        <v>23</v>
      </c>
      <c r="S1883" s="2" t="s">
        <v>23</v>
      </c>
      <c r="T1883" s="2" t="s">
        <v>23</v>
      </c>
      <c r="U1883" s="25">
        <f t="shared" si="117"/>
        <v>6490.0018829999999</v>
      </c>
    </row>
    <row r="1884" spans="1:21">
      <c r="A1884" s="2" t="s">
        <v>2757</v>
      </c>
      <c r="B1884" s="2" t="s">
        <v>314</v>
      </c>
      <c r="C1884" s="2" t="s">
        <v>19</v>
      </c>
      <c r="D1884" s="2">
        <v>24</v>
      </c>
      <c r="E1884" s="2" t="str">
        <f t="shared" si="118"/>
        <v>18-25</v>
      </c>
      <c r="F1884" s="2" t="s">
        <v>71</v>
      </c>
      <c r="G1884" s="2" t="s">
        <v>21</v>
      </c>
      <c r="H1884" s="2">
        <v>8</v>
      </c>
      <c r="I1884" s="2" t="str">
        <f t="shared" si="116"/>
        <v>7-12 months</v>
      </c>
      <c r="J1884" s="3">
        <v>999</v>
      </c>
      <c r="K1884" s="3">
        <v>7992</v>
      </c>
      <c r="L1884" s="2" t="s">
        <v>22</v>
      </c>
      <c r="M1884" s="4">
        <v>45665</v>
      </c>
      <c r="N1884" s="2" t="s">
        <v>23</v>
      </c>
      <c r="O1884" s="2">
        <f t="shared" si="119"/>
        <v>0</v>
      </c>
      <c r="P1884" s="2" t="s">
        <v>23</v>
      </c>
      <c r="Q1884" s="2" t="s">
        <v>23</v>
      </c>
      <c r="R1884" s="2" t="s">
        <v>23</v>
      </c>
      <c r="S1884" s="2" t="s">
        <v>23</v>
      </c>
      <c r="T1884" s="2" t="s">
        <v>23</v>
      </c>
      <c r="U1884" s="25">
        <f t="shared" si="117"/>
        <v>7992.0018840000002</v>
      </c>
    </row>
    <row r="1885" spans="1:21">
      <c r="A1885" s="2" t="s">
        <v>2758</v>
      </c>
      <c r="B1885" s="2" t="s">
        <v>2759</v>
      </c>
      <c r="C1885" s="2" t="s">
        <v>19</v>
      </c>
      <c r="D1885" s="2">
        <v>38</v>
      </c>
      <c r="E1885" s="2" t="str">
        <f t="shared" si="118"/>
        <v>36-45</v>
      </c>
      <c r="F1885" s="2" t="s">
        <v>141</v>
      </c>
      <c r="G1885" s="2" t="s">
        <v>47</v>
      </c>
      <c r="H1885" s="2">
        <v>3</v>
      </c>
      <c r="I1885" s="2" t="str">
        <f t="shared" si="116"/>
        <v>0-6 months</v>
      </c>
      <c r="J1885" s="3">
        <v>1099</v>
      </c>
      <c r="K1885" s="3">
        <v>3297</v>
      </c>
      <c r="L1885" s="2" t="s">
        <v>22</v>
      </c>
      <c r="M1885" s="4">
        <v>45818</v>
      </c>
      <c r="N1885" s="2" t="s">
        <v>23</v>
      </c>
      <c r="O1885" s="2">
        <f t="shared" si="119"/>
        <v>0</v>
      </c>
      <c r="P1885" s="2" t="s">
        <v>23</v>
      </c>
      <c r="Q1885" s="2" t="s">
        <v>23</v>
      </c>
      <c r="R1885" s="2" t="s">
        <v>23</v>
      </c>
      <c r="S1885" s="2" t="s">
        <v>23</v>
      </c>
      <c r="T1885" s="2" t="s">
        <v>23</v>
      </c>
      <c r="U1885" s="25">
        <f t="shared" si="117"/>
        <v>3297.0018850000001</v>
      </c>
    </row>
    <row r="1886" spans="1:21">
      <c r="A1886" s="2" t="s">
        <v>2760</v>
      </c>
      <c r="B1886" s="2" t="s">
        <v>240</v>
      </c>
      <c r="C1886" s="2" t="s">
        <v>19</v>
      </c>
      <c r="D1886" s="2">
        <v>64</v>
      </c>
      <c r="E1886" s="2" t="str">
        <f t="shared" si="118"/>
        <v>60+</v>
      </c>
      <c r="F1886" s="2" t="s">
        <v>30</v>
      </c>
      <c r="G1886" s="2" t="s">
        <v>47</v>
      </c>
      <c r="H1886" s="2">
        <v>69</v>
      </c>
      <c r="I1886" s="2" t="str">
        <f t="shared" si="116"/>
        <v>49+ months</v>
      </c>
      <c r="J1886" s="3">
        <v>799</v>
      </c>
      <c r="K1886" s="3">
        <v>55131</v>
      </c>
      <c r="L1886" s="2" t="s">
        <v>31</v>
      </c>
      <c r="M1886" s="4">
        <v>43856</v>
      </c>
      <c r="N1886" s="2" t="s">
        <v>23</v>
      </c>
      <c r="O1886" s="2">
        <f t="shared" si="119"/>
        <v>0</v>
      </c>
      <c r="P1886" s="2" t="s">
        <v>23</v>
      </c>
      <c r="Q1886" s="2" t="s">
        <v>23</v>
      </c>
      <c r="R1886" s="2" t="s">
        <v>23</v>
      </c>
      <c r="S1886" s="2" t="s">
        <v>23</v>
      </c>
      <c r="T1886" s="2" t="s">
        <v>23</v>
      </c>
      <c r="U1886" s="25">
        <f t="shared" si="117"/>
        <v>55131.001885999998</v>
      </c>
    </row>
    <row r="1887" spans="1:21">
      <c r="A1887" s="2" t="s">
        <v>2761</v>
      </c>
      <c r="B1887" s="2" t="s">
        <v>928</v>
      </c>
      <c r="C1887" s="2" t="s">
        <v>19</v>
      </c>
      <c r="D1887" s="2">
        <v>47</v>
      </c>
      <c r="E1887" s="2" t="str">
        <f t="shared" si="118"/>
        <v>46-60</v>
      </c>
      <c r="F1887" s="2" t="s">
        <v>105</v>
      </c>
      <c r="G1887" s="2" t="s">
        <v>21</v>
      </c>
      <c r="H1887" s="2">
        <v>23</v>
      </c>
      <c r="I1887" s="2" t="str">
        <f t="shared" si="116"/>
        <v>13-24 months</v>
      </c>
      <c r="J1887" s="3">
        <v>549</v>
      </c>
      <c r="K1887" s="3">
        <v>12627</v>
      </c>
      <c r="L1887" s="2" t="s">
        <v>66</v>
      </c>
      <c r="M1887" s="4">
        <v>45211</v>
      </c>
      <c r="N1887" s="2" t="s">
        <v>32</v>
      </c>
      <c r="O1887" s="2">
        <f t="shared" si="119"/>
        <v>1</v>
      </c>
      <c r="P1887" s="2" t="s">
        <v>32</v>
      </c>
      <c r="Q1887" s="2" t="s">
        <v>23</v>
      </c>
      <c r="R1887" s="2" t="s">
        <v>23</v>
      </c>
      <c r="S1887" s="2" t="s">
        <v>23</v>
      </c>
      <c r="T1887" s="2" t="s">
        <v>23</v>
      </c>
      <c r="U1887" s="25">
        <f t="shared" si="117"/>
        <v>12627.001887</v>
      </c>
    </row>
    <row r="1888" spans="1:21">
      <c r="A1888" s="2" t="s">
        <v>2762</v>
      </c>
      <c r="B1888" s="2" t="s">
        <v>2763</v>
      </c>
      <c r="C1888" s="2" t="s">
        <v>19</v>
      </c>
      <c r="D1888" s="2">
        <v>37</v>
      </c>
      <c r="E1888" s="2" t="str">
        <f t="shared" si="118"/>
        <v>36-45</v>
      </c>
      <c r="F1888" s="2" t="s">
        <v>30</v>
      </c>
      <c r="G1888" s="2" t="s">
        <v>27</v>
      </c>
      <c r="H1888" s="2">
        <v>2</v>
      </c>
      <c r="I1888" s="2" t="str">
        <f t="shared" si="116"/>
        <v>0-6 months</v>
      </c>
      <c r="J1888" s="3">
        <v>849</v>
      </c>
      <c r="K1888" s="3">
        <v>1698</v>
      </c>
      <c r="L1888" s="2" t="s">
        <v>31</v>
      </c>
      <c r="M1888" s="4">
        <v>45856</v>
      </c>
      <c r="N1888" s="2" t="s">
        <v>23</v>
      </c>
      <c r="O1888" s="2">
        <f t="shared" si="119"/>
        <v>0</v>
      </c>
      <c r="P1888" s="2" t="s">
        <v>23</v>
      </c>
      <c r="Q1888" s="2" t="s">
        <v>23</v>
      </c>
      <c r="R1888" s="2" t="s">
        <v>23</v>
      </c>
      <c r="S1888" s="2" t="s">
        <v>23</v>
      </c>
      <c r="T1888" s="2" t="s">
        <v>23</v>
      </c>
      <c r="U1888" s="25">
        <f t="shared" si="117"/>
        <v>1698.001888</v>
      </c>
    </row>
    <row r="1889" spans="1:21">
      <c r="A1889" s="2" t="s">
        <v>2764</v>
      </c>
      <c r="B1889" s="2" t="s">
        <v>2386</v>
      </c>
      <c r="C1889" s="2" t="s">
        <v>35</v>
      </c>
      <c r="D1889" s="2">
        <v>42</v>
      </c>
      <c r="E1889" s="2" t="str">
        <f t="shared" si="118"/>
        <v>36-45</v>
      </c>
      <c r="F1889" s="2" t="s">
        <v>110</v>
      </c>
      <c r="G1889" s="2" t="s">
        <v>21</v>
      </c>
      <c r="H1889" s="2">
        <v>19</v>
      </c>
      <c r="I1889" s="2" t="str">
        <f t="shared" si="116"/>
        <v>13-24 months</v>
      </c>
      <c r="J1889" s="3">
        <v>399</v>
      </c>
      <c r="K1889" s="3">
        <v>7581</v>
      </c>
      <c r="L1889" s="2" t="s">
        <v>66</v>
      </c>
      <c r="M1889" s="4">
        <v>45352</v>
      </c>
      <c r="N1889" s="2" t="s">
        <v>32</v>
      </c>
      <c r="O1889" s="2">
        <f t="shared" si="119"/>
        <v>1</v>
      </c>
      <c r="P1889" s="2" t="s">
        <v>23</v>
      </c>
      <c r="Q1889" s="2" t="s">
        <v>23</v>
      </c>
      <c r="R1889" s="2" t="s">
        <v>23</v>
      </c>
      <c r="S1889" s="2" t="s">
        <v>32</v>
      </c>
      <c r="T1889" s="2" t="s">
        <v>23</v>
      </c>
      <c r="U1889" s="25">
        <f t="shared" si="117"/>
        <v>7581.0018890000001</v>
      </c>
    </row>
    <row r="1890" spans="1:21">
      <c r="A1890" s="2" t="s">
        <v>2765</v>
      </c>
      <c r="B1890" s="2" t="s">
        <v>2735</v>
      </c>
      <c r="C1890" s="2" t="s">
        <v>35</v>
      </c>
      <c r="D1890" s="2">
        <v>55</v>
      </c>
      <c r="E1890" s="2" t="str">
        <f t="shared" si="118"/>
        <v>46-60</v>
      </c>
      <c r="F1890" s="2" t="s">
        <v>91</v>
      </c>
      <c r="G1890" s="2" t="s">
        <v>47</v>
      </c>
      <c r="H1890" s="2">
        <v>42</v>
      </c>
      <c r="I1890" s="2" t="str">
        <f t="shared" si="116"/>
        <v>25-48 months</v>
      </c>
      <c r="J1890" s="3">
        <v>649</v>
      </c>
      <c r="K1890" s="3">
        <v>27258</v>
      </c>
      <c r="L1890" s="2" t="s">
        <v>31</v>
      </c>
      <c r="M1890" s="4">
        <v>44648</v>
      </c>
      <c r="N1890" s="2" t="s">
        <v>23</v>
      </c>
      <c r="O1890" s="2">
        <f t="shared" si="119"/>
        <v>0</v>
      </c>
      <c r="P1890" s="2" t="s">
        <v>23</v>
      </c>
      <c r="Q1890" s="2" t="s">
        <v>23</v>
      </c>
      <c r="R1890" s="2" t="s">
        <v>23</v>
      </c>
      <c r="S1890" s="2" t="s">
        <v>32</v>
      </c>
      <c r="T1890" s="2" t="s">
        <v>23</v>
      </c>
      <c r="U1890" s="25">
        <f t="shared" si="117"/>
        <v>27258.00189</v>
      </c>
    </row>
    <row r="1891" spans="1:21">
      <c r="A1891" s="2" t="s">
        <v>2766</v>
      </c>
      <c r="B1891" s="2" t="s">
        <v>950</v>
      </c>
      <c r="C1891" s="2" t="s">
        <v>19</v>
      </c>
      <c r="D1891" s="2">
        <v>37</v>
      </c>
      <c r="E1891" s="2" t="str">
        <f t="shared" si="118"/>
        <v>36-45</v>
      </c>
      <c r="F1891" s="2" t="s">
        <v>63</v>
      </c>
      <c r="G1891" s="2" t="s">
        <v>27</v>
      </c>
      <c r="H1891" s="2">
        <v>29</v>
      </c>
      <c r="I1891" s="2" t="str">
        <f t="shared" si="116"/>
        <v>25-48 months</v>
      </c>
      <c r="J1891" s="3">
        <v>1199</v>
      </c>
      <c r="K1891" s="3">
        <v>34771</v>
      </c>
      <c r="L1891" s="2" t="s">
        <v>22</v>
      </c>
      <c r="M1891" s="4">
        <v>45039</v>
      </c>
      <c r="N1891" s="2" t="s">
        <v>32</v>
      </c>
      <c r="O1891" s="2">
        <f t="shared" si="119"/>
        <v>1</v>
      </c>
      <c r="P1891" s="2" t="s">
        <v>23</v>
      </c>
      <c r="Q1891" s="2" t="s">
        <v>23</v>
      </c>
      <c r="R1891" s="2" t="s">
        <v>23</v>
      </c>
      <c r="S1891" s="2" t="s">
        <v>23</v>
      </c>
      <c r="T1891" s="2" t="s">
        <v>23</v>
      </c>
      <c r="U1891" s="25">
        <f t="shared" si="117"/>
        <v>34771.001891</v>
      </c>
    </row>
    <row r="1892" spans="1:21">
      <c r="A1892" s="2" t="s">
        <v>2767</v>
      </c>
      <c r="B1892" s="2" t="s">
        <v>2569</v>
      </c>
      <c r="C1892" s="2" t="s">
        <v>35</v>
      </c>
      <c r="D1892" s="2">
        <v>37</v>
      </c>
      <c r="E1892" s="2" t="str">
        <f t="shared" si="118"/>
        <v>36-45</v>
      </c>
      <c r="F1892" s="2" t="s">
        <v>41</v>
      </c>
      <c r="G1892" s="2" t="s">
        <v>27</v>
      </c>
      <c r="H1892" s="2">
        <v>26</v>
      </c>
      <c r="I1892" s="2" t="str">
        <f t="shared" si="116"/>
        <v>25-48 months</v>
      </c>
      <c r="J1892" s="3">
        <v>899</v>
      </c>
      <c r="K1892" s="3">
        <v>23374</v>
      </c>
      <c r="L1892" s="2" t="s">
        <v>22</v>
      </c>
      <c r="M1892" s="4">
        <v>45123</v>
      </c>
      <c r="N1892" s="2" t="s">
        <v>32</v>
      </c>
      <c r="O1892" s="2">
        <f t="shared" si="119"/>
        <v>1</v>
      </c>
      <c r="P1892" s="2" t="s">
        <v>23</v>
      </c>
      <c r="Q1892" s="2" t="s">
        <v>23</v>
      </c>
      <c r="R1892" s="2" t="s">
        <v>23</v>
      </c>
      <c r="S1892" s="2" t="s">
        <v>23</v>
      </c>
      <c r="T1892" s="2" t="s">
        <v>23</v>
      </c>
      <c r="U1892" s="25">
        <f t="shared" si="117"/>
        <v>23374.001892</v>
      </c>
    </row>
    <row r="1893" spans="1:21">
      <c r="A1893" s="2" t="s">
        <v>2768</v>
      </c>
      <c r="B1893" s="2" t="s">
        <v>223</v>
      </c>
      <c r="C1893" s="2" t="s">
        <v>35</v>
      </c>
      <c r="D1893" s="2">
        <v>61</v>
      </c>
      <c r="E1893" s="2" t="str">
        <f t="shared" si="118"/>
        <v>60+</v>
      </c>
      <c r="F1893" s="2" t="s">
        <v>60</v>
      </c>
      <c r="G1893" s="2" t="s">
        <v>21</v>
      </c>
      <c r="H1893" s="2">
        <v>20</v>
      </c>
      <c r="I1893" s="2" t="str">
        <f t="shared" si="116"/>
        <v>13-24 months</v>
      </c>
      <c r="J1893" s="3">
        <v>1149</v>
      </c>
      <c r="K1893" s="3">
        <v>22980</v>
      </c>
      <c r="L1893" s="2" t="s">
        <v>22</v>
      </c>
      <c r="M1893" s="4">
        <v>45326</v>
      </c>
      <c r="N1893" s="2" t="s">
        <v>32</v>
      </c>
      <c r="O1893" s="2">
        <f t="shared" si="119"/>
        <v>1</v>
      </c>
      <c r="P1893" s="2" t="s">
        <v>23</v>
      </c>
      <c r="Q1893" s="2" t="s">
        <v>23</v>
      </c>
      <c r="R1893" s="2" t="s">
        <v>23</v>
      </c>
      <c r="S1893" s="2" t="s">
        <v>23</v>
      </c>
      <c r="T1893" s="2" t="s">
        <v>23</v>
      </c>
      <c r="U1893" s="25">
        <f t="shared" si="117"/>
        <v>22980.001893000001</v>
      </c>
    </row>
    <row r="1894" spans="1:21">
      <c r="A1894" s="2" t="s">
        <v>2769</v>
      </c>
      <c r="B1894" s="2" t="s">
        <v>2770</v>
      </c>
      <c r="C1894" s="2" t="s">
        <v>19</v>
      </c>
      <c r="D1894" s="2">
        <v>47</v>
      </c>
      <c r="E1894" s="2" t="str">
        <f t="shared" si="118"/>
        <v>46-60</v>
      </c>
      <c r="F1894" s="2" t="s">
        <v>46</v>
      </c>
      <c r="G1894" s="2" t="s">
        <v>21</v>
      </c>
      <c r="H1894" s="2">
        <v>10</v>
      </c>
      <c r="I1894" s="2" t="str">
        <f t="shared" si="116"/>
        <v>7-12 months</v>
      </c>
      <c r="J1894" s="3">
        <v>1099</v>
      </c>
      <c r="K1894" s="3">
        <v>10990</v>
      </c>
      <c r="L1894" s="2" t="s">
        <v>22</v>
      </c>
      <c r="M1894" s="4">
        <v>45618</v>
      </c>
      <c r="N1894" s="2" t="s">
        <v>23</v>
      </c>
      <c r="O1894" s="2">
        <f t="shared" si="119"/>
        <v>0</v>
      </c>
      <c r="P1894" s="2" t="s">
        <v>32</v>
      </c>
      <c r="Q1894" s="2" t="s">
        <v>23</v>
      </c>
      <c r="R1894" s="2" t="s">
        <v>23</v>
      </c>
      <c r="S1894" s="2" t="s">
        <v>32</v>
      </c>
      <c r="T1894" s="2" t="s">
        <v>23</v>
      </c>
      <c r="U1894" s="25">
        <f t="shared" si="117"/>
        <v>10990.001894000001</v>
      </c>
    </row>
    <row r="1895" spans="1:21">
      <c r="A1895" s="2" t="s">
        <v>2771</v>
      </c>
      <c r="B1895" s="2" t="s">
        <v>2772</v>
      </c>
      <c r="C1895" s="2" t="s">
        <v>19</v>
      </c>
      <c r="D1895" s="2">
        <v>55</v>
      </c>
      <c r="E1895" s="2" t="str">
        <f t="shared" si="118"/>
        <v>46-60</v>
      </c>
      <c r="F1895" s="2" t="s">
        <v>26</v>
      </c>
      <c r="G1895" s="2" t="s">
        <v>47</v>
      </c>
      <c r="H1895" s="2">
        <v>49</v>
      </c>
      <c r="I1895" s="2" t="str">
        <f t="shared" si="116"/>
        <v>49+ months</v>
      </c>
      <c r="J1895" s="3">
        <v>699</v>
      </c>
      <c r="K1895" s="3">
        <v>34251</v>
      </c>
      <c r="L1895" s="2" t="s">
        <v>31</v>
      </c>
      <c r="M1895" s="4">
        <v>44450</v>
      </c>
      <c r="N1895" s="2" t="s">
        <v>23</v>
      </c>
      <c r="O1895" s="2">
        <f t="shared" si="119"/>
        <v>0</v>
      </c>
      <c r="P1895" s="2" t="s">
        <v>23</v>
      </c>
      <c r="Q1895" s="2" t="s">
        <v>23</v>
      </c>
      <c r="R1895" s="2" t="s">
        <v>23</v>
      </c>
      <c r="S1895" s="2" t="s">
        <v>23</v>
      </c>
      <c r="T1895" s="2" t="s">
        <v>23</v>
      </c>
      <c r="U1895" s="25">
        <f t="shared" si="117"/>
        <v>34251.001895000001</v>
      </c>
    </row>
    <row r="1896" spans="1:21">
      <c r="A1896" s="2" t="s">
        <v>2773</v>
      </c>
      <c r="B1896" s="2" t="s">
        <v>1317</v>
      </c>
      <c r="C1896" s="2" t="s">
        <v>35</v>
      </c>
      <c r="D1896" s="2">
        <v>68</v>
      </c>
      <c r="E1896" s="2" t="str">
        <f t="shared" si="118"/>
        <v>60+</v>
      </c>
      <c r="F1896" s="2" t="s">
        <v>91</v>
      </c>
      <c r="G1896" s="2" t="s">
        <v>21</v>
      </c>
      <c r="H1896" s="2">
        <v>13</v>
      </c>
      <c r="I1896" s="2" t="str">
        <f t="shared" si="116"/>
        <v>13-24 months</v>
      </c>
      <c r="J1896" s="3">
        <v>1049</v>
      </c>
      <c r="K1896" s="3">
        <v>13637</v>
      </c>
      <c r="L1896" s="2" t="s">
        <v>22</v>
      </c>
      <c r="M1896" s="4">
        <v>45510</v>
      </c>
      <c r="N1896" s="2" t="s">
        <v>32</v>
      </c>
      <c r="O1896" s="2">
        <f t="shared" si="119"/>
        <v>1</v>
      </c>
      <c r="P1896" s="2" t="s">
        <v>23</v>
      </c>
      <c r="Q1896" s="2" t="s">
        <v>23</v>
      </c>
      <c r="R1896" s="2" t="s">
        <v>23</v>
      </c>
      <c r="S1896" s="2" t="s">
        <v>23</v>
      </c>
      <c r="T1896" s="2" t="s">
        <v>23</v>
      </c>
      <c r="U1896" s="25">
        <f t="shared" si="117"/>
        <v>13637.001896</v>
      </c>
    </row>
    <row r="1897" spans="1:21">
      <c r="A1897" s="2" t="s">
        <v>2774</v>
      </c>
      <c r="B1897" s="2" t="s">
        <v>796</v>
      </c>
      <c r="C1897" s="2" t="s">
        <v>19</v>
      </c>
      <c r="D1897" s="2">
        <v>26</v>
      </c>
      <c r="E1897" s="2" t="str">
        <f t="shared" si="118"/>
        <v>26-35</v>
      </c>
      <c r="F1897" s="2" t="s">
        <v>60</v>
      </c>
      <c r="G1897" s="2" t="s">
        <v>21</v>
      </c>
      <c r="H1897" s="2">
        <v>18</v>
      </c>
      <c r="I1897" s="2" t="str">
        <f t="shared" si="116"/>
        <v>13-24 months</v>
      </c>
      <c r="J1897" s="3">
        <v>899</v>
      </c>
      <c r="K1897" s="3">
        <v>16182</v>
      </c>
      <c r="L1897" s="2" t="s">
        <v>22</v>
      </c>
      <c r="M1897" s="4">
        <v>45383</v>
      </c>
      <c r="N1897" s="2" t="s">
        <v>23</v>
      </c>
      <c r="O1897" s="2">
        <f t="shared" si="119"/>
        <v>0</v>
      </c>
      <c r="P1897" s="2" t="s">
        <v>23</v>
      </c>
      <c r="Q1897" s="2" t="s">
        <v>23</v>
      </c>
      <c r="R1897" s="2" t="s">
        <v>23</v>
      </c>
      <c r="S1897" s="2" t="s">
        <v>23</v>
      </c>
      <c r="T1897" s="2" t="s">
        <v>23</v>
      </c>
      <c r="U1897" s="25">
        <f t="shared" si="117"/>
        <v>16182.001897</v>
      </c>
    </row>
    <row r="1898" spans="1:21">
      <c r="A1898" s="2" t="s">
        <v>2775</v>
      </c>
      <c r="B1898" s="2" t="s">
        <v>730</v>
      </c>
      <c r="C1898" s="2" t="s">
        <v>35</v>
      </c>
      <c r="D1898" s="2">
        <v>40</v>
      </c>
      <c r="E1898" s="2" t="str">
        <f t="shared" si="118"/>
        <v>36-45</v>
      </c>
      <c r="F1898" s="2" t="s">
        <v>26</v>
      </c>
      <c r="G1898" s="2" t="s">
        <v>21</v>
      </c>
      <c r="H1898" s="2">
        <v>18</v>
      </c>
      <c r="I1898" s="2" t="str">
        <f t="shared" si="116"/>
        <v>13-24 months</v>
      </c>
      <c r="J1898" s="3">
        <v>799</v>
      </c>
      <c r="K1898" s="3">
        <v>14382</v>
      </c>
      <c r="L1898" s="2" t="s">
        <v>31</v>
      </c>
      <c r="M1898" s="4">
        <v>45367</v>
      </c>
      <c r="N1898" s="2" t="s">
        <v>32</v>
      </c>
      <c r="O1898" s="2">
        <f t="shared" si="119"/>
        <v>1</v>
      </c>
      <c r="P1898" s="2" t="s">
        <v>23</v>
      </c>
      <c r="Q1898" s="2" t="s">
        <v>23</v>
      </c>
      <c r="R1898" s="2" t="s">
        <v>23</v>
      </c>
      <c r="S1898" s="2" t="s">
        <v>23</v>
      </c>
      <c r="T1898" s="2" t="s">
        <v>23</v>
      </c>
      <c r="U1898" s="25">
        <f t="shared" si="117"/>
        <v>14382.001898</v>
      </c>
    </row>
    <row r="1899" spans="1:21">
      <c r="A1899" s="2" t="s">
        <v>2776</v>
      </c>
      <c r="B1899" s="2" t="s">
        <v>759</v>
      </c>
      <c r="C1899" s="2" t="s">
        <v>19</v>
      </c>
      <c r="D1899" s="2">
        <v>37</v>
      </c>
      <c r="E1899" s="2" t="str">
        <f t="shared" si="118"/>
        <v>36-45</v>
      </c>
      <c r="F1899" s="2" t="s">
        <v>71</v>
      </c>
      <c r="G1899" s="2" t="s">
        <v>47</v>
      </c>
      <c r="H1899" s="2">
        <v>61</v>
      </c>
      <c r="I1899" s="2" t="str">
        <f t="shared" si="116"/>
        <v>49+ months</v>
      </c>
      <c r="J1899" s="3">
        <v>1299</v>
      </c>
      <c r="K1899" s="3">
        <v>79239</v>
      </c>
      <c r="L1899" s="2" t="s">
        <v>22</v>
      </c>
      <c r="M1899" s="4">
        <v>44085</v>
      </c>
      <c r="N1899" s="2" t="s">
        <v>23</v>
      </c>
      <c r="O1899" s="2">
        <f t="shared" si="119"/>
        <v>0</v>
      </c>
      <c r="P1899" s="2" t="s">
        <v>23</v>
      </c>
      <c r="Q1899" s="2" t="s">
        <v>23</v>
      </c>
      <c r="R1899" s="2" t="s">
        <v>23</v>
      </c>
      <c r="S1899" s="2" t="s">
        <v>23</v>
      </c>
      <c r="T1899" s="2" t="s">
        <v>23</v>
      </c>
      <c r="U1899" s="25">
        <f t="shared" si="117"/>
        <v>79239.001898999995</v>
      </c>
    </row>
    <row r="1900" spans="1:21">
      <c r="A1900" s="2" t="s">
        <v>2777</v>
      </c>
      <c r="B1900" s="2" t="s">
        <v>1626</v>
      </c>
      <c r="C1900" s="2" t="s">
        <v>19</v>
      </c>
      <c r="D1900" s="2">
        <v>46</v>
      </c>
      <c r="E1900" s="2" t="str">
        <f t="shared" si="118"/>
        <v>46-60</v>
      </c>
      <c r="F1900" s="2" t="s">
        <v>110</v>
      </c>
      <c r="G1900" s="2" t="s">
        <v>21</v>
      </c>
      <c r="H1900" s="2">
        <v>1</v>
      </c>
      <c r="I1900" s="2" t="str">
        <f t="shared" si="116"/>
        <v>0-6 months</v>
      </c>
      <c r="J1900" s="3">
        <v>649</v>
      </c>
      <c r="K1900" s="3">
        <v>649</v>
      </c>
      <c r="L1900" s="2" t="s">
        <v>31</v>
      </c>
      <c r="M1900" s="4">
        <v>45874</v>
      </c>
      <c r="N1900" s="2" t="s">
        <v>23</v>
      </c>
      <c r="O1900" s="2">
        <f t="shared" si="119"/>
        <v>0</v>
      </c>
      <c r="P1900" s="2" t="s">
        <v>23</v>
      </c>
      <c r="Q1900" s="2" t="s">
        <v>23</v>
      </c>
      <c r="R1900" s="2" t="s">
        <v>23</v>
      </c>
      <c r="S1900" s="2" t="s">
        <v>23</v>
      </c>
      <c r="T1900" s="2" t="s">
        <v>23</v>
      </c>
      <c r="U1900" s="25">
        <f t="shared" si="117"/>
        <v>649.00189999999998</v>
      </c>
    </row>
    <row r="1901" spans="1:21">
      <c r="A1901" s="2" t="s">
        <v>2778</v>
      </c>
      <c r="B1901" s="2" t="s">
        <v>90</v>
      </c>
      <c r="C1901" s="2" t="s">
        <v>35</v>
      </c>
      <c r="D1901" s="2">
        <v>74</v>
      </c>
      <c r="E1901" s="2" t="str">
        <f t="shared" si="118"/>
        <v>60+</v>
      </c>
      <c r="F1901" s="2" t="s">
        <v>57</v>
      </c>
      <c r="G1901" s="2" t="s">
        <v>27</v>
      </c>
      <c r="H1901" s="2">
        <v>14</v>
      </c>
      <c r="I1901" s="2" t="str">
        <f t="shared" si="116"/>
        <v>13-24 months</v>
      </c>
      <c r="J1901" s="3">
        <v>1049</v>
      </c>
      <c r="K1901" s="3">
        <v>14686</v>
      </c>
      <c r="L1901" s="2" t="s">
        <v>22</v>
      </c>
      <c r="M1901" s="4">
        <v>45491</v>
      </c>
      <c r="N1901" s="2" t="s">
        <v>23</v>
      </c>
      <c r="O1901" s="2">
        <f t="shared" si="119"/>
        <v>0</v>
      </c>
      <c r="P1901" s="2" t="s">
        <v>23</v>
      </c>
      <c r="Q1901" s="2" t="s">
        <v>23</v>
      </c>
      <c r="R1901" s="2" t="s">
        <v>23</v>
      </c>
      <c r="S1901" s="2" t="s">
        <v>23</v>
      </c>
      <c r="T1901" s="2" t="s">
        <v>23</v>
      </c>
      <c r="U1901" s="25">
        <f t="shared" si="117"/>
        <v>14686.001901</v>
      </c>
    </row>
    <row r="1902" spans="1:21">
      <c r="A1902" s="2" t="s">
        <v>2779</v>
      </c>
      <c r="B1902" s="2" t="s">
        <v>37</v>
      </c>
      <c r="C1902" s="2" t="s">
        <v>35</v>
      </c>
      <c r="D1902" s="2">
        <v>70</v>
      </c>
      <c r="E1902" s="2" t="str">
        <f t="shared" si="118"/>
        <v>60+</v>
      </c>
      <c r="F1902" s="2" t="s">
        <v>60</v>
      </c>
      <c r="G1902" s="2" t="s">
        <v>47</v>
      </c>
      <c r="H1902" s="2">
        <v>38</v>
      </c>
      <c r="I1902" s="2" t="str">
        <f t="shared" si="116"/>
        <v>25-48 months</v>
      </c>
      <c r="J1902" s="3">
        <v>1099</v>
      </c>
      <c r="K1902" s="3">
        <v>41762</v>
      </c>
      <c r="L1902" s="2" t="s">
        <v>22</v>
      </c>
      <c r="M1902" s="4">
        <v>44764</v>
      </c>
      <c r="N1902" s="2" t="s">
        <v>32</v>
      </c>
      <c r="O1902" s="2">
        <f t="shared" si="119"/>
        <v>1</v>
      </c>
      <c r="P1902" s="2" t="s">
        <v>23</v>
      </c>
      <c r="Q1902" s="2" t="s">
        <v>23</v>
      </c>
      <c r="R1902" s="2" t="s">
        <v>23</v>
      </c>
      <c r="S1902" s="2" t="s">
        <v>23</v>
      </c>
      <c r="T1902" s="2" t="s">
        <v>23</v>
      </c>
      <c r="U1902" s="25">
        <f t="shared" si="117"/>
        <v>41762.001902000004</v>
      </c>
    </row>
    <row r="1903" spans="1:21">
      <c r="A1903" s="2" t="s">
        <v>2780</v>
      </c>
      <c r="B1903" s="2" t="s">
        <v>2346</v>
      </c>
      <c r="C1903" s="2" t="s">
        <v>35</v>
      </c>
      <c r="D1903" s="2">
        <v>25</v>
      </c>
      <c r="E1903" s="2" t="str">
        <f t="shared" si="118"/>
        <v>18-25</v>
      </c>
      <c r="F1903" s="2" t="s">
        <v>26</v>
      </c>
      <c r="G1903" s="2" t="s">
        <v>21</v>
      </c>
      <c r="H1903" s="2">
        <v>21</v>
      </c>
      <c r="I1903" s="2" t="str">
        <f t="shared" si="116"/>
        <v>13-24 months</v>
      </c>
      <c r="J1903" s="3">
        <v>899</v>
      </c>
      <c r="K1903" s="3">
        <v>18879</v>
      </c>
      <c r="L1903" s="2" t="s">
        <v>22</v>
      </c>
      <c r="M1903" s="4">
        <v>45274</v>
      </c>
      <c r="N1903" s="2" t="s">
        <v>32</v>
      </c>
      <c r="O1903" s="2">
        <f t="shared" si="119"/>
        <v>1</v>
      </c>
      <c r="P1903" s="2" t="s">
        <v>23</v>
      </c>
      <c r="Q1903" s="2" t="s">
        <v>23</v>
      </c>
      <c r="R1903" s="2" t="s">
        <v>23</v>
      </c>
      <c r="S1903" s="2" t="s">
        <v>23</v>
      </c>
      <c r="T1903" s="2" t="s">
        <v>23</v>
      </c>
      <c r="U1903" s="25">
        <f t="shared" si="117"/>
        <v>18879.001903</v>
      </c>
    </row>
    <row r="1904" spans="1:21">
      <c r="A1904" s="2" t="s">
        <v>2781</v>
      </c>
      <c r="B1904" s="2" t="s">
        <v>264</v>
      </c>
      <c r="C1904" s="2" t="s">
        <v>19</v>
      </c>
      <c r="D1904" s="2">
        <v>74</v>
      </c>
      <c r="E1904" s="2" t="str">
        <f t="shared" si="118"/>
        <v>60+</v>
      </c>
      <c r="F1904" s="2" t="s">
        <v>141</v>
      </c>
      <c r="G1904" s="2" t="s">
        <v>21</v>
      </c>
      <c r="H1904" s="2">
        <v>10</v>
      </c>
      <c r="I1904" s="2" t="str">
        <f t="shared" si="116"/>
        <v>7-12 months</v>
      </c>
      <c r="J1904" s="3">
        <v>699</v>
      </c>
      <c r="K1904" s="3">
        <v>6990</v>
      </c>
      <c r="L1904" s="2" t="s">
        <v>31</v>
      </c>
      <c r="M1904" s="4">
        <v>45627</v>
      </c>
      <c r="N1904" s="2" t="s">
        <v>23</v>
      </c>
      <c r="O1904" s="2">
        <f t="shared" si="119"/>
        <v>0</v>
      </c>
      <c r="P1904" s="2" t="s">
        <v>23</v>
      </c>
      <c r="Q1904" s="2" t="s">
        <v>23</v>
      </c>
      <c r="R1904" s="2" t="s">
        <v>32</v>
      </c>
      <c r="S1904" s="2" t="s">
        <v>23</v>
      </c>
      <c r="T1904" s="2" t="s">
        <v>23</v>
      </c>
      <c r="U1904" s="25">
        <f t="shared" si="117"/>
        <v>6990.0019039999997</v>
      </c>
    </row>
    <row r="1905" spans="1:21">
      <c r="A1905" s="2" t="s">
        <v>2782</v>
      </c>
      <c r="B1905" s="2" t="s">
        <v>1929</v>
      </c>
      <c r="C1905" s="2" t="s">
        <v>37</v>
      </c>
      <c r="D1905" s="2">
        <v>60</v>
      </c>
      <c r="E1905" s="2" t="str">
        <f t="shared" si="118"/>
        <v>46-60</v>
      </c>
      <c r="F1905" s="2" t="s">
        <v>30</v>
      </c>
      <c r="G1905" s="2" t="s">
        <v>47</v>
      </c>
      <c r="H1905" s="2">
        <v>52</v>
      </c>
      <c r="I1905" s="2" t="str">
        <f t="shared" si="116"/>
        <v>49+ months</v>
      </c>
      <c r="J1905" s="3">
        <v>1049</v>
      </c>
      <c r="K1905" s="3">
        <v>54548</v>
      </c>
      <c r="L1905" s="2" t="s">
        <v>22</v>
      </c>
      <c r="M1905" s="4">
        <v>44367</v>
      </c>
      <c r="N1905" s="2" t="s">
        <v>23</v>
      </c>
      <c r="O1905" s="2">
        <f t="shared" si="119"/>
        <v>0</v>
      </c>
      <c r="P1905" s="2" t="s">
        <v>23</v>
      </c>
      <c r="Q1905" s="2" t="s">
        <v>23</v>
      </c>
      <c r="R1905" s="2" t="s">
        <v>23</v>
      </c>
      <c r="S1905" s="2" t="s">
        <v>23</v>
      </c>
      <c r="T1905" s="2" t="s">
        <v>23</v>
      </c>
      <c r="U1905" s="25">
        <f t="shared" si="117"/>
        <v>54548.001904999997</v>
      </c>
    </row>
    <row r="1906" spans="1:21">
      <c r="A1906" s="2" t="s">
        <v>2783</v>
      </c>
      <c r="B1906" s="2" t="s">
        <v>320</v>
      </c>
      <c r="C1906" s="2" t="s">
        <v>35</v>
      </c>
      <c r="D1906" s="2">
        <v>25</v>
      </c>
      <c r="E1906" s="2" t="str">
        <f t="shared" si="118"/>
        <v>18-25</v>
      </c>
      <c r="F1906" s="2" t="s">
        <v>30</v>
      </c>
      <c r="G1906" s="2" t="s">
        <v>47</v>
      </c>
      <c r="H1906" s="2">
        <v>56</v>
      </c>
      <c r="I1906" s="2" t="str">
        <f t="shared" si="116"/>
        <v>49+ months</v>
      </c>
      <c r="J1906" s="3">
        <v>1099</v>
      </c>
      <c r="K1906" s="3">
        <v>61544</v>
      </c>
      <c r="L1906" s="2" t="s">
        <v>22</v>
      </c>
      <c r="M1906" s="4">
        <v>44235</v>
      </c>
      <c r="N1906" s="2" t="s">
        <v>23</v>
      </c>
      <c r="O1906" s="2">
        <f t="shared" si="119"/>
        <v>0</v>
      </c>
      <c r="P1906" s="2" t="s">
        <v>23</v>
      </c>
      <c r="Q1906" s="2" t="s">
        <v>23</v>
      </c>
      <c r="R1906" s="2" t="s">
        <v>23</v>
      </c>
      <c r="S1906" s="2" t="s">
        <v>23</v>
      </c>
      <c r="T1906" s="2" t="s">
        <v>23</v>
      </c>
      <c r="U1906" s="25">
        <f t="shared" si="117"/>
        <v>61544.001905999998</v>
      </c>
    </row>
    <row r="1907" spans="1:21">
      <c r="A1907" s="2" t="s">
        <v>2784</v>
      </c>
      <c r="B1907" s="2" t="s">
        <v>752</v>
      </c>
      <c r="C1907" s="2" t="s">
        <v>19</v>
      </c>
      <c r="D1907" s="2">
        <v>25</v>
      </c>
      <c r="E1907" s="2" t="str">
        <f t="shared" si="118"/>
        <v>18-25</v>
      </c>
      <c r="F1907" s="2" t="s">
        <v>91</v>
      </c>
      <c r="G1907" s="2" t="s">
        <v>21</v>
      </c>
      <c r="H1907" s="2">
        <v>21</v>
      </c>
      <c r="I1907" s="2" t="str">
        <f t="shared" si="116"/>
        <v>13-24 months</v>
      </c>
      <c r="J1907" s="3">
        <v>849</v>
      </c>
      <c r="K1907" s="3">
        <v>17829</v>
      </c>
      <c r="L1907" s="2" t="s">
        <v>31</v>
      </c>
      <c r="M1907" s="4">
        <v>45298</v>
      </c>
      <c r="N1907" s="2" t="s">
        <v>23</v>
      </c>
      <c r="O1907" s="2">
        <f t="shared" si="119"/>
        <v>0</v>
      </c>
      <c r="P1907" s="2" t="s">
        <v>23</v>
      </c>
      <c r="Q1907" s="2" t="s">
        <v>23</v>
      </c>
      <c r="R1907" s="2" t="s">
        <v>23</v>
      </c>
      <c r="S1907" s="2" t="s">
        <v>23</v>
      </c>
      <c r="T1907" s="2" t="s">
        <v>23</v>
      </c>
      <c r="U1907" s="25">
        <f t="shared" si="117"/>
        <v>17829.001907000002</v>
      </c>
    </row>
    <row r="1908" spans="1:21">
      <c r="A1908" s="2" t="s">
        <v>2785</v>
      </c>
      <c r="B1908" s="2" t="s">
        <v>1251</v>
      </c>
      <c r="C1908" s="2" t="s">
        <v>35</v>
      </c>
      <c r="D1908" s="2">
        <v>48</v>
      </c>
      <c r="E1908" s="2" t="str">
        <f t="shared" si="118"/>
        <v>46-60</v>
      </c>
      <c r="F1908" s="2" t="s">
        <v>105</v>
      </c>
      <c r="G1908" s="2" t="s">
        <v>21</v>
      </c>
      <c r="H1908" s="2">
        <v>11</v>
      </c>
      <c r="I1908" s="2" t="str">
        <f t="shared" si="116"/>
        <v>7-12 months</v>
      </c>
      <c r="J1908" s="3">
        <v>699</v>
      </c>
      <c r="K1908" s="3">
        <v>7689</v>
      </c>
      <c r="L1908" s="2" t="s">
        <v>31</v>
      </c>
      <c r="M1908" s="4">
        <v>45588</v>
      </c>
      <c r="N1908" s="2" t="s">
        <v>23</v>
      </c>
      <c r="O1908" s="2">
        <f t="shared" si="119"/>
        <v>0</v>
      </c>
      <c r="P1908" s="2" t="s">
        <v>23</v>
      </c>
      <c r="Q1908" s="2" t="s">
        <v>23</v>
      </c>
      <c r="R1908" s="2" t="s">
        <v>23</v>
      </c>
      <c r="S1908" s="2" t="s">
        <v>23</v>
      </c>
      <c r="T1908" s="2" t="s">
        <v>23</v>
      </c>
      <c r="U1908" s="25">
        <f t="shared" si="117"/>
        <v>7689.0019080000002</v>
      </c>
    </row>
    <row r="1909" spans="1:21">
      <c r="A1909" s="2" t="s">
        <v>2786</v>
      </c>
      <c r="B1909" s="2" t="s">
        <v>2336</v>
      </c>
      <c r="C1909" s="2" t="s">
        <v>19</v>
      </c>
      <c r="D1909" s="2">
        <v>52</v>
      </c>
      <c r="E1909" s="2" t="str">
        <f t="shared" si="118"/>
        <v>46-60</v>
      </c>
      <c r="F1909" s="2" t="s">
        <v>20</v>
      </c>
      <c r="G1909" s="2" t="s">
        <v>21</v>
      </c>
      <c r="H1909" s="2">
        <v>3</v>
      </c>
      <c r="I1909" s="2" t="str">
        <f t="shared" si="116"/>
        <v>0-6 months</v>
      </c>
      <c r="J1909" s="3">
        <v>1049</v>
      </c>
      <c r="K1909" s="3">
        <v>3147</v>
      </c>
      <c r="L1909" s="2" t="s">
        <v>22</v>
      </c>
      <c r="M1909" s="4">
        <v>45832</v>
      </c>
      <c r="N1909" s="2" t="s">
        <v>23</v>
      </c>
      <c r="O1909" s="2">
        <f t="shared" si="119"/>
        <v>0</v>
      </c>
      <c r="P1909" s="2" t="s">
        <v>23</v>
      </c>
      <c r="Q1909" s="2" t="s">
        <v>23</v>
      </c>
      <c r="R1909" s="2" t="s">
        <v>23</v>
      </c>
      <c r="S1909" s="2" t="s">
        <v>23</v>
      </c>
      <c r="T1909" s="2" t="s">
        <v>23</v>
      </c>
      <c r="U1909" s="25">
        <f t="shared" si="117"/>
        <v>3147.0019090000001</v>
      </c>
    </row>
    <row r="1910" spans="1:21">
      <c r="A1910" s="2" t="s">
        <v>2787</v>
      </c>
      <c r="B1910" s="2" t="s">
        <v>29</v>
      </c>
      <c r="C1910" s="2" t="s">
        <v>19</v>
      </c>
      <c r="D1910" s="2">
        <v>71</v>
      </c>
      <c r="E1910" s="2" t="str">
        <f t="shared" si="118"/>
        <v>60+</v>
      </c>
      <c r="F1910" s="2" t="s">
        <v>57</v>
      </c>
      <c r="G1910" s="2" t="s">
        <v>47</v>
      </c>
      <c r="H1910" s="2">
        <v>32</v>
      </c>
      <c r="I1910" s="2" t="str">
        <f t="shared" si="116"/>
        <v>25-48 months</v>
      </c>
      <c r="J1910" s="3">
        <v>749</v>
      </c>
      <c r="K1910" s="3">
        <v>23968</v>
      </c>
      <c r="L1910" s="2" t="s">
        <v>31</v>
      </c>
      <c r="M1910" s="4">
        <v>44939</v>
      </c>
      <c r="N1910" s="2" t="s">
        <v>23</v>
      </c>
      <c r="O1910" s="2">
        <f t="shared" si="119"/>
        <v>0</v>
      </c>
      <c r="P1910" s="2" t="s">
        <v>23</v>
      </c>
      <c r="Q1910" s="2" t="s">
        <v>23</v>
      </c>
      <c r="R1910" s="2" t="s">
        <v>23</v>
      </c>
      <c r="S1910" s="2" t="s">
        <v>23</v>
      </c>
      <c r="T1910" s="2" t="s">
        <v>23</v>
      </c>
      <c r="U1910" s="25">
        <f t="shared" si="117"/>
        <v>23968.001909999999</v>
      </c>
    </row>
    <row r="1911" spans="1:21">
      <c r="A1911" s="2" t="s">
        <v>2788</v>
      </c>
      <c r="B1911" s="2" t="s">
        <v>446</v>
      </c>
      <c r="C1911" s="2" t="s">
        <v>19</v>
      </c>
      <c r="D1911" s="2">
        <v>67</v>
      </c>
      <c r="E1911" s="2" t="str">
        <f t="shared" si="118"/>
        <v>60+</v>
      </c>
      <c r="F1911" s="2" t="s">
        <v>71</v>
      </c>
      <c r="G1911" s="2" t="s">
        <v>21</v>
      </c>
      <c r="H1911" s="2">
        <v>16</v>
      </c>
      <c r="I1911" s="2" t="str">
        <f t="shared" si="116"/>
        <v>13-24 months</v>
      </c>
      <c r="J1911" s="3">
        <v>449</v>
      </c>
      <c r="K1911" s="3">
        <v>7184</v>
      </c>
      <c r="L1911" s="2" t="s">
        <v>66</v>
      </c>
      <c r="M1911" s="4">
        <v>45431</v>
      </c>
      <c r="N1911" s="2" t="s">
        <v>23</v>
      </c>
      <c r="O1911" s="2">
        <f t="shared" si="119"/>
        <v>0</v>
      </c>
      <c r="P1911" s="2" t="s">
        <v>23</v>
      </c>
      <c r="Q1911" s="2" t="s">
        <v>23</v>
      </c>
      <c r="R1911" s="2" t="s">
        <v>23</v>
      </c>
      <c r="S1911" s="2" t="s">
        <v>23</v>
      </c>
      <c r="T1911" s="2" t="s">
        <v>23</v>
      </c>
      <c r="U1911" s="25">
        <f t="shared" si="117"/>
        <v>7184.0019110000003</v>
      </c>
    </row>
    <row r="1912" spans="1:21">
      <c r="A1912" s="2" t="s">
        <v>2789</v>
      </c>
      <c r="B1912" s="2" t="s">
        <v>2790</v>
      </c>
      <c r="C1912" s="2" t="s">
        <v>19</v>
      </c>
      <c r="D1912" s="2">
        <v>53</v>
      </c>
      <c r="E1912" s="2" t="str">
        <f t="shared" si="118"/>
        <v>46-60</v>
      </c>
      <c r="F1912" s="2" t="s">
        <v>30</v>
      </c>
      <c r="G1912" s="2" t="s">
        <v>27</v>
      </c>
      <c r="H1912" s="2">
        <v>21</v>
      </c>
      <c r="I1912" s="2" t="str">
        <f t="shared" si="116"/>
        <v>13-24 months</v>
      </c>
      <c r="J1912" s="3">
        <v>649</v>
      </c>
      <c r="K1912" s="3">
        <v>13629</v>
      </c>
      <c r="L1912" s="2" t="s">
        <v>31</v>
      </c>
      <c r="M1912" s="4">
        <v>45293</v>
      </c>
      <c r="N1912" s="2" t="s">
        <v>23</v>
      </c>
      <c r="O1912" s="2">
        <f t="shared" si="119"/>
        <v>0</v>
      </c>
      <c r="P1912" s="2" t="s">
        <v>23</v>
      </c>
      <c r="Q1912" s="2" t="s">
        <v>23</v>
      </c>
      <c r="R1912" s="2" t="s">
        <v>23</v>
      </c>
      <c r="S1912" s="2" t="s">
        <v>23</v>
      </c>
      <c r="T1912" s="2" t="s">
        <v>23</v>
      </c>
      <c r="U1912" s="25">
        <f t="shared" si="117"/>
        <v>13629.001912</v>
      </c>
    </row>
    <row r="1913" spans="1:21">
      <c r="A1913" s="2" t="s">
        <v>2791</v>
      </c>
      <c r="B1913" s="2" t="s">
        <v>706</v>
      </c>
      <c r="C1913" s="2" t="s">
        <v>35</v>
      </c>
      <c r="D1913" s="2">
        <v>72</v>
      </c>
      <c r="E1913" s="2" t="str">
        <f t="shared" si="118"/>
        <v>60+</v>
      </c>
      <c r="F1913" s="2" t="s">
        <v>30</v>
      </c>
      <c r="G1913" s="2" t="s">
        <v>21</v>
      </c>
      <c r="H1913" s="2">
        <v>17</v>
      </c>
      <c r="I1913" s="2" t="str">
        <f t="shared" si="116"/>
        <v>13-24 months</v>
      </c>
      <c r="J1913" s="3">
        <v>699</v>
      </c>
      <c r="K1913" s="3">
        <v>11883</v>
      </c>
      <c r="L1913" s="2" t="s">
        <v>31</v>
      </c>
      <c r="M1913" s="4">
        <v>45404</v>
      </c>
      <c r="N1913" s="2" t="s">
        <v>23</v>
      </c>
      <c r="O1913" s="2">
        <f t="shared" si="119"/>
        <v>0</v>
      </c>
      <c r="P1913" s="2" t="s">
        <v>23</v>
      </c>
      <c r="Q1913" s="2" t="s">
        <v>23</v>
      </c>
      <c r="R1913" s="2" t="s">
        <v>23</v>
      </c>
      <c r="S1913" s="2" t="s">
        <v>23</v>
      </c>
      <c r="T1913" s="2" t="s">
        <v>23</v>
      </c>
      <c r="U1913" s="25">
        <f t="shared" si="117"/>
        <v>11883.001913</v>
      </c>
    </row>
    <row r="1914" spans="1:21">
      <c r="A1914" s="2" t="s">
        <v>2792</v>
      </c>
      <c r="B1914" s="2" t="s">
        <v>1691</v>
      </c>
      <c r="C1914" s="2" t="s">
        <v>19</v>
      </c>
      <c r="D1914" s="2">
        <v>21</v>
      </c>
      <c r="E1914" s="2" t="str">
        <f t="shared" si="118"/>
        <v>18-25</v>
      </c>
      <c r="F1914" s="2" t="s">
        <v>26</v>
      </c>
      <c r="G1914" s="2" t="s">
        <v>47</v>
      </c>
      <c r="H1914" s="2">
        <v>40</v>
      </c>
      <c r="I1914" s="2" t="str">
        <f t="shared" si="116"/>
        <v>25-48 months</v>
      </c>
      <c r="J1914" s="3">
        <v>799</v>
      </c>
      <c r="K1914" s="3">
        <v>31960</v>
      </c>
      <c r="L1914" s="2" t="s">
        <v>31</v>
      </c>
      <c r="M1914" s="4">
        <v>44719</v>
      </c>
      <c r="N1914" s="2" t="s">
        <v>23</v>
      </c>
      <c r="O1914" s="2">
        <f t="shared" si="119"/>
        <v>0</v>
      </c>
      <c r="P1914" s="2" t="s">
        <v>23</v>
      </c>
      <c r="Q1914" s="2" t="s">
        <v>23</v>
      </c>
      <c r="R1914" s="2" t="s">
        <v>23</v>
      </c>
      <c r="S1914" s="2" t="s">
        <v>23</v>
      </c>
      <c r="T1914" s="2" t="s">
        <v>23</v>
      </c>
      <c r="U1914" s="25">
        <f t="shared" si="117"/>
        <v>31960.001914</v>
      </c>
    </row>
    <row r="1915" spans="1:21">
      <c r="A1915" s="2" t="s">
        <v>2793</v>
      </c>
      <c r="B1915" s="2" t="s">
        <v>1144</v>
      </c>
      <c r="C1915" s="2" t="s">
        <v>35</v>
      </c>
      <c r="D1915" s="2">
        <v>66</v>
      </c>
      <c r="E1915" s="2" t="str">
        <f t="shared" si="118"/>
        <v>60+</v>
      </c>
      <c r="F1915" s="2" t="s">
        <v>30</v>
      </c>
      <c r="G1915" s="2" t="s">
        <v>27</v>
      </c>
      <c r="H1915" s="2">
        <v>10</v>
      </c>
      <c r="I1915" s="2" t="str">
        <f t="shared" si="116"/>
        <v>7-12 months</v>
      </c>
      <c r="J1915" s="3">
        <v>1099</v>
      </c>
      <c r="K1915" s="3">
        <v>10990</v>
      </c>
      <c r="L1915" s="2" t="s">
        <v>22</v>
      </c>
      <c r="M1915" s="4">
        <v>45601</v>
      </c>
      <c r="N1915" s="2" t="s">
        <v>23</v>
      </c>
      <c r="O1915" s="2">
        <f t="shared" si="119"/>
        <v>0</v>
      </c>
      <c r="P1915" s="2" t="s">
        <v>23</v>
      </c>
      <c r="Q1915" s="2" t="s">
        <v>23</v>
      </c>
      <c r="R1915" s="2" t="s">
        <v>23</v>
      </c>
      <c r="S1915" s="2" t="s">
        <v>23</v>
      </c>
      <c r="T1915" s="2" t="s">
        <v>23</v>
      </c>
      <c r="U1915" s="25">
        <f t="shared" si="117"/>
        <v>10990.001915000001</v>
      </c>
    </row>
    <row r="1916" spans="1:21">
      <c r="A1916" s="2" t="s">
        <v>2794</v>
      </c>
      <c r="B1916" s="2" t="s">
        <v>984</v>
      </c>
      <c r="C1916" s="2" t="s">
        <v>35</v>
      </c>
      <c r="D1916" s="2">
        <v>25</v>
      </c>
      <c r="E1916" s="2" t="str">
        <f t="shared" si="118"/>
        <v>18-25</v>
      </c>
      <c r="F1916" s="2" t="s">
        <v>30</v>
      </c>
      <c r="G1916" s="2" t="s">
        <v>27</v>
      </c>
      <c r="H1916" s="2">
        <v>37</v>
      </c>
      <c r="I1916" s="2" t="str">
        <f t="shared" si="116"/>
        <v>25-48 months</v>
      </c>
      <c r="J1916" s="3">
        <v>999</v>
      </c>
      <c r="K1916" s="3">
        <v>36963</v>
      </c>
      <c r="L1916" s="2" t="s">
        <v>22</v>
      </c>
      <c r="M1916" s="4">
        <v>44790</v>
      </c>
      <c r="N1916" s="2" t="s">
        <v>23</v>
      </c>
      <c r="O1916" s="2">
        <f t="shared" si="119"/>
        <v>0</v>
      </c>
      <c r="P1916" s="2" t="s">
        <v>23</v>
      </c>
      <c r="Q1916" s="2" t="s">
        <v>23</v>
      </c>
      <c r="R1916" s="2" t="s">
        <v>23</v>
      </c>
      <c r="S1916" s="2" t="s">
        <v>23</v>
      </c>
      <c r="T1916" s="2" t="s">
        <v>23</v>
      </c>
      <c r="U1916" s="25">
        <f t="shared" si="117"/>
        <v>36963.001916000001</v>
      </c>
    </row>
    <row r="1917" spans="1:21">
      <c r="A1917" s="2" t="s">
        <v>2795</v>
      </c>
      <c r="B1917" s="2" t="s">
        <v>1691</v>
      </c>
      <c r="C1917" s="2" t="s">
        <v>19</v>
      </c>
      <c r="D1917" s="2">
        <v>32</v>
      </c>
      <c r="E1917" s="2" t="str">
        <f t="shared" si="118"/>
        <v>26-35</v>
      </c>
      <c r="F1917" s="2" t="s">
        <v>60</v>
      </c>
      <c r="G1917" s="2" t="s">
        <v>21</v>
      </c>
      <c r="H1917" s="2">
        <v>7</v>
      </c>
      <c r="I1917" s="2" t="str">
        <f t="shared" si="116"/>
        <v>7-12 months</v>
      </c>
      <c r="J1917" s="3">
        <v>599</v>
      </c>
      <c r="K1917" s="3">
        <v>4193</v>
      </c>
      <c r="L1917" s="2" t="s">
        <v>31</v>
      </c>
      <c r="M1917" s="4">
        <v>45691</v>
      </c>
      <c r="N1917" s="2" t="s">
        <v>23</v>
      </c>
      <c r="O1917" s="2">
        <f t="shared" si="119"/>
        <v>0</v>
      </c>
      <c r="P1917" s="2" t="s">
        <v>23</v>
      </c>
      <c r="Q1917" s="2" t="s">
        <v>23</v>
      </c>
      <c r="R1917" s="2" t="s">
        <v>23</v>
      </c>
      <c r="S1917" s="2" t="s">
        <v>23</v>
      </c>
      <c r="T1917" s="2" t="s">
        <v>23</v>
      </c>
      <c r="U1917" s="25">
        <f t="shared" si="117"/>
        <v>4193.0019169999996</v>
      </c>
    </row>
    <row r="1918" spans="1:21">
      <c r="A1918" s="2" t="s">
        <v>2796</v>
      </c>
      <c r="B1918" s="2" t="s">
        <v>1345</v>
      </c>
      <c r="C1918" s="2" t="s">
        <v>19</v>
      </c>
      <c r="D1918" s="2">
        <v>70</v>
      </c>
      <c r="E1918" s="2" t="str">
        <f t="shared" si="118"/>
        <v>60+</v>
      </c>
      <c r="F1918" s="2" t="s">
        <v>71</v>
      </c>
      <c r="G1918" s="2" t="s">
        <v>21</v>
      </c>
      <c r="H1918" s="2">
        <v>6</v>
      </c>
      <c r="I1918" s="2" t="str">
        <f t="shared" si="116"/>
        <v>0-6 months</v>
      </c>
      <c r="J1918" s="3">
        <v>899</v>
      </c>
      <c r="K1918" s="3">
        <v>5394</v>
      </c>
      <c r="L1918" s="2" t="s">
        <v>22</v>
      </c>
      <c r="M1918" s="4">
        <v>45731</v>
      </c>
      <c r="N1918" s="2" t="s">
        <v>23</v>
      </c>
      <c r="O1918" s="2">
        <f t="shared" si="119"/>
        <v>0</v>
      </c>
      <c r="P1918" s="2" t="s">
        <v>23</v>
      </c>
      <c r="Q1918" s="2" t="s">
        <v>32</v>
      </c>
      <c r="R1918" s="2" t="s">
        <v>23</v>
      </c>
      <c r="S1918" s="2" t="s">
        <v>23</v>
      </c>
      <c r="T1918" s="2" t="s">
        <v>23</v>
      </c>
      <c r="U1918" s="25">
        <f t="shared" si="117"/>
        <v>5394.0019179999999</v>
      </c>
    </row>
    <row r="1919" spans="1:21">
      <c r="A1919" s="2" t="s">
        <v>2797</v>
      </c>
      <c r="B1919" s="2" t="s">
        <v>1228</v>
      </c>
      <c r="C1919" s="2" t="s">
        <v>19</v>
      </c>
      <c r="D1919" s="2">
        <v>40</v>
      </c>
      <c r="E1919" s="2" t="str">
        <f t="shared" si="118"/>
        <v>36-45</v>
      </c>
      <c r="F1919" s="2" t="s">
        <v>110</v>
      </c>
      <c r="G1919" s="2" t="s">
        <v>21</v>
      </c>
      <c r="H1919" s="2">
        <v>7</v>
      </c>
      <c r="I1919" s="2" t="str">
        <f t="shared" si="116"/>
        <v>7-12 months</v>
      </c>
      <c r="J1919" s="3">
        <v>1049</v>
      </c>
      <c r="K1919" s="3">
        <v>7343</v>
      </c>
      <c r="L1919" s="2" t="s">
        <v>22</v>
      </c>
      <c r="M1919" s="4">
        <v>45708</v>
      </c>
      <c r="N1919" s="2" t="s">
        <v>32</v>
      </c>
      <c r="O1919" s="2">
        <f t="shared" si="119"/>
        <v>1</v>
      </c>
      <c r="P1919" s="2" t="s">
        <v>23</v>
      </c>
      <c r="Q1919" s="2" t="s">
        <v>23</v>
      </c>
      <c r="R1919" s="2" t="s">
        <v>23</v>
      </c>
      <c r="S1919" s="2" t="s">
        <v>23</v>
      </c>
      <c r="T1919" s="2" t="s">
        <v>23</v>
      </c>
      <c r="U1919" s="25">
        <f t="shared" si="117"/>
        <v>7343.0019190000003</v>
      </c>
    </row>
    <row r="1920" spans="1:21">
      <c r="A1920" s="2" t="s">
        <v>2798</v>
      </c>
      <c r="B1920" s="2" t="s">
        <v>283</v>
      </c>
      <c r="C1920" s="2" t="s">
        <v>19</v>
      </c>
      <c r="D1920" s="2">
        <v>25</v>
      </c>
      <c r="E1920" s="2" t="str">
        <f t="shared" si="118"/>
        <v>18-25</v>
      </c>
      <c r="F1920" s="2" t="s">
        <v>60</v>
      </c>
      <c r="G1920" s="2" t="s">
        <v>27</v>
      </c>
      <c r="H1920" s="2">
        <v>14</v>
      </c>
      <c r="I1920" s="2" t="str">
        <f t="shared" si="116"/>
        <v>13-24 months</v>
      </c>
      <c r="J1920" s="3">
        <v>1199</v>
      </c>
      <c r="K1920" s="3">
        <v>16786</v>
      </c>
      <c r="L1920" s="2" t="s">
        <v>22</v>
      </c>
      <c r="M1920" s="4">
        <v>45483</v>
      </c>
      <c r="N1920" s="2" t="s">
        <v>23</v>
      </c>
      <c r="O1920" s="2">
        <f t="shared" si="119"/>
        <v>0</v>
      </c>
      <c r="P1920" s="2" t="s">
        <v>23</v>
      </c>
      <c r="Q1920" s="2" t="s">
        <v>23</v>
      </c>
      <c r="R1920" s="2" t="s">
        <v>23</v>
      </c>
      <c r="S1920" s="2" t="s">
        <v>23</v>
      </c>
      <c r="T1920" s="2" t="s">
        <v>23</v>
      </c>
      <c r="U1920" s="25">
        <f t="shared" si="117"/>
        <v>16786.001919999999</v>
      </c>
    </row>
    <row r="1921" spans="1:21">
      <c r="A1921" s="2" t="s">
        <v>2799</v>
      </c>
      <c r="B1921" s="2" t="s">
        <v>2800</v>
      </c>
      <c r="C1921" s="2" t="s">
        <v>19</v>
      </c>
      <c r="D1921" s="2">
        <v>54</v>
      </c>
      <c r="E1921" s="2" t="str">
        <f t="shared" si="118"/>
        <v>46-60</v>
      </c>
      <c r="F1921" s="2" t="s">
        <v>57</v>
      </c>
      <c r="G1921" s="2" t="s">
        <v>21</v>
      </c>
      <c r="H1921" s="2">
        <v>16</v>
      </c>
      <c r="I1921" s="2" t="str">
        <f t="shared" si="116"/>
        <v>13-24 months</v>
      </c>
      <c r="J1921" s="3">
        <v>1049</v>
      </c>
      <c r="K1921" s="3">
        <v>16784</v>
      </c>
      <c r="L1921" s="2" t="s">
        <v>22</v>
      </c>
      <c r="M1921" s="4">
        <v>45433</v>
      </c>
      <c r="N1921" s="2" t="s">
        <v>23</v>
      </c>
      <c r="O1921" s="2">
        <f t="shared" si="119"/>
        <v>0</v>
      </c>
      <c r="P1921" s="2" t="s">
        <v>23</v>
      </c>
      <c r="Q1921" s="2" t="s">
        <v>23</v>
      </c>
      <c r="R1921" s="2" t="s">
        <v>23</v>
      </c>
      <c r="S1921" s="2" t="s">
        <v>23</v>
      </c>
      <c r="T1921" s="2" t="s">
        <v>23</v>
      </c>
      <c r="U1921" s="25">
        <f t="shared" si="117"/>
        <v>16784.001920999999</v>
      </c>
    </row>
    <row r="1922" spans="1:21">
      <c r="A1922" s="2" t="s">
        <v>2801</v>
      </c>
      <c r="B1922" s="2" t="s">
        <v>699</v>
      </c>
      <c r="C1922" s="2" t="s">
        <v>19</v>
      </c>
      <c r="D1922" s="2">
        <v>65</v>
      </c>
      <c r="E1922" s="2" t="str">
        <f t="shared" si="118"/>
        <v>60+</v>
      </c>
      <c r="F1922" s="2" t="s">
        <v>105</v>
      </c>
      <c r="G1922" s="2" t="s">
        <v>47</v>
      </c>
      <c r="H1922" s="2">
        <v>51</v>
      </c>
      <c r="I1922" s="2" t="str">
        <f t="shared" ref="I1922:I1985" si="120">IF(H1922="","Unknown",IF(H1922&lt;=6,"0-6 months",IF(H1922&lt;=12,"7-12 months",IF(H1922&lt;=24,"13-24 months",IF(H1922&lt;=48,"25-48 months","49+ months")))))</f>
        <v>49+ months</v>
      </c>
      <c r="J1922" s="3">
        <v>899</v>
      </c>
      <c r="K1922" s="3">
        <v>45849</v>
      </c>
      <c r="L1922" s="2" t="s">
        <v>22</v>
      </c>
      <c r="M1922" s="4">
        <v>44372</v>
      </c>
      <c r="N1922" s="2" t="s">
        <v>23</v>
      </c>
      <c r="O1922" s="2">
        <f t="shared" si="119"/>
        <v>0</v>
      </c>
      <c r="P1922" s="2" t="s">
        <v>23</v>
      </c>
      <c r="Q1922" s="2" t="s">
        <v>23</v>
      </c>
      <c r="R1922" s="2" t="s">
        <v>32</v>
      </c>
      <c r="S1922" s="2" t="s">
        <v>23</v>
      </c>
      <c r="T1922" s="2" t="s">
        <v>23</v>
      </c>
      <c r="U1922" s="25">
        <f t="shared" ref="U1922:U1985" si="121">IF(K1922="","",K1922+ROW()/1000000)</f>
        <v>45849.001922000003</v>
      </c>
    </row>
    <row r="1923" spans="1:21">
      <c r="A1923" s="2" t="s">
        <v>2802</v>
      </c>
      <c r="B1923" s="2" t="s">
        <v>1809</v>
      </c>
      <c r="C1923" s="2" t="s">
        <v>35</v>
      </c>
      <c r="D1923" s="2">
        <v>56</v>
      </c>
      <c r="E1923" s="2" t="str">
        <f t="shared" ref="E1923:E1986" si="122">IF(D1923&lt;=25,"18-25",IF(D1923&lt;=35,"26-35",IF(D1923&lt;=45,"36-45",IF(D1923&lt;=60,"46-60","60+"))))</f>
        <v>46-60</v>
      </c>
      <c r="F1923" s="2" t="s">
        <v>91</v>
      </c>
      <c r="G1923" s="2" t="s">
        <v>21</v>
      </c>
      <c r="H1923" s="2">
        <v>14</v>
      </c>
      <c r="I1923" s="2" t="str">
        <f t="shared" si="120"/>
        <v>13-24 months</v>
      </c>
      <c r="J1923" s="3">
        <v>1049</v>
      </c>
      <c r="K1923" s="3">
        <v>14686</v>
      </c>
      <c r="L1923" s="2" t="s">
        <v>22</v>
      </c>
      <c r="M1923" s="4">
        <v>45490</v>
      </c>
      <c r="N1923" s="2" t="s">
        <v>23</v>
      </c>
      <c r="O1923" s="2">
        <f t="shared" ref="O1923:O1986" si="123">IF(N1923="Yes",1,IF(N1923="No",0,""))</f>
        <v>0</v>
      </c>
      <c r="P1923" s="2" t="s">
        <v>23</v>
      </c>
      <c r="Q1923" s="2" t="s">
        <v>23</v>
      </c>
      <c r="R1923" s="2" t="s">
        <v>23</v>
      </c>
      <c r="S1923" s="2" t="s">
        <v>23</v>
      </c>
      <c r="T1923" s="2" t="s">
        <v>23</v>
      </c>
      <c r="U1923" s="25">
        <f t="shared" si="121"/>
        <v>14686.001923</v>
      </c>
    </row>
    <row r="1924" spans="1:21">
      <c r="A1924" s="2" t="s">
        <v>2803</v>
      </c>
      <c r="B1924" s="2" t="s">
        <v>948</v>
      </c>
      <c r="C1924" s="2" t="s">
        <v>19</v>
      </c>
      <c r="D1924" s="2">
        <v>21</v>
      </c>
      <c r="E1924" s="2" t="str">
        <f t="shared" si="122"/>
        <v>18-25</v>
      </c>
      <c r="F1924" s="2" t="s">
        <v>26</v>
      </c>
      <c r="G1924" s="2" t="s">
        <v>27</v>
      </c>
      <c r="H1924" s="2">
        <v>15</v>
      </c>
      <c r="I1924" s="2" t="str">
        <f t="shared" si="120"/>
        <v>13-24 months</v>
      </c>
      <c r="J1924" s="3">
        <v>799</v>
      </c>
      <c r="K1924" s="3">
        <v>11985</v>
      </c>
      <c r="L1924" s="2" t="s">
        <v>31</v>
      </c>
      <c r="M1924" s="4">
        <v>45452</v>
      </c>
      <c r="N1924" s="2" t="s">
        <v>23</v>
      </c>
      <c r="O1924" s="2">
        <f t="shared" si="123"/>
        <v>0</v>
      </c>
      <c r="P1924" s="2" t="s">
        <v>23</v>
      </c>
      <c r="Q1924" s="2" t="s">
        <v>23</v>
      </c>
      <c r="R1924" s="2" t="s">
        <v>23</v>
      </c>
      <c r="S1924" s="2" t="s">
        <v>23</v>
      </c>
      <c r="T1924" s="2" t="s">
        <v>23</v>
      </c>
      <c r="U1924" s="25">
        <f t="shared" si="121"/>
        <v>11985.001924</v>
      </c>
    </row>
    <row r="1925" spans="1:21">
      <c r="A1925" s="2" t="s">
        <v>2804</v>
      </c>
      <c r="B1925" s="2" t="s">
        <v>1996</v>
      </c>
      <c r="C1925" s="2" t="s">
        <v>35</v>
      </c>
      <c r="D1925" s="2">
        <v>63</v>
      </c>
      <c r="E1925" s="2" t="str">
        <f t="shared" si="122"/>
        <v>60+</v>
      </c>
      <c r="F1925" s="2" t="s">
        <v>41</v>
      </c>
      <c r="G1925" s="2" t="s">
        <v>21</v>
      </c>
      <c r="H1925" s="2">
        <v>17</v>
      </c>
      <c r="I1925" s="2" t="str">
        <f t="shared" si="120"/>
        <v>13-24 months</v>
      </c>
      <c r="J1925" s="3">
        <v>1049</v>
      </c>
      <c r="K1925" s="3">
        <v>17833</v>
      </c>
      <c r="L1925" s="2" t="s">
        <v>22</v>
      </c>
      <c r="M1925" s="4">
        <v>45406</v>
      </c>
      <c r="N1925" s="2" t="s">
        <v>23</v>
      </c>
      <c r="O1925" s="2">
        <f t="shared" si="123"/>
        <v>0</v>
      </c>
      <c r="P1925" s="2" t="s">
        <v>23</v>
      </c>
      <c r="Q1925" s="2" t="s">
        <v>23</v>
      </c>
      <c r="R1925" s="2" t="s">
        <v>23</v>
      </c>
      <c r="S1925" s="2" t="s">
        <v>23</v>
      </c>
      <c r="T1925" s="2" t="s">
        <v>23</v>
      </c>
      <c r="U1925" s="25">
        <f t="shared" si="121"/>
        <v>17833.001925</v>
      </c>
    </row>
    <row r="1926" spans="1:21">
      <c r="A1926" s="2" t="s">
        <v>2805</v>
      </c>
      <c r="B1926" s="2" t="s">
        <v>88</v>
      </c>
      <c r="C1926" s="2" t="s">
        <v>35</v>
      </c>
      <c r="D1926" s="2">
        <v>37</v>
      </c>
      <c r="E1926" s="2" t="str">
        <f t="shared" si="122"/>
        <v>36-45</v>
      </c>
      <c r="F1926" s="2" t="s">
        <v>91</v>
      </c>
      <c r="G1926" s="2" t="s">
        <v>27</v>
      </c>
      <c r="H1926" s="2">
        <v>40</v>
      </c>
      <c r="I1926" s="2" t="str">
        <f t="shared" si="120"/>
        <v>25-48 months</v>
      </c>
      <c r="J1926" s="3">
        <v>549</v>
      </c>
      <c r="K1926" s="3">
        <v>21960</v>
      </c>
      <c r="L1926" s="2" t="s">
        <v>66</v>
      </c>
      <c r="M1926" s="4">
        <v>44723</v>
      </c>
      <c r="N1926" s="2" t="s">
        <v>23</v>
      </c>
      <c r="O1926" s="2">
        <f t="shared" si="123"/>
        <v>0</v>
      </c>
      <c r="P1926" s="2" t="s">
        <v>23</v>
      </c>
      <c r="Q1926" s="2" t="s">
        <v>23</v>
      </c>
      <c r="R1926" s="2" t="s">
        <v>23</v>
      </c>
      <c r="S1926" s="2" t="s">
        <v>23</v>
      </c>
      <c r="T1926" s="2" t="s">
        <v>23</v>
      </c>
      <c r="U1926" s="25">
        <f t="shared" si="121"/>
        <v>21960.001926000001</v>
      </c>
    </row>
    <row r="1927" spans="1:21">
      <c r="A1927" s="2" t="s">
        <v>2806</v>
      </c>
      <c r="B1927" s="2" t="s">
        <v>2479</v>
      </c>
      <c r="C1927" s="2" t="s">
        <v>35</v>
      </c>
      <c r="D1927" s="2">
        <v>58</v>
      </c>
      <c r="E1927" s="2" t="str">
        <f t="shared" si="122"/>
        <v>46-60</v>
      </c>
      <c r="F1927" s="2" t="s">
        <v>141</v>
      </c>
      <c r="G1927" s="2" t="s">
        <v>27</v>
      </c>
      <c r="H1927" s="2">
        <v>9</v>
      </c>
      <c r="I1927" s="2" t="str">
        <f t="shared" si="120"/>
        <v>7-12 months</v>
      </c>
      <c r="J1927" s="3">
        <v>1199</v>
      </c>
      <c r="K1927" s="3">
        <v>10791</v>
      </c>
      <c r="L1927" s="2" t="s">
        <v>22</v>
      </c>
      <c r="M1927" s="4">
        <v>45657</v>
      </c>
      <c r="N1927" s="2" t="s">
        <v>23</v>
      </c>
      <c r="O1927" s="2">
        <f t="shared" si="123"/>
        <v>0</v>
      </c>
      <c r="P1927" s="2" t="s">
        <v>23</v>
      </c>
      <c r="Q1927" s="2" t="s">
        <v>23</v>
      </c>
      <c r="R1927" s="2" t="s">
        <v>23</v>
      </c>
      <c r="S1927" s="2" t="s">
        <v>23</v>
      </c>
      <c r="T1927" s="2" t="s">
        <v>23</v>
      </c>
      <c r="U1927" s="25">
        <f t="shared" si="121"/>
        <v>10791.001926999999</v>
      </c>
    </row>
    <row r="1928" spans="1:21">
      <c r="A1928" s="2" t="s">
        <v>2807</v>
      </c>
      <c r="B1928" s="2" t="s">
        <v>544</v>
      </c>
      <c r="C1928" s="2" t="s">
        <v>19</v>
      </c>
      <c r="D1928" s="2">
        <v>46</v>
      </c>
      <c r="E1928" s="2" t="str">
        <f t="shared" si="122"/>
        <v>46-60</v>
      </c>
      <c r="F1928" s="2" t="s">
        <v>141</v>
      </c>
      <c r="G1928" s="2" t="s">
        <v>27</v>
      </c>
      <c r="H1928" s="2">
        <v>39</v>
      </c>
      <c r="I1928" s="2" t="str">
        <f t="shared" si="120"/>
        <v>25-48 months</v>
      </c>
      <c r="J1928" s="3">
        <v>1199</v>
      </c>
      <c r="K1928" s="3">
        <v>46761</v>
      </c>
      <c r="L1928" s="2" t="s">
        <v>22</v>
      </c>
      <c r="M1928" s="4">
        <v>44749</v>
      </c>
      <c r="N1928" s="2" t="s">
        <v>23</v>
      </c>
      <c r="O1928" s="2">
        <f t="shared" si="123"/>
        <v>0</v>
      </c>
      <c r="P1928" s="2" t="s">
        <v>23</v>
      </c>
      <c r="Q1928" s="2" t="s">
        <v>23</v>
      </c>
      <c r="R1928" s="2" t="s">
        <v>23</v>
      </c>
      <c r="S1928" s="2" t="s">
        <v>23</v>
      </c>
      <c r="T1928" s="2" t="s">
        <v>23</v>
      </c>
      <c r="U1928" s="25">
        <f t="shared" si="121"/>
        <v>46761.001927999998</v>
      </c>
    </row>
    <row r="1929" spans="1:21">
      <c r="A1929" s="2" t="s">
        <v>2808</v>
      </c>
      <c r="B1929" s="2" t="s">
        <v>1219</v>
      </c>
      <c r="C1929" s="2" t="s">
        <v>19</v>
      </c>
      <c r="D1929" s="2">
        <v>75</v>
      </c>
      <c r="E1929" s="2" t="str">
        <f t="shared" si="122"/>
        <v>60+</v>
      </c>
      <c r="F1929" s="2" t="s">
        <v>41</v>
      </c>
      <c r="G1929" s="2" t="s">
        <v>21</v>
      </c>
      <c r="H1929" s="2">
        <v>19</v>
      </c>
      <c r="I1929" s="2" t="str">
        <f t="shared" si="120"/>
        <v>13-24 months</v>
      </c>
      <c r="J1929" s="3">
        <v>449</v>
      </c>
      <c r="K1929" s="3">
        <v>8531</v>
      </c>
      <c r="L1929" s="2" t="s">
        <v>66</v>
      </c>
      <c r="M1929" s="4">
        <v>45333</v>
      </c>
      <c r="N1929" s="2" t="s">
        <v>23</v>
      </c>
      <c r="O1929" s="2">
        <f t="shared" si="123"/>
        <v>0</v>
      </c>
      <c r="P1929" s="2" t="s">
        <v>23</v>
      </c>
      <c r="Q1929" s="2" t="s">
        <v>23</v>
      </c>
      <c r="R1929" s="2" t="s">
        <v>23</v>
      </c>
      <c r="S1929" s="2" t="s">
        <v>23</v>
      </c>
      <c r="T1929" s="2" t="s">
        <v>23</v>
      </c>
      <c r="U1929" s="25">
        <f t="shared" si="121"/>
        <v>8531.001929</v>
      </c>
    </row>
    <row r="1930" spans="1:21">
      <c r="A1930" s="2" t="s">
        <v>2809</v>
      </c>
      <c r="B1930" s="2" t="s">
        <v>2112</v>
      </c>
      <c r="C1930" s="2" t="s">
        <v>19</v>
      </c>
      <c r="D1930" s="2">
        <v>45</v>
      </c>
      <c r="E1930" s="2" t="str">
        <f t="shared" si="122"/>
        <v>36-45</v>
      </c>
      <c r="F1930" s="2" t="s">
        <v>60</v>
      </c>
      <c r="G1930" s="2" t="s">
        <v>27</v>
      </c>
      <c r="H1930" s="2">
        <v>26</v>
      </c>
      <c r="I1930" s="2" t="str">
        <f t="shared" si="120"/>
        <v>25-48 months</v>
      </c>
      <c r="J1930" s="3">
        <v>799</v>
      </c>
      <c r="K1930" s="3">
        <v>20774</v>
      </c>
      <c r="L1930" s="2" t="s">
        <v>31</v>
      </c>
      <c r="M1930" s="4">
        <v>45142</v>
      </c>
      <c r="N1930" s="2" t="s">
        <v>23</v>
      </c>
      <c r="O1930" s="2">
        <f t="shared" si="123"/>
        <v>0</v>
      </c>
      <c r="P1930" s="2" t="s">
        <v>23</v>
      </c>
      <c r="Q1930" s="2" t="s">
        <v>23</v>
      </c>
      <c r="R1930" s="2" t="s">
        <v>23</v>
      </c>
      <c r="S1930" s="2" t="s">
        <v>23</v>
      </c>
      <c r="T1930" s="2" t="s">
        <v>23</v>
      </c>
      <c r="U1930" s="25">
        <f t="shared" si="121"/>
        <v>20774.001929999999</v>
      </c>
    </row>
    <row r="1931" spans="1:21">
      <c r="A1931" s="2" t="s">
        <v>2810</v>
      </c>
      <c r="B1931" s="2" t="s">
        <v>1092</v>
      </c>
      <c r="C1931" s="2" t="s">
        <v>19</v>
      </c>
      <c r="D1931" s="2">
        <v>50</v>
      </c>
      <c r="E1931" s="2" t="str">
        <f t="shared" si="122"/>
        <v>46-60</v>
      </c>
      <c r="F1931" s="2" t="s">
        <v>30</v>
      </c>
      <c r="G1931" s="2" t="s">
        <v>27</v>
      </c>
      <c r="H1931" s="2">
        <v>8</v>
      </c>
      <c r="I1931" s="2" t="str">
        <f t="shared" si="120"/>
        <v>7-12 months</v>
      </c>
      <c r="J1931" s="3">
        <v>549</v>
      </c>
      <c r="K1931" s="3">
        <v>4392</v>
      </c>
      <c r="L1931" s="2" t="s">
        <v>66</v>
      </c>
      <c r="M1931" s="4">
        <v>45673</v>
      </c>
      <c r="N1931" s="2" t="s">
        <v>23</v>
      </c>
      <c r="O1931" s="2">
        <f t="shared" si="123"/>
        <v>0</v>
      </c>
      <c r="P1931" s="2" t="s">
        <v>23</v>
      </c>
      <c r="Q1931" s="2" t="s">
        <v>23</v>
      </c>
      <c r="R1931" s="2" t="s">
        <v>23</v>
      </c>
      <c r="S1931" s="2" t="s">
        <v>23</v>
      </c>
      <c r="T1931" s="2" t="s">
        <v>23</v>
      </c>
      <c r="U1931" s="25">
        <f t="shared" si="121"/>
        <v>4392.0019309999998</v>
      </c>
    </row>
    <row r="1932" spans="1:21">
      <c r="A1932" s="2" t="s">
        <v>2811</v>
      </c>
      <c r="B1932" s="2" t="s">
        <v>1398</v>
      </c>
      <c r="C1932" s="2" t="s">
        <v>19</v>
      </c>
      <c r="D1932" s="2">
        <v>54</v>
      </c>
      <c r="E1932" s="2" t="str">
        <f t="shared" si="122"/>
        <v>46-60</v>
      </c>
      <c r="F1932" s="2" t="s">
        <v>36</v>
      </c>
      <c r="G1932" s="2" t="s">
        <v>47</v>
      </c>
      <c r="H1932" s="2">
        <v>22</v>
      </c>
      <c r="I1932" s="2" t="str">
        <f t="shared" si="120"/>
        <v>13-24 months</v>
      </c>
      <c r="J1932" s="3">
        <v>899</v>
      </c>
      <c r="K1932" s="3">
        <v>19778</v>
      </c>
      <c r="L1932" s="2" t="s">
        <v>31</v>
      </c>
      <c r="M1932" s="4">
        <v>45267</v>
      </c>
      <c r="N1932" s="2" t="s">
        <v>23</v>
      </c>
      <c r="O1932" s="2">
        <f t="shared" si="123"/>
        <v>0</v>
      </c>
      <c r="P1932" s="2" t="s">
        <v>23</v>
      </c>
      <c r="Q1932" s="2" t="s">
        <v>23</v>
      </c>
      <c r="R1932" s="2" t="s">
        <v>23</v>
      </c>
      <c r="S1932" s="2" t="s">
        <v>23</v>
      </c>
      <c r="T1932" s="2" t="s">
        <v>23</v>
      </c>
      <c r="U1932" s="25">
        <f t="shared" si="121"/>
        <v>19778.001931999999</v>
      </c>
    </row>
    <row r="1933" spans="1:21">
      <c r="A1933" s="2" t="s">
        <v>2812</v>
      </c>
      <c r="B1933" s="2" t="s">
        <v>548</v>
      </c>
      <c r="C1933" s="2" t="s">
        <v>37</v>
      </c>
      <c r="D1933" s="2">
        <v>53</v>
      </c>
      <c r="E1933" s="2" t="str">
        <f t="shared" si="122"/>
        <v>46-60</v>
      </c>
      <c r="F1933" s="2" t="s">
        <v>57</v>
      </c>
      <c r="G1933" s="2" t="s">
        <v>21</v>
      </c>
      <c r="H1933" s="2">
        <v>7</v>
      </c>
      <c r="I1933" s="2" t="str">
        <f t="shared" si="120"/>
        <v>7-12 months</v>
      </c>
      <c r="J1933" s="3">
        <v>1299</v>
      </c>
      <c r="K1933" s="3">
        <v>9093</v>
      </c>
      <c r="L1933" s="2" t="s">
        <v>22</v>
      </c>
      <c r="M1933" s="4">
        <v>45692</v>
      </c>
      <c r="N1933" s="2" t="s">
        <v>32</v>
      </c>
      <c r="O1933" s="2">
        <f t="shared" si="123"/>
        <v>1</v>
      </c>
      <c r="P1933" s="2" t="s">
        <v>23</v>
      </c>
      <c r="Q1933" s="2" t="s">
        <v>23</v>
      </c>
      <c r="R1933" s="2" t="s">
        <v>23</v>
      </c>
      <c r="S1933" s="2" t="s">
        <v>23</v>
      </c>
      <c r="T1933" s="2" t="s">
        <v>23</v>
      </c>
      <c r="U1933" s="25">
        <f t="shared" si="121"/>
        <v>9093.0019329999996</v>
      </c>
    </row>
    <row r="1934" spans="1:21">
      <c r="A1934" s="2" t="s">
        <v>2813</v>
      </c>
      <c r="B1934" s="2" t="s">
        <v>1859</v>
      </c>
      <c r="C1934" s="2" t="s">
        <v>35</v>
      </c>
      <c r="D1934" s="2">
        <v>66</v>
      </c>
      <c r="E1934" s="2" t="str">
        <f t="shared" si="122"/>
        <v>60+</v>
      </c>
      <c r="F1934" s="2" t="s">
        <v>36</v>
      </c>
      <c r="G1934" s="2" t="s">
        <v>27</v>
      </c>
      <c r="H1934" s="2">
        <v>1</v>
      </c>
      <c r="I1934" s="2" t="str">
        <f t="shared" si="120"/>
        <v>0-6 months</v>
      </c>
      <c r="J1934" s="3">
        <v>1299</v>
      </c>
      <c r="K1934" s="3">
        <v>1299</v>
      </c>
      <c r="L1934" s="2" t="s">
        <v>22</v>
      </c>
      <c r="M1934" s="4">
        <v>45877</v>
      </c>
      <c r="N1934" s="2" t="s">
        <v>32</v>
      </c>
      <c r="O1934" s="2">
        <f t="shared" si="123"/>
        <v>1</v>
      </c>
      <c r="P1934" s="2" t="s">
        <v>23</v>
      </c>
      <c r="Q1934" s="2" t="s">
        <v>23</v>
      </c>
      <c r="R1934" s="2" t="s">
        <v>23</v>
      </c>
      <c r="S1934" s="2" t="s">
        <v>32</v>
      </c>
      <c r="T1934" s="2" t="s">
        <v>23</v>
      </c>
      <c r="U1934" s="25">
        <f t="shared" si="121"/>
        <v>1299.0019339999999</v>
      </c>
    </row>
    <row r="1935" spans="1:21">
      <c r="A1935" s="2" t="s">
        <v>2814</v>
      </c>
      <c r="B1935" s="2" t="s">
        <v>1598</v>
      </c>
      <c r="C1935" s="2" t="s">
        <v>35</v>
      </c>
      <c r="D1935" s="2">
        <v>65</v>
      </c>
      <c r="E1935" s="2" t="str">
        <f t="shared" si="122"/>
        <v>60+</v>
      </c>
      <c r="F1935" s="2" t="s">
        <v>41</v>
      </c>
      <c r="G1935" s="2" t="s">
        <v>21</v>
      </c>
      <c r="H1935" s="2">
        <v>19</v>
      </c>
      <c r="I1935" s="2" t="str">
        <f t="shared" si="120"/>
        <v>13-24 months</v>
      </c>
      <c r="J1935" s="3">
        <v>599</v>
      </c>
      <c r="K1935" s="3">
        <v>11381</v>
      </c>
      <c r="L1935" s="2" t="s">
        <v>31</v>
      </c>
      <c r="M1935" s="4">
        <v>45341</v>
      </c>
      <c r="N1935" s="2" t="s">
        <v>23</v>
      </c>
      <c r="O1935" s="2">
        <f t="shared" si="123"/>
        <v>0</v>
      </c>
      <c r="P1935" s="2" t="s">
        <v>23</v>
      </c>
      <c r="Q1935" s="2" t="s">
        <v>23</v>
      </c>
      <c r="R1935" s="2" t="s">
        <v>23</v>
      </c>
      <c r="S1935" s="2" t="s">
        <v>23</v>
      </c>
      <c r="T1935" s="2" t="s">
        <v>23</v>
      </c>
      <c r="U1935" s="25">
        <f t="shared" si="121"/>
        <v>11381.001935</v>
      </c>
    </row>
    <row r="1936" spans="1:21">
      <c r="A1936" s="2" t="s">
        <v>2815</v>
      </c>
      <c r="B1936" s="2" t="s">
        <v>2435</v>
      </c>
      <c r="C1936" s="2" t="s">
        <v>19</v>
      </c>
      <c r="D1936" s="2">
        <v>37</v>
      </c>
      <c r="E1936" s="2" t="str">
        <f t="shared" si="122"/>
        <v>36-45</v>
      </c>
      <c r="F1936" s="2" t="s">
        <v>63</v>
      </c>
      <c r="G1936" s="2" t="s">
        <v>27</v>
      </c>
      <c r="H1936" s="2">
        <v>8</v>
      </c>
      <c r="I1936" s="2" t="str">
        <f t="shared" si="120"/>
        <v>7-12 months</v>
      </c>
      <c r="J1936" s="3">
        <v>649</v>
      </c>
      <c r="K1936" s="3">
        <v>5192</v>
      </c>
      <c r="L1936" s="2" t="s">
        <v>31</v>
      </c>
      <c r="M1936" s="4">
        <v>45687</v>
      </c>
      <c r="N1936" s="2" t="s">
        <v>32</v>
      </c>
      <c r="O1936" s="2">
        <f t="shared" si="123"/>
        <v>1</v>
      </c>
      <c r="P1936" s="2" t="s">
        <v>23</v>
      </c>
      <c r="Q1936" s="2" t="s">
        <v>23</v>
      </c>
      <c r="R1936" s="2" t="s">
        <v>23</v>
      </c>
      <c r="S1936" s="2" t="s">
        <v>23</v>
      </c>
      <c r="T1936" s="2" t="s">
        <v>23</v>
      </c>
      <c r="U1936" s="25">
        <f t="shared" si="121"/>
        <v>5192.0019359999997</v>
      </c>
    </row>
    <row r="1937" spans="1:21">
      <c r="A1937" s="2" t="s">
        <v>2816</v>
      </c>
      <c r="B1937" s="2" t="s">
        <v>37</v>
      </c>
      <c r="C1937" s="2" t="s">
        <v>35</v>
      </c>
      <c r="D1937" s="2">
        <v>72</v>
      </c>
      <c r="E1937" s="2" t="str">
        <f t="shared" si="122"/>
        <v>60+</v>
      </c>
      <c r="F1937" s="2" t="s">
        <v>26</v>
      </c>
      <c r="G1937" s="2" t="s">
        <v>27</v>
      </c>
      <c r="H1937" s="2">
        <v>21</v>
      </c>
      <c r="I1937" s="2" t="str">
        <f t="shared" si="120"/>
        <v>13-24 months</v>
      </c>
      <c r="J1937" s="3">
        <v>599</v>
      </c>
      <c r="K1937" s="3">
        <v>12579</v>
      </c>
      <c r="L1937" s="2" t="s">
        <v>31</v>
      </c>
      <c r="M1937" s="4"/>
      <c r="N1937" s="2" t="s">
        <v>23</v>
      </c>
      <c r="O1937" s="2">
        <f t="shared" si="123"/>
        <v>0</v>
      </c>
      <c r="P1937" s="2" t="s">
        <v>23</v>
      </c>
      <c r="Q1937" s="2" t="s">
        <v>23</v>
      </c>
      <c r="R1937" s="2" t="s">
        <v>23</v>
      </c>
      <c r="S1937" s="2" t="s">
        <v>23</v>
      </c>
      <c r="T1937" s="2" t="s">
        <v>54</v>
      </c>
      <c r="U1937" s="25">
        <f t="shared" si="121"/>
        <v>12579.001937000001</v>
      </c>
    </row>
    <row r="1938" spans="1:21">
      <c r="A1938" s="2" t="s">
        <v>2817</v>
      </c>
      <c r="B1938" s="2" t="s">
        <v>2818</v>
      </c>
      <c r="C1938" s="2" t="s">
        <v>19</v>
      </c>
      <c r="D1938" s="2">
        <v>75</v>
      </c>
      <c r="E1938" s="2" t="str">
        <f t="shared" si="122"/>
        <v>60+</v>
      </c>
      <c r="F1938" s="2" t="s">
        <v>30</v>
      </c>
      <c r="G1938" s="2" t="s">
        <v>47</v>
      </c>
      <c r="H1938" s="2">
        <v>68</v>
      </c>
      <c r="I1938" s="2" t="str">
        <f t="shared" si="120"/>
        <v>49+ months</v>
      </c>
      <c r="J1938" s="3">
        <v>999</v>
      </c>
      <c r="K1938" s="3">
        <v>67932</v>
      </c>
      <c r="L1938" s="2" t="s">
        <v>22</v>
      </c>
      <c r="M1938" s="4">
        <v>43884</v>
      </c>
      <c r="N1938" s="2" t="s">
        <v>23</v>
      </c>
      <c r="O1938" s="2">
        <f t="shared" si="123"/>
        <v>0</v>
      </c>
      <c r="P1938" s="2" t="s">
        <v>23</v>
      </c>
      <c r="Q1938" s="2" t="s">
        <v>23</v>
      </c>
      <c r="R1938" s="2" t="s">
        <v>23</v>
      </c>
      <c r="S1938" s="2" t="s">
        <v>23</v>
      </c>
      <c r="T1938" s="2" t="s">
        <v>23</v>
      </c>
      <c r="U1938" s="25">
        <f t="shared" si="121"/>
        <v>67932.001938000001</v>
      </c>
    </row>
    <row r="1939" spans="1:21">
      <c r="A1939" s="2" t="s">
        <v>2819</v>
      </c>
      <c r="B1939" s="2" t="s">
        <v>836</v>
      </c>
      <c r="C1939" s="2" t="s">
        <v>37</v>
      </c>
      <c r="D1939" s="2">
        <v>62</v>
      </c>
      <c r="E1939" s="2" t="str">
        <f t="shared" si="122"/>
        <v>60+</v>
      </c>
      <c r="F1939" s="2" t="s">
        <v>30</v>
      </c>
      <c r="G1939" s="2" t="s">
        <v>21</v>
      </c>
      <c r="H1939" s="2">
        <v>19</v>
      </c>
      <c r="I1939" s="2" t="str">
        <f t="shared" si="120"/>
        <v>13-24 months</v>
      </c>
      <c r="J1939" s="3">
        <v>999</v>
      </c>
      <c r="K1939" s="3">
        <v>18981</v>
      </c>
      <c r="L1939" s="2" t="s">
        <v>22</v>
      </c>
      <c r="M1939" s="4">
        <v>45339</v>
      </c>
      <c r="N1939" s="2" t="s">
        <v>32</v>
      </c>
      <c r="O1939" s="2">
        <f t="shared" si="123"/>
        <v>1</v>
      </c>
      <c r="P1939" s="2" t="s">
        <v>23</v>
      </c>
      <c r="Q1939" s="2" t="s">
        <v>23</v>
      </c>
      <c r="R1939" s="2" t="s">
        <v>23</v>
      </c>
      <c r="S1939" s="2" t="s">
        <v>23</v>
      </c>
      <c r="T1939" s="2" t="s">
        <v>23</v>
      </c>
      <c r="U1939" s="25">
        <f t="shared" si="121"/>
        <v>18981.001939000002</v>
      </c>
    </row>
    <row r="1940" spans="1:21">
      <c r="A1940" s="2" t="s">
        <v>2820</v>
      </c>
      <c r="B1940" s="2" t="s">
        <v>695</v>
      </c>
      <c r="C1940" s="2" t="s">
        <v>19</v>
      </c>
      <c r="D1940" s="2">
        <v>39</v>
      </c>
      <c r="E1940" s="2" t="str">
        <f t="shared" si="122"/>
        <v>36-45</v>
      </c>
      <c r="F1940" s="2" t="s">
        <v>26</v>
      </c>
      <c r="G1940" s="2" t="s">
        <v>21</v>
      </c>
      <c r="H1940" s="2">
        <v>14</v>
      </c>
      <c r="I1940" s="2" t="str">
        <f t="shared" si="120"/>
        <v>13-24 months</v>
      </c>
      <c r="J1940" s="3">
        <v>449</v>
      </c>
      <c r="K1940" s="3">
        <v>6286</v>
      </c>
      <c r="L1940" s="2" t="s">
        <v>66</v>
      </c>
      <c r="M1940" s="4">
        <v>45501</v>
      </c>
      <c r="N1940" s="2" t="s">
        <v>23</v>
      </c>
      <c r="O1940" s="2">
        <f t="shared" si="123"/>
        <v>0</v>
      </c>
      <c r="P1940" s="2" t="s">
        <v>23</v>
      </c>
      <c r="Q1940" s="2" t="s">
        <v>23</v>
      </c>
      <c r="R1940" s="2" t="s">
        <v>23</v>
      </c>
      <c r="S1940" s="2" t="s">
        <v>23</v>
      </c>
      <c r="T1940" s="2" t="s">
        <v>23</v>
      </c>
      <c r="U1940" s="25">
        <f t="shared" si="121"/>
        <v>6286.0019400000001</v>
      </c>
    </row>
    <row r="1941" spans="1:21">
      <c r="A1941" s="2" t="s">
        <v>2821</v>
      </c>
      <c r="B1941" s="2" t="s">
        <v>490</v>
      </c>
      <c r="C1941" s="2" t="s">
        <v>19</v>
      </c>
      <c r="D1941" s="2">
        <v>70</v>
      </c>
      <c r="E1941" s="2" t="str">
        <f t="shared" si="122"/>
        <v>60+</v>
      </c>
      <c r="F1941" s="2" t="s">
        <v>105</v>
      </c>
      <c r="G1941" s="2" t="s">
        <v>21</v>
      </c>
      <c r="H1941" s="2">
        <v>6</v>
      </c>
      <c r="I1941" s="2" t="str">
        <f t="shared" si="120"/>
        <v>0-6 months</v>
      </c>
      <c r="J1941" s="3">
        <v>1049</v>
      </c>
      <c r="K1941" s="3">
        <v>6294</v>
      </c>
      <c r="L1941" s="2" t="s">
        <v>22</v>
      </c>
      <c r="M1941" s="4">
        <v>45739</v>
      </c>
      <c r="N1941" s="2" t="s">
        <v>32</v>
      </c>
      <c r="O1941" s="2">
        <f t="shared" si="123"/>
        <v>1</v>
      </c>
      <c r="P1941" s="2" t="s">
        <v>23</v>
      </c>
      <c r="Q1941" s="2" t="s">
        <v>23</v>
      </c>
      <c r="R1941" s="2" t="s">
        <v>23</v>
      </c>
      <c r="S1941" s="2" t="s">
        <v>23</v>
      </c>
      <c r="T1941" s="2" t="s">
        <v>23</v>
      </c>
      <c r="U1941" s="25">
        <f t="shared" si="121"/>
        <v>6294.0019410000004</v>
      </c>
    </row>
    <row r="1942" spans="1:21">
      <c r="A1942" s="2" t="s">
        <v>2822</v>
      </c>
      <c r="B1942" s="2" t="s">
        <v>2377</v>
      </c>
      <c r="C1942" s="2" t="s">
        <v>19</v>
      </c>
      <c r="D1942" s="2">
        <v>57</v>
      </c>
      <c r="E1942" s="2" t="str">
        <f t="shared" si="122"/>
        <v>46-60</v>
      </c>
      <c r="F1942" s="2" t="s">
        <v>36</v>
      </c>
      <c r="G1942" s="2" t="s">
        <v>27</v>
      </c>
      <c r="H1942" s="2">
        <v>16</v>
      </c>
      <c r="I1942" s="2" t="str">
        <f t="shared" si="120"/>
        <v>13-24 months</v>
      </c>
      <c r="J1942" s="3">
        <v>399</v>
      </c>
      <c r="K1942" s="3">
        <v>6384</v>
      </c>
      <c r="L1942" s="2" t="s">
        <v>66</v>
      </c>
      <c r="M1942" s="4">
        <v>45421</v>
      </c>
      <c r="N1942" s="2" t="s">
        <v>23</v>
      </c>
      <c r="O1942" s="2">
        <f t="shared" si="123"/>
        <v>0</v>
      </c>
      <c r="P1942" s="2" t="s">
        <v>23</v>
      </c>
      <c r="Q1942" s="2" t="s">
        <v>32</v>
      </c>
      <c r="R1942" s="2" t="s">
        <v>23</v>
      </c>
      <c r="S1942" s="2" t="s">
        <v>23</v>
      </c>
      <c r="T1942" s="2" t="s">
        <v>23</v>
      </c>
      <c r="U1942" s="25">
        <f t="shared" si="121"/>
        <v>6384.0019419999999</v>
      </c>
    </row>
    <row r="1943" spans="1:21">
      <c r="A1943" s="2" t="s">
        <v>2823</v>
      </c>
      <c r="B1943" s="2" t="s">
        <v>898</v>
      </c>
      <c r="C1943" s="2" t="s">
        <v>19</v>
      </c>
      <c r="D1943" s="2">
        <v>44</v>
      </c>
      <c r="E1943" s="2" t="str">
        <f t="shared" si="122"/>
        <v>36-45</v>
      </c>
      <c r="F1943" s="2" t="s">
        <v>110</v>
      </c>
      <c r="G1943" s="2" t="s">
        <v>27</v>
      </c>
      <c r="H1943" s="2">
        <v>22</v>
      </c>
      <c r="I1943" s="2" t="str">
        <f t="shared" si="120"/>
        <v>13-24 months</v>
      </c>
      <c r="J1943" s="3">
        <v>1049</v>
      </c>
      <c r="K1943" s="3">
        <v>23078</v>
      </c>
      <c r="L1943" s="2" t="s">
        <v>22</v>
      </c>
      <c r="M1943" s="4">
        <v>45256</v>
      </c>
      <c r="N1943" s="2" t="s">
        <v>23</v>
      </c>
      <c r="O1943" s="2">
        <f t="shared" si="123"/>
        <v>0</v>
      </c>
      <c r="P1943" s="2" t="s">
        <v>23</v>
      </c>
      <c r="Q1943" s="2" t="s">
        <v>23</v>
      </c>
      <c r="R1943" s="2" t="s">
        <v>23</v>
      </c>
      <c r="S1943" s="2" t="s">
        <v>23</v>
      </c>
      <c r="T1943" s="2" t="s">
        <v>23</v>
      </c>
      <c r="U1943" s="25">
        <f t="shared" si="121"/>
        <v>23078.001942999999</v>
      </c>
    </row>
    <row r="1944" spans="1:21">
      <c r="A1944" s="2" t="s">
        <v>2824</v>
      </c>
      <c r="B1944" s="2" t="s">
        <v>2350</v>
      </c>
      <c r="C1944" s="2" t="s">
        <v>35</v>
      </c>
      <c r="D1944" s="2">
        <v>70</v>
      </c>
      <c r="E1944" s="2" t="str">
        <f t="shared" si="122"/>
        <v>60+</v>
      </c>
      <c r="F1944" s="2" t="s">
        <v>141</v>
      </c>
      <c r="G1944" s="2" t="s">
        <v>27</v>
      </c>
      <c r="H1944" s="2">
        <v>7</v>
      </c>
      <c r="I1944" s="2" t="str">
        <f t="shared" si="120"/>
        <v>7-12 months</v>
      </c>
      <c r="J1944" s="3">
        <v>799</v>
      </c>
      <c r="K1944" s="3">
        <v>5593</v>
      </c>
      <c r="L1944" s="2" t="s">
        <v>31</v>
      </c>
      <c r="M1944" s="4">
        <v>45708</v>
      </c>
      <c r="N1944" s="2" t="s">
        <v>23</v>
      </c>
      <c r="O1944" s="2">
        <f t="shared" si="123"/>
        <v>0</v>
      </c>
      <c r="P1944" s="2" t="s">
        <v>23</v>
      </c>
      <c r="Q1944" s="2" t="s">
        <v>23</v>
      </c>
      <c r="R1944" s="2" t="s">
        <v>23</v>
      </c>
      <c r="S1944" s="2" t="s">
        <v>32</v>
      </c>
      <c r="T1944" s="2" t="s">
        <v>23</v>
      </c>
      <c r="U1944" s="25">
        <f t="shared" si="121"/>
        <v>5593.0019439999996</v>
      </c>
    </row>
    <row r="1945" spans="1:21">
      <c r="A1945" s="2" t="s">
        <v>2825</v>
      </c>
      <c r="B1945" s="2" t="s">
        <v>989</v>
      </c>
      <c r="C1945" s="2" t="s">
        <v>19</v>
      </c>
      <c r="D1945" s="2">
        <v>73</v>
      </c>
      <c r="E1945" s="2" t="str">
        <f t="shared" si="122"/>
        <v>60+</v>
      </c>
      <c r="F1945" s="2" t="s">
        <v>57</v>
      </c>
      <c r="G1945" s="2" t="s">
        <v>27</v>
      </c>
      <c r="H1945" s="2">
        <v>17</v>
      </c>
      <c r="I1945" s="2" t="str">
        <f t="shared" si="120"/>
        <v>13-24 months</v>
      </c>
      <c r="J1945" s="3">
        <v>599</v>
      </c>
      <c r="K1945" s="3">
        <v>10183</v>
      </c>
      <c r="L1945" s="2" t="s">
        <v>31</v>
      </c>
      <c r="M1945" s="4">
        <v>45397</v>
      </c>
      <c r="N1945" s="2" t="s">
        <v>32</v>
      </c>
      <c r="O1945" s="2">
        <f t="shared" si="123"/>
        <v>1</v>
      </c>
      <c r="P1945" s="2" t="s">
        <v>23</v>
      </c>
      <c r="Q1945" s="2" t="s">
        <v>23</v>
      </c>
      <c r="R1945" s="2" t="s">
        <v>23</v>
      </c>
      <c r="S1945" s="2" t="s">
        <v>23</v>
      </c>
      <c r="T1945" s="2" t="s">
        <v>23</v>
      </c>
      <c r="U1945" s="25">
        <f t="shared" si="121"/>
        <v>10183.001945</v>
      </c>
    </row>
    <row r="1946" spans="1:21">
      <c r="A1946" s="2" t="s">
        <v>2826</v>
      </c>
      <c r="B1946" s="2" t="s">
        <v>691</v>
      </c>
      <c r="C1946" s="2" t="s">
        <v>19</v>
      </c>
      <c r="D1946" s="2">
        <v>31</v>
      </c>
      <c r="E1946" s="2" t="str">
        <f t="shared" si="122"/>
        <v>26-35</v>
      </c>
      <c r="F1946" s="2" t="s">
        <v>36</v>
      </c>
      <c r="G1946" s="2" t="s">
        <v>21</v>
      </c>
      <c r="H1946" s="2">
        <v>7</v>
      </c>
      <c r="I1946" s="2" t="str">
        <f t="shared" si="120"/>
        <v>7-12 months</v>
      </c>
      <c r="J1946" s="3">
        <v>999</v>
      </c>
      <c r="K1946" s="3">
        <v>6993</v>
      </c>
      <c r="L1946" s="2" t="s">
        <v>22</v>
      </c>
      <c r="M1946" s="4">
        <v>45710</v>
      </c>
      <c r="N1946" s="2" t="s">
        <v>23</v>
      </c>
      <c r="O1946" s="2">
        <f t="shared" si="123"/>
        <v>0</v>
      </c>
      <c r="P1946" s="2" t="s">
        <v>23</v>
      </c>
      <c r="Q1946" s="2" t="s">
        <v>23</v>
      </c>
      <c r="R1946" s="2" t="s">
        <v>23</v>
      </c>
      <c r="S1946" s="2" t="s">
        <v>23</v>
      </c>
      <c r="T1946" s="2" t="s">
        <v>23</v>
      </c>
      <c r="U1946" s="25">
        <f t="shared" si="121"/>
        <v>6993.0019460000003</v>
      </c>
    </row>
    <row r="1947" spans="1:21">
      <c r="A1947" s="2" t="s">
        <v>2827</v>
      </c>
      <c r="B1947" s="2" t="s">
        <v>1766</v>
      </c>
      <c r="C1947" s="2" t="s">
        <v>35</v>
      </c>
      <c r="D1947" s="2">
        <v>25</v>
      </c>
      <c r="E1947" s="2" t="str">
        <f t="shared" si="122"/>
        <v>18-25</v>
      </c>
      <c r="F1947" s="2" t="s">
        <v>26</v>
      </c>
      <c r="G1947" s="2" t="s">
        <v>27</v>
      </c>
      <c r="H1947" s="2">
        <v>21</v>
      </c>
      <c r="I1947" s="2" t="str">
        <f t="shared" si="120"/>
        <v>13-24 months</v>
      </c>
      <c r="J1947" s="3">
        <v>899</v>
      </c>
      <c r="K1947" s="3">
        <v>18879</v>
      </c>
      <c r="L1947" s="2" t="s">
        <v>31</v>
      </c>
      <c r="M1947" s="4">
        <v>45280</v>
      </c>
      <c r="N1947" s="2" t="s">
        <v>23</v>
      </c>
      <c r="O1947" s="2">
        <f t="shared" si="123"/>
        <v>0</v>
      </c>
      <c r="P1947" s="2" t="s">
        <v>23</v>
      </c>
      <c r="Q1947" s="2" t="s">
        <v>23</v>
      </c>
      <c r="R1947" s="2" t="s">
        <v>23</v>
      </c>
      <c r="S1947" s="2" t="s">
        <v>23</v>
      </c>
      <c r="T1947" s="2" t="s">
        <v>23</v>
      </c>
      <c r="U1947" s="25">
        <f t="shared" si="121"/>
        <v>18879.001947000001</v>
      </c>
    </row>
    <row r="1948" spans="1:21">
      <c r="A1948" s="2" t="s">
        <v>2828</v>
      </c>
      <c r="B1948" s="2" t="s">
        <v>157</v>
      </c>
      <c r="C1948" s="2" t="s">
        <v>19</v>
      </c>
      <c r="D1948" s="2">
        <v>43</v>
      </c>
      <c r="E1948" s="2" t="str">
        <f t="shared" si="122"/>
        <v>36-45</v>
      </c>
      <c r="F1948" s="2" t="s">
        <v>46</v>
      </c>
      <c r="G1948" s="2" t="s">
        <v>27</v>
      </c>
      <c r="H1948" s="2">
        <v>39</v>
      </c>
      <c r="I1948" s="2" t="str">
        <f t="shared" si="120"/>
        <v>25-48 months</v>
      </c>
      <c r="J1948" s="3">
        <v>349</v>
      </c>
      <c r="K1948" s="3">
        <v>13611</v>
      </c>
      <c r="L1948" s="2" t="s">
        <v>66</v>
      </c>
      <c r="M1948" s="4">
        <v>44753</v>
      </c>
      <c r="N1948" s="2" t="s">
        <v>23</v>
      </c>
      <c r="O1948" s="2">
        <f t="shared" si="123"/>
        <v>0</v>
      </c>
      <c r="P1948" s="2" t="s">
        <v>23</v>
      </c>
      <c r="Q1948" s="2" t="s">
        <v>23</v>
      </c>
      <c r="R1948" s="2" t="s">
        <v>23</v>
      </c>
      <c r="S1948" s="2" t="s">
        <v>23</v>
      </c>
      <c r="T1948" s="2" t="s">
        <v>23</v>
      </c>
      <c r="U1948" s="25">
        <f t="shared" si="121"/>
        <v>13611.001947999999</v>
      </c>
    </row>
    <row r="1949" spans="1:21">
      <c r="A1949" s="2" t="s">
        <v>2829</v>
      </c>
      <c r="B1949" s="2" t="s">
        <v>2735</v>
      </c>
      <c r="C1949" s="2" t="s">
        <v>35</v>
      </c>
      <c r="D1949" s="2">
        <v>47</v>
      </c>
      <c r="E1949" s="2" t="str">
        <f t="shared" si="122"/>
        <v>46-60</v>
      </c>
      <c r="F1949" s="2" t="s">
        <v>110</v>
      </c>
      <c r="G1949" s="2" t="s">
        <v>21</v>
      </c>
      <c r="H1949" s="2">
        <v>12</v>
      </c>
      <c r="I1949" s="2" t="str">
        <f t="shared" si="120"/>
        <v>7-12 months</v>
      </c>
      <c r="J1949" s="3">
        <v>599</v>
      </c>
      <c r="K1949" s="3">
        <v>7188</v>
      </c>
      <c r="L1949" s="2" t="s">
        <v>37</v>
      </c>
      <c r="M1949" s="4">
        <v>45544</v>
      </c>
      <c r="N1949" s="2" t="s">
        <v>23</v>
      </c>
      <c r="O1949" s="2">
        <f t="shared" si="123"/>
        <v>0</v>
      </c>
      <c r="P1949" s="2" t="s">
        <v>23</v>
      </c>
      <c r="Q1949" s="2" t="s">
        <v>23</v>
      </c>
      <c r="R1949" s="2" t="s">
        <v>23</v>
      </c>
      <c r="S1949" s="2" t="s">
        <v>23</v>
      </c>
      <c r="T1949" s="2" t="s">
        <v>23</v>
      </c>
      <c r="U1949" s="25">
        <f t="shared" si="121"/>
        <v>7188.0019490000004</v>
      </c>
    </row>
    <row r="1950" spans="1:21">
      <c r="A1950" s="2" t="s">
        <v>2830</v>
      </c>
      <c r="B1950" s="2" t="s">
        <v>877</v>
      </c>
      <c r="C1950" s="2" t="s">
        <v>35</v>
      </c>
      <c r="D1950" s="2">
        <v>75</v>
      </c>
      <c r="E1950" s="2" t="str">
        <f t="shared" si="122"/>
        <v>60+</v>
      </c>
      <c r="F1950" s="2" t="s">
        <v>60</v>
      </c>
      <c r="G1950" s="2" t="s">
        <v>21</v>
      </c>
      <c r="H1950" s="2">
        <v>15</v>
      </c>
      <c r="I1950" s="2" t="str">
        <f t="shared" si="120"/>
        <v>13-24 months</v>
      </c>
      <c r="J1950" s="3">
        <v>999</v>
      </c>
      <c r="K1950" s="3">
        <v>14985</v>
      </c>
      <c r="L1950" s="2" t="s">
        <v>22</v>
      </c>
      <c r="M1950" s="4">
        <v>45465</v>
      </c>
      <c r="N1950" s="2" t="s">
        <v>23</v>
      </c>
      <c r="O1950" s="2">
        <f t="shared" si="123"/>
        <v>0</v>
      </c>
      <c r="P1950" s="2" t="s">
        <v>23</v>
      </c>
      <c r="Q1950" s="2" t="s">
        <v>23</v>
      </c>
      <c r="R1950" s="2" t="s">
        <v>23</v>
      </c>
      <c r="S1950" s="2" t="s">
        <v>32</v>
      </c>
      <c r="T1950" s="2" t="s">
        <v>23</v>
      </c>
      <c r="U1950" s="25">
        <f t="shared" si="121"/>
        <v>14985.00195</v>
      </c>
    </row>
    <row r="1951" spans="1:21">
      <c r="A1951" s="2" t="s">
        <v>2831</v>
      </c>
      <c r="B1951" s="2" t="s">
        <v>712</v>
      </c>
      <c r="C1951" s="2" t="s">
        <v>19</v>
      </c>
      <c r="D1951" s="2">
        <v>71</v>
      </c>
      <c r="E1951" s="2" t="str">
        <f t="shared" si="122"/>
        <v>60+</v>
      </c>
      <c r="F1951" s="2" t="s">
        <v>57</v>
      </c>
      <c r="G1951" s="2" t="s">
        <v>47</v>
      </c>
      <c r="H1951" s="2">
        <v>5</v>
      </c>
      <c r="I1951" s="2" t="str">
        <f t="shared" si="120"/>
        <v>0-6 months</v>
      </c>
      <c r="J1951" s="3">
        <v>1049</v>
      </c>
      <c r="K1951" s="3">
        <v>5245</v>
      </c>
      <c r="L1951" s="2" t="s">
        <v>22</v>
      </c>
      <c r="M1951" s="4">
        <v>45754</v>
      </c>
      <c r="N1951" s="2" t="s">
        <v>23</v>
      </c>
      <c r="O1951" s="2">
        <f t="shared" si="123"/>
        <v>0</v>
      </c>
      <c r="P1951" s="2" t="s">
        <v>23</v>
      </c>
      <c r="Q1951" s="2" t="s">
        <v>23</v>
      </c>
      <c r="R1951" s="2" t="s">
        <v>23</v>
      </c>
      <c r="S1951" s="2" t="s">
        <v>23</v>
      </c>
      <c r="T1951" s="2" t="s">
        <v>23</v>
      </c>
      <c r="U1951" s="25">
        <f t="shared" si="121"/>
        <v>5245.0019510000002</v>
      </c>
    </row>
    <row r="1952" spans="1:21">
      <c r="A1952" s="2" t="s">
        <v>2832</v>
      </c>
      <c r="B1952" s="2" t="s">
        <v>2759</v>
      </c>
      <c r="C1952" s="2" t="s">
        <v>19</v>
      </c>
      <c r="D1952" s="2">
        <v>31</v>
      </c>
      <c r="E1952" s="2" t="str">
        <f t="shared" si="122"/>
        <v>26-35</v>
      </c>
      <c r="F1952" s="2" t="s">
        <v>37</v>
      </c>
      <c r="G1952" s="2" t="s">
        <v>21</v>
      </c>
      <c r="H1952" s="2">
        <v>12</v>
      </c>
      <c r="I1952" s="2" t="str">
        <f t="shared" si="120"/>
        <v>7-12 months</v>
      </c>
      <c r="J1952" s="3">
        <v>999</v>
      </c>
      <c r="K1952" s="3">
        <v>11988</v>
      </c>
      <c r="L1952" s="2" t="s">
        <v>22</v>
      </c>
      <c r="M1952" s="4">
        <v>45559</v>
      </c>
      <c r="N1952" s="2" t="s">
        <v>32</v>
      </c>
      <c r="O1952" s="2">
        <f t="shared" si="123"/>
        <v>1</v>
      </c>
      <c r="P1952" s="2" t="s">
        <v>23</v>
      </c>
      <c r="Q1952" s="2" t="s">
        <v>23</v>
      </c>
      <c r="R1952" s="2" t="s">
        <v>23</v>
      </c>
      <c r="S1952" s="2" t="s">
        <v>23</v>
      </c>
      <c r="T1952" s="2" t="s">
        <v>23</v>
      </c>
      <c r="U1952" s="25">
        <f t="shared" si="121"/>
        <v>11988.001952000001</v>
      </c>
    </row>
    <row r="1953" spans="1:21">
      <c r="A1953" s="2" t="s">
        <v>2833</v>
      </c>
      <c r="B1953" s="2" t="s">
        <v>1833</v>
      </c>
      <c r="C1953" s="2" t="s">
        <v>35</v>
      </c>
      <c r="D1953" s="2">
        <v>71</v>
      </c>
      <c r="E1953" s="2" t="str">
        <f t="shared" si="122"/>
        <v>60+</v>
      </c>
      <c r="F1953" s="2" t="s">
        <v>46</v>
      </c>
      <c r="G1953" s="2" t="s">
        <v>21</v>
      </c>
      <c r="H1953" s="2">
        <v>20</v>
      </c>
      <c r="I1953" s="2" t="str">
        <f t="shared" si="120"/>
        <v>13-24 months</v>
      </c>
      <c r="J1953" s="3"/>
      <c r="K1953" s="3"/>
      <c r="L1953" s="2" t="s">
        <v>22</v>
      </c>
      <c r="M1953" s="4">
        <v>45317</v>
      </c>
      <c r="N1953" s="2" t="s">
        <v>23</v>
      </c>
      <c r="O1953" s="2">
        <f t="shared" si="123"/>
        <v>0</v>
      </c>
      <c r="P1953" s="2" t="s">
        <v>23</v>
      </c>
      <c r="Q1953" s="2" t="s">
        <v>23</v>
      </c>
      <c r="R1953" s="2" t="s">
        <v>23</v>
      </c>
      <c r="S1953" s="2" t="s">
        <v>23</v>
      </c>
      <c r="T1953" s="2" t="s">
        <v>553</v>
      </c>
      <c r="U1953" s="25" t="str">
        <f t="shared" si="121"/>
        <v/>
      </c>
    </row>
    <row r="1954" spans="1:21">
      <c r="A1954" s="2" t="s">
        <v>2834</v>
      </c>
      <c r="B1954" s="2" t="s">
        <v>2326</v>
      </c>
      <c r="C1954" s="2" t="s">
        <v>19</v>
      </c>
      <c r="D1954" s="2">
        <v>73</v>
      </c>
      <c r="E1954" s="2" t="str">
        <f t="shared" si="122"/>
        <v>60+</v>
      </c>
      <c r="F1954" s="2" t="s">
        <v>105</v>
      </c>
      <c r="G1954" s="2" t="s">
        <v>47</v>
      </c>
      <c r="H1954" s="2">
        <v>17</v>
      </c>
      <c r="I1954" s="2" t="str">
        <f t="shared" si="120"/>
        <v>13-24 months</v>
      </c>
      <c r="J1954" s="3">
        <v>749</v>
      </c>
      <c r="K1954" s="3">
        <v>12733</v>
      </c>
      <c r="L1954" s="2" t="s">
        <v>31</v>
      </c>
      <c r="M1954" s="4">
        <v>45413</v>
      </c>
      <c r="N1954" s="2" t="s">
        <v>23</v>
      </c>
      <c r="O1954" s="2">
        <f t="shared" si="123"/>
        <v>0</v>
      </c>
      <c r="P1954" s="2" t="s">
        <v>23</v>
      </c>
      <c r="Q1954" s="2" t="s">
        <v>23</v>
      </c>
      <c r="R1954" s="2" t="s">
        <v>23</v>
      </c>
      <c r="S1954" s="2" t="s">
        <v>23</v>
      </c>
      <c r="T1954" s="2" t="s">
        <v>23</v>
      </c>
      <c r="U1954" s="25">
        <f t="shared" si="121"/>
        <v>12733.001953999999</v>
      </c>
    </row>
    <row r="1955" spans="1:21">
      <c r="A1955" s="2" t="s">
        <v>2835</v>
      </c>
      <c r="B1955" s="2" t="s">
        <v>37</v>
      </c>
      <c r="C1955" s="2" t="s">
        <v>19</v>
      </c>
      <c r="D1955" s="2">
        <v>59</v>
      </c>
      <c r="E1955" s="2" t="str">
        <f t="shared" si="122"/>
        <v>46-60</v>
      </c>
      <c r="F1955" s="2" t="s">
        <v>57</v>
      </c>
      <c r="G1955" s="2" t="s">
        <v>21</v>
      </c>
      <c r="H1955" s="2">
        <v>3</v>
      </c>
      <c r="I1955" s="2" t="str">
        <f t="shared" si="120"/>
        <v>0-6 months</v>
      </c>
      <c r="J1955" s="3">
        <v>449</v>
      </c>
      <c r="K1955" s="3">
        <v>1347</v>
      </c>
      <c r="L1955" s="2" t="s">
        <v>66</v>
      </c>
      <c r="M1955" s="4">
        <v>45834</v>
      </c>
      <c r="N1955" s="2" t="s">
        <v>32</v>
      </c>
      <c r="O1955" s="2">
        <f t="shared" si="123"/>
        <v>1</v>
      </c>
      <c r="P1955" s="2" t="s">
        <v>23</v>
      </c>
      <c r="Q1955" s="2" t="s">
        <v>23</v>
      </c>
      <c r="R1955" s="2" t="s">
        <v>23</v>
      </c>
      <c r="S1955" s="2" t="s">
        <v>23</v>
      </c>
      <c r="T1955" s="2" t="s">
        <v>23</v>
      </c>
      <c r="U1955" s="25">
        <f t="shared" si="121"/>
        <v>1347.001955</v>
      </c>
    </row>
    <row r="1956" spans="1:21">
      <c r="A1956" s="2" t="s">
        <v>2836</v>
      </c>
      <c r="B1956" s="2" t="s">
        <v>1015</v>
      </c>
      <c r="C1956" s="2" t="s">
        <v>19</v>
      </c>
      <c r="D1956" s="2">
        <v>22</v>
      </c>
      <c r="E1956" s="2" t="str">
        <f t="shared" si="122"/>
        <v>18-25</v>
      </c>
      <c r="F1956" s="2" t="s">
        <v>36</v>
      </c>
      <c r="G1956" s="2" t="s">
        <v>21</v>
      </c>
      <c r="H1956" s="2">
        <v>23</v>
      </c>
      <c r="I1956" s="2" t="str">
        <f t="shared" si="120"/>
        <v>13-24 months</v>
      </c>
      <c r="J1956" s="3">
        <v>1299</v>
      </c>
      <c r="K1956" s="3">
        <v>29877</v>
      </c>
      <c r="L1956" s="2" t="s">
        <v>22</v>
      </c>
      <c r="M1956" s="4">
        <v>45232</v>
      </c>
      <c r="N1956" s="2" t="s">
        <v>32</v>
      </c>
      <c r="O1956" s="2">
        <f t="shared" si="123"/>
        <v>1</v>
      </c>
      <c r="P1956" s="2" t="s">
        <v>23</v>
      </c>
      <c r="Q1956" s="2" t="s">
        <v>23</v>
      </c>
      <c r="R1956" s="2" t="s">
        <v>23</v>
      </c>
      <c r="S1956" s="2" t="s">
        <v>23</v>
      </c>
      <c r="T1956" s="2" t="s">
        <v>23</v>
      </c>
      <c r="U1956" s="25">
        <f t="shared" si="121"/>
        <v>29877.001956</v>
      </c>
    </row>
    <row r="1957" spans="1:21">
      <c r="A1957" s="2" t="s">
        <v>2837</v>
      </c>
      <c r="B1957" s="2" t="s">
        <v>2838</v>
      </c>
      <c r="C1957" s="2" t="s">
        <v>19</v>
      </c>
      <c r="D1957" s="2">
        <v>67</v>
      </c>
      <c r="E1957" s="2" t="str">
        <f t="shared" si="122"/>
        <v>60+</v>
      </c>
      <c r="F1957" s="2" t="s">
        <v>20</v>
      </c>
      <c r="G1957" s="2" t="s">
        <v>47</v>
      </c>
      <c r="H1957" s="2">
        <v>8</v>
      </c>
      <c r="I1957" s="2" t="str">
        <f t="shared" si="120"/>
        <v>7-12 months</v>
      </c>
      <c r="J1957" s="3">
        <v>1099</v>
      </c>
      <c r="K1957" s="3">
        <v>8792</v>
      </c>
      <c r="L1957" s="2" t="s">
        <v>22</v>
      </c>
      <c r="M1957" s="4">
        <v>45668</v>
      </c>
      <c r="N1957" s="2" t="s">
        <v>23</v>
      </c>
      <c r="O1957" s="2">
        <f t="shared" si="123"/>
        <v>0</v>
      </c>
      <c r="P1957" s="2" t="s">
        <v>23</v>
      </c>
      <c r="Q1957" s="2" t="s">
        <v>23</v>
      </c>
      <c r="R1957" s="2" t="s">
        <v>23</v>
      </c>
      <c r="S1957" s="2" t="s">
        <v>23</v>
      </c>
      <c r="T1957" s="2" t="s">
        <v>23</v>
      </c>
      <c r="U1957" s="25">
        <f t="shared" si="121"/>
        <v>8792.0019570000004</v>
      </c>
    </row>
    <row r="1958" spans="1:21">
      <c r="A1958" s="2" t="s">
        <v>2839</v>
      </c>
      <c r="B1958" s="2" t="s">
        <v>2840</v>
      </c>
      <c r="C1958" s="2" t="s">
        <v>19</v>
      </c>
      <c r="D1958" s="2">
        <v>52</v>
      </c>
      <c r="E1958" s="2" t="str">
        <f t="shared" si="122"/>
        <v>46-60</v>
      </c>
      <c r="F1958" s="2" t="s">
        <v>60</v>
      </c>
      <c r="G1958" s="2" t="s">
        <v>21</v>
      </c>
      <c r="H1958" s="2">
        <v>18</v>
      </c>
      <c r="I1958" s="2" t="str">
        <f t="shared" si="120"/>
        <v>13-24 months</v>
      </c>
      <c r="J1958" s="3">
        <v>999</v>
      </c>
      <c r="K1958" s="3">
        <v>17982</v>
      </c>
      <c r="L1958" s="2" t="s">
        <v>37</v>
      </c>
      <c r="M1958" s="4">
        <v>45361</v>
      </c>
      <c r="N1958" s="2" t="s">
        <v>23</v>
      </c>
      <c r="O1958" s="2">
        <f t="shared" si="123"/>
        <v>0</v>
      </c>
      <c r="P1958" s="2" t="s">
        <v>23</v>
      </c>
      <c r="Q1958" s="2" t="s">
        <v>23</v>
      </c>
      <c r="R1958" s="2" t="s">
        <v>23</v>
      </c>
      <c r="S1958" s="2" t="s">
        <v>23</v>
      </c>
      <c r="T1958" s="2" t="s">
        <v>23</v>
      </c>
      <c r="U1958" s="25">
        <f t="shared" si="121"/>
        <v>17982.001958000001</v>
      </c>
    </row>
    <row r="1959" spans="1:21">
      <c r="A1959" s="2" t="s">
        <v>2841</v>
      </c>
      <c r="B1959" s="2" t="s">
        <v>2842</v>
      </c>
      <c r="C1959" s="2" t="s">
        <v>35</v>
      </c>
      <c r="D1959" s="2">
        <v>29</v>
      </c>
      <c r="E1959" s="2" t="str">
        <f t="shared" si="122"/>
        <v>26-35</v>
      </c>
      <c r="F1959" s="2" t="s">
        <v>30</v>
      </c>
      <c r="G1959" s="2" t="s">
        <v>21</v>
      </c>
      <c r="H1959" s="2">
        <v>10</v>
      </c>
      <c r="I1959" s="2" t="str">
        <f t="shared" si="120"/>
        <v>7-12 months</v>
      </c>
      <c r="J1959" s="3">
        <v>999</v>
      </c>
      <c r="K1959" s="3">
        <v>9990</v>
      </c>
      <c r="L1959" s="2" t="s">
        <v>22</v>
      </c>
      <c r="M1959" s="4">
        <v>45620</v>
      </c>
      <c r="N1959" s="2" t="s">
        <v>32</v>
      </c>
      <c r="O1959" s="2">
        <f t="shared" si="123"/>
        <v>1</v>
      </c>
      <c r="P1959" s="2" t="s">
        <v>23</v>
      </c>
      <c r="Q1959" s="2" t="s">
        <v>23</v>
      </c>
      <c r="R1959" s="2" t="s">
        <v>23</v>
      </c>
      <c r="S1959" s="2" t="s">
        <v>23</v>
      </c>
      <c r="T1959" s="2" t="s">
        <v>23</v>
      </c>
      <c r="U1959" s="25">
        <f t="shared" si="121"/>
        <v>9990.0019589999993</v>
      </c>
    </row>
    <row r="1960" spans="1:21">
      <c r="A1960" s="2" t="s">
        <v>2843</v>
      </c>
      <c r="B1960" s="2" t="s">
        <v>1305</v>
      </c>
      <c r="C1960" s="2" t="s">
        <v>19</v>
      </c>
      <c r="D1960" s="2">
        <v>24</v>
      </c>
      <c r="E1960" s="2" t="str">
        <f t="shared" si="122"/>
        <v>18-25</v>
      </c>
      <c r="F1960" s="2" t="s">
        <v>41</v>
      </c>
      <c r="G1960" s="2" t="s">
        <v>21</v>
      </c>
      <c r="H1960" s="2">
        <v>2</v>
      </c>
      <c r="I1960" s="2" t="str">
        <f t="shared" si="120"/>
        <v>0-6 months</v>
      </c>
      <c r="J1960" s="3">
        <v>1049</v>
      </c>
      <c r="K1960" s="3">
        <v>2098</v>
      </c>
      <c r="L1960" s="2" t="s">
        <v>22</v>
      </c>
      <c r="M1960" s="4">
        <v>45865</v>
      </c>
      <c r="N1960" s="2" t="s">
        <v>32</v>
      </c>
      <c r="O1960" s="2">
        <f t="shared" si="123"/>
        <v>1</v>
      </c>
      <c r="P1960" s="2" t="s">
        <v>23</v>
      </c>
      <c r="Q1960" s="2" t="s">
        <v>23</v>
      </c>
      <c r="R1960" s="2" t="s">
        <v>32</v>
      </c>
      <c r="S1960" s="2" t="s">
        <v>23</v>
      </c>
      <c r="T1960" s="2" t="s">
        <v>23</v>
      </c>
      <c r="U1960" s="25">
        <f t="shared" si="121"/>
        <v>2098.0019600000001</v>
      </c>
    </row>
    <row r="1961" spans="1:21">
      <c r="A1961" s="2" t="s">
        <v>2844</v>
      </c>
      <c r="B1961" s="2" t="s">
        <v>2732</v>
      </c>
      <c r="C1961" s="2" t="s">
        <v>35</v>
      </c>
      <c r="D1961" s="2">
        <v>48</v>
      </c>
      <c r="E1961" s="2" t="str">
        <f t="shared" si="122"/>
        <v>46-60</v>
      </c>
      <c r="F1961" s="2" t="s">
        <v>36</v>
      </c>
      <c r="G1961" s="2" t="s">
        <v>21</v>
      </c>
      <c r="H1961" s="2">
        <v>23</v>
      </c>
      <c r="I1961" s="2" t="str">
        <f t="shared" si="120"/>
        <v>13-24 months</v>
      </c>
      <c r="J1961" s="3">
        <v>999</v>
      </c>
      <c r="K1961" s="3">
        <v>22977</v>
      </c>
      <c r="L1961" s="2" t="s">
        <v>22</v>
      </c>
      <c r="M1961" s="4">
        <v>45234</v>
      </c>
      <c r="N1961" s="2" t="s">
        <v>23</v>
      </c>
      <c r="O1961" s="2">
        <f t="shared" si="123"/>
        <v>0</v>
      </c>
      <c r="P1961" s="2" t="s">
        <v>23</v>
      </c>
      <c r="Q1961" s="2" t="s">
        <v>23</v>
      </c>
      <c r="R1961" s="2" t="s">
        <v>23</v>
      </c>
      <c r="S1961" s="2" t="s">
        <v>23</v>
      </c>
      <c r="T1961" s="2" t="s">
        <v>23</v>
      </c>
      <c r="U1961" s="25">
        <f t="shared" si="121"/>
        <v>22977.001961000002</v>
      </c>
    </row>
    <row r="1962" spans="1:21">
      <c r="A1962" s="2" t="s">
        <v>2845</v>
      </c>
      <c r="B1962" s="2" t="s">
        <v>2214</v>
      </c>
      <c r="C1962" s="2" t="s">
        <v>19</v>
      </c>
      <c r="D1962" s="2">
        <v>39</v>
      </c>
      <c r="E1962" s="2" t="str">
        <f t="shared" si="122"/>
        <v>36-45</v>
      </c>
      <c r="F1962" s="2" t="s">
        <v>110</v>
      </c>
      <c r="G1962" s="2" t="s">
        <v>27</v>
      </c>
      <c r="H1962" s="2">
        <v>27</v>
      </c>
      <c r="I1962" s="2" t="str">
        <f t="shared" si="120"/>
        <v>25-48 months</v>
      </c>
      <c r="J1962" s="3">
        <v>999</v>
      </c>
      <c r="K1962" s="3">
        <v>26973</v>
      </c>
      <c r="L1962" s="2" t="s">
        <v>22</v>
      </c>
      <c r="M1962" s="4">
        <v>45112</v>
      </c>
      <c r="N1962" s="2" t="s">
        <v>23</v>
      </c>
      <c r="O1962" s="2">
        <f t="shared" si="123"/>
        <v>0</v>
      </c>
      <c r="P1962" s="2" t="s">
        <v>23</v>
      </c>
      <c r="Q1962" s="2" t="s">
        <v>32</v>
      </c>
      <c r="R1962" s="2" t="s">
        <v>23</v>
      </c>
      <c r="S1962" s="2" t="s">
        <v>23</v>
      </c>
      <c r="T1962" s="2" t="s">
        <v>23</v>
      </c>
      <c r="U1962" s="25">
        <f t="shared" si="121"/>
        <v>26973.001961999998</v>
      </c>
    </row>
    <row r="1963" spans="1:21">
      <c r="A1963" s="2" t="s">
        <v>2846</v>
      </c>
      <c r="B1963" s="2" t="s">
        <v>826</v>
      </c>
      <c r="C1963" s="2" t="s">
        <v>35</v>
      </c>
      <c r="D1963" s="2">
        <v>19</v>
      </c>
      <c r="E1963" s="2" t="str">
        <f t="shared" si="122"/>
        <v>18-25</v>
      </c>
      <c r="F1963" s="2" t="s">
        <v>36</v>
      </c>
      <c r="G1963" s="2" t="s">
        <v>21</v>
      </c>
      <c r="H1963" s="2">
        <v>11</v>
      </c>
      <c r="I1963" s="2" t="str">
        <f t="shared" si="120"/>
        <v>7-12 months</v>
      </c>
      <c r="J1963" s="3">
        <v>899</v>
      </c>
      <c r="K1963" s="3">
        <v>9889</v>
      </c>
      <c r="L1963" s="2" t="s">
        <v>22</v>
      </c>
      <c r="M1963" s="4">
        <v>45594</v>
      </c>
      <c r="N1963" s="2" t="s">
        <v>23</v>
      </c>
      <c r="O1963" s="2">
        <f t="shared" si="123"/>
        <v>0</v>
      </c>
      <c r="P1963" s="2" t="s">
        <v>23</v>
      </c>
      <c r="Q1963" s="2" t="s">
        <v>23</v>
      </c>
      <c r="R1963" s="2" t="s">
        <v>23</v>
      </c>
      <c r="S1963" s="2" t="s">
        <v>23</v>
      </c>
      <c r="T1963" s="2" t="s">
        <v>23</v>
      </c>
      <c r="U1963" s="25">
        <f t="shared" si="121"/>
        <v>9889.0019630000006</v>
      </c>
    </row>
    <row r="1964" spans="1:21">
      <c r="A1964" s="2" t="s">
        <v>2847</v>
      </c>
      <c r="B1964" s="2" t="s">
        <v>599</v>
      </c>
      <c r="C1964" s="2" t="s">
        <v>35</v>
      </c>
      <c r="D1964" s="2">
        <v>19</v>
      </c>
      <c r="E1964" s="2" t="str">
        <f t="shared" si="122"/>
        <v>18-25</v>
      </c>
      <c r="F1964" s="2" t="s">
        <v>110</v>
      </c>
      <c r="G1964" s="2" t="s">
        <v>21</v>
      </c>
      <c r="H1964" s="2">
        <v>3</v>
      </c>
      <c r="I1964" s="2" t="str">
        <f t="shared" si="120"/>
        <v>0-6 months</v>
      </c>
      <c r="J1964" s="3">
        <v>1299</v>
      </c>
      <c r="K1964" s="3">
        <v>3897</v>
      </c>
      <c r="L1964" s="2" t="s">
        <v>22</v>
      </c>
      <c r="M1964" s="4">
        <v>45833</v>
      </c>
      <c r="N1964" s="2" t="s">
        <v>23</v>
      </c>
      <c r="O1964" s="2">
        <f t="shared" si="123"/>
        <v>0</v>
      </c>
      <c r="P1964" s="2" t="s">
        <v>23</v>
      </c>
      <c r="Q1964" s="2" t="s">
        <v>23</v>
      </c>
      <c r="R1964" s="2" t="s">
        <v>23</v>
      </c>
      <c r="S1964" s="2" t="s">
        <v>23</v>
      </c>
      <c r="T1964" s="2" t="s">
        <v>23</v>
      </c>
      <c r="U1964" s="25">
        <f t="shared" si="121"/>
        <v>3897.001964</v>
      </c>
    </row>
    <row r="1965" spans="1:21">
      <c r="A1965" s="2" t="s">
        <v>2848</v>
      </c>
      <c r="B1965" s="2" t="s">
        <v>1438</v>
      </c>
      <c r="C1965" s="2" t="s">
        <v>19</v>
      </c>
      <c r="D1965" s="2">
        <v>31</v>
      </c>
      <c r="E1965" s="2" t="str">
        <f t="shared" si="122"/>
        <v>26-35</v>
      </c>
      <c r="F1965" s="2" t="s">
        <v>26</v>
      </c>
      <c r="G1965" s="2" t="s">
        <v>47</v>
      </c>
      <c r="H1965" s="2">
        <v>66</v>
      </c>
      <c r="I1965" s="2" t="str">
        <f t="shared" si="120"/>
        <v>49+ months</v>
      </c>
      <c r="J1965" s="3">
        <v>899</v>
      </c>
      <c r="K1965" s="3">
        <v>59334</v>
      </c>
      <c r="L1965" s="2" t="s">
        <v>22</v>
      </c>
      <c r="M1965" s="4">
        <v>43943</v>
      </c>
      <c r="N1965" s="2" t="s">
        <v>23</v>
      </c>
      <c r="O1965" s="2">
        <f t="shared" si="123"/>
        <v>0</v>
      </c>
      <c r="P1965" s="2" t="s">
        <v>23</v>
      </c>
      <c r="Q1965" s="2" t="s">
        <v>23</v>
      </c>
      <c r="R1965" s="2" t="s">
        <v>23</v>
      </c>
      <c r="S1965" s="2" t="s">
        <v>23</v>
      </c>
      <c r="T1965" s="2" t="s">
        <v>23</v>
      </c>
      <c r="U1965" s="25">
        <f t="shared" si="121"/>
        <v>59334.001965000003</v>
      </c>
    </row>
    <row r="1966" spans="1:21">
      <c r="A1966" s="2" t="s">
        <v>2849</v>
      </c>
      <c r="B1966" s="2" t="s">
        <v>322</v>
      </c>
      <c r="C1966" s="2" t="s">
        <v>19</v>
      </c>
      <c r="D1966" s="2">
        <v>38</v>
      </c>
      <c r="E1966" s="2" t="str">
        <f t="shared" si="122"/>
        <v>36-45</v>
      </c>
      <c r="F1966" s="2" t="s">
        <v>57</v>
      </c>
      <c r="G1966" s="2" t="s">
        <v>47</v>
      </c>
      <c r="H1966" s="2">
        <v>53</v>
      </c>
      <c r="I1966" s="2" t="str">
        <f t="shared" si="120"/>
        <v>49+ months</v>
      </c>
      <c r="J1966" s="3">
        <v>899</v>
      </c>
      <c r="K1966" s="3">
        <v>47647</v>
      </c>
      <c r="L1966" s="2" t="s">
        <v>22</v>
      </c>
      <c r="M1966" s="4">
        <v>44333</v>
      </c>
      <c r="N1966" s="2" t="s">
        <v>32</v>
      </c>
      <c r="O1966" s="2">
        <f t="shared" si="123"/>
        <v>1</v>
      </c>
      <c r="P1966" s="2" t="s">
        <v>23</v>
      </c>
      <c r="Q1966" s="2" t="s">
        <v>23</v>
      </c>
      <c r="R1966" s="2" t="s">
        <v>23</v>
      </c>
      <c r="S1966" s="2" t="s">
        <v>23</v>
      </c>
      <c r="T1966" s="2" t="s">
        <v>23</v>
      </c>
      <c r="U1966" s="25">
        <f t="shared" si="121"/>
        <v>47647.001966000003</v>
      </c>
    </row>
    <row r="1967" spans="1:21">
      <c r="A1967" s="2" t="s">
        <v>2850</v>
      </c>
      <c r="B1967" s="2" t="s">
        <v>710</v>
      </c>
      <c r="C1967" s="2" t="s">
        <v>19</v>
      </c>
      <c r="D1967" s="2">
        <v>47</v>
      </c>
      <c r="E1967" s="2" t="str">
        <f t="shared" si="122"/>
        <v>46-60</v>
      </c>
      <c r="F1967" s="2" t="s">
        <v>46</v>
      </c>
      <c r="G1967" s="2" t="s">
        <v>21</v>
      </c>
      <c r="H1967" s="2">
        <v>5</v>
      </c>
      <c r="I1967" s="2" t="str">
        <f t="shared" si="120"/>
        <v>0-6 months</v>
      </c>
      <c r="J1967" s="3">
        <v>999</v>
      </c>
      <c r="K1967" s="3">
        <v>4995</v>
      </c>
      <c r="L1967" s="2" t="s">
        <v>22</v>
      </c>
      <c r="M1967" s="4">
        <v>45753</v>
      </c>
      <c r="N1967" s="2" t="s">
        <v>32</v>
      </c>
      <c r="O1967" s="2">
        <f t="shared" si="123"/>
        <v>1</v>
      </c>
      <c r="P1967" s="2" t="s">
        <v>23</v>
      </c>
      <c r="Q1967" s="2" t="s">
        <v>23</v>
      </c>
      <c r="R1967" s="2" t="s">
        <v>23</v>
      </c>
      <c r="S1967" s="2" t="s">
        <v>23</v>
      </c>
      <c r="T1967" s="2" t="s">
        <v>23</v>
      </c>
      <c r="U1967" s="25">
        <f t="shared" si="121"/>
        <v>4995.0019670000001</v>
      </c>
    </row>
    <row r="1968" spans="1:21">
      <c r="A1968" s="2" t="s">
        <v>2851</v>
      </c>
      <c r="B1968" s="2" t="s">
        <v>1723</v>
      </c>
      <c r="C1968" s="2" t="s">
        <v>37</v>
      </c>
      <c r="D1968" s="2">
        <v>27</v>
      </c>
      <c r="E1968" s="2" t="str">
        <f t="shared" si="122"/>
        <v>26-35</v>
      </c>
      <c r="F1968" s="2" t="s">
        <v>41</v>
      </c>
      <c r="G1968" s="2" t="s">
        <v>27</v>
      </c>
      <c r="H1968" s="2">
        <v>22</v>
      </c>
      <c r="I1968" s="2" t="str">
        <f t="shared" si="120"/>
        <v>13-24 months</v>
      </c>
      <c r="J1968" s="3">
        <v>649</v>
      </c>
      <c r="K1968" s="3">
        <v>14278</v>
      </c>
      <c r="L1968" s="2" t="s">
        <v>37</v>
      </c>
      <c r="M1968" s="4">
        <v>45266</v>
      </c>
      <c r="N1968" s="2" t="s">
        <v>23</v>
      </c>
      <c r="O1968" s="2">
        <f t="shared" si="123"/>
        <v>0</v>
      </c>
      <c r="P1968" s="2" t="s">
        <v>23</v>
      </c>
      <c r="Q1968" s="2" t="s">
        <v>23</v>
      </c>
      <c r="R1968" s="2" t="s">
        <v>23</v>
      </c>
      <c r="S1968" s="2" t="s">
        <v>23</v>
      </c>
      <c r="T1968" s="2" t="s">
        <v>23</v>
      </c>
      <c r="U1968" s="25">
        <f t="shared" si="121"/>
        <v>14278.001968</v>
      </c>
    </row>
    <row r="1969" spans="1:21">
      <c r="A1969" s="2" t="s">
        <v>2852</v>
      </c>
      <c r="B1969" s="2" t="s">
        <v>789</v>
      </c>
      <c r="C1969" s="2" t="s">
        <v>19</v>
      </c>
      <c r="D1969" s="2">
        <v>35</v>
      </c>
      <c r="E1969" s="2" t="str">
        <f t="shared" si="122"/>
        <v>26-35</v>
      </c>
      <c r="F1969" s="2" t="s">
        <v>46</v>
      </c>
      <c r="G1969" s="2" t="s">
        <v>27</v>
      </c>
      <c r="H1969" s="2">
        <v>31</v>
      </c>
      <c r="I1969" s="2" t="str">
        <f t="shared" si="120"/>
        <v>25-48 months</v>
      </c>
      <c r="J1969" s="3">
        <v>1099</v>
      </c>
      <c r="K1969" s="3">
        <v>34069</v>
      </c>
      <c r="L1969" s="2" t="s">
        <v>22</v>
      </c>
      <c r="M1969" s="4">
        <v>44977</v>
      </c>
      <c r="N1969" s="2" t="s">
        <v>32</v>
      </c>
      <c r="O1969" s="2">
        <f t="shared" si="123"/>
        <v>1</v>
      </c>
      <c r="P1969" s="2" t="s">
        <v>23</v>
      </c>
      <c r="Q1969" s="2" t="s">
        <v>23</v>
      </c>
      <c r="R1969" s="2" t="s">
        <v>23</v>
      </c>
      <c r="S1969" s="2" t="s">
        <v>23</v>
      </c>
      <c r="T1969" s="2" t="s">
        <v>23</v>
      </c>
      <c r="U1969" s="25">
        <f t="shared" si="121"/>
        <v>34069.001968999997</v>
      </c>
    </row>
    <row r="1970" spans="1:21">
      <c r="A1970" s="2" t="s">
        <v>2853</v>
      </c>
      <c r="B1970" s="2" t="s">
        <v>240</v>
      </c>
      <c r="C1970" s="2" t="s">
        <v>19</v>
      </c>
      <c r="D1970" s="2">
        <v>58</v>
      </c>
      <c r="E1970" s="2" t="str">
        <f t="shared" si="122"/>
        <v>46-60</v>
      </c>
      <c r="F1970" s="2" t="s">
        <v>30</v>
      </c>
      <c r="G1970" s="2" t="s">
        <v>21</v>
      </c>
      <c r="H1970" s="2">
        <v>5</v>
      </c>
      <c r="I1970" s="2" t="str">
        <f t="shared" si="120"/>
        <v>0-6 months</v>
      </c>
      <c r="J1970" s="3">
        <v>749</v>
      </c>
      <c r="K1970" s="3">
        <v>3745</v>
      </c>
      <c r="L1970" s="2" t="s">
        <v>31</v>
      </c>
      <c r="M1970" s="4">
        <v>45759</v>
      </c>
      <c r="N1970" s="2" t="s">
        <v>23</v>
      </c>
      <c r="O1970" s="2">
        <f t="shared" si="123"/>
        <v>0</v>
      </c>
      <c r="P1970" s="2" t="s">
        <v>23</v>
      </c>
      <c r="Q1970" s="2" t="s">
        <v>23</v>
      </c>
      <c r="R1970" s="2" t="s">
        <v>23</v>
      </c>
      <c r="S1970" s="2" t="s">
        <v>23</v>
      </c>
      <c r="T1970" s="2" t="s">
        <v>23</v>
      </c>
      <c r="U1970" s="25">
        <f t="shared" si="121"/>
        <v>3745.0019699999998</v>
      </c>
    </row>
    <row r="1971" spans="1:21">
      <c r="A1971" s="2" t="s">
        <v>2854</v>
      </c>
      <c r="B1971" s="2" t="s">
        <v>1628</v>
      </c>
      <c r="C1971" s="2" t="s">
        <v>35</v>
      </c>
      <c r="D1971" s="2">
        <v>61</v>
      </c>
      <c r="E1971" s="2" t="str">
        <f t="shared" si="122"/>
        <v>60+</v>
      </c>
      <c r="F1971" s="2" t="s">
        <v>63</v>
      </c>
      <c r="G1971" s="2" t="s">
        <v>21</v>
      </c>
      <c r="H1971" s="2">
        <v>23</v>
      </c>
      <c r="I1971" s="2" t="str">
        <f t="shared" si="120"/>
        <v>13-24 months</v>
      </c>
      <c r="J1971" s="3">
        <v>699</v>
      </c>
      <c r="K1971" s="3">
        <v>16077</v>
      </c>
      <c r="L1971" s="2" t="s">
        <v>31</v>
      </c>
      <c r="M1971" s="4">
        <v>45226</v>
      </c>
      <c r="N1971" s="2" t="s">
        <v>37</v>
      </c>
      <c r="O1971" s="2" t="str">
        <f t="shared" si="123"/>
        <v/>
      </c>
      <c r="P1971" s="2" t="s">
        <v>23</v>
      </c>
      <c r="Q1971" s="2" t="s">
        <v>23</v>
      </c>
      <c r="R1971" s="2" t="s">
        <v>23</v>
      </c>
      <c r="S1971" s="2" t="s">
        <v>23</v>
      </c>
      <c r="T1971" s="2" t="s">
        <v>38</v>
      </c>
      <c r="U1971" s="25">
        <f t="shared" si="121"/>
        <v>16077.001971</v>
      </c>
    </row>
    <row r="1972" spans="1:21">
      <c r="A1972" s="2" t="s">
        <v>2855</v>
      </c>
      <c r="B1972" s="2" t="s">
        <v>1914</v>
      </c>
      <c r="C1972" s="2" t="s">
        <v>19</v>
      </c>
      <c r="D1972" s="2">
        <v>24</v>
      </c>
      <c r="E1972" s="2" t="str">
        <f t="shared" si="122"/>
        <v>18-25</v>
      </c>
      <c r="F1972" s="2" t="s">
        <v>91</v>
      </c>
      <c r="G1972" s="2" t="s">
        <v>27</v>
      </c>
      <c r="H1972" s="2">
        <v>35</v>
      </c>
      <c r="I1972" s="2" t="str">
        <f t="shared" si="120"/>
        <v>25-48 months</v>
      </c>
      <c r="J1972" s="3">
        <v>799</v>
      </c>
      <c r="K1972" s="3">
        <v>27965</v>
      </c>
      <c r="L1972" s="2" t="s">
        <v>31</v>
      </c>
      <c r="M1972" s="4">
        <v>44865</v>
      </c>
      <c r="N1972" s="2" t="s">
        <v>23</v>
      </c>
      <c r="O1972" s="2">
        <f t="shared" si="123"/>
        <v>0</v>
      </c>
      <c r="P1972" s="2" t="s">
        <v>23</v>
      </c>
      <c r="Q1972" s="2" t="s">
        <v>23</v>
      </c>
      <c r="R1972" s="2" t="s">
        <v>23</v>
      </c>
      <c r="S1972" s="2" t="s">
        <v>23</v>
      </c>
      <c r="T1972" s="2" t="s">
        <v>23</v>
      </c>
      <c r="U1972" s="25">
        <f t="shared" si="121"/>
        <v>27965.001971999998</v>
      </c>
    </row>
    <row r="1973" spans="1:21">
      <c r="A1973" s="2" t="s">
        <v>2856</v>
      </c>
      <c r="B1973" s="2" t="s">
        <v>2743</v>
      </c>
      <c r="C1973" s="2" t="s">
        <v>35</v>
      </c>
      <c r="D1973" s="2">
        <v>56</v>
      </c>
      <c r="E1973" s="2" t="str">
        <f t="shared" si="122"/>
        <v>46-60</v>
      </c>
      <c r="F1973" s="2" t="s">
        <v>110</v>
      </c>
      <c r="G1973" s="2" t="s">
        <v>21</v>
      </c>
      <c r="H1973" s="2">
        <v>16</v>
      </c>
      <c r="I1973" s="2" t="str">
        <f t="shared" si="120"/>
        <v>13-24 months</v>
      </c>
      <c r="J1973" s="3">
        <v>1099</v>
      </c>
      <c r="K1973" s="3">
        <v>17584</v>
      </c>
      <c r="L1973" s="2" t="s">
        <v>22</v>
      </c>
      <c r="M1973" s="4">
        <v>45444</v>
      </c>
      <c r="N1973" s="2" t="s">
        <v>23</v>
      </c>
      <c r="O1973" s="2">
        <f t="shared" si="123"/>
        <v>0</v>
      </c>
      <c r="P1973" s="2" t="s">
        <v>23</v>
      </c>
      <c r="Q1973" s="2" t="s">
        <v>23</v>
      </c>
      <c r="R1973" s="2" t="s">
        <v>23</v>
      </c>
      <c r="S1973" s="2" t="s">
        <v>32</v>
      </c>
      <c r="T1973" s="2" t="s">
        <v>23</v>
      </c>
      <c r="U1973" s="25">
        <f t="shared" si="121"/>
        <v>17584.001972999999</v>
      </c>
    </row>
    <row r="1974" spans="1:21">
      <c r="A1974" s="2" t="s">
        <v>2857</v>
      </c>
      <c r="B1974" s="2" t="s">
        <v>2131</v>
      </c>
      <c r="C1974" s="2" t="s">
        <v>19</v>
      </c>
      <c r="D1974" s="2">
        <v>21</v>
      </c>
      <c r="E1974" s="2" t="str">
        <f t="shared" si="122"/>
        <v>18-25</v>
      </c>
      <c r="F1974" s="2" t="s">
        <v>36</v>
      </c>
      <c r="G1974" s="2" t="s">
        <v>21</v>
      </c>
      <c r="H1974" s="2">
        <v>15</v>
      </c>
      <c r="I1974" s="2" t="str">
        <f t="shared" si="120"/>
        <v>13-24 months</v>
      </c>
      <c r="J1974" s="3">
        <v>699</v>
      </c>
      <c r="K1974" s="3">
        <v>10485</v>
      </c>
      <c r="L1974" s="2" t="s">
        <v>31</v>
      </c>
      <c r="M1974" s="4">
        <v>45464</v>
      </c>
      <c r="N1974" s="2" t="s">
        <v>23</v>
      </c>
      <c r="O1974" s="2">
        <f t="shared" si="123"/>
        <v>0</v>
      </c>
      <c r="P1974" s="2" t="s">
        <v>23</v>
      </c>
      <c r="Q1974" s="2" t="s">
        <v>23</v>
      </c>
      <c r="R1974" s="2" t="s">
        <v>23</v>
      </c>
      <c r="S1974" s="2" t="s">
        <v>23</v>
      </c>
      <c r="T1974" s="2" t="s">
        <v>23</v>
      </c>
      <c r="U1974" s="25">
        <f t="shared" si="121"/>
        <v>10485.001974000001</v>
      </c>
    </row>
    <row r="1975" spans="1:21">
      <c r="A1975" s="2" t="s">
        <v>2858</v>
      </c>
      <c r="B1975" s="2" t="s">
        <v>1969</v>
      </c>
      <c r="C1975" s="2" t="s">
        <v>19</v>
      </c>
      <c r="D1975" s="2">
        <v>54</v>
      </c>
      <c r="E1975" s="2" t="str">
        <f t="shared" si="122"/>
        <v>46-60</v>
      </c>
      <c r="F1975" s="2" t="s">
        <v>36</v>
      </c>
      <c r="G1975" s="2" t="s">
        <v>21</v>
      </c>
      <c r="H1975" s="2">
        <v>19</v>
      </c>
      <c r="I1975" s="2" t="str">
        <f t="shared" si="120"/>
        <v>13-24 months</v>
      </c>
      <c r="J1975" s="3">
        <v>899</v>
      </c>
      <c r="K1975" s="3">
        <v>17081</v>
      </c>
      <c r="L1975" s="2" t="s">
        <v>22</v>
      </c>
      <c r="M1975" s="4">
        <v>45357</v>
      </c>
      <c r="N1975" s="2" t="s">
        <v>32</v>
      </c>
      <c r="O1975" s="2">
        <f t="shared" si="123"/>
        <v>1</v>
      </c>
      <c r="P1975" s="2" t="s">
        <v>23</v>
      </c>
      <c r="Q1975" s="2" t="s">
        <v>23</v>
      </c>
      <c r="R1975" s="2" t="s">
        <v>23</v>
      </c>
      <c r="S1975" s="2" t="s">
        <v>23</v>
      </c>
      <c r="T1975" s="2" t="s">
        <v>23</v>
      </c>
      <c r="U1975" s="25">
        <f t="shared" si="121"/>
        <v>17081.001974999999</v>
      </c>
    </row>
    <row r="1976" spans="1:21">
      <c r="A1976" s="2" t="s">
        <v>2859</v>
      </c>
      <c r="B1976" s="2" t="s">
        <v>2010</v>
      </c>
      <c r="C1976" s="2" t="s">
        <v>35</v>
      </c>
      <c r="D1976" s="2">
        <v>64</v>
      </c>
      <c r="E1976" s="2" t="str">
        <f t="shared" si="122"/>
        <v>60+</v>
      </c>
      <c r="F1976" s="2" t="s">
        <v>110</v>
      </c>
      <c r="G1976" s="2" t="s">
        <v>21</v>
      </c>
      <c r="H1976" s="2">
        <v>7</v>
      </c>
      <c r="I1976" s="2" t="str">
        <f t="shared" si="120"/>
        <v>7-12 months</v>
      </c>
      <c r="J1976" s="3">
        <v>399</v>
      </c>
      <c r="K1976" s="3">
        <v>2793</v>
      </c>
      <c r="L1976" s="2" t="s">
        <v>66</v>
      </c>
      <c r="M1976" s="4">
        <v>45693</v>
      </c>
      <c r="N1976" s="2" t="s">
        <v>23</v>
      </c>
      <c r="O1976" s="2">
        <f t="shared" si="123"/>
        <v>0</v>
      </c>
      <c r="P1976" s="2" t="s">
        <v>23</v>
      </c>
      <c r="Q1976" s="2" t="s">
        <v>23</v>
      </c>
      <c r="R1976" s="2" t="s">
        <v>23</v>
      </c>
      <c r="S1976" s="2" t="s">
        <v>23</v>
      </c>
      <c r="T1976" s="2" t="s">
        <v>23</v>
      </c>
      <c r="U1976" s="25">
        <f t="shared" si="121"/>
        <v>2793.001976</v>
      </c>
    </row>
    <row r="1977" spans="1:21">
      <c r="A1977" s="2" t="s">
        <v>2860</v>
      </c>
      <c r="B1977" s="2" t="s">
        <v>109</v>
      </c>
      <c r="C1977" s="2" t="s">
        <v>35</v>
      </c>
      <c r="D1977" s="2">
        <v>52</v>
      </c>
      <c r="E1977" s="2" t="str">
        <f t="shared" si="122"/>
        <v>46-60</v>
      </c>
      <c r="F1977" s="2" t="s">
        <v>46</v>
      </c>
      <c r="G1977" s="2" t="s">
        <v>21</v>
      </c>
      <c r="H1977" s="2">
        <v>2</v>
      </c>
      <c r="I1977" s="2" t="str">
        <f t="shared" si="120"/>
        <v>0-6 months</v>
      </c>
      <c r="J1977" s="3">
        <v>799</v>
      </c>
      <c r="K1977" s="3">
        <v>1598</v>
      </c>
      <c r="L1977" s="2" t="s">
        <v>31</v>
      </c>
      <c r="M1977" s="4">
        <v>45852</v>
      </c>
      <c r="N1977" s="2" t="s">
        <v>32</v>
      </c>
      <c r="O1977" s="2">
        <f t="shared" si="123"/>
        <v>1</v>
      </c>
      <c r="P1977" s="2" t="s">
        <v>23</v>
      </c>
      <c r="Q1977" s="2" t="s">
        <v>23</v>
      </c>
      <c r="R1977" s="2" t="s">
        <v>23</v>
      </c>
      <c r="S1977" s="2" t="s">
        <v>23</v>
      </c>
      <c r="T1977" s="2" t="s">
        <v>23</v>
      </c>
      <c r="U1977" s="25">
        <f t="shared" si="121"/>
        <v>1598.0019769999999</v>
      </c>
    </row>
    <row r="1978" spans="1:21">
      <c r="A1978" s="2" t="s">
        <v>2861</v>
      </c>
      <c r="B1978" s="2" t="s">
        <v>568</v>
      </c>
      <c r="C1978" s="2" t="s">
        <v>35</v>
      </c>
      <c r="D1978" s="2">
        <v>45</v>
      </c>
      <c r="E1978" s="2" t="str">
        <f t="shared" si="122"/>
        <v>36-45</v>
      </c>
      <c r="F1978" s="2" t="s">
        <v>63</v>
      </c>
      <c r="G1978" s="2" t="s">
        <v>21</v>
      </c>
      <c r="H1978" s="2">
        <v>6</v>
      </c>
      <c r="I1978" s="2" t="str">
        <f t="shared" si="120"/>
        <v>0-6 months</v>
      </c>
      <c r="J1978" s="3">
        <v>399</v>
      </c>
      <c r="K1978" s="3">
        <v>2394</v>
      </c>
      <c r="L1978" s="2" t="s">
        <v>66</v>
      </c>
      <c r="M1978" s="4">
        <v>45733</v>
      </c>
      <c r="N1978" s="2" t="s">
        <v>23</v>
      </c>
      <c r="O1978" s="2">
        <f t="shared" si="123"/>
        <v>0</v>
      </c>
      <c r="P1978" s="2" t="s">
        <v>23</v>
      </c>
      <c r="Q1978" s="2" t="s">
        <v>23</v>
      </c>
      <c r="R1978" s="2" t="s">
        <v>23</v>
      </c>
      <c r="S1978" s="2" t="s">
        <v>23</v>
      </c>
      <c r="T1978" s="2" t="s">
        <v>23</v>
      </c>
      <c r="U1978" s="25">
        <f t="shared" si="121"/>
        <v>2394.0019779999998</v>
      </c>
    </row>
    <row r="1979" spans="1:21">
      <c r="A1979" s="2" t="s">
        <v>2862</v>
      </c>
      <c r="B1979" s="2" t="s">
        <v>912</v>
      </c>
      <c r="C1979" s="2" t="s">
        <v>19</v>
      </c>
      <c r="D1979" s="2">
        <v>75</v>
      </c>
      <c r="E1979" s="2" t="str">
        <f t="shared" si="122"/>
        <v>60+</v>
      </c>
      <c r="F1979" s="2" t="s">
        <v>30</v>
      </c>
      <c r="G1979" s="2" t="s">
        <v>21</v>
      </c>
      <c r="H1979" s="2">
        <v>7</v>
      </c>
      <c r="I1979" s="2" t="str">
        <f t="shared" si="120"/>
        <v>7-12 months</v>
      </c>
      <c r="J1979" s="3">
        <v>599</v>
      </c>
      <c r="K1979" s="3">
        <v>4193</v>
      </c>
      <c r="L1979" s="2" t="s">
        <v>31</v>
      </c>
      <c r="M1979" s="4">
        <v>45702</v>
      </c>
      <c r="N1979" s="2" t="s">
        <v>32</v>
      </c>
      <c r="O1979" s="2">
        <f t="shared" si="123"/>
        <v>1</v>
      </c>
      <c r="P1979" s="2" t="s">
        <v>23</v>
      </c>
      <c r="Q1979" s="2" t="s">
        <v>23</v>
      </c>
      <c r="R1979" s="2" t="s">
        <v>23</v>
      </c>
      <c r="S1979" s="2" t="s">
        <v>32</v>
      </c>
      <c r="T1979" s="2" t="s">
        <v>23</v>
      </c>
      <c r="U1979" s="25">
        <f t="shared" si="121"/>
        <v>4193.0019789999997</v>
      </c>
    </row>
    <row r="1980" spans="1:21">
      <c r="A1980" s="2" t="s">
        <v>2863</v>
      </c>
      <c r="B1980" s="2" t="s">
        <v>397</v>
      </c>
      <c r="C1980" s="2" t="s">
        <v>35</v>
      </c>
      <c r="D1980" s="2">
        <v>65</v>
      </c>
      <c r="E1980" s="2" t="str">
        <f t="shared" si="122"/>
        <v>60+</v>
      </c>
      <c r="F1980" s="2" t="s">
        <v>141</v>
      </c>
      <c r="G1980" s="2" t="s">
        <v>47</v>
      </c>
      <c r="H1980" s="2">
        <v>15</v>
      </c>
      <c r="I1980" s="2" t="str">
        <f t="shared" si="120"/>
        <v>13-24 months</v>
      </c>
      <c r="J1980" s="3">
        <v>899</v>
      </c>
      <c r="K1980" s="3">
        <v>13485</v>
      </c>
      <c r="L1980" s="2" t="s">
        <v>22</v>
      </c>
      <c r="M1980" s="4">
        <v>45460</v>
      </c>
      <c r="N1980" s="2" t="s">
        <v>23</v>
      </c>
      <c r="O1980" s="2">
        <f t="shared" si="123"/>
        <v>0</v>
      </c>
      <c r="P1980" s="2" t="s">
        <v>23</v>
      </c>
      <c r="Q1980" s="2" t="s">
        <v>23</v>
      </c>
      <c r="R1980" s="2" t="s">
        <v>23</v>
      </c>
      <c r="S1980" s="2" t="s">
        <v>23</v>
      </c>
      <c r="T1980" s="2" t="s">
        <v>23</v>
      </c>
      <c r="U1980" s="25">
        <f t="shared" si="121"/>
        <v>13485.001979999999</v>
      </c>
    </row>
    <row r="1981" spans="1:21">
      <c r="A1981" s="2" t="s">
        <v>2864</v>
      </c>
      <c r="B1981" s="2" t="s">
        <v>838</v>
      </c>
      <c r="C1981" s="2" t="s">
        <v>19</v>
      </c>
      <c r="D1981" s="2">
        <v>47</v>
      </c>
      <c r="E1981" s="2" t="str">
        <f t="shared" si="122"/>
        <v>46-60</v>
      </c>
      <c r="F1981" s="2" t="s">
        <v>105</v>
      </c>
      <c r="G1981" s="2" t="s">
        <v>27</v>
      </c>
      <c r="H1981" s="2">
        <v>6</v>
      </c>
      <c r="I1981" s="2" t="str">
        <f t="shared" si="120"/>
        <v>0-6 months</v>
      </c>
      <c r="J1981" s="3">
        <v>749</v>
      </c>
      <c r="K1981" s="3">
        <v>4494</v>
      </c>
      <c r="L1981" s="2" t="s">
        <v>31</v>
      </c>
      <c r="M1981" s="4">
        <v>45744</v>
      </c>
      <c r="N1981" s="2" t="s">
        <v>23</v>
      </c>
      <c r="O1981" s="2">
        <f t="shared" si="123"/>
        <v>0</v>
      </c>
      <c r="P1981" s="2" t="s">
        <v>32</v>
      </c>
      <c r="Q1981" s="2" t="s">
        <v>23</v>
      </c>
      <c r="R1981" s="2" t="s">
        <v>23</v>
      </c>
      <c r="S1981" s="2" t="s">
        <v>23</v>
      </c>
      <c r="T1981" s="2" t="s">
        <v>23</v>
      </c>
      <c r="U1981" s="25">
        <f t="shared" si="121"/>
        <v>4494.0019810000003</v>
      </c>
    </row>
    <row r="1982" spans="1:21">
      <c r="A1982" s="2" t="s">
        <v>2865</v>
      </c>
      <c r="B1982" s="2" t="s">
        <v>579</v>
      </c>
      <c r="C1982" s="2" t="s">
        <v>35</v>
      </c>
      <c r="D1982" s="2">
        <v>65</v>
      </c>
      <c r="E1982" s="2" t="str">
        <f t="shared" si="122"/>
        <v>60+</v>
      </c>
      <c r="F1982" s="2" t="s">
        <v>57</v>
      </c>
      <c r="G1982" s="2" t="s">
        <v>27</v>
      </c>
      <c r="H1982" s="2">
        <v>37</v>
      </c>
      <c r="I1982" s="2" t="str">
        <f t="shared" si="120"/>
        <v>25-48 months</v>
      </c>
      <c r="J1982" s="3">
        <v>1099</v>
      </c>
      <c r="K1982" s="3">
        <v>40663</v>
      </c>
      <c r="L1982" s="2" t="s">
        <v>22</v>
      </c>
      <c r="M1982" s="4">
        <v>44818</v>
      </c>
      <c r="N1982" s="2" t="s">
        <v>32</v>
      </c>
      <c r="O1982" s="2">
        <f t="shared" si="123"/>
        <v>1</v>
      </c>
      <c r="P1982" s="2" t="s">
        <v>23</v>
      </c>
      <c r="Q1982" s="2" t="s">
        <v>23</v>
      </c>
      <c r="R1982" s="2" t="s">
        <v>23</v>
      </c>
      <c r="S1982" s="2" t="s">
        <v>23</v>
      </c>
      <c r="T1982" s="2" t="s">
        <v>23</v>
      </c>
      <c r="U1982" s="25">
        <f t="shared" si="121"/>
        <v>40663.001982000002</v>
      </c>
    </row>
    <row r="1983" spans="1:21">
      <c r="A1983" s="2" t="s">
        <v>2866</v>
      </c>
      <c r="B1983" s="2" t="s">
        <v>2341</v>
      </c>
      <c r="C1983" s="2" t="s">
        <v>35</v>
      </c>
      <c r="D1983" s="2">
        <v>71</v>
      </c>
      <c r="E1983" s="2" t="str">
        <f t="shared" si="122"/>
        <v>60+</v>
      </c>
      <c r="F1983" s="2" t="s">
        <v>41</v>
      </c>
      <c r="G1983" s="2" t="s">
        <v>47</v>
      </c>
      <c r="H1983" s="2">
        <v>71</v>
      </c>
      <c r="I1983" s="2" t="str">
        <f t="shared" si="120"/>
        <v>49+ months</v>
      </c>
      <c r="J1983" s="3">
        <v>449</v>
      </c>
      <c r="K1983" s="3">
        <v>31879</v>
      </c>
      <c r="L1983" s="2" t="s">
        <v>66</v>
      </c>
      <c r="M1983" s="4">
        <v>43797</v>
      </c>
      <c r="N1983" s="2" t="s">
        <v>23</v>
      </c>
      <c r="O1983" s="2">
        <f t="shared" si="123"/>
        <v>0</v>
      </c>
      <c r="P1983" s="2" t="s">
        <v>23</v>
      </c>
      <c r="Q1983" s="2" t="s">
        <v>32</v>
      </c>
      <c r="R1983" s="2" t="s">
        <v>23</v>
      </c>
      <c r="S1983" s="2" t="s">
        <v>23</v>
      </c>
      <c r="T1983" s="2" t="s">
        <v>23</v>
      </c>
      <c r="U1983" s="25">
        <f t="shared" si="121"/>
        <v>31879.001982999998</v>
      </c>
    </row>
    <row r="1984" spans="1:21">
      <c r="A1984" s="2" t="s">
        <v>2867</v>
      </c>
      <c r="B1984" s="2" t="s">
        <v>1431</v>
      </c>
      <c r="C1984" s="2" t="s">
        <v>19</v>
      </c>
      <c r="D1984" s="2">
        <v>70</v>
      </c>
      <c r="E1984" s="2" t="str">
        <f t="shared" si="122"/>
        <v>60+</v>
      </c>
      <c r="F1984" s="2" t="s">
        <v>57</v>
      </c>
      <c r="G1984" s="2" t="s">
        <v>47</v>
      </c>
      <c r="H1984" s="2">
        <v>29</v>
      </c>
      <c r="I1984" s="2" t="str">
        <f t="shared" si="120"/>
        <v>25-48 months</v>
      </c>
      <c r="J1984" s="3">
        <v>1099</v>
      </c>
      <c r="K1984" s="3">
        <v>31871</v>
      </c>
      <c r="L1984" s="2" t="s">
        <v>22</v>
      </c>
      <c r="M1984" s="4">
        <v>45035</v>
      </c>
      <c r="N1984" s="2" t="s">
        <v>23</v>
      </c>
      <c r="O1984" s="2">
        <f t="shared" si="123"/>
        <v>0</v>
      </c>
      <c r="P1984" s="2" t="s">
        <v>23</v>
      </c>
      <c r="Q1984" s="2" t="s">
        <v>23</v>
      </c>
      <c r="R1984" s="2" t="s">
        <v>23</v>
      </c>
      <c r="S1984" s="2" t="s">
        <v>23</v>
      </c>
      <c r="T1984" s="2" t="s">
        <v>23</v>
      </c>
      <c r="U1984" s="25">
        <f t="shared" si="121"/>
        <v>31871.001983999999</v>
      </c>
    </row>
    <row r="1985" spans="1:21">
      <c r="A1985" s="2" t="s">
        <v>2868</v>
      </c>
      <c r="B1985" s="2" t="s">
        <v>1032</v>
      </c>
      <c r="C1985" s="2" t="s">
        <v>19</v>
      </c>
      <c r="D1985" s="2">
        <v>24</v>
      </c>
      <c r="E1985" s="2" t="str">
        <f t="shared" si="122"/>
        <v>18-25</v>
      </c>
      <c r="F1985" s="2" t="s">
        <v>26</v>
      </c>
      <c r="G1985" s="2" t="s">
        <v>47</v>
      </c>
      <c r="H1985" s="2">
        <v>72</v>
      </c>
      <c r="I1985" s="2" t="str">
        <f t="shared" si="120"/>
        <v>49+ months</v>
      </c>
      <c r="J1985" s="3">
        <v>849</v>
      </c>
      <c r="K1985" s="3">
        <v>61128</v>
      </c>
      <c r="L1985" s="2" t="s">
        <v>31</v>
      </c>
      <c r="M1985" s="4">
        <v>43764</v>
      </c>
      <c r="N1985" s="2" t="s">
        <v>23</v>
      </c>
      <c r="O1985" s="2">
        <f t="shared" si="123"/>
        <v>0</v>
      </c>
      <c r="P1985" s="2" t="s">
        <v>23</v>
      </c>
      <c r="Q1985" s="2" t="s">
        <v>23</v>
      </c>
      <c r="R1985" s="2" t="s">
        <v>23</v>
      </c>
      <c r="S1985" s="2" t="s">
        <v>23</v>
      </c>
      <c r="T1985" s="2" t="s">
        <v>23</v>
      </c>
      <c r="U1985" s="25">
        <f t="shared" si="121"/>
        <v>61128.001985000003</v>
      </c>
    </row>
    <row r="1986" spans="1:21">
      <c r="A1986" s="2" t="s">
        <v>2869</v>
      </c>
      <c r="B1986" s="2" t="s">
        <v>1217</v>
      </c>
      <c r="C1986" s="2" t="s">
        <v>35</v>
      </c>
      <c r="D1986" s="2">
        <v>47</v>
      </c>
      <c r="E1986" s="2" t="str">
        <f t="shared" si="122"/>
        <v>46-60</v>
      </c>
      <c r="F1986" s="2" t="s">
        <v>71</v>
      </c>
      <c r="G1986" s="2" t="s">
        <v>21</v>
      </c>
      <c r="H1986" s="2">
        <v>1</v>
      </c>
      <c r="I1986" s="2" t="str">
        <f t="shared" ref="I1986:I2001" si="124">IF(H1986="","Unknown",IF(H1986&lt;=6,"0-6 months",IF(H1986&lt;=12,"7-12 months",IF(H1986&lt;=24,"13-24 months",IF(H1986&lt;=48,"25-48 months","49+ months")))))</f>
        <v>0-6 months</v>
      </c>
      <c r="J1986" s="3">
        <v>399</v>
      </c>
      <c r="K1986" s="3">
        <v>399</v>
      </c>
      <c r="L1986" s="2" t="s">
        <v>66</v>
      </c>
      <c r="M1986" s="4">
        <v>45891</v>
      </c>
      <c r="N1986" s="2" t="s">
        <v>32</v>
      </c>
      <c r="O1986" s="2">
        <f t="shared" si="123"/>
        <v>1</v>
      </c>
      <c r="P1986" s="2" t="s">
        <v>32</v>
      </c>
      <c r="Q1986" s="2" t="s">
        <v>23</v>
      </c>
      <c r="R1986" s="2" t="s">
        <v>23</v>
      </c>
      <c r="S1986" s="2" t="s">
        <v>23</v>
      </c>
      <c r="T1986" s="2" t="s">
        <v>23</v>
      </c>
      <c r="U1986" s="25">
        <f t="shared" ref="U1986:U2001" si="125">IF(K1986="","",K1986+ROW()/1000000)</f>
        <v>399.00198599999999</v>
      </c>
    </row>
    <row r="1987" spans="1:21">
      <c r="A1987" s="2" t="s">
        <v>2870</v>
      </c>
      <c r="B1987" s="2" t="s">
        <v>922</v>
      </c>
      <c r="C1987" s="2" t="s">
        <v>35</v>
      </c>
      <c r="D1987" s="2">
        <v>19</v>
      </c>
      <c r="E1987" s="2" t="str">
        <f t="shared" ref="E1987:E2001" si="126">IF(D1987&lt;=25,"18-25",IF(D1987&lt;=35,"26-35",IF(D1987&lt;=45,"36-45",IF(D1987&lt;=60,"46-60","60+"))))</f>
        <v>18-25</v>
      </c>
      <c r="F1987" s="2" t="s">
        <v>60</v>
      </c>
      <c r="G1987" s="2" t="s">
        <v>21</v>
      </c>
      <c r="H1987" s="2">
        <v>20</v>
      </c>
      <c r="I1987" s="2" t="str">
        <f t="shared" si="124"/>
        <v>13-24 months</v>
      </c>
      <c r="J1987" s="3">
        <v>449</v>
      </c>
      <c r="K1987" s="3">
        <v>8980</v>
      </c>
      <c r="L1987" s="2" t="s">
        <v>66</v>
      </c>
      <c r="M1987" s="4"/>
      <c r="N1987" s="2" t="s">
        <v>23</v>
      </c>
      <c r="O1987" s="2">
        <f t="shared" ref="O1987:O2001" si="127">IF(N1987="Yes",1,IF(N1987="No",0,""))</f>
        <v>0</v>
      </c>
      <c r="P1987" s="2" t="s">
        <v>23</v>
      </c>
      <c r="Q1987" s="2" t="s">
        <v>32</v>
      </c>
      <c r="R1987" s="2" t="s">
        <v>23</v>
      </c>
      <c r="S1987" s="2" t="s">
        <v>23</v>
      </c>
      <c r="T1987" s="2" t="s">
        <v>54</v>
      </c>
      <c r="U1987" s="25">
        <f t="shared" si="125"/>
        <v>8980.0019869999996</v>
      </c>
    </row>
    <row r="1988" spans="1:21">
      <c r="A1988" s="2" t="s">
        <v>2871</v>
      </c>
      <c r="B1988" s="2" t="s">
        <v>299</v>
      </c>
      <c r="C1988" s="2" t="s">
        <v>35</v>
      </c>
      <c r="D1988" s="2">
        <v>46</v>
      </c>
      <c r="E1988" s="2" t="str">
        <f t="shared" si="126"/>
        <v>46-60</v>
      </c>
      <c r="F1988" s="2" t="s">
        <v>63</v>
      </c>
      <c r="G1988" s="2" t="s">
        <v>27</v>
      </c>
      <c r="H1988" s="2">
        <v>36</v>
      </c>
      <c r="I1988" s="2" t="str">
        <f t="shared" si="124"/>
        <v>25-48 months</v>
      </c>
      <c r="J1988" s="3">
        <v>649</v>
      </c>
      <c r="K1988" s="3">
        <v>23364</v>
      </c>
      <c r="L1988" s="2" t="s">
        <v>31</v>
      </c>
      <c r="M1988" s="4">
        <v>44826</v>
      </c>
      <c r="N1988" s="2" t="s">
        <v>23</v>
      </c>
      <c r="O1988" s="2">
        <f t="shared" si="127"/>
        <v>0</v>
      </c>
      <c r="P1988" s="2" t="s">
        <v>23</v>
      </c>
      <c r="Q1988" s="2" t="s">
        <v>23</v>
      </c>
      <c r="R1988" s="2" t="s">
        <v>23</v>
      </c>
      <c r="S1988" s="2" t="s">
        <v>23</v>
      </c>
      <c r="T1988" s="2" t="s">
        <v>23</v>
      </c>
      <c r="U1988" s="25">
        <f t="shared" si="125"/>
        <v>23364.001988</v>
      </c>
    </row>
    <row r="1989" spans="1:21">
      <c r="A1989" s="2" t="s">
        <v>2872</v>
      </c>
      <c r="B1989" s="2" t="s">
        <v>1560</v>
      </c>
      <c r="C1989" s="2" t="s">
        <v>19</v>
      </c>
      <c r="D1989" s="2">
        <v>26</v>
      </c>
      <c r="E1989" s="2" t="str">
        <f t="shared" si="126"/>
        <v>26-35</v>
      </c>
      <c r="F1989" s="2" t="s">
        <v>71</v>
      </c>
      <c r="G1989" s="2" t="s">
        <v>21</v>
      </c>
      <c r="H1989" s="2">
        <v>10</v>
      </c>
      <c r="I1989" s="2" t="str">
        <f t="shared" si="124"/>
        <v>7-12 months</v>
      </c>
      <c r="J1989" s="3">
        <v>999</v>
      </c>
      <c r="K1989" s="3">
        <v>9990</v>
      </c>
      <c r="L1989" s="2" t="s">
        <v>22</v>
      </c>
      <c r="M1989" s="4">
        <v>45612</v>
      </c>
      <c r="N1989" s="2" t="s">
        <v>32</v>
      </c>
      <c r="O1989" s="2">
        <f t="shared" si="127"/>
        <v>1</v>
      </c>
      <c r="P1989" s="2" t="s">
        <v>23</v>
      </c>
      <c r="Q1989" s="2" t="s">
        <v>23</v>
      </c>
      <c r="R1989" s="2" t="s">
        <v>32</v>
      </c>
      <c r="S1989" s="2" t="s">
        <v>23</v>
      </c>
      <c r="T1989" s="2" t="s">
        <v>23</v>
      </c>
      <c r="U1989" s="25">
        <f t="shared" si="125"/>
        <v>9990.0019890000003</v>
      </c>
    </row>
    <row r="1990" spans="1:21">
      <c r="A1990" s="2" t="s">
        <v>2873</v>
      </c>
      <c r="B1990" s="2" t="s">
        <v>285</v>
      </c>
      <c r="C1990" s="2" t="s">
        <v>37</v>
      </c>
      <c r="D1990" s="2">
        <v>49</v>
      </c>
      <c r="E1990" s="2" t="str">
        <f t="shared" si="126"/>
        <v>46-60</v>
      </c>
      <c r="F1990" s="2" t="s">
        <v>46</v>
      </c>
      <c r="G1990" s="2" t="s">
        <v>27</v>
      </c>
      <c r="H1990" s="2">
        <v>30</v>
      </c>
      <c r="I1990" s="2" t="str">
        <f t="shared" si="124"/>
        <v>25-48 months</v>
      </c>
      <c r="J1990" s="3">
        <v>449</v>
      </c>
      <c r="K1990" s="3">
        <v>13470</v>
      </c>
      <c r="L1990" s="2" t="s">
        <v>66</v>
      </c>
      <c r="M1990" s="4">
        <v>45022</v>
      </c>
      <c r="N1990" s="2" t="s">
        <v>23</v>
      </c>
      <c r="O1990" s="2">
        <f t="shared" si="127"/>
        <v>0</v>
      </c>
      <c r="P1990" s="2" t="s">
        <v>23</v>
      </c>
      <c r="Q1990" s="2" t="s">
        <v>23</v>
      </c>
      <c r="R1990" s="2" t="s">
        <v>23</v>
      </c>
      <c r="S1990" s="2" t="s">
        <v>23</v>
      </c>
      <c r="T1990" s="2" t="s">
        <v>23</v>
      </c>
      <c r="U1990" s="25">
        <f t="shared" si="125"/>
        <v>13470.001990000001</v>
      </c>
    </row>
    <row r="1991" spans="1:21">
      <c r="A1991" s="2" t="s">
        <v>2874</v>
      </c>
      <c r="B1991" s="2" t="s">
        <v>37</v>
      </c>
      <c r="C1991" s="2" t="s">
        <v>37</v>
      </c>
      <c r="D1991" s="2">
        <v>32</v>
      </c>
      <c r="E1991" s="2" t="str">
        <f t="shared" si="126"/>
        <v>26-35</v>
      </c>
      <c r="F1991" s="2" t="s">
        <v>30</v>
      </c>
      <c r="G1991" s="2" t="s">
        <v>47</v>
      </c>
      <c r="H1991" s="2">
        <v>38</v>
      </c>
      <c r="I1991" s="2" t="str">
        <f t="shared" si="124"/>
        <v>25-48 months</v>
      </c>
      <c r="J1991" s="3">
        <v>599</v>
      </c>
      <c r="K1991" s="3">
        <v>22762</v>
      </c>
      <c r="L1991" s="2" t="s">
        <v>31</v>
      </c>
      <c r="M1991" s="4">
        <v>44764</v>
      </c>
      <c r="N1991" s="2" t="s">
        <v>23</v>
      </c>
      <c r="O1991" s="2">
        <f t="shared" si="127"/>
        <v>0</v>
      </c>
      <c r="P1991" s="2" t="s">
        <v>23</v>
      </c>
      <c r="Q1991" s="2" t="s">
        <v>23</v>
      </c>
      <c r="R1991" s="2" t="s">
        <v>23</v>
      </c>
      <c r="S1991" s="2" t="s">
        <v>32</v>
      </c>
      <c r="T1991" s="2" t="s">
        <v>23</v>
      </c>
      <c r="U1991" s="25">
        <f t="shared" si="125"/>
        <v>22762.001991000001</v>
      </c>
    </row>
    <row r="1992" spans="1:21">
      <c r="A1992" s="2" t="s">
        <v>2875</v>
      </c>
      <c r="B1992" s="2" t="s">
        <v>2763</v>
      </c>
      <c r="C1992" s="2" t="s">
        <v>19</v>
      </c>
      <c r="D1992" s="2">
        <v>39</v>
      </c>
      <c r="E1992" s="2" t="str">
        <f t="shared" si="126"/>
        <v>36-45</v>
      </c>
      <c r="F1992" s="2" t="s">
        <v>41</v>
      </c>
      <c r="G1992" s="2" t="s">
        <v>37</v>
      </c>
      <c r="H1992" s="2">
        <v>3</v>
      </c>
      <c r="I1992" s="2" t="str">
        <f t="shared" si="124"/>
        <v>0-6 months</v>
      </c>
      <c r="J1992" s="3">
        <v>999</v>
      </c>
      <c r="K1992" s="3">
        <v>2997</v>
      </c>
      <c r="L1992" s="2" t="s">
        <v>22</v>
      </c>
      <c r="M1992" s="4">
        <v>45838</v>
      </c>
      <c r="N1992" s="2" t="s">
        <v>32</v>
      </c>
      <c r="O1992" s="2">
        <f t="shared" si="127"/>
        <v>1</v>
      </c>
      <c r="P1992" s="2" t="s">
        <v>23</v>
      </c>
      <c r="Q1992" s="2" t="s">
        <v>32</v>
      </c>
      <c r="R1992" s="2" t="s">
        <v>23</v>
      </c>
      <c r="S1992" s="2" t="s">
        <v>23</v>
      </c>
      <c r="T1992" s="2" t="s">
        <v>23</v>
      </c>
      <c r="U1992" s="25">
        <f t="shared" si="125"/>
        <v>2997.001992</v>
      </c>
    </row>
    <row r="1993" spans="1:21">
      <c r="A1993" s="2" t="s">
        <v>2876</v>
      </c>
      <c r="B1993" s="2" t="s">
        <v>1155</v>
      </c>
      <c r="C1993" s="2" t="s">
        <v>35</v>
      </c>
      <c r="D1993" s="2">
        <v>74</v>
      </c>
      <c r="E1993" s="2" t="str">
        <f t="shared" si="126"/>
        <v>60+</v>
      </c>
      <c r="F1993" s="2" t="s">
        <v>36</v>
      </c>
      <c r="G1993" s="2" t="s">
        <v>21</v>
      </c>
      <c r="H1993" s="2">
        <v>8</v>
      </c>
      <c r="I1993" s="2" t="str">
        <f t="shared" si="124"/>
        <v>7-12 months</v>
      </c>
      <c r="J1993" s="3">
        <v>1049</v>
      </c>
      <c r="K1993" s="3">
        <v>8392</v>
      </c>
      <c r="L1993" s="2" t="s">
        <v>22</v>
      </c>
      <c r="M1993" s="4">
        <v>45687</v>
      </c>
      <c r="N1993" s="2" t="s">
        <v>32</v>
      </c>
      <c r="O1993" s="2">
        <f t="shared" si="127"/>
        <v>1</v>
      </c>
      <c r="P1993" s="2" t="s">
        <v>23</v>
      </c>
      <c r="Q1993" s="2" t="s">
        <v>23</v>
      </c>
      <c r="R1993" s="2" t="s">
        <v>32</v>
      </c>
      <c r="S1993" s="2" t="s">
        <v>23</v>
      </c>
      <c r="T1993" s="2" t="s">
        <v>23</v>
      </c>
      <c r="U1993" s="25">
        <f t="shared" si="125"/>
        <v>8392.0019929999999</v>
      </c>
    </row>
    <row r="1994" spans="1:21">
      <c r="A1994" s="2" t="s">
        <v>2877</v>
      </c>
      <c r="B1994" s="2" t="s">
        <v>248</v>
      </c>
      <c r="C1994" s="2" t="s">
        <v>19</v>
      </c>
      <c r="D1994" s="2">
        <v>33</v>
      </c>
      <c r="E1994" s="2" t="str">
        <f t="shared" si="126"/>
        <v>26-35</v>
      </c>
      <c r="F1994" s="2" t="s">
        <v>26</v>
      </c>
      <c r="G1994" s="2" t="s">
        <v>21</v>
      </c>
      <c r="H1994" s="2">
        <v>3</v>
      </c>
      <c r="I1994" s="2" t="str">
        <f t="shared" si="124"/>
        <v>0-6 months</v>
      </c>
      <c r="J1994" s="3">
        <v>849</v>
      </c>
      <c r="K1994" s="3">
        <v>2547</v>
      </c>
      <c r="L1994" s="2" t="s">
        <v>31</v>
      </c>
      <c r="M1994" s="4">
        <v>45810</v>
      </c>
      <c r="N1994" s="2" t="s">
        <v>32</v>
      </c>
      <c r="O1994" s="2">
        <f t="shared" si="127"/>
        <v>1</v>
      </c>
      <c r="P1994" s="2" t="s">
        <v>23</v>
      </c>
      <c r="Q1994" s="2" t="s">
        <v>23</v>
      </c>
      <c r="R1994" s="2" t="s">
        <v>23</v>
      </c>
      <c r="S1994" s="2" t="s">
        <v>32</v>
      </c>
      <c r="T1994" s="2" t="s">
        <v>23</v>
      </c>
      <c r="U1994" s="25">
        <f t="shared" si="125"/>
        <v>2547.0019940000002</v>
      </c>
    </row>
    <row r="1995" spans="1:21">
      <c r="A1995" s="2" t="s">
        <v>2878</v>
      </c>
      <c r="B1995" s="2" t="s">
        <v>2623</v>
      </c>
      <c r="C1995" s="2" t="s">
        <v>19</v>
      </c>
      <c r="D1995" s="2">
        <v>58</v>
      </c>
      <c r="E1995" s="2" t="str">
        <f t="shared" si="126"/>
        <v>46-60</v>
      </c>
      <c r="F1995" s="2" t="s">
        <v>105</v>
      </c>
      <c r="G1995" s="2" t="s">
        <v>21</v>
      </c>
      <c r="H1995" s="2">
        <v>1</v>
      </c>
      <c r="I1995" s="2" t="str">
        <f t="shared" si="124"/>
        <v>0-6 months</v>
      </c>
      <c r="J1995" s="3">
        <v>849</v>
      </c>
      <c r="K1995" s="3">
        <v>849</v>
      </c>
      <c r="L1995" s="2" t="s">
        <v>31</v>
      </c>
      <c r="M1995" s="4"/>
      <c r="N1995" s="2" t="s">
        <v>23</v>
      </c>
      <c r="O1995" s="2">
        <f t="shared" si="127"/>
        <v>0</v>
      </c>
      <c r="P1995" s="2" t="s">
        <v>23</v>
      </c>
      <c r="Q1995" s="2" t="s">
        <v>23</v>
      </c>
      <c r="R1995" s="2" t="s">
        <v>32</v>
      </c>
      <c r="S1995" s="2" t="s">
        <v>23</v>
      </c>
      <c r="T1995" s="2" t="s">
        <v>54</v>
      </c>
      <c r="U1995" s="25">
        <f t="shared" si="125"/>
        <v>849.00199499999997</v>
      </c>
    </row>
    <row r="1996" spans="1:21">
      <c r="A1996" s="2" t="s">
        <v>2879</v>
      </c>
      <c r="B1996" s="2" t="s">
        <v>922</v>
      </c>
      <c r="C1996" s="2" t="s">
        <v>35</v>
      </c>
      <c r="D1996" s="2">
        <v>66</v>
      </c>
      <c r="E1996" s="2" t="str">
        <f t="shared" si="126"/>
        <v>60+</v>
      </c>
      <c r="F1996" s="2" t="s">
        <v>30</v>
      </c>
      <c r="G1996" s="2" t="s">
        <v>21</v>
      </c>
      <c r="H1996" s="2">
        <v>24</v>
      </c>
      <c r="I1996" s="2" t="str">
        <f t="shared" si="124"/>
        <v>13-24 months</v>
      </c>
      <c r="J1996" s="3">
        <v>449</v>
      </c>
      <c r="K1996" s="3">
        <v>10776</v>
      </c>
      <c r="L1996" s="2" t="s">
        <v>66</v>
      </c>
      <c r="M1996" s="4">
        <v>45207</v>
      </c>
      <c r="N1996" s="2" t="s">
        <v>32</v>
      </c>
      <c r="O1996" s="2">
        <f t="shared" si="127"/>
        <v>1</v>
      </c>
      <c r="P1996" s="2" t="s">
        <v>23</v>
      </c>
      <c r="Q1996" s="2" t="s">
        <v>23</v>
      </c>
      <c r="R1996" s="2" t="s">
        <v>23</v>
      </c>
      <c r="S1996" s="2" t="s">
        <v>23</v>
      </c>
      <c r="T1996" s="2" t="s">
        <v>23</v>
      </c>
      <c r="U1996" s="25">
        <f t="shared" si="125"/>
        <v>10776.001996000001</v>
      </c>
    </row>
    <row r="1997" spans="1:21">
      <c r="A1997" s="2" t="s">
        <v>2880</v>
      </c>
      <c r="B1997" s="2" t="s">
        <v>2881</v>
      </c>
      <c r="C1997" s="2" t="s">
        <v>35</v>
      </c>
      <c r="D1997" s="2">
        <v>46</v>
      </c>
      <c r="E1997" s="2" t="str">
        <f t="shared" si="126"/>
        <v>46-60</v>
      </c>
      <c r="F1997" s="2" t="s">
        <v>105</v>
      </c>
      <c r="G1997" s="2" t="s">
        <v>47</v>
      </c>
      <c r="H1997" s="2">
        <v>39</v>
      </c>
      <c r="I1997" s="2" t="str">
        <f t="shared" si="124"/>
        <v>25-48 months</v>
      </c>
      <c r="J1997" s="3">
        <v>349</v>
      </c>
      <c r="K1997" s="3">
        <v>13611</v>
      </c>
      <c r="L1997" s="2" t="s">
        <v>66</v>
      </c>
      <c r="M1997" s="4">
        <v>44756</v>
      </c>
      <c r="N1997" s="2" t="s">
        <v>23</v>
      </c>
      <c r="O1997" s="2">
        <f t="shared" si="127"/>
        <v>0</v>
      </c>
      <c r="P1997" s="2" t="s">
        <v>23</v>
      </c>
      <c r="Q1997" s="2" t="s">
        <v>23</v>
      </c>
      <c r="R1997" s="2" t="s">
        <v>23</v>
      </c>
      <c r="S1997" s="2" t="s">
        <v>23</v>
      </c>
      <c r="T1997" s="2" t="s">
        <v>23</v>
      </c>
      <c r="U1997" s="25">
        <f t="shared" si="125"/>
        <v>13611.001996999999</v>
      </c>
    </row>
    <row r="1998" spans="1:21">
      <c r="A1998" s="2" t="s">
        <v>2882</v>
      </c>
      <c r="B1998" s="2" t="s">
        <v>2598</v>
      </c>
      <c r="C1998" s="2" t="s">
        <v>35</v>
      </c>
      <c r="D1998" s="2">
        <v>41</v>
      </c>
      <c r="E1998" s="2" t="str">
        <f t="shared" si="126"/>
        <v>36-45</v>
      </c>
      <c r="F1998" s="2" t="s">
        <v>60</v>
      </c>
      <c r="G1998" s="2" t="s">
        <v>27</v>
      </c>
      <c r="H1998" s="2">
        <v>14</v>
      </c>
      <c r="I1998" s="2" t="str">
        <f t="shared" si="124"/>
        <v>13-24 months</v>
      </c>
      <c r="J1998" s="3">
        <v>1049</v>
      </c>
      <c r="K1998" s="3">
        <v>14686</v>
      </c>
      <c r="L1998" s="2" t="s">
        <v>22</v>
      </c>
      <c r="M1998" s="4">
        <v>45500</v>
      </c>
      <c r="N1998" s="2" t="s">
        <v>23</v>
      </c>
      <c r="O1998" s="2">
        <f t="shared" si="127"/>
        <v>0</v>
      </c>
      <c r="P1998" s="2" t="s">
        <v>23</v>
      </c>
      <c r="Q1998" s="2" t="s">
        <v>23</v>
      </c>
      <c r="R1998" s="2" t="s">
        <v>23</v>
      </c>
      <c r="S1998" s="2" t="s">
        <v>23</v>
      </c>
      <c r="T1998" s="2" t="s">
        <v>23</v>
      </c>
      <c r="U1998" s="25">
        <f t="shared" si="125"/>
        <v>14686.001998</v>
      </c>
    </row>
    <row r="1999" spans="1:21">
      <c r="A1999" s="2" t="s">
        <v>2883</v>
      </c>
      <c r="B1999" s="2" t="s">
        <v>1544</v>
      </c>
      <c r="C1999" s="2" t="s">
        <v>19</v>
      </c>
      <c r="D1999" s="2">
        <v>44</v>
      </c>
      <c r="E1999" s="2" t="str">
        <f t="shared" si="126"/>
        <v>36-45</v>
      </c>
      <c r="F1999" s="2" t="s">
        <v>41</v>
      </c>
      <c r="G1999" s="2" t="s">
        <v>21</v>
      </c>
      <c r="H1999" s="2">
        <v>6</v>
      </c>
      <c r="I1999" s="2" t="str">
        <f t="shared" si="124"/>
        <v>0-6 months</v>
      </c>
      <c r="J1999" s="3">
        <v>1049</v>
      </c>
      <c r="K1999" s="3">
        <v>6294</v>
      </c>
      <c r="L1999" s="2" t="s">
        <v>22</v>
      </c>
      <c r="M1999" s="4">
        <v>45744</v>
      </c>
      <c r="N1999" s="2" t="s">
        <v>23</v>
      </c>
      <c r="O1999" s="2">
        <f t="shared" si="127"/>
        <v>0</v>
      </c>
      <c r="P1999" s="2" t="s">
        <v>23</v>
      </c>
      <c r="Q1999" s="2" t="s">
        <v>23</v>
      </c>
      <c r="R1999" s="2" t="s">
        <v>23</v>
      </c>
      <c r="S1999" s="2" t="s">
        <v>23</v>
      </c>
      <c r="T1999" s="2" t="s">
        <v>23</v>
      </c>
      <c r="U1999" s="25">
        <f t="shared" si="125"/>
        <v>6294.0019990000001</v>
      </c>
    </row>
    <row r="2000" spans="1:21">
      <c r="A2000" s="2" t="s">
        <v>2884</v>
      </c>
      <c r="B2000" s="2" t="s">
        <v>2172</v>
      </c>
      <c r="C2000" s="2" t="s">
        <v>35</v>
      </c>
      <c r="D2000" s="2">
        <v>46</v>
      </c>
      <c r="E2000" s="2" t="str">
        <f t="shared" si="126"/>
        <v>46-60</v>
      </c>
      <c r="F2000" s="2" t="s">
        <v>36</v>
      </c>
      <c r="G2000" s="2" t="s">
        <v>21</v>
      </c>
      <c r="H2000" s="2">
        <v>23</v>
      </c>
      <c r="I2000" s="2" t="str">
        <f t="shared" si="124"/>
        <v>13-24 months</v>
      </c>
      <c r="J2000" s="3">
        <v>449</v>
      </c>
      <c r="K2000" s="3">
        <v>10327</v>
      </c>
      <c r="L2000" s="2" t="s">
        <v>66</v>
      </c>
      <c r="M2000" s="4">
        <v>45213</v>
      </c>
      <c r="N2000" s="2" t="s">
        <v>23</v>
      </c>
      <c r="O2000" s="2">
        <f t="shared" si="127"/>
        <v>0</v>
      </c>
      <c r="P2000" s="2" t="s">
        <v>23</v>
      </c>
      <c r="Q2000" s="2" t="s">
        <v>23</v>
      </c>
      <c r="R2000" s="2" t="s">
        <v>23</v>
      </c>
      <c r="S2000" s="2" t="s">
        <v>23</v>
      </c>
      <c r="T2000" s="2" t="s">
        <v>23</v>
      </c>
      <c r="U2000" s="25">
        <f t="shared" si="125"/>
        <v>10327.002</v>
      </c>
    </row>
    <row r="2001" spans="1:21">
      <c r="A2001" s="2" t="s">
        <v>2885</v>
      </c>
      <c r="B2001" s="2" t="s">
        <v>320</v>
      </c>
      <c r="C2001" s="2" t="s">
        <v>35</v>
      </c>
      <c r="D2001" s="2">
        <v>35</v>
      </c>
      <c r="E2001" s="2" t="str">
        <f t="shared" si="126"/>
        <v>26-35</v>
      </c>
      <c r="F2001" s="2" t="s">
        <v>41</v>
      </c>
      <c r="G2001" s="2" t="s">
        <v>47</v>
      </c>
      <c r="H2001" s="2">
        <v>57</v>
      </c>
      <c r="I2001" s="2" t="str">
        <f t="shared" si="124"/>
        <v>49+ months</v>
      </c>
      <c r="J2001" s="3">
        <v>1299</v>
      </c>
      <c r="K2001" s="3">
        <v>74043</v>
      </c>
      <c r="L2001" s="2" t="s">
        <v>22</v>
      </c>
      <c r="M2001" s="4">
        <v>44191</v>
      </c>
      <c r="N2001" s="2" t="s">
        <v>23</v>
      </c>
      <c r="O2001" s="2">
        <f t="shared" si="127"/>
        <v>0</v>
      </c>
      <c r="P2001" s="2" t="s">
        <v>23</v>
      </c>
      <c r="Q2001" s="2" t="s">
        <v>23</v>
      </c>
      <c r="R2001" s="2" t="s">
        <v>23</v>
      </c>
      <c r="S2001" s="2" t="s">
        <v>23</v>
      </c>
      <c r="T2001" s="2" t="s">
        <v>23</v>
      </c>
      <c r="U2001" s="25">
        <f t="shared" si="125"/>
        <v>74043.002001000001</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8CEE-A277-4011-8E35-5D6155F009FA}">
  <dimension ref="A1:AF69"/>
  <sheetViews>
    <sheetView workbookViewId="0">
      <selection activeCell="D10" sqref="D10"/>
    </sheetView>
  </sheetViews>
  <sheetFormatPr defaultRowHeight="14.5"/>
  <cols>
    <col min="1" max="1" width="11.7265625" customWidth="1"/>
    <col min="4" max="4" width="11.90625" customWidth="1"/>
    <col min="9" max="9" width="17.90625" customWidth="1"/>
    <col min="13" max="13" width="9" bestFit="1" customWidth="1"/>
  </cols>
  <sheetData>
    <row r="1" spans="1:32">
      <c r="A1" t="s">
        <v>2915</v>
      </c>
      <c r="B1" t="s">
        <v>2916</v>
      </c>
      <c r="C1" t="s">
        <v>2917</v>
      </c>
      <c r="D1" t="s">
        <v>2918</v>
      </c>
      <c r="AE1" t="s">
        <v>2954</v>
      </c>
      <c r="AF1" t="s">
        <v>2955</v>
      </c>
    </row>
    <row r="2" spans="1:32">
      <c r="A2" s="12" t="s">
        <v>2919</v>
      </c>
      <c r="B2">
        <f>COUNTIFS(Customer_churn_data!$E$2:$E$2001,$A2,Customer_churn_data!$N$2:$N$2001,"Yes")</f>
        <v>85</v>
      </c>
      <c r="C2">
        <f>COUNTIFS(Customer_churn_data!$E$2:$E$2001,$A2,Customer_churn_data!$N$2:$N$2001,"No")</f>
        <v>172</v>
      </c>
      <c r="D2" s="35">
        <f>B2/(B2+C2)</f>
        <v>0.33073929961089493</v>
      </c>
      <c r="F2" t="s">
        <v>2894</v>
      </c>
      <c r="H2" t="s">
        <v>2897</v>
      </c>
    </row>
    <row r="3" spans="1:32">
      <c r="A3" s="12" t="s">
        <v>2920</v>
      </c>
      <c r="B3">
        <f>COUNTIFS(Customer_churn_data!$E$2:$E$2001,$A3,Customer_churn_data!$N$2:$N$2001,"Yes")</f>
        <v>100</v>
      </c>
      <c r="C3">
        <f>COUNTIFS(Customer_churn_data!$E$2:$E$2001,$A3,Customer_churn_data!$N$2:$N$2001,"No")</f>
        <v>230</v>
      </c>
      <c r="D3" s="35">
        <f t="shared" ref="D3:D6" si="0">B3/(B3+C3)</f>
        <v>0.30303030303030304</v>
      </c>
      <c r="H3" t="s">
        <v>2896</v>
      </c>
    </row>
    <row r="4" spans="1:32">
      <c r="A4" t="s">
        <v>2921</v>
      </c>
      <c r="B4">
        <f>COUNTIFS(Customer_churn_data!$E$2:$E$2001,$A4,Customer_churn_data!$N$2:$N$2001,"Yes")</f>
        <v>121</v>
      </c>
      <c r="C4">
        <f>COUNTIFS(Customer_churn_data!$E$2:$E$2001,$A4,Customer_churn_data!$N$2:$N$2001,"No")</f>
        <v>204</v>
      </c>
      <c r="D4" s="35">
        <f t="shared" si="0"/>
        <v>0.37230769230769228</v>
      </c>
      <c r="G4" s="5" t="s">
        <v>2889</v>
      </c>
    </row>
    <row r="5" spans="1:32">
      <c r="A5" t="s">
        <v>2922</v>
      </c>
      <c r="B5">
        <f>COUNTIFS(Customer_churn_data!$E$2:$E$2001,$A5,Customer_churn_data!$N$2:$N$2001,"Yes")</f>
        <v>188</v>
      </c>
      <c r="C5">
        <f>COUNTIFS(Customer_churn_data!$E$2:$E$2001,$A5,Customer_churn_data!$N$2:$N$2001,"No")</f>
        <v>379</v>
      </c>
      <c r="D5" s="35">
        <f t="shared" si="0"/>
        <v>0.33156966490299822</v>
      </c>
      <c r="G5" s="5" t="s">
        <v>2890</v>
      </c>
    </row>
    <row r="6" spans="1:32">
      <c r="A6" t="s">
        <v>2923</v>
      </c>
      <c r="B6">
        <f>COUNTIFS(Customer_churn_data!$E$2:$E$2001,$A6,Customer_churn_data!$N$2:$N$2001,"Yes")</f>
        <v>171</v>
      </c>
      <c r="C6">
        <f>COUNTIFS(Customer_churn_data!$E$2:$E$2001,$A6,Customer_churn_data!$N$2:$N$2001,"No")</f>
        <v>315</v>
      </c>
      <c r="D6" s="35">
        <f t="shared" si="0"/>
        <v>0.35185185185185186</v>
      </c>
      <c r="G6" s="5" t="s">
        <v>2891</v>
      </c>
    </row>
    <row r="7" spans="1:32">
      <c r="G7" s="5" t="s">
        <v>2892</v>
      </c>
    </row>
    <row r="8" spans="1:32">
      <c r="G8" s="5" t="s">
        <v>2893</v>
      </c>
    </row>
    <row r="10" spans="1:32">
      <c r="K10" t="s">
        <v>2940</v>
      </c>
    </row>
    <row r="11" spans="1:32">
      <c r="F11" t="s">
        <v>2895</v>
      </c>
      <c r="H11">
        <v>1</v>
      </c>
      <c r="I11" s="17">
        <f>COUNTA(Customer_churn_data!$A$2:$A$2001)</f>
        <v>2000</v>
      </c>
      <c r="K11" t="s">
        <v>2941</v>
      </c>
    </row>
    <row r="12" spans="1:32">
      <c r="H12">
        <v>2</v>
      </c>
      <c r="I12">
        <f>COUNTIF(Customer_churn_data!$N$2:$N$2001,"Yes")</f>
        <v>665</v>
      </c>
      <c r="J12" s="14">
        <f>COUNTIF(Customer_churn_data!$N$2:$N$2001,"Yes")/(COUNTIF(Customer_churn_data!$N$2:$N$2001,"Yes")+COUNTIF(Customer_churn_data!$N$2:$N$2001,"No"))</f>
        <v>0.33842239185750639</v>
      </c>
      <c r="K12" t="s">
        <v>2942</v>
      </c>
    </row>
    <row r="13" spans="1:32">
      <c r="H13">
        <v>3</v>
      </c>
      <c r="I13" s="18">
        <f>AVERAGE(Customer_churn_data!$J$2:$J$2001)</f>
        <v>847.0040424456796</v>
      </c>
      <c r="J13" s="14"/>
      <c r="K13" t="s">
        <v>2943</v>
      </c>
    </row>
    <row r="14" spans="1:32">
      <c r="H14">
        <v>4</v>
      </c>
      <c r="I14" s="7">
        <f>SUM(Customer_churn_data!$K$2:$K$2001)</f>
        <v>32017927</v>
      </c>
      <c r="K14" t="s">
        <v>2944</v>
      </c>
    </row>
    <row r="15" spans="1:32">
      <c r="H15">
        <v>5</v>
      </c>
      <c r="I15">
        <f>COUNTIFS(Customer_churn_data!$G$2:$G$2001,"Month-to-month",Customer_churn_data!$N$2:$N$2001,"Yes")</f>
        <v>516</v>
      </c>
      <c r="K15" t="s">
        <v>2945</v>
      </c>
    </row>
    <row r="17" spans="6:7">
      <c r="F17" t="s">
        <v>2908</v>
      </c>
      <c r="G17" t="s">
        <v>2909</v>
      </c>
    </row>
    <row r="18" spans="6:7">
      <c r="G18" s="5" t="s">
        <v>2903</v>
      </c>
    </row>
    <row r="19" spans="6:7">
      <c r="G19" s="5" t="s">
        <v>2904</v>
      </c>
    </row>
    <row r="20" spans="6:7">
      <c r="G20" s="5" t="s">
        <v>2905</v>
      </c>
    </row>
    <row r="21" spans="6:7">
      <c r="G21" s="5" t="s">
        <v>2906</v>
      </c>
    </row>
    <row r="22" spans="6:7">
      <c r="G22" s="5" t="s">
        <v>2907</v>
      </c>
    </row>
    <row r="24" spans="6:7">
      <c r="F24" t="s">
        <v>2947</v>
      </c>
    </row>
    <row r="26" spans="6:7">
      <c r="G26" t="s">
        <v>2946</v>
      </c>
    </row>
    <row r="27" spans="6:7">
      <c r="G27" t="s">
        <v>2948</v>
      </c>
    </row>
    <row r="28" spans="6:7">
      <c r="G28" t="s">
        <v>2949</v>
      </c>
    </row>
    <row r="29" spans="6:7">
      <c r="G29" t="s">
        <v>2950</v>
      </c>
    </row>
    <row r="30" spans="6:7">
      <c r="G30" t="s">
        <v>2951</v>
      </c>
    </row>
    <row r="31" spans="6:7">
      <c r="G31" t="s">
        <v>2952</v>
      </c>
    </row>
    <row r="33" spans="2:15">
      <c r="L33" t="s">
        <v>2960</v>
      </c>
    </row>
    <row r="34" spans="2:15">
      <c r="F34" t="s">
        <v>2953</v>
      </c>
    </row>
    <row r="35" spans="2:15">
      <c r="G35">
        <v>11</v>
      </c>
      <c r="H35">
        <f>SUMIFS(Customer_churn_data!$J$2:$J$2001,Customer_churn_data!$N$2:$N$2001,"Yes")</f>
        <v>567095</v>
      </c>
      <c r="L35" t="s">
        <v>2961</v>
      </c>
    </row>
    <row r="36" spans="2:15">
      <c r="G36">
        <v>12</v>
      </c>
      <c r="H36" t="s">
        <v>2956</v>
      </c>
      <c r="J36" s="20">
        <f>SUMIFS(Customer_churn_data!$J$2:$J$2001,Customer_churn_data!$N$2:$N$2001,"Yes")</f>
        <v>567095</v>
      </c>
      <c r="L36" t="s">
        <v>2959</v>
      </c>
    </row>
    <row r="37" spans="2:15">
      <c r="H37" t="s">
        <v>2958</v>
      </c>
      <c r="J37" s="19">
        <f>J36*12</f>
        <v>6805140</v>
      </c>
      <c r="K37" s="19"/>
      <c r="L37" s="19"/>
    </row>
    <row r="38" spans="2:15">
      <c r="G38">
        <v>13</v>
      </c>
      <c r="H38" t="s">
        <v>2962</v>
      </c>
      <c r="J38" s="21">
        <v>0.1</v>
      </c>
      <c r="K38" s="19"/>
      <c r="L38" s="20"/>
      <c r="O38" t="s">
        <v>2968</v>
      </c>
    </row>
    <row r="39" spans="2:15">
      <c r="H39" t="s">
        <v>2963</v>
      </c>
      <c r="M39">
        <f>COUNTIFS(Customer_churn_data!$G$2:$G$2001,"Month-to-month",Customer_churn_data!$N$2:$N$2001,"Yes")+COUNTIFS(Customer_churn_data!$G$2:$G$2001,"Month-to-month",Customer_churn_data!$N$2:$N$2001,"No")</f>
        <v>1080</v>
      </c>
    </row>
    <row r="40" spans="2:15">
      <c r="H40" t="s">
        <v>2964</v>
      </c>
      <c r="M40" s="22">
        <f>AVERAGEIFS(Customer_churn_data!$J$2:$J$2001,Customer_churn_data!$G$2:$G$2001,"Month-to-month",Customer_churn_data!$N$2:$N$2001,"Yes")</f>
        <v>857.85826771653547</v>
      </c>
    </row>
    <row r="41" spans="2:15" ht="29">
      <c r="H41" s="19" t="s">
        <v>2967</v>
      </c>
      <c r="I41" s="24">
        <v>108</v>
      </c>
      <c r="M41" s="19"/>
      <c r="N41" s="19"/>
      <c r="O41" s="20"/>
    </row>
    <row r="42" spans="2:15" ht="43.5">
      <c r="H42" s="19" t="s">
        <v>2965</v>
      </c>
      <c r="I42" s="23">
        <f>M39*M40</f>
        <v>926486.9291338583</v>
      </c>
      <c r="M42" s="19"/>
      <c r="N42" s="19"/>
      <c r="O42" s="19"/>
    </row>
    <row r="43" spans="2:15" ht="43.5">
      <c r="B43" t="s">
        <v>2971</v>
      </c>
      <c r="H43" s="19" t="s">
        <v>2966</v>
      </c>
      <c r="I43" s="22">
        <f>I42*12</f>
        <v>11117843.149606299</v>
      </c>
      <c r="M43" s="19"/>
      <c r="N43" s="19"/>
      <c r="O43" s="20"/>
    </row>
    <row r="44" spans="2:15">
      <c r="B44" t="s">
        <v>2970</v>
      </c>
      <c r="C44" t="s">
        <v>2969</v>
      </c>
      <c r="D44" t="s">
        <v>0</v>
      </c>
      <c r="E44" t="s">
        <v>2888</v>
      </c>
      <c r="F44" t="s">
        <v>11</v>
      </c>
      <c r="H44" s="19"/>
    </row>
    <row r="45" spans="2:15">
      <c r="B45">
        <v>1</v>
      </c>
      <c r="C45">
        <f>LARGE(Customer_churn_data!$U$2:$U$2001,B45)</f>
        <v>89631.000528999997</v>
      </c>
      <c r="D45" s="20" t="str">
        <f>INDEX(Customer_churn_data!$A$2:$A$2001,MATCH(C45,Customer_churn_data!$U$2:$U$2001,0))</f>
        <v>C1528</v>
      </c>
      <c r="E45">
        <f>INDEX(Customer_churn_data!$K$2:$K$2001,MATCH(C45,Customer_churn_data!$U$2:$U$2001,0))</f>
        <v>89631</v>
      </c>
      <c r="F45" s="20" t="str">
        <f>INDEX(Customer_churn_data!$N$2:$N$2001,MATCH(C45,Customer_churn_data!$U$2:$U$2001,0))</f>
        <v>No</v>
      </c>
      <c r="H45" s="19"/>
      <c r="I45" s="20"/>
    </row>
    <row r="46" spans="2:15">
      <c r="B46">
        <v>2</v>
      </c>
      <c r="C46">
        <f>LARGE(Customer_churn_data!$U$2:$U$2001,B46)</f>
        <v>89631.000316000005</v>
      </c>
      <c r="D46" s="20" t="str">
        <f>INDEX(Customer_churn_data!$A$2:$A$2001,MATCH(C46,Customer_churn_data!$U$2:$U$2001,0))</f>
        <v>C1315</v>
      </c>
      <c r="E46">
        <f>INDEX(Customer_churn_data!$K$2:$K$2001,MATCH(C46,Customer_churn_data!$U$2:$U$2001,0))</f>
        <v>89631</v>
      </c>
      <c r="F46" s="20" t="str">
        <f>INDEX(Customer_churn_data!$N$2:$N$2001,MATCH(C46,Customer_churn_data!$U$2:$U$2001,0))</f>
        <v>No</v>
      </c>
      <c r="H46" s="11" t="s">
        <v>2972</v>
      </c>
      <c r="J46" s="20"/>
    </row>
    <row r="47" spans="2:15">
      <c r="B47">
        <v>3</v>
      </c>
      <c r="C47">
        <f>LARGE(Customer_churn_data!$U$2:$U$2001,B47)</f>
        <v>87033.001405000003</v>
      </c>
      <c r="D47" s="20" t="str">
        <f>INDEX(Customer_churn_data!$A$2:$A$2001,MATCH(C47,Customer_churn_data!$U$2:$U$2001,0))</f>
        <v>C2404</v>
      </c>
      <c r="E47">
        <f>INDEX(Customer_churn_data!$K$2:$K$2001,MATCH(C47,Customer_churn_data!$U$2:$U$2001,0))</f>
        <v>87033</v>
      </c>
      <c r="F47" s="20" t="str">
        <f>INDEX(Customer_churn_data!$N$2:$N$2001,MATCH(C47,Customer_churn_data!$U$2:$U$2001,0))</f>
        <v>No</v>
      </c>
      <c r="G47" t="s">
        <v>2974</v>
      </c>
      <c r="H47" s="19"/>
      <c r="I47" s="20"/>
      <c r="J47" s="20"/>
    </row>
    <row r="48" spans="2:15">
      <c r="B48">
        <v>4</v>
      </c>
      <c r="C48">
        <f>LARGE(Customer_churn_data!$U$2:$U$2001,B48)</f>
        <v>86328.000008000003</v>
      </c>
      <c r="D48" s="20" t="str">
        <f>INDEX(Customer_churn_data!$A$2:$A$2001,MATCH(C48,Customer_churn_data!$U$2:$U$2001,0))</f>
        <v>C1007</v>
      </c>
      <c r="E48">
        <f>INDEX(Customer_churn_data!$K$2:$K$2001,MATCH(C48,Customer_churn_data!$U$2:$U$2001,0))</f>
        <v>86328</v>
      </c>
      <c r="F48" s="20" t="str">
        <f>INDEX(Customer_churn_data!$N$2:$N$2001,MATCH(C48,Customer_churn_data!$U$2:$U$2001,0))</f>
        <v>No</v>
      </c>
      <c r="G48" s="27" t="s">
        <v>0</v>
      </c>
      <c r="H48" s="27" t="s">
        <v>139</v>
      </c>
    </row>
    <row r="49" spans="2:13">
      <c r="B49">
        <v>5</v>
      </c>
      <c r="C49">
        <f>LARGE(Customer_churn_data!$U$2:$U$2001,B49)</f>
        <v>83930.000023999994</v>
      </c>
      <c r="D49" s="20" t="str">
        <f>INDEX(Customer_churn_data!$A$2:$A$2001,MATCH(C49,Customer_churn_data!$U$2:$U$2001,0))</f>
        <v>C1023</v>
      </c>
      <c r="E49">
        <f>INDEX(Customer_churn_data!$K$2:$K$2001,MATCH(C49,Customer_churn_data!$U$2:$U$2001,0))</f>
        <v>83930</v>
      </c>
      <c r="F49" s="20" t="str">
        <f>INDEX(Customer_churn_data!$N$2:$N$2001,MATCH(C49,Customer_churn_data!$U$2:$U$2001,0))</f>
        <v>Yes</v>
      </c>
      <c r="G49" s="27" t="s">
        <v>2973</v>
      </c>
      <c r="H49" s="30" t="str">
        <f>IFERROR(INDEX(Customer_churn_data!$B$2:$B$2001,MATCH($H$48,Customer_churn_data!$A$2:$A$2001,0)),"Not found")</f>
        <v>Nisha Mishra</v>
      </c>
    </row>
    <row r="50" spans="2:13">
      <c r="B50">
        <v>6</v>
      </c>
      <c r="C50">
        <f>LARGE(Customer_churn_data!$U$2:$U$2001,B50)</f>
        <v>82731.001646000004</v>
      </c>
      <c r="D50" s="20" t="str">
        <f>INDEX(Customer_churn_data!$A$2:$A$2001,MATCH(C50,Customer_churn_data!$U$2:$U$2001,0))</f>
        <v>C2645</v>
      </c>
      <c r="E50">
        <f>INDEX(Customer_churn_data!$K$2:$K$2001,MATCH(C50,Customer_churn_data!$U$2:$U$2001,0))</f>
        <v>82731</v>
      </c>
      <c r="F50" s="20" t="str">
        <f>INDEX(Customer_churn_data!$N$2:$N$2001,MATCH(C50,Customer_churn_data!$U$2:$U$2001,0))</f>
        <v>No</v>
      </c>
      <c r="G50" s="27" t="s">
        <v>4</v>
      </c>
      <c r="H50" s="28" t="str">
        <f>IFERROR(INDEX(Customer_churn_data!$F$2:$F$2001,MATCH($H$48,Customer_churn_data!$A$2:$A$2001,0)),"Not found")</f>
        <v>Bhopal</v>
      </c>
    </row>
    <row r="51" spans="2:13" ht="29">
      <c r="B51">
        <v>7</v>
      </c>
      <c r="C51">
        <f>LARGE(Customer_churn_data!$U$2:$U$2001,B51)</f>
        <v>82731.000381999998</v>
      </c>
      <c r="D51" s="20" t="str">
        <f>INDEX(Customer_churn_data!$A$2:$A$2001,MATCH(C51,Customer_churn_data!$U$2:$U$2001,0))</f>
        <v>C1381</v>
      </c>
      <c r="E51">
        <f>INDEX(Customer_churn_data!$K$2:$K$2001,MATCH(C51,Customer_churn_data!$U$2:$U$2001,0))</f>
        <v>82731</v>
      </c>
      <c r="F51" s="20" t="str">
        <f>INDEX(Customer_churn_data!$N$2:$N$2001,MATCH(C51,Customer_churn_data!$U$2:$U$2001,0))</f>
        <v>No</v>
      </c>
      <c r="G51" s="29" t="s">
        <v>2887</v>
      </c>
      <c r="H51" s="28">
        <f>IFERROR(INDEX(Customer_churn_data!$J$2:$J$2001,MATCH($H$48,Customer_churn_data!$A$2:$A$2001,0)),"Not found")</f>
        <v>999</v>
      </c>
      <c r="I51" s="11" t="s">
        <v>2975</v>
      </c>
    </row>
    <row r="52" spans="2:13">
      <c r="B52">
        <v>8</v>
      </c>
      <c r="C52">
        <f>LARGE(Customer_churn_data!$U$2:$U$2001,B52)</f>
        <v>81532.000463999997</v>
      </c>
      <c r="D52" s="20" t="str">
        <f>INDEX(Customer_churn_data!$A$2:$A$2001,MATCH(C52,Customer_churn_data!$U$2:$U$2001,0))</f>
        <v>C1463</v>
      </c>
      <c r="E52">
        <f>INDEX(Customer_churn_data!$K$2:$K$2001,MATCH(C52,Customer_churn_data!$U$2:$U$2001,0))</f>
        <v>81532</v>
      </c>
      <c r="F52" s="20" t="str">
        <f>INDEX(Customer_churn_data!$N$2:$N$2001,MATCH(C52,Customer_churn_data!$U$2:$U$2001,0))</f>
        <v>No</v>
      </c>
      <c r="G52" s="29" t="s">
        <v>11</v>
      </c>
      <c r="H52" s="28" t="str">
        <f>IFERROR(INDEX(Customer_churn_data!$N$2:$N$2001,MATCH($H$48,Customer_churn_data!$A$2:$A$2001,0)),"Not found")</f>
        <v>Yes</v>
      </c>
      <c r="I52" t="s">
        <v>2976</v>
      </c>
    </row>
    <row r="53" spans="2:13">
      <c r="B53">
        <v>9</v>
      </c>
      <c r="C53">
        <f>LARGE(Customer_churn_data!$U$2:$U$2001,B53)</f>
        <v>80430.001457999999</v>
      </c>
      <c r="D53" s="20" t="str">
        <f>INDEX(Customer_churn_data!$A$2:$A$2001,MATCH(C53,Customer_churn_data!$U$2:$U$2001,0))</f>
        <v>C2457</v>
      </c>
      <c r="E53">
        <f>INDEX(Customer_churn_data!$K$2:$K$2001,MATCH(C53,Customer_churn_data!$U$2:$U$2001,0))</f>
        <v>80430</v>
      </c>
      <c r="F53" s="20" t="str">
        <f>INDEX(Customer_churn_data!$N$2:$N$2001,MATCH(C53,Customer_churn_data!$U$2:$U$2001,0))</f>
        <v>Yes</v>
      </c>
    </row>
    <row r="54" spans="2:13">
      <c r="B54">
        <v>10</v>
      </c>
      <c r="C54">
        <f>LARGE(Customer_churn_data!$U$2:$U$2001,B54)</f>
        <v>79239.001898999995</v>
      </c>
      <c r="D54" s="20" t="str">
        <f>INDEX(Customer_churn_data!$A$2:$A$2001,MATCH(C54,Customer_churn_data!$U$2:$U$2001,0))</f>
        <v>C2898</v>
      </c>
      <c r="E54">
        <f>INDEX(Customer_churn_data!$K$2:$K$2001,MATCH(C54,Customer_churn_data!$U$2:$U$2001,0))</f>
        <v>79239</v>
      </c>
      <c r="F54" s="20" t="str">
        <f>INDEX(Customer_churn_data!$N$2:$N$2001,MATCH(C54,Customer_churn_data!$U$2:$U$2001,0))</f>
        <v>No</v>
      </c>
      <c r="G54" t="s">
        <v>2977</v>
      </c>
    </row>
    <row r="55" spans="2:13">
      <c r="G55" t="s">
        <v>2978</v>
      </c>
      <c r="H55" t="s">
        <v>2979</v>
      </c>
      <c r="I55" t="s">
        <v>2916</v>
      </c>
      <c r="J55" t="s">
        <v>2917</v>
      </c>
      <c r="K55" t="s">
        <v>2980</v>
      </c>
    </row>
    <row r="56" spans="2:13">
      <c r="G56" t="s">
        <v>60</v>
      </c>
      <c r="H56">
        <f>COUNTIF(Customer_churn_data!$F$2:$F$2001,$G56)</f>
        <v>147</v>
      </c>
      <c r="I56">
        <f>COUNTIFS(Customer_churn_data!$F$2:$F$2001,$G56,Customer_churn_data!$N$2:$N$2001,"Yes")</f>
        <v>43</v>
      </c>
      <c r="J56">
        <f>COUNTIFS(Customer_churn_data!$F$2:$F$2001,$G56,Customer_churn_data!$N$2:$N$2001,"No")</f>
        <v>103</v>
      </c>
      <c r="K56" s="16">
        <f>I56/(I56+J56)</f>
        <v>0.29452054794520549</v>
      </c>
    </row>
    <row r="57" spans="2:13">
      <c r="G57" t="s">
        <v>63</v>
      </c>
      <c r="H57">
        <f>COUNTIF(Customer_churn_data!$F$2:$F$2001,$G57)</f>
        <v>143</v>
      </c>
      <c r="I57">
        <f>COUNTIFS(Customer_churn_data!$F$2:$F$2001,$G57,Customer_churn_data!$N$2:$N$2001,"Yes")</f>
        <v>41</v>
      </c>
      <c r="J57">
        <f>COUNTIFS(Customer_churn_data!$F$2:$F$2001,$G57,Customer_churn_data!$N$2:$N$2001,"No")</f>
        <v>99</v>
      </c>
      <c r="K57" s="16">
        <f t="shared" ref="K57:K69" si="1">I57/(I57+J57)</f>
        <v>0.29285714285714287</v>
      </c>
      <c r="M57" t="s">
        <v>2981</v>
      </c>
    </row>
    <row r="58" spans="2:13">
      <c r="G58" t="s">
        <v>141</v>
      </c>
      <c r="H58">
        <f>COUNTIF(Customer_churn_data!$F$2:$F$2001,$G58)</f>
        <v>123</v>
      </c>
      <c r="I58">
        <f>COUNTIFS(Customer_churn_data!$F$2:$F$2001,$G58,Customer_churn_data!$N$2:$N$2001,"Yes")</f>
        <v>42</v>
      </c>
      <c r="J58">
        <f>COUNTIFS(Customer_churn_data!$F$2:$F$2001,$G58,Customer_churn_data!$N$2:$N$2001,"No")</f>
        <v>81</v>
      </c>
      <c r="K58" s="16">
        <f t="shared" si="1"/>
        <v>0.34146341463414637</v>
      </c>
    </row>
    <row r="59" spans="2:13">
      <c r="G59" t="s">
        <v>57</v>
      </c>
      <c r="H59">
        <f>COUNTIF(Customer_churn_data!$F$2:$F$2001,$G59)</f>
        <v>139</v>
      </c>
      <c r="I59">
        <f>COUNTIFS(Customer_churn_data!$F$2:$F$2001,$G59,Customer_churn_data!$N$2:$N$2001,"Yes")</f>
        <v>50</v>
      </c>
      <c r="J59">
        <f>COUNTIFS(Customer_churn_data!$F$2:$F$2001,$G59,Customer_churn_data!$N$2:$N$2001,"No")</f>
        <v>87</v>
      </c>
      <c r="K59" s="16">
        <f t="shared" si="1"/>
        <v>0.36496350364963503</v>
      </c>
      <c r="L59" s="31" t="s">
        <v>2940</v>
      </c>
      <c r="M59" t="s">
        <v>2982</v>
      </c>
    </row>
    <row r="60" spans="2:13">
      <c r="G60" t="s">
        <v>46</v>
      </c>
      <c r="H60">
        <f>COUNTIF(Customer_churn_data!$F$2:$F$2001,$G60)</f>
        <v>129</v>
      </c>
      <c r="I60">
        <f>COUNTIFS(Customer_churn_data!$F$2:$F$2001,$G60,Customer_churn_data!$N$2:$N$2001,"Yes")</f>
        <v>48</v>
      </c>
      <c r="J60">
        <f>COUNTIFS(Customer_churn_data!$F$2:$F$2001,$G60,Customer_churn_data!$N$2:$N$2001,"No")</f>
        <v>78</v>
      </c>
      <c r="K60" s="16">
        <f t="shared" si="1"/>
        <v>0.38095238095238093</v>
      </c>
    </row>
    <row r="61" spans="2:13">
      <c r="G61" t="s">
        <v>36</v>
      </c>
      <c r="H61">
        <f>COUNTIF(Customer_churn_data!$F$2:$F$2001,$G61)</f>
        <v>149</v>
      </c>
      <c r="I61">
        <f>COUNTIFS(Customer_churn_data!$F$2:$F$2001,$G61,Customer_churn_data!$N$2:$N$2001,"Yes")</f>
        <v>51</v>
      </c>
      <c r="J61">
        <f>COUNTIFS(Customer_churn_data!$F$2:$F$2001,$G61,Customer_churn_data!$N$2:$N$2001,"No")</f>
        <v>93</v>
      </c>
      <c r="K61" s="16">
        <f t="shared" si="1"/>
        <v>0.35416666666666669</v>
      </c>
    </row>
    <row r="62" spans="2:13">
      <c r="G62" t="s">
        <v>20</v>
      </c>
      <c r="H62">
        <f>COUNTIF(Customer_churn_data!$F$2:$F$2001,$G62)</f>
        <v>136</v>
      </c>
      <c r="I62">
        <f>COUNTIFS(Customer_churn_data!$F$2:$F$2001,$G62,Customer_churn_data!$N$2:$N$2001,"Yes")</f>
        <v>46</v>
      </c>
      <c r="J62">
        <f>COUNTIFS(Customer_churn_data!$F$2:$F$2001,$G62,Customer_churn_data!$N$2:$N$2001,"No")</f>
        <v>88</v>
      </c>
      <c r="K62" s="16">
        <f t="shared" si="1"/>
        <v>0.34328358208955223</v>
      </c>
    </row>
    <row r="63" spans="2:13">
      <c r="G63" t="s">
        <v>71</v>
      </c>
      <c r="H63">
        <f>COUNTIF(Customer_churn_data!$F$2:$F$2001,$G63)</f>
        <v>138</v>
      </c>
      <c r="I63">
        <f>COUNTIFS(Customer_churn_data!$F$2:$F$2001,$G63,Customer_churn_data!$N$2:$N$2001,"Yes")</f>
        <v>51</v>
      </c>
      <c r="J63">
        <f>COUNTIFS(Customer_churn_data!$F$2:$F$2001,$G63,Customer_churn_data!$N$2:$N$2001,"No")</f>
        <v>86</v>
      </c>
      <c r="K63" s="16">
        <f t="shared" si="1"/>
        <v>0.37226277372262773</v>
      </c>
    </row>
    <row r="64" spans="2:13">
      <c r="G64" t="s">
        <v>26</v>
      </c>
      <c r="H64">
        <f>COUNTIF(Customer_churn_data!$F$2:$F$2001,$G64)</f>
        <v>141</v>
      </c>
      <c r="I64">
        <f>COUNTIFS(Customer_churn_data!$F$2:$F$2001,$G64,Customer_churn_data!$N$2:$N$2001,"Yes")</f>
        <v>48</v>
      </c>
      <c r="J64">
        <f>COUNTIFS(Customer_churn_data!$F$2:$F$2001,$G64,Customer_churn_data!$N$2:$N$2001,"No")</f>
        <v>90</v>
      </c>
      <c r="K64" s="16">
        <f t="shared" si="1"/>
        <v>0.34782608695652173</v>
      </c>
    </row>
    <row r="65" spans="7:11">
      <c r="G65" t="s">
        <v>110</v>
      </c>
      <c r="H65">
        <f>COUNTIF(Customer_churn_data!$F$2:$F$2001,$G65)</f>
        <v>154</v>
      </c>
      <c r="I65">
        <f>COUNTIFS(Customer_churn_data!$F$2:$F$2001,$G65,Customer_churn_data!$N$2:$N$2001,"Yes")</f>
        <v>51</v>
      </c>
      <c r="J65">
        <f>COUNTIFS(Customer_churn_data!$F$2:$F$2001,$G65,Customer_churn_data!$N$2:$N$2001,"No")</f>
        <v>98</v>
      </c>
      <c r="K65" s="16">
        <f t="shared" si="1"/>
        <v>0.34228187919463088</v>
      </c>
    </row>
    <row r="66" spans="7:11">
      <c r="G66" t="s">
        <v>105</v>
      </c>
      <c r="H66">
        <f>COUNTIF(Customer_churn_data!$F$2:$F$2001,$G66)</f>
        <v>139</v>
      </c>
      <c r="I66">
        <f>COUNTIFS(Customer_churn_data!$F$2:$F$2001,$G66,Customer_churn_data!$N$2:$N$2001,"Yes")</f>
        <v>40</v>
      </c>
      <c r="J66">
        <f>COUNTIFS(Customer_churn_data!$F$2:$F$2001,$G66,Customer_churn_data!$N$2:$N$2001,"No")</f>
        <v>99</v>
      </c>
      <c r="K66" s="16">
        <f t="shared" si="1"/>
        <v>0.28776978417266186</v>
      </c>
    </row>
    <row r="67" spans="7:11">
      <c r="G67" t="s">
        <v>91</v>
      </c>
      <c r="H67">
        <f>COUNTIF(Customer_churn_data!$F$2:$F$2001,$G67)</f>
        <v>143</v>
      </c>
      <c r="I67">
        <f>COUNTIFS(Customer_churn_data!$F$2:$F$2001,$G67,Customer_churn_data!$N$2:$N$2001,"Yes")</f>
        <v>50</v>
      </c>
      <c r="J67">
        <f>COUNTIFS(Customer_churn_data!$F$2:$F$2001,$G67,Customer_churn_data!$N$2:$N$2001,"No")</f>
        <v>91</v>
      </c>
      <c r="K67" s="16">
        <f t="shared" si="1"/>
        <v>0.3546099290780142</v>
      </c>
    </row>
    <row r="68" spans="7:11">
      <c r="G68" t="s">
        <v>41</v>
      </c>
      <c r="H68">
        <f>COUNTIF(Customer_churn_data!$F$2:$F$2001,$G68)</f>
        <v>133</v>
      </c>
      <c r="I68">
        <f>COUNTIFS(Customer_churn_data!$F$2:$F$2001,$G68,Customer_churn_data!$N$2:$N$2001,"Yes")</f>
        <v>47</v>
      </c>
      <c r="J68">
        <f>COUNTIFS(Customer_churn_data!$F$2:$F$2001,$G68,Customer_churn_data!$N$2:$N$2001,"No")</f>
        <v>82</v>
      </c>
      <c r="K68" s="16">
        <f t="shared" si="1"/>
        <v>0.36434108527131781</v>
      </c>
    </row>
    <row r="69" spans="7:11">
      <c r="G69" t="s">
        <v>30</v>
      </c>
      <c r="H69">
        <f>COUNTIF(Customer_churn_data!$F$2:$F$2001,$G69)</f>
        <v>141</v>
      </c>
      <c r="I69">
        <f>COUNTIFS(Customer_churn_data!$F$2:$F$2001,$G69,Customer_churn_data!$N$2:$N$2001,"Yes")</f>
        <v>44</v>
      </c>
      <c r="J69">
        <f>COUNTIFS(Customer_churn_data!$F$2:$F$2001,$G69,Customer_churn_data!$N$2:$N$2001,"No")</f>
        <v>96</v>
      </c>
      <c r="K69" s="16">
        <f t="shared" si="1"/>
        <v>0.31428571428571428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99B22-785C-421A-827F-751FE1556BF2}">
  <dimension ref="A2:G109"/>
  <sheetViews>
    <sheetView workbookViewId="0">
      <selection activeCell="D105" sqref="D105"/>
    </sheetView>
  </sheetViews>
  <sheetFormatPr defaultRowHeight="14.5"/>
  <cols>
    <col min="1" max="1" width="12.36328125" bestFit="1" customWidth="1"/>
    <col min="2" max="2" width="14.1796875" bestFit="1" customWidth="1"/>
    <col min="3" max="4" width="19.7265625" bestFit="1" customWidth="1"/>
    <col min="5" max="5" width="10.7265625" bestFit="1" customWidth="1"/>
    <col min="6" max="6" width="19" bestFit="1" customWidth="1"/>
    <col min="7" max="7" width="18.54296875" bestFit="1" customWidth="1"/>
    <col min="8" max="146" width="15.26953125" bestFit="1" customWidth="1"/>
    <col min="147" max="147" width="19" bestFit="1" customWidth="1"/>
    <col min="148" max="148" width="18.54296875" bestFit="1" customWidth="1"/>
    <col min="149" max="2001" width="5.90625" bestFit="1" customWidth="1"/>
    <col min="2002" max="2002" width="6.7265625" bestFit="1" customWidth="1"/>
    <col min="2003" max="2003" width="10.7265625" bestFit="1" customWidth="1"/>
  </cols>
  <sheetData>
    <row r="2" spans="1:7">
      <c r="A2" s="9" t="s">
        <v>2898</v>
      </c>
      <c r="B2" t="s">
        <v>2901</v>
      </c>
      <c r="D2" s="11"/>
    </row>
    <row r="3" spans="1:7">
      <c r="A3" s="10" t="s">
        <v>21</v>
      </c>
      <c r="B3">
        <v>1097</v>
      </c>
      <c r="D3" s="11"/>
    </row>
    <row r="4" spans="1:7">
      <c r="A4" s="10" t="s">
        <v>27</v>
      </c>
      <c r="B4">
        <v>501</v>
      </c>
      <c r="G4" s="5"/>
    </row>
    <row r="5" spans="1:7">
      <c r="A5" s="10" t="s">
        <v>47</v>
      </c>
      <c r="B5">
        <v>375</v>
      </c>
      <c r="G5" s="5"/>
    </row>
    <row r="6" spans="1:7">
      <c r="A6" s="10" t="s">
        <v>37</v>
      </c>
      <c r="B6">
        <v>27</v>
      </c>
      <c r="G6" s="5"/>
    </row>
    <row r="7" spans="1:7">
      <c r="A7" s="10" t="s">
        <v>2899</v>
      </c>
      <c r="G7" s="5"/>
    </row>
    <row r="8" spans="1:7">
      <c r="A8" s="10" t="s">
        <v>2900</v>
      </c>
      <c r="B8">
        <v>2000</v>
      </c>
      <c r="G8" s="5"/>
    </row>
    <row r="9" spans="1:7">
      <c r="A9" s="11"/>
    </row>
    <row r="10" spans="1:7">
      <c r="A10" s="11"/>
    </row>
    <row r="18" spans="1:5">
      <c r="A18" s="11" t="s">
        <v>2935</v>
      </c>
    </row>
    <row r="19" spans="1:5">
      <c r="A19" s="11" t="s">
        <v>2911</v>
      </c>
    </row>
    <row r="20" spans="1:5">
      <c r="A20" s="11"/>
    </row>
    <row r="21" spans="1:5">
      <c r="A21" s="9" t="s">
        <v>2901</v>
      </c>
      <c r="B21" s="9" t="s">
        <v>2902</v>
      </c>
    </row>
    <row r="22" spans="1:5">
      <c r="A22" s="9" t="s">
        <v>2898</v>
      </c>
      <c r="B22" t="s">
        <v>23</v>
      </c>
      <c r="C22" t="s">
        <v>37</v>
      </c>
      <c r="D22" t="s">
        <v>32</v>
      </c>
      <c r="E22" t="s">
        <v>2900</v>
      </c>
    </row>
    <row r="23" spans="1:5">
      <c r="A23" s="10" t="s">
        <v>31</v>
      </c>
      <c r="B23">
        <v>488</v>
      </c>
      <c r="C23">
        <v>13</v>
      </c>
      <c r="D23">
        <v>196</v>
      </c>
      <c r="E23">
        <v>697</v>
      </c>
    </row>
    <row r="24" spans="1:5">
      <c r="A24" s="10" t="s">
        <v>22</v>
      </c>
      <c r="B24">
        <v>541</v>
      </c>
      <c r="C24">
        <v>16</v>
      </c>
      <c r="D24">
        <v>328</v>
      </c>
      <c r="E24">
        <v>885</v>
      </c>
    </row>
    <row r="25" spans="1:5">
      <c r="A25" s="10" t="s">
        <v>66</v>
      </c>
      <c r="B25">
        <v>240</v>
      </c>
      <c r="C25">
        <v>6</v>
      </c>
      <c r="D25">
        <v>130</v>
      </c>
      <c r="E25">
        <v>376</v>
      </c>
    </row>
    <row r="26" spans="1:5">
      <c r="A26" s="10" t="s">
        <v>37</v>
      </c>
      <c r="B26">
        <v>31</v>
      </c>
      <c r="D26">
        <v>11</v>
      </c>
      <c r="E26">
        <v>42</v>
      </c>
    </row>
    <row r="27" spans="1:5">
      <c r="A27" s="10" t="s">
        <v>2900</v>
      </c>
      <c r="B27">
        <v>1300</v>
      </c>
      <c r="C27">
        <v>35</v>
      </c>
      <c r="D27">
        <v>665</v>
      </c>
      <c r="E27">
        <v>2000</v>
      </c>
    </row>
    <row r="28" spans="1:5">
      <c r="A28" s="11" t="s">
        <v>2936</v>
      </c>
    </row>
    <row r="29" spans="1:5">
      <c r="A29" s="11" t="s">
        <v>2912</v>
      </c>
    </row>
    <row r="31" spans="1:5">
      <c r="A31" s="9" t="s">
        <v>2898</v>
      </c>
      <c r="B31" t="s">
        <v>2901</v>
      </c>
    </row>
    <row r="32" spans="1:5">
      <c r="A32" s="10" t="s">
        <v>60</v>
      </c>
      <c r="B32">
        <v>147</v>
      </c>
    </row>
    <row r="33" spans="1:2">
      <c r="A33" s="10" t="s">
        <v>63</v>
      </c>
      <c r="B33">
        <v>143</v>
      </c>
    </row>
    <row r="34" spans="1:2">
      <c r="A34" s="10" t="s">
        <v>141</v>
      </c>
      <c r="B34">
        <v>123</v>
      </c>
    </row>
    <row r="35" spans="1:2">
      <c r="A35" s="10" t="s">
        <v>57</v>
      </c>
      <c r="B35">
        <v>139</v>
      </c>
    </row>
    <row r="36" spans="1:2">
      <c r="A36" s="10" t="s">
        <v>46</v>
      </c>
      <c r="B36">
        <v>129</v>
      </c>
    </row>
    <row r="37" spans="1:2">
      <c r="A37" s="10" t="s">
        <v>36</v>
      </c>
      <c r="B37">
        <v>149</v>
      </c>
    </row>
    <row r="38" spans="1:2">
      <c r="A38" s="10" t="s">
        <v>20</v>
      </c>
      <c r="B38">
        <v>136</v>
      </c>
    </row>
    <row r="39" spans="1:2">
      <c r="A39" s="10" t="s">
        <v>71</v>
      </c>
      <c r="B39">
        <v>138</v>
      </c>
    </row>
    <row r="40" spans="1:2">
      <c r="A40" s="10" t="s">
        <v>26</v>
      </c>
      <c r="B40">
        <v>141</v>
      </c>
    </row>
    <row r="41" spans="1:2">
      <c r="A41" s="10" t="s">
        <v>110</v>
      </c>
      <c r="B41">
        <v>154</v>
      </c>
    </row>
    <row r="42" spans="1:2">
      <c r="A42" s="10" t="s">
        <v>105</v>
      </c>
      <c r="B42">
        <v>139</v>
      </c>
    </row>
    <row r="43" spans="1:2">
      <c r="A43" s="10" t="s">
        <v>91</v>
      </c>
      <c r="B43">
        <v>143</v>
      </c>
    </row>
    <row r="44" spans="1:2">
      <c r="A44" s="10" t="s">
        <v>41</v>
      </c>
      <c r="B44">
        <v>133</v>
      </c>
    </row>
    <row r="45" spans="1:2">
      <c r="A45" s="10" t="s">
        <v>30</v>
      </c>
      <c r="B45">
        <v>141</v>
      </c>
    </row>
    <row r="46" spans="1:2">
      <c r="A46" s="10" t="s">
        <v>37</v>
      </c>
      <c r="B46">
        <v>45</v>
      </c>
    </row>
    <row r="47" spans="1:2">
      <c r="A47" s="10" t="s">
        <v>2900</v>
      </c>
      <c r="B47">
        <v>2000</v>
      </c>
    </row>
    <row r="48" spans="1:2">
      <c r="A48" s="11" t="s">
        <v>2937</v>
      </c>
    </row>
    <row r="49" spans="1:5">
      <c r="A49" s="11" t="s">
        <v>2913</v>
      </c>
    </row>
    <row r="51" spans="1:5">
      <c r="A51" s="9" t="s">
        <v>2901</v>
      </c>
      <c r="B51" s="9" t="s">
        <v>2902</v>
      </c>
    </row>
    <row r="52" spans="1:5">
      <c r="A52" s="9" t="s">
        <v>2898</v>
      </c>
      <c r="B52" t="s">
        <v>23</v>
      </c>
      <c r="C52" t="s">
        <v>37</v>
      </c>
      <c r="D52" t="s">
        <v>32</v>
      </c>
      <c r="E52" t="s">
        <v>2900</v>
      </c>
    </row>
    <row r="53" spans="1:5">
      <c r="A53" s="10" t="s">
        <v>31</v>
      </c>
      <c r="B53" s="14">
        <v>0.70014347202295557</v>
      </c>
      <c r="C53" s="14">
        <v>1.8651362984218076E-2</v>
      </c>
      <c r="D53" s="14">
        <v>0.28120516499282638</v>
      </c>
      <c r="E53" s="14">
        <v>1</v>
      </c>
    </row>
    <row r="54" spans="1:5">
      <c r="A54" s="10" t="s">
        <v>22</v>
      </c>
      <c r="B54" s="14">
        <v>0.61129943502824857</v>
      </c>
      <c r="C54" s="14">
        <v>1.8079096045197741E-2</v>
      </c>
      <c r="D54" s="14">
        <v>0.37062146892655368</v>
      </c>
      <c r="E54" s="14">
        <v>1</v>
      </c>
    </row>
    <row r="55" spans="1:5">
      <c r="A55" s="10" t="s">
        <v>66</v>
      </c>
      <c r="B55" s="14">
        <v>0.63829787234042556</v>
      </c>
      <c r="C55" s="14">
        <v>1.5957446808510637E-2</v>
      </c>
      <c r="D55" s="14">
        <v>0.34574468085106386</v>
      </c>
      <c r="E55" s="14">
        <v>1</v>
      </c>
    </row>
    <row r="56" spans="1:5">
      <c r="A56" s="10" t="s">
        <v>37</v>
      </c>
      <c r="B56" s="14">
        <v>0.73809523809523814</v>
      </c>
      <c r="C56" s="14">
        <v>0</v>
      </c>
      <c r="D56" s="14">
        <v>0.26190476190476192</v>
      </c>
      <c r="E56" s="14">
        <v>1</v>
      </c>
    </row>
    <row r="57" spans="1:5">
      <c r="A57" s="10" t="s">
        <v>2900</v>
      </c>
      <c r="B57" s="14">
        <v>0.65</v>
      </c>
      <c r="C57" s="14">
        <v>1.7500000000000002E-2</v>
      </c>
      <c r="D57" s="14">
        <v>0.33250000000000002</v>
      </c>
      <c r="E57" s="14">
        <v>1</v>
      </c>
    </row>
    <row r="58" spans="1:5">
      <c r="A58" s="10" t="s">
        <v>2938</v>
      </c>
    </row>
    <row r="59" spans="1:5">
      <c r="A59" t="s">
        <v>2924</v>
      </c>
    </row>
    <row r="61" spans="1:5">
      <c r="A61" s="9" t="s">
        <v>2898</v>
      </c>
      <c r="B61" t="s">
        <v>2901</v>
      </c>
      <c r="C61" t="s">
        <v>2927</v>
      </c>
    </row>
    <row r="62" spans="1:5">
      <c r="A62" s="10" t="s">
        <v>2930</v>
      </c>
      <c r="B62" s="13">
        <v>393</v>
      </c>
      <c r="C62" s="15">
        <v>0.49226804123711343</v>
      </c>
    </row>
    <row r="63" spans="1:5">
      <c r="A63" s="10" t="s">
        <v>2931</v>
      </c>
      <c r="B63" s="13">
        <v>756</v>
      </c>
      <c r="C63" s="15">
        <v>0.34986595174262736</v>
      </c>
    </row>
    <row r="64" spans="1:5">
      <c r="A64" s="10" t="s">
        <v>2932</v>
      </c>
      <c r="B64" s="13">
        <v>297</v>
      </c>
      <c r="C64" s="15">
        <v>0.16551724137931034</v>
      </c>
    </row>
    <row r="65" spans="1:3">
      <c r="A65" s="10" t="s">
        <v>2933</v>
      </c>
      <c r="B65" s="13">
        <v>142</v>
      </c>
      <c r="C65" s="15">
        <v>8.5714285714285715E-2</v>
      </c>
    </row>
    <row r="66" spans="1:3">
      <c r="A66" s="10" t="s">
        <v>2934</v>
      </c>
      <c r="B66" s="13">
        <v>412</v>
      </c>
      <c r="C66" s="15">
        <v>0.38154613466334164</v>
      </c>
    </row>
    <row r="67" spans="1:3">
      <c r="A67" s="10" t="s">
        <v>2900</v>
      </c>
      <c r="B67" s="13">
        <v>2000</v>
      </c>
      <c r="C67" s="15">
        <v>0.33842239185750639</v>
      </c>
    </row>
    <row r="70" spans="1:3">
      <c r="A70" s="11" t="s">
        <v>2939</v>
      </c>
    </row>
    <row r="81" spans="1:4">
      <c r="A81" s="9" t="s">
        <v>2898</v>
      </c>
      <c r="B81" t="s">
        <v>2901</v>
      </c>
      <c r="C81" t="s">
        <v>2926</v>
      </c>
      <c r="D81" t="s">
        <v>2927</v>
      </c>
    </row>
    <row r="82" spans="1:4">
      <c r="A82" s="10" t="s">
        <v>60</v>
      </c>
      <c r="B82" s="13">
        <v>147</v>
      </c>
      <c r="C82" s="13">
        <v>2445230</v>
      </c>
      <c r="D82" s="32">
        <v>0.29452054794520549</v>
      </c>
    </row>
    <row r="83" spans="1:4">
      <c r="A83" s="10" t="s">
        <v>63</v>
      </c>
      <c r="B83" s="13">
        <v>143</v>
      </c>
      <c r="C83" s="13">
        <v>2407088</v>
      </c>
      <c r="D83" s="32">
        <v>0.29285714285714287</v>
      </c>
    </row>
    <row r="84" spans="1:4">
      <c r="A84" s="10" t="s">
        <v>141</v>
      </c>
      <c r="B84" s="13">
        <v>123</v>
      </c>
      <c r="C84" s="13">
        <v>1863943</v>
      </c>
      <c r="D84" s="32">
        <v>0.34146341463414637</v>
      </c>
    </row>
    <row r="85" spans="1:4">
      <c r="A85" s="10" t="s">
        <v>57</v>
      </c>
      <c r="B85" s="13">
        <v>139</v>
      </c>
      <c r="C85" s="13">
        <v>2024423</v>
      </c>
      <c r="D85" s="32">
        <v>0.36496350364963503</v>
      </c>
    </row>
    <row r="86" spans="1:4">
      <c r="A86" s="10" t="s">
        <v>46</v>
      </c>
      <c r="B86" s="13">
        <v>129</v>
      </c>
      <c r="C86" s="13">
        <v>1993418</v>
      </c>
      <c r="D86" s="32">
        <v>0.38095238095238093</v>
      </c>
    </row>
    <row r="87" spans="1:4">
      <c r="A87" s="10" t="s">
        <v>36</v>
      </c>
      <c r="B87" s="13">
        <v>149</v>
      </c>
      <c r="C87" s="13">
        <v>2273932</v>
      </c>
      <c r="D87" s="32">
        <v>0.35416666666666669</v>
      </c>
    </row>
    <row r="88" spans="1:4">
      <c r="A88" s="10" t="s">
        <v>20</v>
      </c>
      <c r="B88" s="13">
        <v>136</v>
      </c>
      <c r="C88" s="13">
        <v>2153373</v>
      </c>
      <c r="D88" s="32">
        <v>0.34328358208955223</v>
      </c>
    </row>
    <row r="89" spans="1:4">
      <c r="A89" s="10" t="s">
        <v>71</v>
      </c>
      <c r="B89" s="13">
        <v>138</v>
      </c>
      <c r="C89" s="13">
        <v>2252899</v>
      </c>
      <c r="D89" s="32">
        <v>0.37226277372262773</v>
      </c>
    </row>
    <row r="90" spans="1:4">
      <c r="A90" s="10" t="s">
        <v>26</v>
      </c>
      <c r="B90" s="13">
        <v>141</v>
      </c>
      <c r="C90" s="13">
        <v>2388960</v>
      </c>
      <c r="D90" s="32">
        <v>0.34782608695652173</v>
      </c>
    </row>
    <row r="91" spans="1:4">
      <c r="A91" s="10" t="s">
        <v>110</v>
      </c>
      <c r="B91" s="13">
        <v>154</v>
      </c>
      <c r="C91" s="13">
        <v>2361669</v>
      </c>
      <c r="D91" s="32">
        <v>0.34228187919463088</v>
      </c>
    </row>
    <row r="92" spans="1:4">
      <c r="A92" s="10" t="s">
        <v>105</v>
      </c>
      <c r="B92" s="13">
        <v>139</v>
      </c>
      <c r="C92" s="13">
        <v>2191210</v>
      </c>
      <c r="D92" s="32">
        <v>0.28776978417266186</v>
      </c>
    </row>
    <row r="93" spans="1:4">
      <c r="A93" s="10" t="s">
        <v>91</v>
      </c>
      <c r="B93" s="13">
        <v>143</v>
      </c>
      <c r="C93" s="13">
        <v>2134079</v>
      </c>
      <c r="D93" s="32">
        <v>0.3546099290780142</v>
      </c>
    </row>
    <row r="94" spans="1:4">
      <c r="A94" s="10" t="s">
        <v>41</v>
      </c>
      <c r="B94" s="13">
        <v>133</v>
      </c>
      <c r="C94" s="13">
        <v>2513694</v>
      </c>
      <c r="D94" s="32">
        <v>0.36434108527131781</v>
      </c>
    </row>
    <row r="95" spans="1:4">
      <c r="A95" s="10" t="s">
        <v>30</v>
      </c>
      <c r="B95" s="13">
        <v>141</v>
      </c>
      <c r="C95" s="13">
        <v>2327288</v>
      </c>
      <c r="D95" s="32">
        <v>0.31428571428571428</v>
      </c>
    </row>
    <row r="96" spans="1:4">
      <c r="A96" s="10" t="s">
        <v>37</v>
      </c>
      <c r="B96" s="13">
        <v>45</v>
      </c>
      <c r="C96" s="13">
        <v>686721</v>
      </c>
      <c r="D96" s="32">
        <v>0.30952380952380953</v>
      </c>
    </row>
    <row r="97" spans="1:4">
      <c r="A97" s="10" t="s">
        <v>2900</v>
      </c>
      <c r="B97" s="13">
        <v>2000</v>
      </c>
      <c r="C97" s="13">
        <v>32017927</v>
      </c>
      <c r="D97" s="32">
        <v>0.33842239185750639</v>
      </c>
    </row>
    <row r="99" spans="1:4">
      <c r="B99" s="11" t="s">
        <v>2928</v>
      </c>
    </row>
    <row r="101" spans="1:4">
      <c r="A101" s="9" t="s">
        <v>2898</v>
      </c>
      <c r="B101" t="s">
        <v>2901</v>
      </c>
      <c r="C101" t="s">
        <v>2927</v>
      </c>
    </row>
    <row r="102" spans="1:4">
      <c r="A102" s="10" t="s">
        <v>2919</v>
      </c>
      <c r="B102" s="13">
        <v>259</v>
      </c>
      <c r="C102" s="15">
        <v>0.33073929961089493</v>
      </c>
    </row>
    <row r="103" spans="1:4">
      <c r="A103" s="10" t="s">
        <v>2920</v>
      </c>
      <c r="B103" s="13">
        <v>338</v>
      </c>
      <c r="C103" s="15">
        <v>0.30303030303030304</v>
      </c>
    </row>
    <row r="104" spans="1:4">
      <c r="A104" s="10" t="s">
        <v>2921</v>
      </c>
      <c r="B104" s="13">
        <v>329</v>
      </c>
      <c r="C104" s="15">
        <v>0.37230769230769228</v>
      </c>
    </row>
    <row r="105" spans="1:4">
      <c r="A105" s="10" t="s">
        <v>2922</v>
      </c>
      <c r="B105" s="13">
        <v>577</v>
      </c>
      <c r="C105" s="15">
        <v>0.33156966490299822</v>
      </c>
    </row>
    <row r="106" spans="1:4">
      <c r="A106" s="10" t="s">
        <v>2923</v>
      </c>
      <c r="B106" s="13">
        <v>497</v>
      </c>
      <c r="C106" s="15">
        <v>0.35185185185185186</v>
      </c>
    </row>
    <row r="107" spans="1:4">
      <c r="A107" s="10" t="s">
        <v>2900</v>
      </c>
      <c r="B107" s="13">
        <v>2000</v>
      </c>
      <c r="C107" s="15">
        <v>0.33842239185750639</v>
      </c>
    </row>
    <row r="109" spans="1:4">
      <c r="A109" s="11" t="s">
        <v>2929</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69978-5E4C-422D-8C10-9B1FBE98B22D}">
  <dimension ref="B1:U41"/>
  <sheetViews>
    <sheetView showGridLines="0" showRowColHeaders="0" topLeftCell="A3" workbookViewId="0">
      <selection activeCell="A43" sqref="A43"/>
    </sheetView>
  </sheetViews>
  <sheetFormatPr defaultColWidth="8.6328125" defaultRowHeight="14.5"/>
  <cols>
    <col min="1" max="1" width="2" customWidth="1"/>
  </cols>
  <sheetData>
    <row r="1" spans="2:21">
      <c r="B1" s="36" t="s">
        <v>2983</v>
      </c>
      <c r="C1" s="36"/>
      <c r="D1" s="36"/>
      <c r="E1" s="36"/>
      <c r="F1" s="36"/>
      <c r="G1" s="36"/>
      <c r="H1" s="36"/>
      <c r="I1" s="36"/>
      <c r="J1" s="36"/>
      <c r="K1" s="36"/>
      <c r="L1" s="36"/>
      <c r="M1" s="36"/>
      <c r="N1" s="36"/>
      <c r="O1" s="36"/>
      <c r="P1" s="36"/>
      <c r="Q1" s="36"/>
      <c r="R1" s="36"/>
      <c r="S1" s="36"/>
      <c r="T1" s="36"/>
      <c r="U1" s="36"/>
    </row>
    <row r="2" spans="2:21">
      <c r="B2" s="36"/>
      <c r="C2" s="36"/>
      <c r="D2" s="36"/>
      <c r="E2" s="36"/>
      <c r="F2" s="36"/>
      <c r="G2" s="36"/>
      <c r="H2" s="36"/>
      <c r="I2" s="36"/>
      <c r="J2" s="36"/>
      <c r="K2" s="36"/>
      <c r="L2" s="36"/>
      <c r="M2" s="36"/>
      <c r="N2" s="36"/>
      <c r="O2" s="36"/>
      <c r="P2" s="36"/>
      <c r="Q2" s="36"/>
      <c r="R2" s="36"/>
      <c r="S2" s="36"/>
      <c r="T2" s="36"/>
      <c r="U2" s="36"/>
    </row>
    <row r="3" spans="2:21">
      <c r="B3" s="37" t="s">
        <v>2984</v>
      </c>
      <c r="C3" s="37"/>
      <c r="D3" s="37"/>
      <c r="E3" s="37"/>
      <c r="F3" s="37"/>
      <c r="G3" s="37"/>
      <c r="H3" s="37"/>
      <c r="I3" s="37"/>
      <c r="J3" s="37"/>
      <c r="K3" s="37"/>
      <c r="L3" s="37"/>
      <c r="M3" s="37"/>
      <c r="N3" s="37"/>
      <c r="O3" s="37"/>
      <c r="P3" s="37"/>
      <c r="Q3" s="37"/>
      <c r="R3" s="37"/>
      <c r="S3" s="37"/>
      <c r="T3" s="37"/>
      <c r="U3" s="37"/>
    </row>
    <row r="5" spans="2:21" ht="18" customHeight="1">
      <c r="B5" s="38" t="s">
        <v>2985</v>
      </c>
      <c r="C5" s="38"/>
      <c r="D5" s="38"/>
      <c r="E5" s="38"/>
      <c r="F5" s="38"/>
      <c r="G5" s="39" t="s">
        <v>2986</v>
      </c>
      <c r="H5" s="39"/>
      <c r="I5" s="39"/>
      <c r="J5" s="39"/>
      <c r="K5" s="39"/>
      <c r="L5" s="40" t="s">
        <v>2987</v>
      </c>
      <c r="M5" s="40"/>
      <c r="N5" s="40"/>
      <c r="O5" s="40"/>
      <c r="P5" s="40"/>
      <c r="Q5" s="41" t="s">
        <v>2988</v>
      </c>
      <c r="R5" s="41"/>
      <c r="S5" s="41"/>
      <c r="T5" s="41"/>
      <c r="U5" s="41"/>
    </row>
    <row r="6" spans="2:21">
      <c r="B6" s="42">
        <f>[1]Calc!B2</f>
        <v>2000</v>
      </c>
      <c r="C6" s="42"/>
      <c r="D6" s="42"/>
      <c r="E6" s="42"/>
      <c r="F6" s="42"/>
      <c r="G6" s="43">
        <f>[1]Calc!B4</f>
        <v>0.33842239185750639</v>
      </c>
      <c r="H6" s="43"/>
      <c r="I6" s="43"/>
      <c r="J6" s="43"/>
      <c r="K6" s="43"/>
      <c r="L6" s="44">
        <f>[1]Calc!B5</f>
        <v>567095</v>
      </c>
      <c r="M6" s="44"/>
      <c r="N6" s="44"/>
      <c r="O6" s="44"/>
      <c r="P6" s="44"/>
      <c r="Q6" s="45">
        <f>[1]Calc!B6</f>
        <v>6805140</v>
      </c>
      <c r="R6" s="45"/>
      <c r="S6" s="45"/>
      <c r="T6" s="45"/>
      <c r="U6" s="45"/>
    </row>
    <row r="7" spans="2:21">
      <c r="B7" s="42"/>
      <c r="C7" s="42"/>
      <c r="D7" s="42"/>
      <c r="E7" s="42"/>
      <c r="F7" s="42"/>
      <c r="G7" s="43"/>
      <c r="H7" s="43"/>
      <c r="I7" s="43"/>
      <c r="J7" s="43"/>
      <c r="K7" s="43"/>
      <c r="L7" s="44"/>
      <c r="M7" s="44"/>
      <c r="N7" s="44"/>
      <c r="O7" s="44"/>
      <c r="P7" s="44"/>
      <c r="Q7" s="45"/>
      <c r="R7" s="45"/>
      <c r="S7" s="45"/>
      <c r="T7" s="45"/>
      <c r="U7" s="45"/>
    </row>
    <row r="36" spans="2:21">
      <c r="B36" s="46" t="s">
        <v>2989</v>
      </c>
      <c r="C36" s="46"/>
      <c r="D36" s="46"/>
      <c r="E36" s="46"/>
      <c r="F36" s="46"/>
      <c r="G36" s="46"/>
      <c r="H36" s="46"/>
      <c r="I36" s="46"/>
      <c r="J36" s="46"/>
      <c r="K36" s="46"/>
      <c r="L36" s="46"/>
      <c r="M36" s="46"/>
      <c r="N36" s="46"/>
      <c r="O36" s="46"/>
      <c r="P36" s="46"/>
      <c r="Q36" s="46"/>
      <c r="R36" s="46"/>
      <c r="S36" s="46"/>
      <c r="T36" s="46"/>
      <c r="U36" s="46"/>
    </row>
    <row r="37" spans="2:21">
      <c r="B37" s="47" t="s">
        <v>2990</v>
      </c>
      <c r="C37" s="47"/>
      <c r="D37" s="47"/>
      <c r="E37" s="47"/>
      <c r="F37" s="47"/>
      <c r="G37" s="47"/>
      <c r="H37" s="47"/>
      <c r="I37" s="47"/>
      <c r="J37" s="47"/>
      <c r="K37" s="47"/>
      <c r="L37" s="47"/>
      <c r="M37" s="47"/>
      <c r="N37" s="47"/>
      <c r="O37" s="47"/>
      <c r="P37" s="47"/>
      <c r="Q37" s="47"/>
      <c r="R37" s="47"/>
      <c r="S37" s="47"/>
      <c r="T37" s="47"/>
      <c r="U37" s="47"/>
    </row>
    <row r="38" spans="2:21">
      <c r="B38" s="47" t="s">
        <v>2991</v>
      </c>
      <c r="C38" s="47"/>
      <c r="D38" s="47"/>
      <c r="E38" s="47"/>
      <c r="F38" s="47"/>
      <c r="G38" s="47"/>
      <c r="H38" s="47"/>
      <c r="I38" s="47"/>
      <c r="J38" s="47"/>
      <c r="K38" s="47"/>
      <c r="L38" s="47"/>
      <c r="M38" s="47"/>
      <c r="N38" s="47"/>
      <c r="O38" s="47"/>
      <c r="P38" s="47"/>
      <c r="Q38" s="47"/>
      <c r="R38" s="47"/>
      <c r="S38" s="47"/>
      <c r="T38" s="47"/>
      <c r="U38" s="47"/>
    </row>
    <row r="39" spans="2:21">
      <c r="B39" s="47" t="s">
        <v>2992</v>
      </c>
      <c r="C39" s="47"/>
      <c r="D39" s="47"/>
      <c r="E39" s="47"/>
      <c r="F39" s="47"/>
      <c r="G39" s="47"/>
      <c r="H39" s="47"/>
      <c r="I39" s="47"/>
      <c r="J39" s="47"/>
      <c r="K39" s="47"/>
      <c r="L39" s="47"/>
      <c r="M39" s="47"/>
      <c r="N39" s="47"/>
      <c r="O39" s="47"/>
      <c r="P39" s="47"/>
      <c r="Q39" s="47"/>
      <c r="R39" s="47"/>
      <c r="S39" s="47"/>
      <c r="T39" s="47"/>
      <c r="U39" s="47"/>
    </row>
    <row r="40" spans="2:21">
      <c r="B40" s="47" t="s">
        <v>2993</v>
      </c>
      <c r="C40" s="47"/>
      <c r="D40" s="47"/>
      <c r="E40" s="47"/>
      <c r="F40" s="47"/>
      <c r="G40" s="47"/>
      <c r="H40" s="47"/>
      <c r="I40" s="47"/>
      <c r="J40" s="47"/>
      <c r="K40" s="47"/>
      <c r="L40" s="47"/>
      <c r="M40" s="47"/>
      <c r="N40" s="47"/>
      <c r="O40" s="47"/>
      <c r="P40" s="47"/>
      <c r="Q40" s="47"/>
      <c r="R40" s="47"/>
      <c r="S40" s="47"/>
      <c r="T40" s="47"/>
      <c r="U40" s="47"/>
    </row>
    <row r="41" spans="2:21">
      <c r="B41" s="47" t="s">
        <v>2994</v>
      </c>
      <c r="C41" s="47"/>
      <c r="D41" s="47"/>
      <c r="E41" s="47"/>
      <c r="F41" s="47"/>
      <c r="G41" s="47"/>
      <c r="H41" s="47"/>
      <c r="I41" s="47"/>
      <c r="J41" s="47"/>
      <c r="K41" s="47"/>
      <c r="L41" s="47"/>
      <c r="M41" s="47"/>
      <c r="N41" s="47"/>
      <c r="O41" s="47"/>
      <c r="P41" s="47"/>
      <c r="Q41" s="47"/>
      <c r="R41" s="47"/>
      <c r="S41" s="47"/>
      <c r="T41" s="47"/>
      <c r="U41" s="47"/>
    </row>
  </sheetData>
  <mergeCells count="16">
    <mergeCell ref="B36:U36"/>
    <mergeCell ref="B37:U37"/>
    <mergeCell ref="B38:U38"/>
    <mergeCell ref="B39:U39"/>
    <mergeCell ref="B40:U40"/>
    <mergeCell ref="B41:U41"/>
    <mergeCell ref="B6:F7"/>
    <mergeCell ref="G6:K7"/>
    <mergeCell ref="L6:P7"/>
    <mergeCell ref="Q6:U7"/>
    <mergeCell ref="B1:U2"/>
    <mergeCell ref="B3:U3"/>
    <mergeCell ref="B5:F5"/>
    <mergeCell ref="G5:K5"/>
    <mergeCell ref="L5:P5"/>
    <mergeCell ref="Q5:U5"/>
  </mergeCells>
  <pageMargins left="0.7" right="0.7" top="0.75" bottom="0.75" header="0.3" footer="0.3"/>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0F0E4-30F4-47EE-A01E-030BDD7ABDA2}">
  <dimension ref="A1:D116"/>
  <sheetViews>
    <sheetView showGridLines="0" showRowColHeaders="0" workbookViewId="0">
      <selection activeCell="C1" sqref="C1"/>
    </sheetView>
  </sheetViews>
  <sheetFormatPr defaultRowHeight="14.5"/>
  <cols>
    <col min="1" max="1" width="8.7265625" customWidth="1"/>
    <col min="3" max="3" width="18" customWidth="1"/>
    <col min="4" max="4" width="53.36328125" customWidth="1"/>
  </cols>
  <sheetData>
    <row r="1" spans="1:3" ht="17.5">
      <c r="A1" s="53" t="s">
        <v>3013</v>
      </c>
    </row>
    <row r="2" spans="1:3">
      <c r="A2" t="s">
        <v>3012</v>
      </c>
    </row>
    <row r="4" spans="1:3" ht="23.5">
      <c r="A4" s="54" t="s">
        <v>3014</v>
      </c>
    </row>
    <row r="5" spans="1:3" ht="15.5">
      <c r="C5" s="61" t="s">
        <v>3081</v>
      </c>
    </row>
    <row r="6" spans="1:3" ht="15.5">
      <c r="C6" s="61" t="s">
        <v>3082</v>
      </c>
    </row>
    <row r="7" spans="1:3" ht="15.5">
      <c r="C7" s="61" t="s">
        <v>3083</v>
      </c>
    </row>
    <row r="8" spans="1:3" ht="15.5">
      <c r="C8" s="61" t="s">
        <v>3084</v>
      </c>
    </row>
    <row r="9" spans="1:3" ht="15.5">
      <c r="C9" s="61" t="s">
        <v>3085</v>
      </c>
    </row>
    <row r="10" spans="1:3" ht="15.5">
      <c r="C10" s="61" t="s">
        <v>3086</v>
      </c>
    </row>
    <row r="13" spans="1:3" ht="23.5">
      <c r="B13" s="33" t="s">
        <v>3015</v>
      </c>
    </row>
    <row r="14" spans="1:3">
      <c r="B14" s="55"/>
    </row>
    <row r="15" spans="1:3">
      <c r="A15">
        <v>1</v>
      </c>
      <c r="B15" s="5" t="s">
        <v>3016</v>
      </c>
    </row>
    <row r="16" spans="1:3">
      <c r="B16" s="5" t="s">
        <v>3017</v>
      </c>
    </row>
    <row r="17" spans="1:2">
      <c r="B17" s="55"/>
    </row>
    <row r="18" spans="1:2">
      <c r="A18">
        <v>2</v>
      </c>
      <c r="B18" s="5" t="s">
        <v>3018</v>
      </c>
    </row>
    <row r="19" spans="1:2">
      <c r="B19" s="5" t="s">
        <v>3019</v>
      </c>
    </row>
    <row r="20" spans="1:2">
      <c r="B20" s="55"/>
    </row>
    <row r="21" spans="1:2">
      <c r="A21">
        <v>3</v>
      </c>
      <c r="B21" s="5" t="s">
        <v>3020</v>
      </c>
    </row>
    <row r="22" spans="1:2">
      <c r="B22" s="5" t="s">
        <v>3021</v>
      </c>
    </row>
    <row r="23" spans="1:2">
      <c r="B23" s="55"/>
    </row>
    <row r="24" spans="1:2">
      <c r="A24">
        <v>4</v>
      </c>
      <c r="B24" s="5" t="s">
        <v>3022</v>
      </c>
    </row>
    <row r="25" spans="1:2">
      <c r="B25" s="5" t="s">
        <v>3023</v>
      </c>
    </row>
    <row r="26" spans="1:2">
      <c r="B26" s="55"/>
    </row>
    <row r="27" spans="1:2">
      <c r="A27">
        <v>5</v>
      </c>
      <c r="B27" s="5" t="s">
        <v>3024</v>
      </c>
    </row>
    <row r="28" spans="1:2">
      <c r="B28" s="5" t="s">
        <v>3025</v>
      </c>
    </row>
    <row r="29" spans="1:2">
      <c r="B29" s="55"/>
    </row>
    <row r="30" spans="1:2">
      <c r="A30">
        <v>6</v>
      </c>
      <c r="B30" s="5" t="s">
        <v>3026</v>
      </c>
    </row>
    <row r="31" spans="1:2">
      <c r="B31" s="5" t="s">
        <v>3027</v>
      </c>
    </row>
    <row r="32" spans="1:2">
      <c r="B32" s="55"/>
    </row>
    <row r="33" spans="1:3">
      <c r="A33">
        <v>7</v>
      </c>
      <c r="B33" s="5" t="s">
        <v>3028</v>
      </c>
    </row>
    <row r="34" spans="1:3">
      <c r="B34" s="5" t="s">
        <v>3029</v>
      </c>
    </row>
    <row r="36" spans="1:3">
      <c r="B36" s="11" t="s">
        <v>3030</v>
      </c>
    </row>
    <row r="40" spans="1:3" ht="23.5">
      <c r="A40" s="54" t="s">
        <v>3031</v>
      </c>
    </row>
    <row r="42" spans="1:3">
      <c r="C42" t="s">
        <v>3032</v>
      </c>
    </row>
    <row r="43" spans="1:3">
      <c r="C43" t="s">
        <v>3033</v>
      </c>
    </row>
    <row r="44" spans="1:3">
      <c r="C44" t="s">
        <v>3034</v>
      </c>
    </row>
    <row r="45" spans="1:3">
      <c r="C45" t="s">
        <v>3035</v>
      </c>
    </row>
    <row r="47" spans="1:3">
      <c r="B47" s="11" t="s">
        <v>3036</v>
      </c>
    </row>
    <row r="48" spans="1:3">
      <c r="B48" s="55"/>
    </row>
    <row r="49" spans="2:2">
      <c r="B49" s="55" t="s">
        <v>3037</v>
      </c>
    </row>
    <row r="50" spans="2:2">
      <c r="B50" t="s">
        <v>3038</v>
      </c>
    </row>
    <row r="52" spans="2:2">
      <c r="B52" s="11" t="s">
        <v>3039</v>
      </c>
    </row>
    <row r="53" spans="2:2">
      <c r="B53" s="55"/>
    </row>
    <row r="54" spans="2:2">
      <c r="B54" s="55" t="s">
        <v>3040</v>
      </c>
    </row>
    <row r="55" spans="2:2">
      <c r="B55" t="s">
        <v>3041</v>
      </c>
    </row>
    <row r="56" spans="2:2">
      <c r="B56" t="s">
        <v>3042</v>
      </c>
    </row>
    <row r="58" spans="2:2">
      <c r="B58" s="11" t="s">
        <v>3043</v>
      </c>
    </row>
    <row r="59" spans="2:2">
      <c r="B59" s="55"/>
    </row>
    <row r="60" spans="2:2">
      <c r="B60" s="55" t="s">
        <v>3044</v>
      </c>
    </row>
    <row r="61" spans="2:2">
      <c r="B61" t="s">
        <v>3045</v>
      </c>
    </row>
    <row r="62" spans="2:2">
      <c r="B62" t="s">
        <v>3046</v>
      </c>
    </row>
    <row r="63" spans="2:2">
      <c r="B63" t="s">
        <v>3047</v>
      </c>
    </row>
    <row r="64" spans="2:2">
      <c r="B64" t="s">
        <v>3048</v>
      </c>
    </row>
    <row r="66" spans="2:2">
      <c r="B66" s="11" t="s">
        <v>3049</v>
      </c>
    </row>
    <row r="67" spans="2:2">
      <c r="B67" s="55"/>
    </row>
    <row r="68" spans="2:2">
      <c r="B68" s="55" t="s">
        <v>3050</v>
      </c>
    </row>
    <row r="69" spans="2:2">
      <c r="B69" s="55" t="s">
        <v>3051</v>
      </c>
    </row>
    <row r="71" spans="2:2">
      <c r="B71" s="11" t="s">
        <v>3052</v>
      </c>
    </row>
    <row r="72" spans="2:2">
      <c r="B72" s="55"/>
    </row>
    <row r="73" spans="2:2">
      <c r="B73" s="55" t="s">
        <v>3053</v>
      </c>
    </row>
    <row r="75" spans="2:2">
      <c r="B75" s="11" t="s">
        <v>3054</v>
      </c>
    </row>
    <row r="76" spans="2:2">
      <c r="B76" s="55"/>
    </row>
    <row r="77" spans="2:2">
      <c r="B77" s="55" t="s">
        <v>3055</v>
      </c>
    </row>
    <row r="78" spans="2:2">
      <c r="B78" t="s">
        <v>3056</v>
      </c>
    </row>
    <row r="81" spans="1:4" ht="29">
      <c r="C81" s="56" t="s">
        <v>3057</v>
      </c>
      <c r="D81" s="56" t="s">
        <v>3058</v>
      </c>
    </row>
    <row r="82" spans="1:4" ht="42.5" customHeight="1">
      <c r="C82" s="19" t="s">
        <v>3059</v>
      </c>
      <c r="D82" s="19" t="s">
        <v>3060</v>
      </c>
    </row>
    <row r="83" spans="1:4" ht="40" customHeight="1">
      <c r="C83" s="19" t="s">
        <v>3061</v>
      </c>
      <c r="D83" s="19" t="s">
        <v>3062</v>
      </c>
    </row>
    <row r="84" spans="1:4" ht="27.5" customHeight="1">
      <c r="C84" s="19" t="s">
        <v>3063</v>
      </c>
      <c r="D84" s="19" t="s">
        <v>3064</v>
      </c>
    </row>
    <row r="85" spans="1:4" ht="43.5" customHeight="1">
      <c r="C85" s="19" t="s">
        <v>3065</v>
      </c>
      <c r="D85" s="19" t="s">
        <v>3066</v>
      </c>
    </row>
    <row r="86" spans="1:4" ht="33" customHeight="1">
      <c r="C86" s="19" t="s">
        <v>3067</v>
      </c>
      <c r="D86" s="19" t="s">
        <v>3068</v>
      </c>
    </row>
    <row r="88" spans="1:4" ht="23.5">
      <c r="A88" s="57" t="s">
        <v>3069</v>
      </c>
    </row>
    <row r="90" spans="1:4">
      <c r="B90" t="s">
        <v>3070</v>
      </c>
    </row>
    <row r="91" spans="1:4">
      <c r="B91" s="55" t="s">
        <v>3071</v>
      </c>
    </row>
    <row r="93" spans="1:4" ht="26">
      <c r="A93" s="58" t="s">
        <v>3072</v>
      </c>
      <c r="B93" s="11"/>
    </row>
    <row r="94" spans="1:4">
      <c r="B94" s="55"/>
    </row>
    <row r="95" spans="1:4">
      <c r="B95" s="55" t="s">
        <v>3073</v>
      </c>
    </row>
    <row r="97" spans="1:4" ht="21">
      <c r="A97" s="59" t="s">
        <v>3074</v>
      </c>
      <c r="B97" s="11"/>
    </row>
    <row r="99" spans="1:4">
      <c r="B99" s="55" t="s">
        <v>3075</v>
      </c>
    </row>
    <row r="101" spans="1:4" ht="21">
      <c r="A101" s="59" t="s">
        <v>3076</v>
      </c>
      <c r="B101" s="11"/>
    </row>
    <row r="102" spans="1:4">
      <c r="B102" s="55"/>
    </row>
    <row r="103" spans="1:4">
      <c r="B103" s="55" t="s">
        <v>3077</v>
      </c>
    </row>
    <row r="105" spans="1:4" ht="21">
      <c r="A105" s="59" t="s">
        <v>3078</v>
      </c>
      <c r="B105" s="11"/>
    </row>
    <row r="106" spans="1:4">
      <c r="B106" s="55"/>
    </row>
    <row r="107" spans="1:4">
      <c r="B107" s="55" t="s">
        <v>3079</v>
      </c>
    </row>
    <row r="109" spans="1:4" ht="17.5">
      <c r="B109" s="34"/>
    </row>
    <row r="111" spans="1:4" ht="26">
      <c r="B111" s="58" t="s">
        <v>3080</v>
      </c>
      <c r="C111" s="56"/>
      <c r="D111" s="56"/>
    </row>
    <row r="112" spans="1:4">
      <c r="B112" s="19"/>
      <c r="C112" s="19"/>
      <c r="D112" s="19"/>
    </row>
    <row r="113" spans="2:4">
      <c r="B113" s="19"/>
      <c r="C113" s="19"/>
      <c r="D113" s="19"/>
    </row>
    <row r="114" spans="2:4">
      <c r="B114" s="60"/>
      <c r="C114" s="60"/>
      <c r="D114" s="19"/>
    </row>
    <row r="115" spans="2:4">
      <c r="B115" s="19"/>
      <c r="C115" s="19"/>
      <c r="D115" s="19"/>
    </row>
    <row r="116" spans="2:4">
      <c r="B116" s="19"/>
      <c r="C116" s="19"/>
      <c r="D116"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EEC8-93D5-427C-9BFE-863114A4EE78}">
  <dimension ref="A1:E54"/>
  <sheetViews>
    <sheetView workbookViewId="0">
      <selection activeCell="D4" sqref="D4"/>
    </sheetView>
  </sheetViews>
  <sheetFormatPr defaultColWidth="16.08984375" defaultRowHeight="14.5"/>
  <sheetData>
    <row r="1" spans="1:5">
      <c r="A1" s="48" t="s">
        <v>2995</v>
      </c>
      <c r="B1" s="49"/>
      <c r="C1" s="49"/>
      <c r="D1" s="49"/>
      <c r="E1" s="49"/>
    </row>
    <row r="2" spans="1:5">
      <c r="A2" s="49" t="s">
        <v>2996</v>
      </c>
      <c r="B2" s="49">
        <f>COUNTA([1]Data!$A$2:$A$2001)</f>
        <v>2000</v>
      </c>
      <c r="C2" s="49"/>
      <c r="D2" s="49"/>
      <c r="E2" s="49"/>
    </row>
    <row r="3" spans="1:5">
      <c r="A3" s="49" t="s">
        <v>2997</v>
      </c>
      <c r="B3" s="49">
        <f>COUNTIF([1]Data!$L$2:$L$2001,"Yes")</f>
        <v>665</v>
      </c>
      <c r="C3" s="49"/>
      <c r="D3" s="49"/>
      <c r="E3" s="49"/>
    </row>
    <row r="4" spans="1:5">
      <c r="A4" s="49" t="s">
        <v>2998</v>
      </c>
      <c r="B4" s="50">
        <f>B3/(B3+COUNTIF([1]Data!$L$2:$L$2001,"No"))</f>
        <v>0.33842239185750639</v>
      </c>
      <c r="C4" s="49"/>
      <c r="D4" s="49"/>
      <c r="E4" s="49"/>
    </row>
    <row r="5" spans="1:5">
      <c r="A5" s="49" t="s">
        <v>2954</v>
      </c>
      <c r="B5" s="51">
        <f>SUMIFS([1]Data!$H$2:$H$2001,[1]Data!$L$2:$L$2001,"Yes")</f>
        <v>567095</v>
      </c>
      <c r="C5" s="49"/>
      <c r="D5" s="49"/>
      <c r="E5" s="49"/>
    </row>
    <row r="6" spans="1:5">
      <c r="A6" s="49" t="s">
        <v>2957</v>
      </c>
      <c r="B6" s="51">
        <f>B5*12</f>
        <v>6805140</v>
      </c>
      <c r="C6" s="49"/>
      <c r="D6" s="49"/>
      <c r="E6" s="49"/>
    </row>
    <row r="7" spans="1:5">
      <c r="A7" s="48" t="s">
        <v>5</v>
      </c>
      <c r="B7" s="49"/>
      <c r="C7" s="49"/>
      <c r="D7" s="49"/>
      <c r="E7" s="49"/>
    </row>
    <row r="8" spans="1:5">
      <c r="A8" s="48" t="s">
        <v>2999</v>
      </c>
      <c r="B8" s="48" t="s">
        <v>32</v>
      </c>
      <c r="C8" s="48" t="s">
        <v>23</v>
      </c>
      <c r="D8" s="48" t="s">
        <v>2998</v>
      </c>
      <c r="E8" s="48" t="s">
        <v>3000</v>
      </c>
    </row>
    <row r="9" spans="1:5">
      <c r="A9" s="49" t="s">
        <v>21</v>
      </c>
      <c r="B9" s="49">
        <f>COUNTIFS([1]Data!$F$2:$F$2001,$A9,[1]Data!$L$2:$L$2001,"Yes")</f>
        <v>516</v>
      </c>
      <c r="C9" s="49">
        <f>COUNTIFS([1]Data!$F$2:$F$2001,$A9,[1]Data!$L$2:$L$2001,"No")</f>
        <v>564</v>
      </c>
      <c r="D9" s="52">
        <f>B9/(B9+C9)</f>
        <v>0.4777777777777778</v>
      </c>
      <c r="E9" s="52">
        <f>$B$4</f>
        <v>0.33842239185750639</v>
      </c>
    </row>
    <row r="10" spans="1:5">
      <c r="A10" s="49" t="s">
        <v>27</v>
      </c>
      <c r="B10" s="49">
        <f>COUNTIFS([1]Data!$F$2:$F$2001,$A10,[1]Data!$L$2:$L$2001,"Yes")</f>
        <v>99</v>
      </c>
      <c r="C10" s="49">
        <f>COUNTIFS([1]Data!$F$2:$F$2001,$A10,[1]Data!$L$2:$L$2001,"No")</f>
        <v>392</v>
      </c>
      <c r="D10" s="52">
        <f>B10/(B10+C10)</f>
        <v>0.20162932790224034</v>
      </c>
      <c r="E10" s="52">
        <f>$B$4</f>
        <v>0.33842239185750639</v>
      </c>
    </row>
    <row r="11" spans="1:5">
      <c r="A11" s="49" t="s">
        <v>47</v>
      </c>
      <c r="B11" s="49">
        <f>COUNTIFS([1]Data!$F$2:$F$2001,$A11,[1]Data!$L$2:$L$2001,"Yes")</f>
        <v>40</v>
      </c>
      <c r="C11" s="49">
        <f>COUNTIFS([1]Data!$F$2:$F$2001,$A11,[1]Data!$L$2:$L$2001,"No")</f>
        <v>328</v>
      </c>
      <c r="D11" s="52">
        <f>B11/(B11+C11)</f>
        <v>0.10869565217391304</v>
      </c>
      <c r="E11" s="52">
        <f>$B$4</f>
        <v>0.33842239185750639</v>
      </c>
    </row>
    <row r="12" spans="1:5">
      <c r="A12" s="49"/>
      <c r="B12" s="49"/>
      <c r="C12" s="49"/>
      <c r="D12" s="49"/>
      <c r="E12" s="49"/>
    </row>
    <row r="13" spans="1:5">
      <c r="A13" s="49"/>
      <c r="B13" s="49"/>
      <c r="C13" s="49"/>
      <c r="D13" s="49"/>
      <c r="E13" s="49"/>
    </row>
    <row r="14" spans="1:5">
      <c r="A14" s="48" t="s">
        <v>9</v>
      </c>
      <c r="B14" s="49"/>
      <c r="C14" s="49"/>
      <c r="D14" s="49"/>
      <c r="E14" s="49"/>
    </row>
    <row r="15" spans="1:5">
      <c r="A15" s="48" t="s">
        <v>2999</v>
      </c>
      <c r="B15" s="48" t="s">
        <v>32</v>
      </c>
      <c r="C15" s="48" t="s">
        <v>23</v>
      </c>
      <c r="D15" s="48" t="s">
        <v>2998</v>
      </c>
      <c r="E15" s="48" t="s">
        <v>3000</v>
      </c>
    </row>
    <row r="16" spans="1:5">
      <c r="A16" s="49" t="s">
        <v>31</v>
      </c>
      <c r="B16" s="49">
        <f>COUNTIFS([1]Data!$J$2:$J$2001,$A16,[1]Data!$L$2:$L$2001,"Yes")</f>
        <v>196</v>
      </c>
      <c r="C16" s="49">
        <f>COUNTIFS([1]Data!$J$2:$J$2001,$A16,[1]Data!$L$2:$L$2001,"No")</f>
        <v>488</v>
      </c>
      <c r="D16" s="52">
        <f>B16/(B16+C16)</f>
        <v>0.28654970760233917</v>
      </c>
      <c r="E16" s="52">
        <f>$B$4</f>
        <v>0.33842239185750639</v>
      </c>
    </row>
    <row r="17" spans="1:5">
      <c r="A17" s="49" t="s">
        <v>22</v>
      </c>
      <c r="B17" s="49">
        <f>COUNTIFS([1]Data!$J$2:$J$2001,$A17,[1]Data!$L$2:$L$2001,"Yes")</f>
        <v>328</v>
      </c>
      <c r="C17" s="49">
        <f>COUNTIFS([1]Data!$J$2:$J$2001,$A17,[1]Data!$L$2:$L$2001,"No")</f>
        <v>541</v>
      </c>
      <c r="D17" s="52">
        <f>B17/(B17+C17)</f>
        <v>0.37744533947065595</v>
      </c>
      <c r="E17" s="52">
        <f>$B$4</f>
        <v>0.33842239185750639</v>
      </c>
    </row>
    <row r="18" spans="1:5">
      <c r="A18" s="49" t="s">
        <v>66</v>
      </c>
      <c r="B18" s="49">
        <f>COUNTIFS([1]Data!$J$2:$J$2001,$A18,[1]Data!$L$2:$L$2001,"Yes")</f>
        <v>130</v>
      </c>
      <c r="C18" s="49">
        <f>COUNTIFS([1]Data!$J$2:$J$2001,$A18,[1]Data!$L$2:$L$2001,"No")</f>
        <v>240</v>
      </c>
      <c r="D18" s="52">
        <f>B18/(B18+C18)</f>
        <v>0.35135135135135137</v>
      </c>
      <c r="E18" s="52">
        <f>$B$4</f>
        <v>0.33842239185750639</v>
      </c>
    </row>
    <row r="19" spans="1:5">
      <c r="A19" s="49"/>
      <c r="B19" s="49"/>
      <c r="C19" s="49"/>
      <c r="D19" s="49"/>
      <c r="E19" s="49"/>
    </row>
    <row r="20" spans="1:5">
      <c r="A20" s="49"/>
      <c r="B20" s="49"/>
      <c r="C20" s="49"/>
      <c r="D20" s="49"/>
      <c r="E20" s="49"/>
    </row>
    <row r="21" spans="1:5">
      <c r="A21" s="48" t="s">
        <v>4</v>
      </c>
      <c r="B21" s="49"/>
      <c r="C21" s="49"/>
      <c r="D21" s="49"/>
      <c r="E21" s="49"/>
    </row>
    <row r="22" spans="1:5">
      <c r="A22" s="48" t="s">
        <v>2999</v>
      </c>
      <c r="B22" s="48" t="s">
        <v>32</v>
      </c>
      <c r="C22" s="48" t="s">
        <v>23</v>
      </c>
      <c r="D22" s="48" t="s">
        <v>2998</v>
      </c>
      <c r="E22" s="48" t="s">
        <v>3000</v>
      </c>
    </row>
    <row r="23" spans="1:5">
      <c r="A23" s="49" t="s">
        <v>46</v>
      </c>
      <c r="B23" s="49">
        <f>COUNTIFS([1]Data!$E$2:$E$2001,$A23,[1]Data!$L$2:$L$2001,"Yes")</f>
        <v>48</v>
      </c>
      <c r="C23" s="49">
        <f>COUNTIFS([1]Data!$E$2:$E$2001,$A23,[1]Data!$L$2:$L$2001,"No")</f>
        <v>78</v>
      </c>
      <c r="D23" s="52">
        <f t="shared" ref="D23:D36" si="0">B23/(B23+C23)</f>
        <v>0.38095238095238093</v>
      </c>
      <c r="E23" s="52">
        <f t="shared" ref="E23:E36" si="1">$B$4</f>
        <v>0.33842239185750639</v>
      </c>
    </row>
    <row r="24" spans="1:5">
      <c r="A24" s="49" t="s">
        <v>71</v>
      </c>
      <c r="B24" s="49">
        <f>COUNTIFS([1]Data!$E$2:$E$2001,$A24,[1]Data!$L$2:$L$2001,"Yes")</f>
        <v>51</v>
      </c>
      <c r="C24" s="49">
        <f>COUNTIFS([1]Data!$E$2:$E$2001,$A24,[1]Data!$L$2:$L$2001,"No")</f>
        <v>86</v>
      </c>
      <c r="D24" s="52">
        <f t="shared" si="0"/>
        <v>0.37226277372262773</v>
      </c>
      <c r="E24" s="52">
        <f t="shared" si="1"/>
        <v>0.33842239185750639</v>
      </c>
    </row>
    <row r="25" spans="1:5">
      <c r="A25" s="49" t="s">
        <v>57</v>
      </c>
      <c r="B25" s="49">
        <f>COUNTIFS([1]Data!$E$2:$E$2001,$A25,[1]Data!$L$2:$L$2001,"Yes")</f>
        <v>50</v>
      </c>
      <c r="C25" s="49">
        <f>COUNTIFS([1]Data!$E$2:$E$2001,$A25,[1]Data!$L$2:$L$2001,"No")</f>
        <v>87</v>
      </c>
      <c r="D25" s="52">
        <f t="shared" si="0"/>
        <v>0.36496350364963503</v>
      </c>
      <c r="E25" s="52">
        <f t="shared" si="1"/>
        <v>0.33842239185750639</v>
      </c>
    </row>
    <row r="26" spans="1:5">
      <c r="A26" s="49" t="s">
        <v>41</v>
      </c>
      <c r="B26" s="49">
        <f>COUNTIFS([1]Data!$E$2:$E$2001,$A26,[1]Data!$L$2:$L$2001,"Yes")</f>
        <v>47</v>
      </c>
      <c r="C26" s="49">
        <f>COUNTIFS([1]Data!$E$2:$E$2001,$A26,[1]Data!$L$2:$L$2001,"No")</f>
        <v>82</v>
      </c>
      <c r="D26" s="52">
        <f t="shared" si="0"/>
        <v>0.36434108527131781</v>
      </c>
      <c r="E26" s="52">
        <f t="shared" si="1"/>
        <v>0.33842239185750639</v>
      </c>
    </row>
    <row r="27" spans="1:5">
      <c r="A27" s="49" t="s">
        <v>91</v>
      </c>
      <c r="B27" s="49">
        <f>COUNTIFS([1]Data!$E$2:$E$2001,$A27,[1]Data!$L$2:$L$2001,"Yes")</f>
        <v>50</v>
      </c>
      <c r="C27" s="49">
        <f>COUNTIFS([1]Data!$E$2:$E$2001,$A27,[1]Data!$L$2:$L$2001,"No")</f>
        <v>91</v>
      </c>
      <c r="D27" s="52">
        <f t="shared" si="0"/>
        <v>0.3546099290780142</v>
      </c>
      <c r="E27" s="52">
        <f t="shared" si="1"/>
        <v>0.33842239185750639</v>
      </c>
    </row>
    <row r="28" spans="1:5">
      <c r="A28" s="49" t="s">
        <v>36</v>
      </c>
      <c r="B28" s="49">
        <f>COUNTIFS([1]Data!$E$2:$E$2001,$A28,[1]Data!$L$2:$L$2001,"Yes")</f>
        <v>51</v>
      </c>
      <c r="C28" s="49">
        <f>COUNTIFS([1]Data!$E$2:$E$2001,$A28,[1]Data!$L$2:$L$2001,"No")</f>
        <v>93</v>
      </c>
      <c r="D28" s="52">
        <f t="shared" si="0"/>
        <v>0.35416666666666669</v>
      </c>
      <c r="E28" s="52">
        <f t="shared" si="1"/>
        <v>0.33842239185750639</v>
      </c>
    </row>
    <row r="29" spans="1:5">
      <c r="A29" s="49" t="s">
        <v>26</v>
      </c>
      <c r="B29" s="49">
        <f>COUNTIFS([1]Data!$E$2:$E$2001,$A29,[1]Data!$L$2:$L$2001,"Yes")</f>
        <v>48</v>
      </c>
      <c r="C29" s="49">
        <f>COUNTIFS([1]Data!$E$2:$E$2001,$A29,[1]Data!$L$2:$L$2001,"No")</f>
        <v>90</v>
      </c>
      <c r="D29" s="52">
        <f t="shared" si="0"/>
        <v>0.34782608695652173</v>
      </c>
      <c r="E29" s="52">
        <f t="shared" si="1"/>
        <v>0.33842239185750639</v>
      </c>
    </row>
    <row r="30" spans="1:5">
      <c r="A30" s="49" t="s">
        <v>20</v>
      </c>
      <c r="B30" s="49">
        <f>COUNTIFS([1]Data!$E$2:$E$2001,$A30,[1]Data!$L$2:$L$2001,"Yes")</f>
        <v>46</v>
      </c>
      <c r="C30" s="49">
        <f>COUNTIFS([1]Data!$E$2:$E$2001,$A30,[1]Data!$L$2:$L$2001,"No")</f>
        <v>88</v>
      </c>
      <c r="D30" s="52">
        <f t="shared" si="0"/>
        <v>0.34328358208955223</v>
      </c>
      <c r="E30" s="52">
        <f t="shared" si="1"/>
        <v>0.33842239185750639</v>
      </c>
    </row>
    <row r="31" spans="1:5">
      <c r="A31" s="49" t="s">
        <v>110</v>
      </c>
      <c r="B31" s="49">
        <f>COUNTIFS([1]Data!$E$2:$E$2001,$A31,[1]Data!$L$2:$L$2001,"Yes")</f>
        <v>51</v>
      </c>
      <c r="C31" s="49">
        <f>COUNTIFS([1]Data!$E$2:$E$2001,$A31,[1]Data!$L$2:$L$2001,"No")</f>
        <v>98</v>
      </c>
      <c r="D31" s="52">
        <f t="shared" si="0"/>
        <v>0.34228187919463088</v>
      </c>
      <c r="E31" s="52">
        <f t="shared" si="1"/>
        <v>0.33842239185750639</v>
      </c>
    </row>
    <row r="32" spans="1:5">
      <c r="A32" s="49" t="s">
        <v>141</v>
      </c>
      <c r="B32" s="49">
        <f>COUNTIFS([1]Data!$E$2:$E$2001,$A32,[1]Data!$L$2:$L$2001,"Yes")</f>
        <v>42</v>
      </c>
      <c r="C32" s="49">
        <f>COUNTIFS([1]Data!$E$2:$E$2001,$A32,[1]Data!$L$2:$L$2001,"No")</f>
        <v>81</v>
      </c>
      <c r="D32" s="52">
        <f t="shared" si="0"/>
        <v>0.34146341463414637</v>
      </c>
      <c r="E32" s="52">
        <f t="shared" si="1"/>
        <v>0.33842239185750639</v>
      </c>
    </row>
    <row r="33" spans="1:5">
      <c r="A33" s="49" t="s">
        <v>30</v>
      </c>
      <c r="B33" s="49">
        <f>COUNTIFS([1]Data!$E$2:$E$2001,$A33,[1]Data!$L$2:$L$2001,"Yes")</f>
        <v>44</v>
      </c>
      <c r="C33" s="49">
        <f>COUNTIFS([1]Data!$E$2:$E$2001,$A33,[1]Data!$L$2:$L$2001,"No")</f>
        <v>96</v>
      </c>
      <c r="D33" s="52">
        <f t="shared" si="0"/>
        <v>0.31428571428571428</v>
      </c>
      <c r="E33" s="52">
        <f t="shared" si="1"/>
        <v>0.33842239185750639</v>
      </c>
    </row>
    <row r="34" spans="1:5">
      <c r="A34" s="49" t="s">
        <v>60</v>
      </c>
      <c r="B34" s="49">
        <f>COUNTIFS([1]Data!$E$2:$E$2001,$A34,[1]Data!$L$2:$L$2001,"Yes")</f>
        <v>43</v>
      </c>
      <c r="C34" s="49">
        <f>COUNTIFS([1]Data!$E$2:$E$2001,$A34,[1]Data!$L$2:$L$2001,"No")</f>
        <v>103</v>
      </c>
      <c r="D34" s="52">
        <f t="shared" si="0"/>
        <v>0.29452054794520549</v>
      </c>
      <c r="E34" s="52">
        <f t="shared" si="1"/>
        <v>0.33842239185750639</v>
      </c>
    </row>
    <row r="35" spans="1:5">
      <c r="A35" s="49" t="s">
        <v>63</v>
      </c>
      <c r="B35" s="49">
        <f>COUNTIFS([1]Data!$E$2:$E$2001,$A35,[1]Data!$L$2:$L$2001,"Yes")</f>
        <v>41</v>
      </c>
      <c r="C35" s="49">
        <f>COUNTIFS([1]Data!$E$2:$E$2001,$A35,[1]Data!$L$2:$L$2001,"No")</f>
        <v>99</v>
      </c>
      <c r="D35" s="52">
        <f t="shared" si="0"/>
        <v>0.29285714285714287</v>
      </c>
      <c r="E35" s="52">
        <f t="shared" si="1"/>
        <v>0.33842239185750639</v>
      </c>
    </row>
    <row r="36" spans="1:5">
      <c r="A36" s="49" t="s">
        <v>105</v>
      </c>
      <c r="B36" s="49">
        <f>COUNTIFS([1]Data!$E$2:$E$2001,$A36,[1]Data!$L$2:$L$2001,"Yes")</f>
        <v>40</v>
      </c>
      <c r="C36" s="49">
        <f>COUNTIFS([1]Data!$E$2:$E$2001,$A36,[1]Data!$L$2:$L$2001,"No")</f>
        <v>99</v>
      </c>
      <c r="D36" s="52">
        <f t="shared" si="0"/>
        <v>0.28776978417266186</v>
      </c>
      <c r="E36" s="52">
        <f t="shared" si="1"/>
        <v>0.33842239185750639</v>
      </c>
    </row>
    <row r="37" spans="1:5">
      <c r="A37" s="49"/>
      <c r="B37" s="49"/>
      <c r="C37" s="49"/>
      <c r="D37" s="49"/>
      <c r="E37" s="49"/>
    </row>
    <row r="38" spans="1:5">
      <c r="A38" s="49"/>
      <c r="B38" s="49"/>
      <c r="C38" s="49"/>
      <c r="D38" s="49"/>
      <c r="E38" s="49"/>
    </row>
    <row r="39" spans="1:5">
      <c r="A39" s="48" t="s">
        <v>2886</v>
      </c>
      <c r="B39" s="49"/>
      <c r="C39" s="49"/>
      <c r="D39" s="49"/>
      <c r="E39" s="49"/>
    </row>
    <row r="40" spans="1:5">
      <c r="A40" s="48" t="s">
        <v>2999</v>
      </c>
      <c r="B40" s="48" t="s">
        <v>32</v>
      </c>
      <c r="C40" s="48" t="s">
        <v>23</v>
      </c>
      <c r="D40" s="48" t="s">
        <v>2998</v>
      </c>
      <c r="E40" s="48" t="s">
        <v>3000</v>
      </c>
    </row>
    <row r="41" spans="1:5">
      <c r="A41" s="49" t="s">
        <v>3001</v>
      </c>
      <c r="B41" s="49">
        <f>COUNTIFS([1]Data!$M$2:$M$2001,$A41,[1]Data!$L$2:$L$2001,"Yes")</f>
        <v>184</v>
      </c>
      <c r="C41" s="49">
        <f>COUNTIFS([1]Data!$M$2:$M$2001,$A41,[1]Data!$L$2:$L$2001,"No")</f>
        <v>186</v>
      </c>
      <c r="D41" s="52">
        <f>B41/(B41+C41)</f>
        <v>0.49729729729729732</v>
      </c>
      <c r="E41" s="52">
        <f>$B$4</f>
        <v>0.33842239185750639</v>
      </c>
    </row>
    <row r="42" spans="1:5">
      <c r="A42" s="49" t="s">
        <v>3002</v>
      </c>
      <c r="B42" s="49">
        <f>COUNTIFS([1]Data!$M$2:$M$2001,$A42,[1]Data!$L$2:$L$2001,"Yes")</f>
        <v>153</v>
      </c>
      <c r="C42" s="49">
        <f>COUNTIFS([1]Data!$M$2:$M$2001,$A42,[1]Data!$L$2:$L$2001,"No")</f>
        <v>248</v>
      </c>
      <c r="D42" s="52">
        <f>B42/(B42+C42)</f>
        <v>0.38154613466334164</v>
      </c>
      <c r="E42" s="52">
        <f>$B$4</f>
        <v>0.33842239185750639</v>
      </c>
    </row>
    <row r="43" spans="1:5">
      <c r="A43" s="49" t="s">
        <v>3003</v>
      </c>
      <c r="B43" s="49">
        <f>COUNTIFS([1]Data!$M$2:$M$2001,$A43,[1]Data!$L$2:$L$2001,"Yes")</f>
        <v>261</v>
      </c>
      <c r="C43" s="49">
        <f>COUNTIFS([1]Data!$M$2:$M$2001,$A43,[1]Data!$L$2:$L$2001,"No")</f>
        <v>485</v>
      </c>
      <c r="D43" s="52">
        <f>B43/(B43+C43)</f>
        <v>0.34986595174262736</v>
      </c>
      <c r="E43" s="52">
        <f>$B$4</f>
        <v>0.33842239185750639</v>
      </c>
    </row>
    <row r="44" spans="1:5">
      <c r="A44" s="49" t="s">
        <v>3004</v>
      </c>
      <c r="B44" s="49">
        <f>COUNTIFS([1]Data!$M$2:$M$2001,$A44,[1]Data!$L$2:$L$2001,"Yes")</f>
        <v>48</v>
      </c>
      <c r="C44" s="49">
        <f>COUNTIFS([1]Data!$M$2:$M$2001,$A44,[1]Data!$L$2:$L$2001,"No")</f>
        <v>242</v>
      </c>
      <c r="D44" s="52">
        <f>B44/(B44+C44)</f>
        <v>0.16551724137931034</v>
      </c>
      <c r="E44" s="52">
        <f>$B$4</f>
        <v>0.33842239185750639</v>
      </c>
    </row>
    <row r="45" spans="1:5">
      <c r="A45" s="49" t="s">
        <v>3005</v>
      </c>
      <c r="B45" s="49">
        <f>COUNTIFS([1]Data!$M$2:$M$2001,$A45,[1]Data!$L$2:$L$2001,"Yes")</f>
        <v>12</v>
      </c>
      <c r="C45" s="49">
        <f>COUNTIFS([1]Data!$M$2:$M$2001,$A45,[1]Data!$L$2:$L$2001,"No")</f>
        <v>128</v>
      </c>
      <c r="D45" s="52">
        <f>B45/(B45+C45)</f>
        <v>8.5714285714285715E-2</v>
      </c>
      <c r="E45" s="52">
        <f>$B$4</f>
        <v>0.33842239185750639</v>
      </c>
    </row>
    <row r="46" spans="1:5">
      <c r="A46" s="49"/>
      <c r="B46" s="49"/>
      <c r="C46" s="49"/>
      <c r="D46" s="49"/>
      <c r="E46" s="49"/>
    </row>
    <row r="47" spans="1:5">
      <c r="A47" s="49"/>
      <c r="B47" s="49"/>
      <c r="C47" s="49"/>
      <c r="D47" s="49"/>
      <c r="E47" s="49"/>
    </row>
    <row r="48" spans="1:5">
      <c r="A48" s="48" t="s">
        <v>3006</v>
      </c>
      <c r="B48" s="49"/>
      <c r="C48" s="49"/>
      <c r="D48" s="49"/>
      <c r="E48" s="49"/>
    </row>
    <row r="49" spans="1:5">
      <c r="A49" s="48" t="s">
        <v>2999</v>
      </c>
      <c r="B49" s="48" t="s">
        <v>32</v>
      </c>
      <c r="C49" s="48" t="s">
        <v>23</v>
      </c>
      <c r="D49" s="48" t="s">
        <v>2998</v>
      </c>
      <c r="E49" s="48" t="s">
        <v>3000</v>
      </c>
    </row>
    <row r="50" spans="1:5">
      <c r="A50" s="49" t="s">
        <v>3007</v>
      </c>
      <c r="B50" s="49">
        <f>COUNTIFS([1]Data!$N$2:$N$2001,$A50,[1]Data!$L$2:$L$2001,"Yes")</f>
        <v>85</v>
      </c>
      <c r="C50" s="49">
        <f>COUNTIFS([1]Data!$N$2:$N$2001,$A50,[1]Data!$L$2:$L$2001,"No")</f>
        <v>172</v>
      </c>
      <c r="D50" s="52">
        <f>B50/(B50+C50)</f>
        <v>0.33073929961089493</v>
      </c>
      <c r="E50" s="52">
        <f>$B$4</f>
        <v>0.33842239185750639</v>
      </c>
    </row>
    <row r="51" spans="1:5">
      <c r="A51" s="49" t="s">
        <v>3008</v>
      </c>
      <c r="B51" s="49">
        <f>COUNTIFS([1]Data!$N$2:$N$2001,$A51,[1]Data!$L$2:$L$2001,"Yes")</f>
        <v>100</v>
      </c>
      <c r="C51" s="49">
        <f>COUNTIFS([1]Data!$N$2:$N$2001,$A51,[1]Data!$L$2:$L$2001,"No")</f>
        <v>230</v>
      </c>
      <c r="D51" s="52">
        <f>B51/(B51+C51)</f>
        <v>0.30303030303030304</v>
      </c>
      <c r="E51" s="52">
        <f>$B$4</f>
        <v>0.33842239185750639</v>
      </c>
    </row>
    <row r="52" spans="1:5">
      <c r="A52" s="49" t="s">
        <v>3009</v>
      </c>
      <c r="B52" s="49">
        <f>COUNTIFS([1]Data!$N$2:$N$2001,$A52,[1]Data!$L$2:$L$2001,"Yes")</f>
        <v>121</v>
      </c>
      <c r="C52" s="49">
        <f>COUNTIFS([1]Data!$N$2:$N$2001,$A52,[1]Data!$L$2:$L$2001,"No")</f>
        <v>204</v>
      </c>
      <c r="D52" s="52">
        <f>B52/(B52+C52)</f>
        <v>0.37230769230769228</v>
      </c>
      <c r="E52" s="52">
        <f>$B$4</f>
        <v>0.33842239185750639</v>
      </c>
    </row>
    <row r="53" spans="1:5">
      <c r="A53" s="49" t="s">
        <v>3010</v>
      </c>
      <c r="B53" s="49">
        <f>COUNTIFS([1]Data!$N$2:$N$2001,$A53,[1]Data!$L$2:$L$2001,"Yes")</f>
        <v>188</v>
      </c>
      <c r="C53" s="49">
        <f>COUNTIFS([1]Data!$N$2:$N$2001,$A53,[1]Data!$L$2:$L$2001,"No")</f>
        <v>379</v>
      </c>
      <c r="D53" s="52">
        <f>B53/(B53+C53)</f>
        <v>0.33156966490299822</v>
      </c>
      <c r="E53" s="52">
        <f>$B$4</f>
        <v>0.33842239185750639</v>
      </c>
    </row>
    <row r="54" spans="1:5">
      <c r="A54" s="49" t="s">
        <v>3011</v>
      </c>
      <c r="B54" s="49">
        <f>COUNTIFS([1]Data!$N$2:$N$2001,$A54,[1]Data!$L$2:$L$2001,"Yes")</f>
        <v>171</v>
      </c>
      <c r="C54" s="49">
        <f>COUNTIFS([1]Data!$N$2:$N$2001,$A54,[1]Data!$L$2:$L$2001,"No")</f>
        <v>315</v>
      </c>
      <c r="D54" s="52">
        <f>B54/(B54+C54)</f>
        <v>0.35185185185185186</v>
      </c>
      <c r="E54" s="52">
        <f>$B$4</f>
        <v>0.33842239185750639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Customer_churn_data</vt:lpstr>
      <vt:lpstr>analysis </vt:lpstr>
      <vt:lpstr>Pivot tables </vt:lpstr>
      <vt:lpstr>dashboard</vt:lpstr>
      <vt:lpstr>analysis of problem with sol.</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urvashii Mukhi</cp:lastModifiedBy>
  <cp:revision>0</cp:revision>
  <dcterms:created xsi:type="dcterms:W3CDTF">2026-09-29T14:44:05Z</dcterms:created>
  <dcterms:modified xsi:type="dcterms:W3CDTF">2026-10-02T11:38:47Z</dcterms:modified>
  <dc:language>en-US</dc:language>
</cp:coreProperties>
</file>